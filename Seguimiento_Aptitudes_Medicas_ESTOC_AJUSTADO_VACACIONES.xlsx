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54c96642c631659/Escritorio/APTITUDES/"/>
    </mc:Choice>
  </mc:AlternateContent>
  <xr:revisionPtr revIDLastSave="55" documentId="13_ncr:1_{BA1F5B1D-0702-45A6-B47C-30E4F0AF8052}" xr6:coauthVersionLast="47" xr6:coauthVersionMax="47" xr10:uidLastSave="{AEFC0A45-EB06-49A5-A9E0-52A6B6F42F7D}"/>
  <bookViews>
    <workbookView xWindow="-120" yWindow="-120" windowWidth="20730" windowHeight="11040" xr2:uid="{00000000-000D-0000-FFFF-FFFF00000000}"/>
  </bookViews>
  <sheets>
    <sheet name="Seguimiento ESTOC" sheetId="1" r:id="rId1"/>
    <sheet name="Cronograma" sheetId="2" r:id="rId2"/>
    <sheet name="Resumen" sheetId="3" r:id="rId3"/>
    <sheet name="Lista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8" i="3"/>
  <c r="E7" i="3"/>
  <c r="E6" i="3"/>
  <c r="E5" i="3"/>
  <c r="E4" i="3"/>
</calcChain>
</file>

<file path=xl/sharedStrings.xml><?xml version="1.0" encoding="utf-8"?>
<sst xmlns="http://schemas.openxmlformats.org/spreadsheetml/2006/main" count="1479" uniqueCount="336">
  <si>
    <t>ID</t>
  </si>
  <si>
    <t>LEG</t>
  </si>
  <si>
    <t>APELLIDO Y NOMBRE</t>
  </si>
  <si>
    <t>SECTOR</t>
  </si>
  <si>
    <t>HABILITACIONES</t>
  </si>
  <si>
    <t>TAREA CRITICA</t>
  </si>
  <si>
    <t>FECHA ESTUDIOS</t>
  </si>
  <si>
    <t>PSICOTECNICO</t>
  </si>
  <si>
    <t>EEG</t>
  </si>
  <si>
    <t>ERGOMETRIA</t>
  </si>
  <si>
    <t>APTITUD</t>
  </si>
  <si>
    <t>OBSERVACIONES</t>
  </si>
  <si>
    <t>4644</t>
  </si>
  <si>
    <t>POUSO LUIS</t>
  </si>
  <si>
    <t>CALDERERIA</t>
  </si>
  <si>
    <t>AUTOELEVADOR / PUENTE GRUA</t>
  </si>
  <si>
    <t>ESTOC - Conduccion / izaje / equipos pesados</t>
  </si>
  <si>
    <t>Normal</t>
  </si>
  <si>
    <t>Apto</t>
  </si>
  <si>
    <t>7554</t>
  </si>
  <si>
    <t>LUCERO JULIO</t>
  </si>
  <si>
    <t>CARENADO</t>
  </si>
  <si>
    <t>AUTOELEVADOR</t>
  </si>
  <si>
    <t>Pendiente</t>
  </si>
  <si>
    <t>7764</t>
  </si>
  <si>
    <t>VERGARA JAVIER</t>
  </si>
  <si>
    <t>ELECTRICIDAD</t>
  </si>
  <si>
    <t>7780</t>
  </si>
  <si>
    <t>BENARY FELIX</t>
  </si>
  <si>
    <t>MECANICA 1</t>
  </si>
  <si>
    <t>7819</t>
  </si>
  <si>
    <t>MIRANDA GUSTAVO JAVIER</t>
  </si>
  <si>
    <t>7822</t>
  </si>
  <si>
    <t>PINEDA VIDAL RAMON</t>
  </si>
  <si>
    <t>MANIOBRAS Y TRASNPORTES</t>
  </si>
  <si>
    <t>CRANEMOVIL / HIDROGRUA / MANIPULADOR TELESCOPICO 10 tn</t>
  </si>
  <si>
    <t>7850</t>
  </si>
  <si>
    <t>IRALA GUSTAVO</t>
  </si>
  <si>
    <t>SYNCROLIFT</t>
  </si>
  <si>
    <t>PALA / TOPADORA</t>
  </si>
  <si>
    <t>7894</t>
  </si>
  <si>
    <t>MOLINA MATIAS</t>
  </si>
  <si>
    <t>7895</t>
  </si>
  <si>
    <t>BARBOZA LUIS</t>
  </si>
  <si>
    <t>GRUA MOVIL / HIDROGRUA / PLATAFORMA</t>
  </si>
  <si>
    <t>7912</t>
  </si>
  <si>
    <t>RITANO JULIAN</t>
  </si>
  <si>
    <t>CALIDAD</t>
  </si>
  <si>
    <t>AUTOELEVADOR / PLATAFORMA</t>
  </si>
  <si>
    <t>7916</t>
  </si>
  <si>
    <t>MIRANDA JUAN</t>
  </si>
  <si>
    <t>7937</t>
  </si>
  <si>
    <t>AYALA LUCAS</t>
  </si>
  <si>
    <t>7961</t>
  </si>
  <si>
    <t>GONZALEZ DANIEL</t>
  </si>
  <si>
    <t>7962</t>
  </si>
  <si>
    <t>CASTELLANO MARCELO</t>
  </si>
  <si>
    <t>COBRERIA</t>
  </si>
  <si>
    <t>7977</t>
  </si>
  <si>
    <t>COZZI MAURICIO</t>
  </si>
  <si>
    <t>7997</t>
  </si>
  <si>
    <t>CABALLERO HERMES</t>
  </si>
  <si>
    <t>AUTOELEVADOR / GRUA TORRE / PUENTE GRUA</t>
  </si>
  <si>
    <t>7999</t>
  </si>
  <si>
    <t>SANDUAY ROBERTO</t>
  </si>
  <si>
    <t>8002</t>
  </si>
  <si>
    <t>ESCOBAR JUAN JOSE</t>
  </si>
  <si>
    <t>8003</t>
  </si>
  <si>
    <t>FERRUFINO DANIEL</t>
  </si>
  <si>
    <t>8009</t>
  </si>
  <si>
    <t>NAVARRO MATIAS</t>
  </si>
  <si>
    <t>8051</t>
  </si>
  <si>
    <t>GARCIA POGGIO PABLO</t>
  </si>
  <si>
    <t>OPERACIONES DIC</t>
  </si>
  <si>
    <t>8072</t>
  </si>
  <si>
    <t>AREVALO GONZALO JAVIER</t>
  </si>
  <si>
    <t>8073</t>
  </si>
  <si>
    <t>RUIZ JONATAN</t>
  </si>
  <si>
    <t>8078</t>
  </si>
  <si>
    <t>IZAGUIRRE ROBERTO CARLOS</t>
  </si>
  <si>
    <t>8085</t>
  </si>
  <si>
    <t>FIGUEROA MARCOS</t>
  </si>
  <si>
    <t>8090</t>
  </si>
  <si>
    <t>BASALDUA NICOLAS</t>
  </si>
  <si>
    <t>8095</t>
  </si>
  <si>
    <t>FIGUEROA EMANUEL</t>
  </si>
  <si>
    <t>8097</t>
  </si>
  <si>
    <t>GONZALEZ ALEXIS</t>
  </si>
  <si>
    <t>8189</t>
  </si>
  <si>
    <t>BARBOSA XAVIER</t>
  </si>
  <si>
    <t>MANTENIMIENTO</t>
  </si>
  <si>
    <t>8196</t>
  </si>
  <si>
    <t>NEBEL HERNAN</t>
  </si>
  <si>
    <t>8199</t>
  </si>
  <si>
    <t>CIROCCO FABIAM</t>
  </si>
  <si>
    <t>MECANICA 2</t>
  </si>
  <si>
    <t>8205</t>
  </si>
  <si>
    <t>CUBILLA MARIO</t>
  </si>
  <si>
    <t>8207</t>
  </si>
  <si>
    <t>MAUTONE FABIAN</t>
  </si>
  <si>
    <t>PUENTE GRUA</t>
  </si>
  <si>
    <t>8215</t>
  </si>
  <si>
    <t>ZOPPI JUAN</t>
  </si>
  <si>
    <t>8223</t>
  </si>
  <si>
    <t>LEON LEONARDO</t>
  </si>
  <si>
    <t>8252</t>
  </si>
  <si>
    <t>MARTINEZ JUAN</t>
  </si>
  <si>
    <t>8271</t>
  </si>
  <si>
    <t>CAMAROTA CLAUDIO</t>
  </si>
  <si>
    <t>HABITABILIDAD DIC</t>
  </si>
  <si>
    <t>8275</t>
  </si>
  <si>
    <t>ALTAMIRANDA CRISTIAN</t>
  </si>
  <si>
    <t>8298</t>
  </si>
  <si>
    <t>ZORRILLA WALTER</t>
  </si>
  <si>
    <t>8307</t>
  </si>
  <si>
    <t>AVALOS EDUARDO</t>
  </si>
  <si>
    <t>8309</t>
  </si>
  <si>
    <t>HERRERA RODRIGO</t>
  </si>
  <si>
    <t>8355</t>
  </si>
  <si>
    <t>WEBER LUCAS</t>
  </si>
  <si>
    <t>8381</t>
  </si>
  <si>
    <t>ACEVEDO LUIS</t>
  </si>
  <si>
    <t>PLATAFORMA</t>
  </si>
  <si>
    <t>8390</t>
  </si>
  <si>
    <t>GAMARRA SERGIO</t>
  </si>
  <si>
    <t>8397</t>
  </si>
  <si>
    <t>AYALA LUIS</t>
  </si>
  <si>
    <t>8402</t>
  </si>
  <si>
    <t>BARRIOS DANIEL</t>
  </si>
  <si>
    <t>8403</t>
  </si>
  <si>
    <t>BIRD MATIAS</t>
  </si>
  <si>
    <t>BOMBEROS</t>
  </si>
  <si>
    <t>8416</t>
  </si>
  <si>
    <t>FERRAGUT LEANDRO</t>
  </si>
  <si>
    <t>ALMACENES</t>
  </si>
  <si>
    <t>8426</t>
  </si>
  <si>
    <t>URSO DAMIAN</t>
  </si>
  <si>
    <t>8437</t>
  </si>
  <si>
    <t>FARIAS JUAN</t>
  </si>
  <si>
    <t>8457</t>
  </si>
  <si>
    <t>CORRIPIO FABIO</t>
  </si>
  <si>
    <t>8513</t>
  </si>
  <si>
    <t>FLORES PINTOS DANIEL</t>
  </si>
  <si>
    <t>8526</t>
  </si>
  <si>
    <t>IMPERIALE PABLO</t>
  </si>
  <si>
    <t>8534</t>
  </si>
  <si>
    <t>MAIDANA MIGUEL</t>
  </si>
  <si>
    <t>GRUA MOVIL / MANIPULADOR TELESCOPICO 10 tn</t>
  </si>
  <si>
    <t>8537</t>
  </si>
  <si>
    <t>TORRES JUAN CARLOS</t>
  </si>
  <si>
    <t>AUTOELEVADOR / CRANEMOVIL / MANIPULADOR TELESCOPICO 10 tn / PALA / PUENTE GRUA</t>
  </si>
  <si>
    <t>8540</t>
  </si>
  <si>
    <t>MOLINA OSCAR</t>
  </si>
  <si>
    <t>AUTOELEVADOR / CRANEMOVIL</t>
  </si>
  <si>
    <t>8541</t>
  </si>
  <si>
    <t>ORELLANA JESUS</t>
  </si>
  <si>
    <t>8542</t>
  </si>
  <si>
    <t>ROMANO ADRIAN</t>
  </si>
  <si>
    <t>GRUA MOVIL</t>
  </si>
  <si>
    <t>8544</t>
  </si>
  <si>
    <t>CACERES MARCOS</t>
  </si>
  <si>
    <t>8545</t>
  </si>
  <si>
    <t>RODRIGUEZ ADRIAN</t>
  </si>
  <si>
    <t>CRANEMOVIL / MANIPULADOR TELESCOPICO 10 tn</t>
  </si>
  <si>
    <t>8568</t>
  </si>
  <si>
    <t>ROJAS MAXIMILIANO</t>
  </si>
  <si>
    <t>AUTOELEVADOR / PLATAFORMA / PUENTE GRUA</t>
  </si>
  <si>
    <t>8573</t>
  </si>
  <si>
    <t>SILVA JUAN</t>
  </si>
  <si>
    <t>8576</t>
  </si>
  <si>
    <t>GARNICA AGAPITO</t>
  </si>
  <si>
    <t>PLATAFORMA / PUENTE GRUA</t>
  </si>
  <si>
    <t>8578</t>
  </si>
  <si>
    <t>OJEDA MAURO</t>
  </si>
  <si>
    <t>8581</t>
  </si>
  <si>
    <t>PELERO GABRIEL</t>
  </si>
  <si>
    <t>8582</t>
  </si>
  <si>
    <t>BENITEZ BIENVENIDO</t>
  </si>
  <si>
    <t>8583</t>
  </si>
  <si>
    <t>SALDAÑO HUGO</t>
  </si>
  <si>
    <t>8588</t>
  </si>
  <si>
    <t>TUÑINALI RICARDO</t>
  </si>
  <si>
    <t>8597</t>
  </si>
  <si>
    <t>CLERICI LEANDRO</t>
  </si>
  <si>
    <t>GRUA MOVIL / HIDROGRUA / PALA / TOPADORA</t>
  </si>
  <si>
    <t>8601</t>
  </si>
  <si>
    <t>JORGE DAVID</t>
  </si>
  <si>
    <t>8602</t>
  </si>
  <si>
    <t>JORGE OSCAR</t>
  </si>
  <si>
    <t>8616</t>
  </si>
  <si>
    <t>NETTO DAMIAN</t>
  </si>
  <si>
    <t>8622</t>
  </si>
  <si>
    <t>SOSA GABRIEL</t>
  </si>
  <si>
    <t>8643</t>
  </si>
  <si>
    <t>PEÑALVA ADRIAN</t>
  </si>
  <si>
    <t>8644</t>
  </si>
  <si>
    <t>RIVERO ALEJANDRO</t>
  </si>
  <si>
    <t>8652</t>
  </si>
  <si>
    <t>AGÜERO CARLOS</t>
  </si>
  <si>
    <t>INFRAESTRUCTURA DIC</t>
  </si>
  <si>
    <t>8689</t>
  </si>
  <si>
    <t>SUPERI PABLO</t>
  </si>
  <si>
    <t>8691</t>
  </si>
  <si>
    <t>RAIMONDO ALBERTO</t>
  </si>
  <si>
    <t>8695</t>
  </si>
  <si>
    <t>SANCHEZ MATIAS</t>
  </si>
  <si>
    <t>8697</t>
  </si>
  <si>
    <t>GOMEZ LUCAS</t>
  </si>
  <si>
    <t>8700</t>
  </si>
  <si>
    <t>GALESA CARLOS</t>
  </si>
  <si>
    <t>8703</t>
  </si>
  <si>
    <t>ROLON EZEQUIEL</t>
  </si>
  <si>
    <t>8706</t>
  </si>
  <si>
    <t>SARACHO BRIAN</t>
  </si>
  <si>
    <t>8707</t>
  </si>
  <si>
    <t>RUIZ BRIAN GASTON</t>
  </si>
  <si>
    <t>8717</t>
  </si>
  <si>
    <t>LUCCHESI MARCELO</t>
  </si>
  <si>
    <t>8719</t>
  </si>
  <si>
    <t>VEGA MARCOS</t>
  </si>
  <si>
    <t>8720</t>
  </si>
  <si>
    <t>SPINELLI PABLO</t>
  </si>
  <si>
    <t>8721</t>
  </si>
  <si>
    <t>ROMERO MARIO</t>
  </si>
  <si>
    <t>8723</t>
  </si>
  <si>
    <t>TSILIMIDOS CONSTANTINO</t>
  </si>
  <si>
    <t>8728</t>
  </si>
  <si>
    <t>ROMERO DANIEL</t>
  </si>
  <si>
    <t>8743</t>
  </si>
  <si>
    <t>NAZAR MARTIN</t>
  </si>
  <si>
    <t>8753</t>
  </si>
  <si>
    <t>CALSINAS PEDRO</t>
  </si>
  <si>
    <t>8759</t>
  </si>
  <si>
    <t>GIRARD ALEXIS</t>
  </si>
  <si>
    <t>8760</t>
  </si>
  <si>
    <t>ARANDA ARTURO</t>
  </si>
  <si>
    <t>8766</t>
  </si>
  <si>
    <t>LOPEZ AGUSTIN</t>
  </si>
  <si>
    <t>8808</t>
  </si>
  <si>
    <t>CAMUS GUILLERMO</t>
  </si>
  <si>
    <t>8824</t>
  </si>
  <si>
    <t>TAYLOR FRANCO</t>
  </si>
  <si>
    <t>8826</t>
  </si>
  <si>
    <t>CARRIZO FERNANDO</t>
  </si>
  <si>
    <t>8832</t>
  </si>
  <si>
    <t>CARRIZO MAURO</t>
  </si>
  <si>
    <t>8847</t>
  </si>
  <si>
    <t>BANEGAS LEONEL</t>
  </si>
  <si>
    <t>8849</t>
  </si>
  <si>
    <t>FLORES GASTON</t>
  </si>
  <si>
    <t>8854</t>
  </si>
  <si>
    <t>CLAUDEPIERRE LUCIANO</t>
  </si>
  <si>
    <t>8857</t>
  </si>
  <si>
    <t>ORELLANA GONZALO</t>
  </si>
  <si>
    <t>8886</t>
  </si>
  <si>
    <t>GALIGNIANA SEBASTIAN</t>
  </si>
  <si>
    <t>ORDEN</t>
  </si>
  <si>
    <t>FECHA</t>
  </si>
  <si>
    <t>DIA</t>
  </si>
  <si>
    <t>HORA</t>
  </si>
  <si>
    <t>lunes</t>
  </si>
  <si>
    <t>08:00</t>
  </si>
  <si>
    <t>martes</t>
  </si>
  <si>
    <t>miercoles</t>
  </si>
  <si>
    <t>jueves</t>
  </si>
  <si>
    <t>viernes</t>
  </si>
  <si>
    <t>Seguimiento de aptitudes medicas - ESTOC</t>
  </si>
  <si>
    <t>Personas habilitadas sin repetir</t>
  </si>
  <si>
    <t>Indicador</t>
  </si>
  <si>
    <t>Cantidad</t>
  </si>
  <si>
    <t>Registros de habilitaciones fuente</t>
  </si>
  <si>
    <t>Con fecha de estudios</t>
  </si>
  <si>
    <t>Cupo disponible informado</t>
  </si>
  <si>
    <t>150 estudios en 6 meses</t>
  </si>
  <si>
    <t>Psicotecnico anormal</t>
  </si>
  <si>
    <t>Criterio usado</t>
  </si>
  <si>
    <t>25 por mes; julio tambien 25</t>
  </si>
  <si>
    <t>EEG anormal</t>
  </si>
  <si>
    <t>Hora de turno</t>
  </si>
  <si>
    <t>Ergometria anormal</t>
  </si>
  <si>
    <t>Feriados excluidos</t>
  </si>
  <si>
    <t>17/08, 12/10, 23/11, 08/12, 25/12</t>
  </si>
  <si>
    <t>Aptos</t>
  </si>
  <si>
    <t>Fuente feriados</t>
  </si>
  <si>
    <t>https://www.argentina.gob.ar/feriados</t>
  </si>
  <si>
    <t>Pendientes de aptitud</t>
  </si>
  <si>
    <t>Mes</t>
  </si>
  <si>
    <t>Programados</t>
  </si>
  <si>
    <t>Cupo restante</t>
  </si>
  <si>
    <t>Fecha</t>
  </si>
  <si>
    <t>Sectores del dia</t>
  </si>
  <si>
    <t>2026-07</t>
  </si>
  <si>
    <t>CALDERERIA / CALIDAD / MANIOBRAS Y TRASNPORTES</t>
  </si>
  <si>
    <t>2026-08</t>
  </si>
  <si>
    <t>CARENADO / COBRERIA / MANTENIMIENTO</t>
  </si>
  <si>
    <t>2026-09</t>
  </si>
  <si>
    <t>CALDERERIA / ELECTRICIDAD / SYNCROLIFT</t>
  </si>
  <si>
    <t>2026-10</t>
  </si>
  <si>
    <t>COBRERIA / ELECTRICIDAD / MECANICA 1</t>
  </si>
  <si>
    <t>2026-11</t>
  </si>
  <si>
    <t>2026-12</t>
  </si>
  <si>
    <t>ALMACENES / MECANICA 1</t>
  </si>
  <si>
    <t>CARENADO / ELECTRICIDAD</t>
  </si>
  <si>
    <t>INFRAESTRUCTURA DIC / MECANICA 2</t>
  </si>
  <si>
    <t>BOMBEROS / MANIOBRAS Y TRASNPORTES</t>
  </si>
  <si>
    <t>HABITABILIDAD DIC / MANIOBRAS Y TRASNPORTES</t>
  </si>
  <si>
    <t>HABITABILIDAD DIC / OPERACIONES DIC</t>
  </si>
  <si>
    <t>COBRERIA / ELECTRICIDAD</t>
  </si>
  <si>
    <t>CALIDAD / MECANICA 1</t>
  </si>
  <si>
    <t>ALMACENES / SYNCROLIFT</t>
  </si>
  <si>
    <t>CARENADO / MECANICA 2</t>
  </si>
  <si>
    <t>MANIOBRAS Y TRASNPORTES / MECANICA 1</t>
  </si>
  <si>
    <t>ELECTRICIDAD / MANIOBRAS Y TRASNPORTES</t>
  </si>
  <si>
    <t>MANTENIMIENTO / MECANICA 1</t>
  </si>
  <si>
    <t>ELECTRICIDAD / MECANICA 1</t>
  </si>
  <si>
    <t>MANIOBRAS Y TRASNPORTES / MANTENIMIENTO</t>
  </si>
  <si>
    <t>Resultado estudio</t>
  </si>
  <si>
    <t>Aptitud</t>
  </si>
  <si>
    <t>Feriado excluido</t>
  </si>
  <si>
    <t>Motivo</t>
  </si>
  <si>
    <t>Resultado psicotecnico</t>
  </si>
  <si>
    <t>Paso a la Inmortalidad del Gral. Jose de San Martin</t>
  </si>
  <si>
    <t>Anormal</t>
  </si>
  <si>
    <t>Dia del Respeto a la Diversidad Cultural</t>
  </si>
  <si>
    <t>Apto c/obs</t>
  </si>
  <si>
    <t>Apto con restricciones</t>
  </si>
  <si>
    <t>Dia de la Soberania Nacional</t>
  </si>
  <si>
    <t>Apto c/res.</t>
  </si>
  <si>
    <t>No apto</t>
  </si>
  <si>
    <t>Inmaculada Concepcion de Maria</t>
  </si>
  <si>
    <t>Requiere evaluacion</t>
  </si>
  <si>
    <t>Navidad</t>
  </si>
  <si>
    <t>Bajos niveles de tolerancia a la frustración</t>
  </si>
  <si>
    <t>PRUEBA ERGOMETRICA INSUFICIENTE Y CON BAJA RESPUESTA CRONOTROPICA</t>
  </si>
  <si>
    <t>por respuesta hipertensiva</t>
  </si>
  <si>
    <t xml:space="preserve">bajo nivel de atencion y consentracion, tiende afrustrarse facilmente.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</si>
</sst>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5">
    <font>
      <sz val="11"/>
      <name val="Carlito"/>
    </font>
    <font>
      <b/>
      <sz val="11"/>
      <color rgb="FFFFFFFF"/>
      <name val="Carlito"/>
    </font>
    <font>
      <sz val="11"/>
      <color rgb="FF1F2933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85723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/>
      <right/>
      <top style="thin">
        <color rgb="FFA6A6A6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3" xfId="0" applyFont="1" applyFill="1" applyBorder="1" applyAlignment="1">
      <alignment wrapText="1"/>
    </xf>
    <xf numFmtId="0" fontId="0" fillId="0" borderId="4" xfId="0" applyBorder="1"/>
    <xf numFmtId="164" fontId="0" fillId="0" borderId="4" xfId="0" applyNumberFormat="1" applyBorder="1"/>
    <xf numFmtId="164" fontId="0" fillId="0" borderId="0" xfId="0" applyNumberFormat="1"/>
    <xf numFmtId="0" fontId="0" fillId="0" borderId="5" xfId="0" applyBorder="1"/>
    <xf numFmtId="0" fontId="4" fillId="4" borderId="5" xfId="0" applyFont="1" applyFill="1" applyBorder="1"/>
    <xf numFmtId="0" fontId="1" fillId="3" borderId="5" xfId="0" applyFont="1" applyFill="1" applyBorder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20">
    <dxf>
      <font>
        <b/>
        <color rgb="FF990000"/>
      </font>
      <fill>
        <patternFill patternType="solid">
          <bgColor rgb="FFF4CC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color rgb="FF375623"/>
      </font>
      <fill>
        <patternFill patternType="solid">
          <fgColor rgb="FFE2F0D9"/>
        </patternFill>
      </fill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uimientoESTOC" displayName="SeguimientoESTOC" ref="A1:L105" totalsRowShown="0" headerRowDxfId="19" dataDxfId="18">
  <autoFilter ref="A1:L105" xr:uid="{00000000-000C-0000-FFFF-FFFF00000000}">
    <filterColumn colId="2">
      <filters>
        <filter val="MIRANDA JUAN"/>
      </filters>
    </filterColumn>
  </autoFilter>
  <tableColumns count="12">
    <tableColumn id="1" xr3:uid="{00000000-0010-0000-0000-000001000000}" name="ID" dataDxfId="17"/>
    <tableColumn id="2" xr3:uid="{00000000-0010-0000-0000-000002000000}" name="LEG" dataDxfId="16"/>
    <tableColumn id="3" xr3:uid="{00000000-0010-0000-0000-000003000000}" name="APELLIDO Y NOMBRE" dataDxfId="15"/>
    <tableColumn id="4" xr3:uid="{00000000-0010-0000-0000-000004000000}" name="SECTOR" dataDxfId="14"/>
    <tableColumn id="5" xr3:uid="{00000000-0010-0000-0000-000005000000}" name="HABILITACIONES" dataDxfId="13"/>
    <tableColumn id="6" xr3:uid="{00000000-0010-0000-0000-000006000000}" name="TAREA CRITICA" dataDxfId="12"/>
    <tableColumn id="7" xr3:uid="{00000000-0010-0000-0000-000007000000}" name="FECHA ESTUDIOS" dataDxfId="11"/>
    <tableColumn id="8" xr3:uid="{00000000-0010-0000-0000-000008000000}" name="PSICOTECNICO" dataDxfId="10"/>
    <tableColumn id="9" xr3:uid="{00000000-0010-0000-0000-000009000000}" name="EEG" dataDxfId="9"/>
    <tableColumn id="10" xr3:uid="{00000000-0010-0000-0000-00000A000000}" name="ERGOMETRIA" dataDxfId="8"/>
    <tableColumn id="11" xr3:uid="{00000000-0010-0000-0000-00000B000000}" name="APTITUD" dataDxfId="7"/>
    <tableColumn id="12" xr3:uid="{00000000-0010-0000-0000-00000C000000}" name="OBSERVACION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Turnos" displayName="CronogramaTurnos" ref="A1:H105" totalsRowShown="0">
  <autoFilter ref="A1:H105" xr:uid="{00000000-000C-0000-FFFF-FFFF01000000}"/>
  <tableColumns count="8">
    <tableColumn id="1" xr3:uid="{00000000-0010-0000-0100-000001000000}" name="ORDEN"/>
    <tableColumn id="2" xr3:uid="{00000000-0010-0000-0100-000002000000}" name="FECHA"/>
    <tableColumn id="3" xr3:uid="{00000000-0010-0000-0100-000003000000}" name="DIA"/>
    <tableColumn id="4" xr3:uid="{00000000-0010-0000-0100-000004000000}" name="HORA"/>
    <tableColumn id="5" xr3:uid="{00000000-0010-0000-0100-000005000000}" name="LEG"/>
    <tableColumn id="6" xr3:uid="{00000000-0010-0000-0100-000006000000}" name="APELLIDO Y NOMBRE"/>
    <tableColumn id="7" xr3:uid="{00000000-0010-0000-0100-000007000000}" name="SECTOR"/>
    <tableColumn id="8" xr3:uid="{00000000-0010-0000-0100-000008000000}" name="HABILIT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showGridLines="0" tabSelected="1" workbookViewId="0">
      <selection activeCell="C53" sqref="C53"/>
    </sheetView>
  </sheetViews>
  <sheetFormatPr baseColWidth="10" defaultColWidth="9" defaultRowHeight="14.25"/>
  <cols>
    <col min="1" max="1" width="8" style="12" customWidth="1"/>
    <col min="2" max="2" width="10" style="12" customWidth="1"/>
    <col min="3" max="3" width="30" style="16" customWidth="1"/>
    <col min="4" max="4" width="26" style="16" customWidth="1"/>
    <col min="5" max="5" width="44" style="16" customWidth="1"/>
    <col min="6" max="6" width="30" style="16" customWidth="1"/>
    <col min="7" max="7" width="19.5" style="12" bestFit="1" customWidth="1"/>
    <col min="8" max="8" width="19.375" style="12" bestFit="1" customWidth="1"/>
    <col min="9" max="10" width="16" style="12" customWidth="1"/>
    <col min="11" max="11" width="22" style="12" customWidth="1"/>
    <col min="12" max="12" width="36" style="16" customWidth="1"/>
    <col min="13" max="16384" width="9" style="16"/>
  </cols>
  <sheetData>
    <row r="1" spans="1:12" s="12" customFormat="1" ht="33.950000000000003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ht="28.5" hidden="1" customHeight="1">
      <c r="A2" s="13">
        <v>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5">
        <v>46223</v>
      </c>
      <c r="H2" s="13" t="s">
        <v>324</v>
      </c>
      <c r="I2" s="13" t="s">
        <v>17</v>
      </c>
      <c r="J2" s="13" t="s">
        <v>17</v>
      </c>
      <c r="K2" s="13" t="s">
        <v>18</v>
      </c>
      <c r="L2" s="14" t="s">
        <v>332</v>
      </c>
    </row>
    <row r="3" spans="1:12" ht="28.5" hidden="1" customHeight="1">
      <c r="A3" s="13">
        <v>2</v>
      </c>
      <c r="B3" s="13" t="s">
        <v>19</v>
      </c>
      <c r="C3" s="14" t="s">
        <v>20</v>
      </c>
      <c r="D3" s="14" t="s">
        <v>21</v>
      </c>
      <c r="E3" s="14" t="s">
        <v>22</v>
      </c>
      <c r="F3" s="14" t="s">
        <v>16</v>
      </c>
      <c r="G3" s="15">
        <v>46224</v>
      </c>
      <c r="H3" s="13" t="s">
        <v>18</v>
      </c>
      <c r="I3" s="13" t="s">
        <v>17</v>
      </c>
      <c r="J3" s="13" t="s">
        <v>17</v>
      </c>
      <c r="K3" s="13" t="s">
        <v>18</v>
      </c>
      <c r="L3" s="14"/>
    </row>
    <row r="4" spans="1:12" ht="28.5" hidden="1" customHeight="1">
      <c r="A4" s="13">
        <v>3</v>
      </c>
      <c r="B4" s="13" t="s">
        <v>24</v>
      </c>
      <c r="C4" s="14" t="s">
        <v>25</v>
      </c>
      <c r="D4" s="14" t="s">
        <v>26</v>
      </c>
      <c r="E4" s="14" t="s">
        <v>22</v>
      </c>
      <c r="F4" s="14" t="s">
        <v>16</v>
      </c>
      <c r="G4" s="15">
        <v>46225</v>
      </c>
      <c r="H4" s="13" t="s">
        <v>18</v>
      </c>
      <c r="I4" s="13" t="s">
        <v>17</v>
      </c>
      <c r="J4" s="13" t="s">
        <v>322</v>
      </c>
      <c r="K4" s="13" t="s">
        <v>18</v>
      </c>
      <c r="L4" s="16" t="s">
        <v>333</v>
      </c>
    </row>
    <row r="5" spans="1:12" ht="28.5" hidden="1" customHeight="1">
      <c r="A5" s="13">
        <v>4</v>
      </c>
      <c r="B5" s="13" t="s">
        <v>27</v>
      </c>
      <c r="C5" s="14" t="s">
        <v>28</v>
      </c>
      <c r="D5" s="14" t="s">
        <v>29</v>
      </c>
      <c r="E5" s="14" t="s">
        <v>15</v>
      </c>
      <c r="F5" s="14" t="s">
        <v>16</v>
      </c>
      <c r="G5" s="15">
        <v>46226</v>
      </c>
      <c r="H5" s="13" t="s">
        <v>18</v>
      </c>
      <c r="I5" s="13" t="s">
        <v>17</v>
      </c>
      <c r="J5" s="13" t="s">
        <v>17</v>
      </c>
      <c r="K5" s="13" t="s">
        <v>18</v>
      </c>
      <c r="L5" s="14"/>
    </row>
    <row r="6" spans="1:12" ht="28.5" hidden="1" customHeight="1">
      <c r="A6" s="13">
        <v>5</v>
      </c>
      <c r="B6" s="13" t="s">
        <v>30</v>
      </c>
      <c r="C6" s="14" t="s">
        <v>31</v>
      </c>
      <c r="D6" s="14" t="s">
        <v>26</v>
      </c>
      <c r="E6" s="14" t="s">
        <v>22</v>
      </c>
      <c r="F6" s="14" t="s">
        <v>16</v>
      </c>
      <c r="G6" s="15">
        <v>46227</v>
      </c>
      <c r="H6" s="13" t="s">
        <v>18</v>
      </c>
      <c r="I6" s="13" t="s">
        <v>17</v>
      </c>
      <c r="J6" s="13" t="s">
        <v>17</v>
      </c>
      <c r="K6" s="13" t="s">
        <v>18</v>
      </c>
      <c r="L6" s="14"/>
    </row>
    <row r="7" spans="1:12" ht="28.5" hidden="1" customHeight="1">
      <c r="A7" s="13">
        <v>6</v>
      </c>
      <c r="B7" s="13" t="s">
        <v>32</v>
      </c>
      <c r="C7" s="14" t="s">
        <v>33</v>
      </c>
      <c r="D7" s="14" t="s">
        <v>34</v>
      </c>
      <c r="E7" s="14" t="s">
        <v>35</v>
      </c>
      <c r="F7" s="14" t="s">
        <v>16</v>
      </c>
      <c r="G7" s="15">
        <v>46234</v>
      </c>
      <c r="H7" s="13"/>
      <c r="I7" s="13"/>
      <c r="J7" s="13"/>
      <c r="K7" s="13" t="s">
        <v>23</v>
      </c>
      <c r="L7" s="14"/>
    </row>
    <row r="8" spans="1:12" ht="28.5" hidden="1" customHeight="1">
      <c r="A8" s="13">
        <v>7</v>
      </c>
      <c r="B8" s="13" t="s">
        <v>36</v>
      </c>
      <c r="C8" s="14" t="s">
        <v>37</v>
      </c>
      <c r="D8" s="14" t="s">
        <v>38</v>
      </c>
      <c r="E8" s="14" t="s">
        <v>39</v>
      </c>
      <c r="F8" s="14" t="s">
        <v>16</v>
      </c>
      <c r="G8" s="15">
        <v>46240</v>
      </c>
      <c r="H8" s="13"/>
      <c r="I8" s="13"/>
      <c r="J8" s="13"/>
      <c r="K8" s="13" t="s">
        <v>23</v>
      </c>
      <c r="L8" s="14"/>
    </row>
    <row r="9" spans="1:12" ht="28.5" hidden="1" customHeight="1">
      <c r="A9" s="13">
        <v>8</v>
      </c>
      <c r="B9" s="13" t="s">
        <v>40</v>
      </c>
      <c r="C9" s="14" t="s">
        <v>41</v>
      </c>
      <c r="D9" s="14" t="s">
        <v>38</v>
      </c>
      <c r="E9" s="14" t="s">
        <v>39</v>
      </c>
      <c r="F9" s="14" t="s">
        <v>16</v>
      </c>
      <c r="G9" s="15">
        <v>46258</v>
      </c>
      <c r="H9" s="13"/>
      <c r="I9" s="13"/>
      <c r="J9" s="13"/>
      <c r="K9" s="13" t="s">
        <v>23</v>
      </c>
      <c r="L9" s="14"/>
    </row>
    <row r="10" spans="1:12" ht="28.5" hidden="1" customHeight="1">
      <c r="A10" s="13">
        <v>9</v>
      </c>
      <c r="B10" s="13" t="s">
        <v>42</v>
      </c>
      <c r="C10" s="14" t="s">
        <v>43</v>
      </c>
      <c r="D10" s="14" t="s">
        <v>34</v>
      </c>
      <c r="E10" s="14" t="s">
        <v>44</v>
      </c>
      <c r="F10" s="14" t="s">
        <v>16</v>
      </c>
      <c r="G10" s="15">
        <v>46266</v>
      </c>
      <c r="H10" s="13"/>
      <c r="I10" s="13"/>
      <c r="J10" s="13"/>
      <c r="K10" s="13" t="s">
        <v>23</v>
      </c>
      <c r="L10" s="14"/>
    </row>
    <row r="11" spans="1:12" ht="28.5" hidden="1" customHeight="1">
      <c r="A11" s="13">
        <v>10</v>
      </c>
      <c r="B11" s="13" t="s">
        <v>45</v>
      </c>
      <c r="C11" s="14" t="s">
        <v>46</v>
      </c>
      <c r="D11" s="14" t="s">
        <v>47</v>
      </c>
      <c r="E11" s="14" t="s">
        <v>48</v>
      </c>
      <c r="F11" s="14" t="s">
        <v>16</v>
      </c>
      <c r="G11" s="15">
        <v>46223</v>
      </c>
      <c r="H11" s="13" t="s">
        <v>18</v>
      </c>
      <c r="I11" s="13" t="s">
        <v>17</v>
      </c>
      <c r="J11" s="13" t="s">
        <v>17</v>
      </c>
      <c r="K11" s="13" t="s">
        <v>18</v>
      </c>
      <c r="L11" s="14"/>
    </row>
    <row r="12" spans="1:12" ht="28.5" customHeight="1">
      <c r="A12" s="13">
        <v>11</v>
      </c>
      <c r="B12" s="13" t="s">
        <v>49</v>
      </c>
      <c r="C12" s="14" t="s">
        <v>50</v>
      </c>
      <c r="D12" s="14" t="s">
        <v>26</v>
      </c>
      <c r="E12" s="14" t="s">
        <v>22</v>
      </c>
      <c r="F12" s="14" t="s">
        <v>16</v>
      </c>
      <c r="G12" s="15">
        <v>46238</v>
      </c>
      <c r="H12" s="13"/>
      <c r="I12" s="13"/>
      <c r="J12" s="13"/>
      <c r="K12" s="13" t="s">
        <v>23</v>
      </c>
      <c r="L12" s="14"/>
    </row>
    <row r="13" spans="1:12" ht="28.5" hidden="1" customHeight="1">
      <c r="A13" s="13">
        <v>12</v>
      </c>
      <c r="B13" s="13" t="s">
        <v>51</v>
      </c>
      <c r="C13" s="14" t="s">
        <v>52</v>
      </c>
      <c r="D13" s="14" t="s">
        <v>14</v>
      </c>
      <c r="E13" s="14" t="s">
        <v>22</v>
      </c>
      <c r="F13" s="14" t="s">
        <v>16</v>
      </c>
      <c r="G13" s="15">
        <v>46225</v>
      </c>
      <c r="H13" s="13" t="s">
        <v>18</v>
      </c>
      <c r="I13" s="13" t="s">
        <v>17</v>
      </c>
      <c r="J13" s="13" t="s">
        <v>322</v>
      </c>
      <c r="K13" s="13" t="s">
        <v>18</v>
      </c>
      <c r="L13" s="14" t="s">
        <v>334</v>
      </c>
    </row>
    <row r="14" spans="1:12" ht="28.5" hidden="1" customHeight="1">
      <c r="A14" s="13">
        <v>13</v>
      </c>
      <c r="B14" s="13" t="s">
        <v>53</v>
      </c>
      <c r="C14" s="14" t="s">
        <v>54</v>
      </c>
      <c r="D14" s="14" t="s">
        <v>29</v>
      </c>
      <c r="E14" s="14" t="s">
        <v>22</v>
      </c>
      <c r="F14" s="14" t="s">
        <v>16</v>
      </c>
      <c r="G14" s="15">
        <v>46227</v>
      </c>
      <c r="H14" s="13" t="s">
        <v>18</v>
      </c>
      <c r="I14" s="13" t="s">
        <v>17</v>
      </c>
      <c r="J14" s="13" t="s">
        <v>17</v>
      </c>
      <c r="K14" s="13" t="s">
        <v>18</v>
      </c>
      <c r="L14" s="14"/>
    </row>
    <row r="15" spans="1:12" ht="28.5" hidden="1" customHeight="1">
      <c r="A15" s="13">
        <v>14</v>
      </c>
      <c r="B15" s="13" t="s">
        <v>55</v>
      </c>
      <c r="C15" s="14" t="s">
        <v>56</v>
      </c>
      <c r="D15" s="14" t="s">
        <v>57</v>
      </c>
      <c r="E15" s="14" t="s">
        <v>22</v>
      </c>
      <c r="F15" s="14" t="s">
        <v>16</v>
      </c>
      <c r="G15" s="15">
        <v>46233</v>
      </c>
      <c r="H15" s="13" t="s">
        <v>18</v>
      </c>
      <c r="I15" s="13" t="s">
        <v>17</v>
      </c>
      <c r="J15" s="13" t="s">
        <v>17</v>
      </c>
      <c r="K15" s="13" t="s">
        <v>18</v>
      </c>
      <c r="L15" s="14"/>
    </row>
    <row r="16" spans="1:12" ht="28.5" hidden="1" customHeight="1">
      <c r="A16" s="13">
        <v>15</v>
      </c>
      <c r="B16" s="13" t="s">
        <v>58</v>
      </c>
      <c r="C16" s="14" t="s">
        <v>59</v>
      </c>
      <c r="D16" s="14" t="s">
        <v>38</v>
      </c>
      <c r="E16" s="14" t="s">
        <v>39</v>
      </c>
      <c r="F16" s="14" t="s">
        <v>16</v>
      </c>
      <c r="G16" s="15">
        <v>46225</v>
      </c>
      <c r="H16" s="13" t="s">
        <v>18</v>
      </c>
      <c r="I16" s="13" t="s">
        <v>17</v>
      </c>
      <c r="J16" s="13" t="s">
        <v>17</v>
      </c>
      <c r="K16" s="13" t="s">
        <v>18</v>
      </c>
      <c r="L16" s="14"/>
    </row>
    <row r="17" spans="1:12" ht="28.5" hidden="1" customHeight="1">
      <c r="A17" s="13">
        <v>16</v>
      </c>
      <c r="B17" s="13" t="s">
        <v>60</v>
      </c>
      <c r="C17" s="14" t="s">
        <v>61</v>
      </c>
      <c r="D17" s="14" t="s">
        <v>29</v>
      </c>
      <c r="E17" s="14" t="s">
        <v>62</v>
      </c>
      <c r="F17" s="14" t="s">
        <v>16</v>
      </c>
      <c r="G17" s="15">
        <v>46239</v>
      </c>
      <c r="H17" s="13"/>
      <c r="I17" s="13"/>
      <c r="J17" s="13"/>
      <c r="K17" s="13" t="s">
        <v>23</v>
      </c>
      <c r="L17" s="14"/>
    </row>
    <row r="18" spans="1:12" ht="28.5" hidden="1" customHeight="1">
      <c r="A18" s="13">
        <v>17</v>
      </c>
      <c r="B18" s="13" t="s">
        <v>63</v>
      </c>
      <c r="C18" s="14" t="s">
        <v>64</v>
      </c>
      <c r="D18" s="14" t="s">
        <v>34</v>
      </c>
      <c r="E18" s="14" t="s">
        <v>62</v>
      </c>
      <c r="F18" s="14" t="s">
        <v>16</v>
      </c>
      <c r="G18" s="15">
        <v>46255</v>
      </c>
      <c r="H18" s="13"/>
      <c r="I18" s="13"/>
      <c r="J18" s="13"/>
      <c r="K18" s="13" t="s">
        <v>23</v>
      </c>
      <c r="L18" s="14"/>
    </row>
    <row r="19" spans="1:12" ht="28.5" hidden="1" customHeight="1">
      <c r="A19" s="13">
        <v>18</v>
      </c>
      <c r="B19" s="13" t="s">
        <v>65</v>
      </c>
      <c r="C19" s="14" t="s">
        <v>66</v>
      </c>
      <c r="D19" s="14" t="s">
        <v>29</v>
      </c>
      <c r="E19" s="14" t="s">
        <v>22</v>
      </c>
      <c r="F19" s="14" t="s">
        <v>16</v>
      </c>
      <c r="G19" s="15">
        <v>46230</v>
      </c>
      <c r="H19" s="13" t="s">
        <v>18</v>
      </c>
      <c r="I19" s="13" t="s">
        <v>17</v>
      </c>
      <c r="J19" s="13" t="s">
        <v>17</v>
      </c>
      <c r="K19" s="13" t="s">
        <v>18</v>
      </c>
      <c r="L19" s="14"/>
    </row>
    <row r="20" spans="1:12" ht="28.5" hidden="1" customHeight="1">
      <c r="A20" s="13">
        <v>19</v>
      </c>
      <c r="B20" s="13" t="s">
        <v>67</v>
      </c>
      <c r="C20" s="14" t="s">
        <v>68</v>
      </c>
      <c r="D20" s="14" t="s">
        <v>26</v>
      </c>
      <c r="E20" s="14" t="s">
        <v>22</v>
      </c>
      <c r="F20" s="14" t="s">
        <v>16</v>
      </c>
      <c r="G20" s="15">
        <v>46259</v>
      </c>
      <c r="H20" s="13"/>
      <c r="I20" s="13"/>
      <c r="J20" s="13"/>
      <c r="K20" s="13" t="s">
        <v>23</v>
      </c>
      <c r="L20" s="14"/>
    </row>
    <row r="21" spans="1:12" ht="28.5" hidden="1" customHeight="1">
      <c r="A21" s="13">
        <v>20</v>
      </c>
      <c r="B21" s="13" t="s">
        <v>69</v>
      </c>
      <c r="C21" s="14" t="s">
        <v>70</v>
      </c>
      <c r="D21" s="14" t="s">
        <v>34</v>
      </c>
      <c r="E21" s="14" t="s">
        <v>62</v>
      </c>
      <c r="F21" s="14" t="s">
        <v>16</v>
      </c>
      <c r="G21" s="15">
        <v>46223</v>
      </c>
      <c r="H21" s="13" t="s">
        <v>18</v>
      </c>
      <c r="I21" s="13" t="s">
        <v>17</v>
      </c>
      <c r="J21" s="13" t="s">
        <v>17</v>
      </c>
      <c r="K21" s="13" t="s">
        <v>18</v>
      </c>
      <c r="L21" s="14"/>
    </row>
    <row r="22" spans="1:12" ht="28.5" hidden="1" customHeight="1">
      <c r="A22" s="13">
        <v>21</v>
      </c>
      <c r="B22" s="13" t="s">
        <v>71</v>
      </c>
      <c r="C22" s="14" t="s">
        <v>72</v>
      </c>
      <c r="D22" s="14" t="s">
        <v>73</v>
      </c>
      <c r="E22" s="14" t="s">
        <v>22</v>
      </c>
      <c r="F22" s="14" t="s">
        <v>16</v>
      </c>
      <c r="G22" s="15">
        <v>46254</v>
      </c>
      <c r="H22" s="13"/>
      <c r="I22" s="13"/>
      <c r="J22" s="13"/>
      <c r="K22" s="13" t="s">
        <v>23</v>
      </c>
      <c r="L22" s="14"/>
    </row>
    <row r="23" spans="1:12" ht="28.5" hidden="1" customHeight="1">
      <c r="A23" s="13">
        <v>22</v>
      </c>
      <c r="B23" s="13" t="s">
        <v>74</v>
      </c>
      <c r="C23" s="14" t="s">
        <v>75</v>
      </c>
      <c r="D23" s="14" t="s">
        <v>26</v>
      </c>
      <c r="E23" s="14" t="s">
        <v>48</v>
      </c>
      <c r="F23" s="14" t="s">
        <v>16</v>
      </c>
      <c r="G23" s="15">
        <v>46226</v>
      </c>
      <c r="H23" s="13" t="s">
        <v>18</v>
      </c>
      <c r="I23" s="13" t="s">
        <v>17</v>
      </c>
      <c r="J23" s="13" t="s">
        <v>17</v>
      </c>
      <c r="K23" s="13" t="s">
        <v>18</v>
      </c>
      <c r="L23" s="14"/>
    </row>
    <row r="24" spans="1:12" ht="28.5" hidden="1" customHeight="1">
      <c r="A24" s="13">
        <v>23</v>
      </c>
      <c r="B24" s="13" t="s">
        <v>76</v>
      </c>
      <c r="C24" s="14" t="s">
        <v>77</v>
      </c>
      <c r="D24" s="14" t="s">
        <v>26</v>
      </c>
      <c r="E24" s="14" t="s">
        <v>22</v>
      </c>
      <c r="F24" s="14" t="s">
        <v>16</v>
      </c>
      <c r="G24" s="15">
        <v>46267</v>
      </c>
      <c r="H24" s="13"/>
      <c r="I24" s="13"/>
      <c r="J24" s="13"/>
      <c r="K24" s="13" t="s">
        <v>23</v>
      </c>
      <c r="L24" s="14"/>
    </row>
    <row r="25" spans="1:12" ht="28.5" hidden="1" customHeight="1">
      <c r="A25" s="13">
        <v>24</v>
      </c>
      <c r="B25" s="13" t="s">
        <v>78</v>
      </c>
      <c r="C25" s="14" t="s">
        <v>79</v>
      </c>
      <c r="D25" s="14" t="s">
        <v>57</v>
      </c>
      <c r="E25" s="14" t="s">
        <v>22</v>
      </c>
      <c r="F25" s="14" t="s">
        <v>16</v>
      </c>
      <c r="G25" s="15">
        <v>46302</v>
      </c>
      <c r="H25" s="13"/>
      <c r="I25" s="13"/>
      <c r="J25" s="13"/>
      <c r="K25" s="13" t="s">
        <v>23</v>
      </c>
      <c r="L25" s="14"/>
    </row>
    <row r="26" spans="1:12" ht="28.5" hidden="1" customHeight="1">
      <c r="A26" s="13">
        <v>25</v>
      </c>
      <c r="B26" s="13" t="s">
        <v>80</v>
      </c>
      <c r="C26" s="14" t="s">
        <v>81</v>
      </c>
      <c r="D26" s="14" t="s">
        <v>57</v>
      </c>
      <c r="E26" s="14" t="s">
        <v>22</v>
      </c>
      <c r="F26" s="14" t="s">
        <v>16</v>
      </c>
      <c r="G26" s="15">
        <v>46227</v>
      </c>
      <c r="H26" s="13" t="s">
        <v>18</v>
      </c>
      <c r="I26" s="13" t="s">
        <v>17</v>
      </c>
      <c r="J26" s="13" t="s">
        <v>17</v>
      </c>
      <c r="K26" s="13" t="s">
        <v>18</v>
      </c>
      <c r="L26" s="14"/>
    </row>
    <row r="27" spans="1:12" ht="28.5" hidden="1" customHeight="1">
      <c r="A27" s="13">
        <v>26</v>
      </c>
      <c r="B27" s="13" t="s">
        <v>82</v>
      </c>
      <c r="C27" s="14" t="s">
        <v>83</v>
      </c>
      <c r="D27" s="14" t="s">
        <v>34</v>
      </c>
      <c r="E27" s="14" t="s">
        <v>62</v>
      </c>
      <c r="F27" s="14" t="s">
        <v>16</v>
      </c>
      <c r="G27" s="15">
        <v>46276</v>
      </c>
      <c r="H27" s="13"/>
      <c r="I27" s="13"/>
      <c r="J27" s="13"/>
      <c r="K27" s="13" t="s">
        <v>23</v>
      </c>
      <c r="L27" s="14"/>
    </row>
    <row r="28" spans="1:12" ht="28.5" hidden="1" customHeight="1">
      <c r="A28" s="13">
        <v>27</v>
      </c>
      <c r="B28" s="13" t="s">
        <v>84</v>
      </c>
      <c r="C28" s="14" t="s">
        <v>85</v>
      </c>
      <c r="D28" s="14" t="s">
        <v>26</v>
      </c>
      <c r="E28" s="14" t="s">
        <v>22</v>
      </c>
      <c r="F28" s="14" t="s">
        <v>16</v>
      </c>
      <c r="G28" s="15">
        <v>46279</v>
      </c>
      <c r="H28" s="13"/>
      <c r="I28" s="13"/>
      <c r="J28" s="13"/>
      <c r="K28" s="13" t="s">
        <v>23</v>
      </c>
      <c r="L28" s="14"/>
    </row>
    <row r="29" spans="1:12" ht="28.5" hidden="1" customHeight="1">
      <c r="A29" s="13">
        <v>28</v>
      </c>
      <c r="B29" s="13" t="s">
        <v>86</v>
      </c>
      <c r="C29" s="14" t="s">
        <v>87</v>
      </c>
      <c r="D29" s="14" t="s">
        <v>26</v>
      </c>
      <c r="E29" s="14" t="s">
        <v>22</v>
      </c>
      <c r="F29" s="14" t="s">
        <v>16</v>
      </c>
      <c r="G29" s="15">
        <v>46287</v>
      </c>
      <c r="H29" s="13"/>
      <c r="I29" s="13"/>
      <c r="J29" s="13"/>
      <c r="K29" s="13" t="s">
        <v>23</v>
      </c>
      <c r="L29" s="14"/>
    </row>
    <row r="30" spans="1:12" ht="28.5" hidden="1" customHeight="1">
      <c r="A30" s="13">
        <v>29</v>
      </c>
      <c r="B30" s="13" t="s">
        <v>88</v>
      </c>
      <c r="C30" s="14" t="s">
        <v>89</v>
      </c>
      <c r="D30" s="14" t="s">
        <v>90</v>
      </c>
      <c r="E30" s="14" t="s">
        <v>22</v>
      </c>
      <c r="F30" s="14" t="s">
        <v>16</v>
      </c>
      <c r="G30" s="15">
        <v>46246</v>
      </c>
      <c r="H30" s="13"/>
      <c r="I30" s="13"/>
      <c r="J30" s="13"/>
      <c r="K30" s="13" t="s">
        <v>23</v>
      </c>
      <c r="L30" s="14"/>
    </row>
    <row r="31" spans="1:12" ht="28.5" hidden="1" customHeight="1">
      <c r="A31" s="13">
        <v>30</v>
      </c>
      <c r="B31" s="13" t="s">
        <v>91</v>
      </c>
      <c r="C31" s="14" t="s">
        <v>92</v>
      </c>
      <c r="D31" s="14" t="s">
        <v>26</v>
      </c>
      <c r="E31" s="14" t="s">
        <v>22</v>
      </c>
      <c r="F31" s="14" t="s">
        <v>16</v>
      </c>
      <c r="G31" s="15">
        <v>46295</v>
      </c>
      <c r="H31" s="13"/>
      <c r="I31" s="13"/>
      <c r="J31" s="13"/>
      <c r="K31" s="13" t="s">
        <v>23</v>
      </c>
      <c r="L31" s="14"/>
    </row>
    <row r="32" spans="1:12" ht="28.5" hidden="1" customHeight="1">
      <c r="A32" s="13">
        <v>31</v>
      </c>
      <c r="B32" s="13" t="s">
        <v>93</v>
      </c>
      <c r="C32" s="14" t="s">
        <v>94</v>
      </c>
      <c r="D32" s="14" t="s">
        <v>95</v>
      </c>
      <c r="E32" s="14" t="s">
        <v>22</v>
      </c>
      <c r="F32" s="14" t="s">
        <v>16</v>
      </c>
      <c r="G32" s="15">
        <v>46260</v>
      </c>
      <c r="H32" s="13"/>
      <c r="I32" s="13"/>
      <c r="J32" s="13"/>
      <c r="K32" s="13" t="s">
        <v>23</v>
      </c>
      <c r="L32" s="14"/>
    </row>
    <row r="33" spans="1:12" ht="28.5" hidden="1" customHeight="1">
      <c r="A33" s="13">
        <v>32</v>
      </c>
      <c r="B33" s="13" t="s">
        <v>96</v>
      </c>
      <c r="C33" s="14" t="s">
        <v>97</v>
      </c>
      <c r="D33" s="14" t="s">
        <v>14</v>
      </c>
      <c r="E33" s="14" t="s">
        <v>22</v>
      </c>
      <c r="F33" s="14" t="s">
        <v>16</v>
      </c>
      <c r="G33" s="15">
        <v>46261</v>
      </c>
      <c r="H33" s="13"/>
      <c r="I33" s="13"/>
      <c r="J33" s="13"/>
      <c r="K33" s="13" t="s">
        <v>23</v>
      </c>
      <c r="L33" s="14"/>
    </row>
    <row r="34" spans="1:12" ht="28.5" hidden="1" customHeight="1">
      <c r="A34" s="13">
        <v>33</v>
      </c>
      <c r="B34" s="13" t="s">
        <v>98</v>
      </c>
      <c r="C34" s="14" t="s">
        <v>99</v>
      </c>
      <c r="D34" s="14" t="s">
        <v>29</v>
      </c>
      <c r="E34" s="14" t="s">
        <v>100</v>
      </c>
      <c r="F34" s="14" t="s">
        <v>16</v>
      </c>
      <c r="G34" s="15">
        <v>46262</v>
      </c>
      <c r="H34" s="13"/>
      <c r="I34" s="13"/>
      <c r="J34" s="13"/>
      <c r="K34" s="13" t="s">
        <v>23</v>
      </c>
      <c r="L34" s="14"/>
    </row>
    <row r="35" spans="1:12" ht="28.5" hidden="1" customHeight="1">
      <c r="A35" s="13">
        <v>34</v>
      </c>
      <c r="B35" s="13" t="s">
        <v>101</v>
      </c>
      <c r="C35" s="14" t="s">
        <v>102</v>
      </c>
      <c r="D35" s="14" t="s">
        <v>29</v>
      </c>
      <c r="E35" s="14" t="s">
        <v>22</v>
      </c>
      <c r="F35" s="14" t="s">
        <v>16</v>
      </c>
      <c r="G35" s="15">
        <v>46268</v>
      </c>
      <c r="H35" s="13"/>
      <c r="I35" s="13"/>
      <c r="J35" s="13"/>
      <c r="K35" s="13" t="s">
        <v>23</v>
      </c>
      <c r="L35" s="14"/>
    </row>
    <row r="36" spans="1:12" ht="28.5" hidden="1" customHeight="1">
      <c r="A36" s="13">
        <v>35</v>
      </c>
      <c r="B36" s="13" t="s">
        <v>103</v>
      </c>
      <c r="C36" s="14" t="s">
        <v>104</v>
      </c>
      <c r="D36" s="14" t="s">
        <v>29</v>
      </c>
      <c r="E36" s="14" t="s">
        <v>15</v>
      </c>
      <c r="F36" s="14" t="s">
        <v>16</v>
      </c>
      <c r="G36" s="15">
        <v>46280</v>
      </c>
      <c r="H36" s="13"/>
      <c r="I36" s="13"/>
      <c r="J36" s="13"/>
      <c r="K36" s="13" t="s">
        <v>23</v>
      </c>
      <c r="L36" s="14"/>
    </row>
    <row r="37" spans="1:12" ht="28.5" hidden="1" customHeight="1">
      <c r="A37" s="13">
        <v>36</v>
      </c>
      <c r="B37" s="13" t="s">
        <v>105</v>
      </c>
      <c r="C37" s="14" t="s">
        <v>106</v>
      </c>
      <c r="D37" s="14" t="s">
        <v>90</v>
      </c>
      <c r="E37" s="14" t="s">
        <v>22</v>
      </c>
      <c r="F37" s="14" t="s">
        <v>16</v>
      </c>
      <c r="G37" s="15">
        <v>46265</v>
      </c>
      <c r="H37" s="13"/>
      <c r="I37" s="13"/>
      <c r="J37" s="13"/>
      <c r="K37" s="13" t="s">
        <v>23</v>
      </c>
      <c r="L37" s="14"/>
    </row>
    <row r="38" spans="1:12" ht="28.5" hidden="1" customHeight="1">
      <c r="A38" s="13">
        <v>37</v>
      </c>
      <c r="B38" s="13" t="s">
        <v>107</v>
      </c>
      <c r="C38" s="14" t="s">
        <v>108</v>
      </c>
      <c r="D38" s="14" t="s">
        <v>109</v>
      </c>
      <c r="E38" s="14" t="s">
        <v>22</v>
      </c>
      <c r="F38" s="14" t="s">
        <v>16</v>
      </c>
      <c r="G38" s="15">
        <v>46234</v>
      </c>
      <c r="H38" s="13" t="s">
        <v>18</v>
      </c>
      <c r="I38" s="13" t="s">
        <v>17</v>
      </c>
      <c r="J38" s="13" t="s">
        <v>322</v>
      </c>
      <c r="K38" s="13" t="s">
        <v>18</v>
      </c>
      <c r="L38" s="14" t="s">
        <v>334</v>
      </c>
    </row>
    <row r="39" spans="1:12" ht="28.5" hidden="1" customHeight="1">
      <c r="A39" s="13">
        <v>38</v>
      </c>
      <c r="B39" s="13" t="s">
        <v>110</v>
      </c>
      <c r="C39" s="14" t="s">
        <v>111</v>
      </c>
      <c r="D39" s="14" t="s">
        <v>57</v>
      </c>
      <c r="E39" s="14" t="s">
        <v>100</v>
      </c>
      <c r="F39" s="14" t="s">
        <v>16</v>
      </c>
      <c r="G39" s="15">
        <v>46224</v>
      </c>
      <c r="H39" s="13" t="s">
        <v>18</v>
      </c>
      <c r="I39" s="13" t="s">
        <v>17</v>
      </c>
      <c r="J39" s="13" t="s">
        <v>17</v>
      </c>
      <c r="K39" s="13" t="s">
        <v>18</v>
      </c>
      <c r="L39" s="14"/>
    </row>
    <row r="40" spans="1:12" ht="28.5" hidden="1" customHeight="1">
      <c r="A40" s="13">
        <v>39</v>
      </c>
      <c r="B40" s="13" t="s">
        <v>112</v>
      </c>
      <c r="C40" s="14" t="s">
        <v>113</v>
      </c>
      <c r="D40" s="14" t="s">
        <v>26</v>
      </c>
      <c r="E40" s="14" t="s">
        <v>22</v>
      </c>
      <c r="F40" s="14" t="s">
        <v>16</v>
      </c>
      <c r="G40" s="15">
        <v>46296</v>
      </c>
      <c r="H40" s="13"/>
      <c r="I40" s="13"/>
      <c r="J40" s="13"/>
      <c r="K40" s="13" t="s">
        <v>23</v>
      </c>
      <c r="L40" s="14"/>
    </row>
    <row r="41" spans="1:12" ht="28.5" hidden="1" customHeight="1">
      <c r="A41" s="13">
        <v>40</v>
      </c>
      <c r="B41" s="13" t="s">
        <v>114</v>
      </c>
      <c r="C41" s="14" t="s">
        <v>115</v>
      </c>
      <c r="D41" s="14" t="s">
        <v>26</v>
      </c>
      <c r="E41" s="14" t="s">
        <v>22</v>
      </c>
      <c r="F41" s="14" t="s">
        <v>16</v>
      </c>
      <c r="G41" s="15">
        <v>46303</v>
      </c>
      <c r="H41" s="13"/>
      <c r="I41" s="13"/>
      <c r="J41" s="13"/>
      <c r="K41" s="13" t="s">
        <v>23</v>
      </c>
      <c r="L41" s="14"/>
    </row>
    <row r="42" spans="1:12" ht="28.5" hidden="1" customHeight="1">
      <c r="A42" s="13">
        <v>41</v>
      </c>
      <c r="B42" s="13" t="s">
        <v>116</v>
      </c>
      <c r="C42" s="14" t="s">
        <v>117</v>
      </c>
      <c r="D42" s="14" t="s">
        <v>26</v>
      </c>
      <c r="E42" s="14" t="s">
        <v>22</v>
      </c>
      <c r="F42" s="14" t="s">
        <v>16</v>
      </c>
      <c r="G42" s="15">
        <v>46310</v>
      </c>
      <c r="H42" s="13"/>
      <c r="I42" s="13"/>
      <c r="J42" s="13"/>
      <c r="K42" s="13" t="s">
        <v>23</v>
      </c>
      <c r="L42" s="14"/>
    </row>
    <row r="43" spans="1:12" ht="28.5" hidden="1" customHeight="1">
      <c r="A43" s="13">
        <v>42</v>
      </c>
      <c r="B43" s="13" t="s">
        <v>118</v>
      </c>
      <c r="C43" s="14" t="s">
        <v>119</v>
      </c>
      <c r="D43" s="14" t="s">
        <v>29</v>
      </c>
      <c r="E43" s="14" t="s">
        <v>100</v>
      </c>
      <c r="F43" s="14" t="s">
        <v>16</v>
      </c>
      <c r="G43" s="15">
        <v>46288</v>
      </c>
      <c r="H43" s="13"/>
      <c r="I43" s="13"/>
      <c r="J43" s="13"/>
      <c r="K43" s="13" t="s">
        <v>23</v>
      </c>
      <c r="L43" s="14"/>
    </row>
    <row r="44" spans="1:12" ht="28.5" hidden="1" customHeight="1">
      <c r="A44" s="13">
        <v>43</v>
      </c>
      <c r="B44" s="13" t="s">
        <v>120</v>
      </c>
      <c r="C44" s="14" t="s">
        <v>121</v>
      </c>
      <c r="D44" s="14" t="s">
        <v>90</v>
      </c>
      <c r="E44" s="14" t="s">
        <v>122</v>
      </c>
      <c r="F44" s="14" t="s">
        <v>16</v>
      </c>
      <c r="G44" s="15">
        <v>46269</v>
      </c>
      <c r="H44" s="13"/>
      <c r="I44" s="13"/>
      <c r="J44" s="13"/>
      <c r="K44" s="13" t="s">
        <v>23</v>
      </c>
      <c r="L44" s="14"/>
    </row>
    <row r="45" spans="1:12" ht="28.5" hidden="1" customHeight="1">
      <c r="A45" s="13">
        <v>44</v>
      </c>
      <c r="B45" s="13" t="s">
        <v>123</v>
      </c>
      <c r="C45" s="14" t="s">
        <v>124</v>
      </c>
      <c r="D45" s="14" t="s">
        <v>34</v>
      </c>
      <c r="E45" s="14" t="s">
        <v>15</v>
      </c>
      <c r="F45" s="14" t="s">
        <v>16</v>
      </c>
      <c r="G45" s="15">
        <v>46289</v>
      </c>
      <c r="H45" s="13"/>
      <c r="I45" s="13"/>
      <c r="J45" s="13"/>
      <c r="K45" s="13" t="s">
        <v>23</v>
      </c>
      <c r="L45" s="14"/>
    </row>
    <row r="46" spans="1:12" ht="28.5" hidden="1" customHeight="1">
      <c r="A46" s="13">
        <v>45</v>
      </c>
      <c r="B46" s="13" t="s">
        <v>125</v>
      </c>
      <c r="C46" s="14" t="s">
        <v>126</v>
      </c>
      <c r="D46" s="14" t="s">
        <v>95</v>
      </c>
      <c r="E46" s="14" t="s">
        <v>22</v>
      </c>
      <c r="F46" s="14" t="s">
        <v>16</v>
      </c>
      <c r="G46" s="15">
        <v>46232</v>
      </c>
      <c r="H46" s="13" t="s">
        <v>324</v>
      </c>
      <c r="I46" s="13" t="s">
        <v>17</v>
      </c>
      <c r="J46" s="13" t="s">
        <v>17</v>
      </c>
      <c r="K46" s="13" t="s">
        <v>18</v>
      </c>
      <c r="L46" s="14" t="s">
        <v>335</v>
      </c>
    </row>
    <row r="47" spans="1:12" ht="28.5" hidden="1" customHeight="1">
      <c r="A47" s="13">
        <v>46</v>
      </c>
      <c r="B47" s="13" t="s">
        <v>127</v>
      </c>
      <c r="C47" s="14" t="s">
        <v>128</v>
      </c>
      <c r="D47" s="14" t="s">
        <v>95</v>
      </c>
      <c r="E47" s="14" t="s">
        <v>22</v>
      </c>
      <c r="F47" s="14" t="s">
        <v>16</v>
      </c>
      <c r="G47" s="15">
        <v>46241</v>
      </c>
      <c r="H47" s="13"/>
      <c r="I47" s="13"/>
      <c r="J47" s="13"/>
      <c r="K47" s="13" t="s">
        <v>23</v>
      </c>
      <c r="L47" s="14"/>
    </row>
    <row r="48" spans="1:12" ht="28.5" hidden="1" customHeight="1">
      <c r="A48" s="13">
        <v>47</v>
      </c>
      <c r="B48" s="13" t="s">
        <v>129</v>
      </c>
      <c r="C48" s="14" t="s">
        <v>130</v>
      </c>
      <c r="D48" s="14" t="s">
        <v>131</v>
      </c>
      <c r="E48" s="14" t="s">
        <v>22</v>
      </c>
      <c r="F48" s="14" t="s">
        <v>16</v>
      </c>
      <c r="G48" s="15">
        <v>46233</v>
      </c>
      <c r="H48" s="13" t="s">
        <v>18</v>
      </c>
      <c r="I48" s="13" t="s">
        <v>17</v>
      </c>
      <c r="J48" s="13" t="s">
        <v>17</v>
      </c>
      <c r="K48" s="13" t="s">
        <v>18</v>
      </c>
      <c r="L48" s="14"/>
    </row>
    <row r="49" spans="1:12" ht="28.5" hidden="1" customHeight="1">
      <c r="A49" s="13">
        <v>48</v>
      </c>
      <c r="B49" s="13" t="s">
        <v>132</v>
      </c>
      <c r="C49" s="14" t="s">
        <v>133</v>
      </c>
      <c r="D49" s="14" t="s">
        <v>134</v>
      </c>
      <c r="E49" s="14" t="s">
        <v>22</v>
      </c>
      <c r="F49" s="14" t="s">
        <v>16</v>
      </c>
      <c r="G49" s="15">
        <v>46244</v>
      </c>
      <c r="H49" s="13"/>
      <c r="I49" s="13"/>
      <c r="J49" s="13"/>
      <c r="K49" s="13" t="s">
        <v>23</v>
      </c>
      <c r="L49" s="14"/>
    </row>
    <row r="50" spans="1:12" ht="28.5" hidden="1" customHeight="1">
      <c r="A50" s="13">
        <v>49</v>
      </c>
      <c r="B50" s="13" t="s">
        <v>135</v>
      </c>
      <c r="C50" s="14" t="s">
        <v>136</v>
      </c>
      <c r="D50" s="14" t="s">
        <v>14</v>
      </c>
      <c r="E50" s="14" t="s">
        <v>22</v>
      </c>
      <c r="F50" s="14" t="s">
        <v>16</v>
      </c>
      <c r="G50" s="15">
        <v>46245</v>
      </c>
      <c r="H50" s="13"/>
      <c r="I50" s="13"/>
      <c r="J50" s="13"/>
      <c r="K50" s="13" t="s">
        <v>23</v>
      </c>
      <c r="L50" s="14"/>
    </row>
    <row r="51" spans="1:12" ht="28.5" hidden="1" customHeight="1">
      <c r="A51" s="13">
        <v>50</v>
      </c>
      <c r="B51" s="13" t="s">
        <v>137</v>
      </c>
      <c r="C51" s="14" t="s">
        <v>138</v>
      </c>
      <c r="D51" s="14" t="s">
        <v>14</v>
      </c>
      <c r="E51" s="14" t="s">
        <v>15</v>
      </c>
      <c r="F51" s="14" t="s">
        <v>16</v>
      </c>
      <c r="G51" s="15">
        <v>46272</v>
      </c>
      <c r="H51" s="13"/>
      <c r="I51" s="13"/>
      <c r="J51" s="13"/>
      <c r="K51" s="13" t="s">
        <v>23</v>
      </c>
      <c r="L51" s="14"/>
    </row>
    <row r="52" spans="1:12" ht="28.5" hidden="1" customHeight="1">
      <c r="A52" s="13">
        <v>51</v>
      </c>
      <c r="B52" s="13" t="s">
        <v>139</v>
      </c>
      <c r="C52" s="14" t="s">
        <v>140</v>
      </c>
      <c r="D52" s="14" t="s">
        <v>95</v>
      </c>
      <c r="E52" s="14" t="s">
        <v>22</v>
      </c>
      <c r="F52" s="14" t="s">
        <v>16</v>
      </c>
      <c r="G52" s="15">
        <v>46273</v>
      </c>
      <c r="H52" s="13"/>
      <c r="I52" s="13"/>
      <c r="J52" s="13"/>
      <c r="K52" s="13" t="s">
        <v>23</v>
      </c>
      <c r="L52" s="14"/>
    </row>
    <row r="53" spans="1:12" ht="28.5" hidden="1" customHeight="1">
      <c r="A53" s="13">
        <v>52</v>
      </c>
      <c r="B53" s="13" t="s">
        <v>141</v>
      </c>
      <c r="C53" s="14" t="s">
        <v>142</v>
      </c>
      <c r="D53" s="14" t="s">
        <v>73</v>
      </c>
      <c r="E53" s="14" t="s">
        <v>22</v>
      </c>
      <c r="F53" s="14" t="s">
        <v>16</v>
      </c>
      <c r="G53" s="15">
        <v>46237</v>
      </c>
      <c r="H53" s="13" t="s">
        <v>18</v>
      </c>
      <c r="I53" s="13" t="s">
        <v>17</v>
      </c>
      <c r="J53" s="13" t="s">
        <v>17</v>
      </c>
      <c r="K53" s="13" t="s">
        <v>18</v>
      </c>
      <c r="L53" s="14"/>
    </row>
    <row r="54" spans="1:12" ht="28.5" hidden="1" customHeight="1">
      <c r="A54" s="13">
        <v>53</v>
      </c>
      <c r="B54" s="13" t="s">
        <v>143</v>
      </c>
      <c r="C54" s="14" t="s">
        <v>144</v>
      </c>
      <c r="D54" s="14" t="s">
        <v>134</v>
      </c>
      <c r="E54" s="14" t="s">
        <v>22</v>
      </c>
      <c r="F54" s="14" t="s">
        <v>16</v>
      </c>
      <c r="G54" s="15">
        <v>46230</v>
      </c>
      <c r="H54" s="13" t="s">
        <v>18</v>
      </c>
      <c r="I54" s="13" t="s">
        <v>17</v>
      </c>
      <c r="J54" s="13" t="s">
        <v>17</v>
      </c>
      <c r="K54" s="13" t="s">
        <v>18</v>
      </c>
      <c r="L54" s="14"/>
    </row>
    <row r="55" spans="1:12" ht="28.5" hidden="1" customHeight="1">
      <c r="A55" s="13">
        <v>54</v>
      </c>
      <c r="B55" s="13" t="s">
        <v>145</v>
      </c>
      <c r="C55" s="14" t="s">
        <v>146</v>
      </c>
      <c r="D55" s="14" t="s">
        <v>34</v>
      </c>
      <c r="E55" s="14" t="s">
        <v>147</v>
      </c>
      <c r="F55" s="14" t="s">
        <v>16</v>
      </c>
      <c r="G55" s="15">
        <v>46267</v>
      </c>
      <c r="H55" s="13"/>
      <c r="I55" s="13"/>
      <c r="J55" s="13"/>
      <c r="K55" s="13" t="s">
        <v>23</v>
      </c>
      <c r="L55" s="14"/>
    </row>
    <row r="56" spans="1:12" ht="42.75" hidden="1" customHeight="1">
      <c r="A56" s="13">
        <v>55</v>
      </c>
      <c r="B56" s="13" t="s">
        <v>148</v>
      </c>
      <c r="C56" s="14" t="s">
        <v>149</v>
      </c>
      <c r="D56" s="14" t="s">
        <v>34</v>
      </c>
      <c r="E56" s="14" t="s">
        <v>150</v>
      </c>
      <c r="F56" s="14" t="s">
        <v>16</v>
      </c>
      <c r="G56" s="15">
        <v>46297</v>
      </c>
      <c r="H56" s="13"/>
      <c r="I56" s="13"/>
      <c r="J56" s="13"/>
      <c r="K56" s="13" t="s">
        <v>23</v>
      </c>
      <c r="L56" s="14"/>
    </row>
    <row r="57" spans="1:12" ht="28.5" hidden="1" customHeight="1">
      <c r="A57" s="13">
        <v>56</v>
      </c>
      <c r="B57" s="13" t="s">
        <v>151</v>
      </c>
      <c r="C57" s="14" t="s">
        <v>152</v>
      </c>
      <c r="D57" s="14" t="s">
        <v>34</v>
      </c>
      <c r="E57" s="14" t="s">
        <v>153</v>
      </c>
      <c r="F57" s="14" t="s">
        <v>16</v>
      </c>
      <c r="G57" s="15">
        <v>46304</v>
      </c>
      <c r="H57" s="13"/>
      <c r="I57" s="13"/>
      <c r="J57" s="13"/>
      <c r="K57" s="13" t="s">
        <v>23</v>
      </c>
      <c r="L57" s="14"/>
    </row>
    <row r="58" spans="1:12" ht="28.5" hidden="1" customHeight="1">
      <c r="A58" s="13">
        <v>57</v>
      </c>
      <c r="B58" s="13" t="s">
        <v>154</v>
      </c>
      <c r="C58" s="14" t="s">
        <v>155</v>
      </c>
      <c r="D58" s="14" t="s">
        <v>34</v>
      </c>
      <c r="E58" s="14" t="s">
        <v>153</v>
      </c>
      <c r="F58" s="14" t="s">
        <v>16</v>
      </c>
      <c r="G58" s="15">
        <v>46311</v>
      </c>
      <c r="H58" s="13"/>
      <c r="I58" s="13"/>
      <c r="J58" s="13"/>
      <c r="K58" s="13" t="s">
        <v>23</v>
      </c>
      <c r="L58" s="14"/>
    </row>
    <row r="59" spans="1:12" ht="28.5" hidden="1" customHeight="1">
      <c r="A59" s="13">
        <v>58</v>
      </c>
      <c r="B59" s="13" t="s">
        <v>156</v>
      </c>
      <c r="C59" s="14" t="s">
        <v>157</v>
      </c>
      <c r="D59" s="14" t="s">
        <v>34</v>
      </c>
      <c r="E59" s="14" t="s">
        <v>158</v>
      </c>
      <c r="F59" s="14" t="s">
        <v>16</v>
      </c>
      <c r="G59" s="15">
        <v>46316</v>
      </c>
      <c r="H59" s="13"/>
      <c r="I59" s="13"/>
      <c r="J59" s="13"/>
      <c r="K59" s="13" t="s">
        <v>23</v>
      </c>
      <c r="L59" s="14"/>
    </row>
    <row r="60" spans="1:12" ht="28.5" hidden="1" customHeight="1">
      <c r="A60" s="13">
        <v>59</v>
      </c>
      <c r="B60" s="13" t="s">
        <v>159</v>
      </c>
      <c r="C60" s="14" t="s">
        <v>160</v>
      </c>
      <c r="D60" s="14" t="s">
        <v>34</v>
      </c>
      <c r="E60" s="14" t="s">
        <v>158</v>
      </c>
      <c r="F60" s="14" t="s">
        <v>16</v>
      </c>
      <c r="G60" s="15">
        <v>46321</v>
      </c>
      <c r="H60" s="13"/>
      <c r="I60" s="13"/>
      <c r="J60" s="13"/>
      <c r="K60" s="13" t="s">
        <v>23</v>
      </c>
      <c r="L60" s="14"/>
    </row>
    <row r="61" spans="1:12" ht="28.5" hidden="1" customHeight="1">
      <c r="A61" s="13">
        <v>60</v>
      </c>
      <c r="B61" s="13" t="s">
        <v>161</v>
      </c>
      <c r="C61" s="14" t="s">
        <v>162</v>
      </c>
      <c r="D61" s="14" t="s">
        <v>34</v>
      </c>
      <c r="E61" s="14" t="s">
        <v>163</v>
      </c>
      <c r="F61" s="14" t="s">
        <v>16</v>
      </c>
      <c r="G61" s="15">
        <v>46324</v>
      </c>
      <c r="H61" s="13"/>
      <c r="I61" s="13"/>
      <c r="J61" s="13"/>
      <c r="K61" s="13" t="s">
        <v>23</v>
      </c>
      <c r="L61" s="14"/>
    </row>
    <row r="62" spans="1:12" ht="28.5" hidden="1" customHeight="1">
      <c r="A62" s="13">
        <v>61</v>
      </c>
      <c r="B62" s="13" t="s">
        <v>164</v>
      </c>
      <c r="C62" s="14" t="s">
        <v>165</v>
      </c>
      <c r="D62" s="14" t="s">
        <v>29</v>
      </c>
      <c r="E62" s="14" t="s">
        <v>166</v>
      </c>
      <c r="F62" s="14" t="s">
        <v>16</v>
      </c>
      <c r="G62" s="15">
        <v>46300</v>
      </c>
      <c r="H62" s="13"/>
      <c r="I62" s="13"/>
      <c r="J62" s="13"/>
      <c r="K62" s="13" t="s">
        <v>23</v>
      </c>
      <c r="L62" s="14"/>
    </row>
    <row r="63" spans="1:12" ht="28.5" hidden="1" customHeight="1">
      <c r="A63" s="13">
        <v>62</v>
      </c>
      <c r="B63" s="13" t="s">
        <v>167</v>
      </c>
      <c r="C63" s="14" t="s">
        <v>168</v>
      </c>
      <c r="D63" s="14" t="s">
        <v>57</v>
      </c>
      <c r="E63" s="14" t="s">
        <v>100</v>
      </c>
      <c r="F63" s="14" t="s">
        <v>16</v>
      </c>
      <c r="G63" s="15">
        <v>46247</v>
      </c>
      <c r="H63" s="13"/>
      <c r="I63" s="13"/>
      <c r="J63" s="13"/>
      <c r="K63" s="13" t="s">
        <v>23</v>
      </c>
      <c r="L63" s="14"/>
    </row>
    <row r="64" spans="1:12" ht="28.5" hidden="1" customHeight="1">
      <c r="A64" s="13">
        <v>63</v>
      </c>
      <c r="B64" s="13" t="s">
        <v>169</v>
      </c>
      <c r="C64" s="14" t="s">
        <v>170</v>
      </c>
      <c r="D64" s="14" t="s">
        <v>90</v>
      </c>
      <c r="E64" s="14" t="s">
        <v>171</v>
      </c>
      <c r="F64" s="14" t="s">
        <v>16</v>
      </c>
      <c r="G64" s="15">
        <v>46290</v>
      </c>
      <c r="H64" s="13"/>
      <c r="I64" s="13"/>
      <c r="J64" s="13"/>
      <c r="K64" s="13" t="s">
        <v>23</v>
      </c>
      <c r="L64" s="14"/>
    </row>
    <row r="65" spans="1:12" ht="28.5" hidden="1" customHeight="1">
      <c r="A65" s="13">
        <v>64</v>
      </c>
      <c r="B65" s="13" t="s">
        <v>172</v>
      </c>
      <c r="C65" s="14" t="s">
        <v>173</v>
      </c>
      <c r="D65" s="14" t="s">
        <v>57</v>
      </c>
      <c r="E65" s="14" t="s">
        <v>100</v>
      </c>
      <c r="F65" s="14" t="s">
        <v>16</v>
      </c>
      <c r="G65" s="15">
        <v>46274</v>
      </c>
      <c r="H65" s="13"/>
      <c r="I65" s="13"/>
      <c r="J65" s="13"/>
      <c r="K65" s="13" t="s">
        <v>23</v>
      </c>
      <c r="L65" s="14"/>
    </row>
    <row r="66" spans="1:12" ht="28.5" hidden="1" customHeight="1">
      <c r="A66" s="13">
        <v>65</v>
      </c>
      <c r="B66" s="13" t="s">
        <v>174</v>
      </c>
      <c r="C66" s="14" t="s">
        <v>175</v>
      </c>
      <c r="D66" s="14" t="s">
        <v>109</v>
      </c>
      <c r="E66" s="14" t="s">
        <v>22</v>
      </c>
      <c r="F66" s="14" t="s">
        <v>16</v>
      </c>
      <c r="G66" s="15">
        <v>46248</v>
      </c>
      <c r="H66" s="13"/>
      <c r="I66" s="13"/>
      <c r="J66" s="13"/>
      <c r="K66" s="13" t="s">
        <v>23</v>
      </c>
      <c r="L66" s="14"/>
    </row>
    <row r="67" spans="1:12" ht="28.5" hidden="1" customHeight="1">
      <c r="A67" s="13">
        <v>66</v>
      </c>
      <c r="B67" s="13" t="s">
        <v>176</v>
      </c>
      <c r="C67" s="14" t="s">
        <v>177</v>
      </c>
      <c r="D67" s="14" t="s">
        <v>109</v>
      </c>
      <c r="E67" s="14" t="s">
        <v>22</v>
      </c>
      <c r="F67" s="14" t="s">
        <v>16</v>
      </c>
      <c r="G67" s="15">
        <v>46237</v>
      </c>
      <c r="H67" s="13"/>
      <c r="I67" s="13"/>
      <c r="J67" s="13"/>
      <c r="K67" s="13" t="s">
        <v>23</v>
      </c>
      <c r="L67" s="14"/>
    </row>
    <row r="68" spans="1:12" ht="28.5" hidden="1" customHeight="1">
      <c r="A68" s="13">
        <v>67</v>
      </c>
      <c r="B68" s="13" t="s">
        <v>178</v>
      </c>
      <c r="C68" s="14" t="s">
        <v>179</v>
      </c>
      <c r="D68" s="14" t="s">
        <v>90</v>
      </c>
      <c r="E68" s="14" t="s">
        <v>171</v>
      </c>
      <c r="F68" s="14" t="s">
        <v>16</v>
      </c>
      <c r="G68" s="15">
        <v>46268</v>
      </c>
      <c r="H68" s="13"/>
      <c r="I68" s="13"/>
      <c r="J68" s="13"/>
      <c r="K68" s="13" t="s">
        <v>23</v>
      </c>
      <c r="L68" s="14"/>
    </row>
    <row r="69" spans="1:12" ht="28.5" hidden="1" customHeight="1">
      <c r="A69" s="13">
        <v>68</v>
      </c>
      <c r="B69" s="13" t="s">
        <v>180</v>
      </c>
      <c r="C69" s="14" t="s">
        <v>181</v>
      </c>
      <c r="D69" s="14" t="s">
        <v>34</v>
      </c>
      <c r="E69" s="14" t="s">
        <v>62</v>
      </c>
      <c r="F69" s="14" t="s">
        <v>16</v>
      </c>
      <c r="G69" s="15">
        <v>46296</v>
      </c>
      <c r="H69" s="13"/>
      <c r="I69" s="13"/>
      <c r="J69" s="13"/>
      <c r="K69" s="13" t="s">
        <v>23</v>
      </c>
      <c r="L69" s="14"/>
    </row>
    <row r="70" spans="1:12" ht="28.5" hidden="1" customHeight="1">
      <c r="A70" s="13">
        <v>69</v>
      </c>
      <c r="B70" s="13" t="s">
        <v>182</v>
      </c>
      <c r="C70" s="14" t="s">
        <v>183</v>
      </c>
      <c r="D70" s="14" t="s">
        <v>34</v>
      </c>
      <c r="E70" s="14" t="s">
        <v>184</v>
      </c>
      <c r="F70" s="14" t="s">
        <v>16</v>
      </c>
      <c r="G70" s="15">
        <v>46301</v>
      </c>
      <c r="H70" s="13"/>
      <c r="I70" s="13"/>
      <c r="J70" s="13"/>
      <c r="K70" s="13" t="s">
        <v>23</v>
      </c>
      <c r="L70" s="14"/>
    </row>
    <row r="71" spans="1:12" ht="28.5" hidden="1" customHeight="1">
      <c r="A71" s="13">
        <v>70</v>
      </c>
      <c r="B71" s="13" t="s">
        <v>185</v>
      </c>
      <c r="C71" s="14" t="s">
        <v>186</v>
      </c>
      <c r="D71" s="14" t="s">
        <v>29</v>
      </c>
      <c r="E71" s="14" t="s">
        <v>166</v>
      </c>
      <c r="F71" s="14" t="s">
        <v>16</v>
      </c>
      <c r="G71" s="15">
        <v>46308</v>
      </c>
      <c r="H71" s="13"/>
      <c r="I71" s="13"/>
      <c r="J71" s="13"/>
      <c r="K71" s="13" t="s">
        <v>23</v>
      </c>
      <c r="L71" s="14"/>
    </row>
    <row r="72" spans="1:12" ht="28.5" hidden="1" customHeight="1">
      <c r="A72" s="13">
        <v>71</v>
      </c>
      <c r="B72" s="13" t="s">
        <v>187</v>
      </c>
      <c r="C72" s="14" t="s">
        <v>188</v>
      </c>
      <c r="D72" s="14" t="s">
        <v>29</v>
      </c>
      <c r="E72" s="14" t="s">
        <v>166</v>
      </c>
      <c r="F72" s="14" t="s">
        <v>16</v>
      </c>
      <c r="G72" s="15">
        <v>46314</v>
      </c>
      <c r="H72" s="13"/>
      <c r="I72" s="13"/>
      <c r="J72" s="13"/>
      <c r="K72" s="13" t="s">
        <v>23</v>
      </c>
      <c r="L72" s="14"/>
    </row>
    <row r="73" spans="1:12" ht="28.5" hidden="1" customHeight="1">
      <c r="A73" s="13">
        <v>72</v>
      </c>
      <c r="B73" s="13" t="s">
        <v>189</v>
      </c>
      <c r="C73" s="14" t="s">
        <v>190</v>
      </c>
      <c r="D73" s="14" t="s">
        <v>90</v>
      </c>
      <c r="E73" s="14" t="s">
        <v>166</v>
      </c>
      <c r="F73" s="14" t="s">
        <v>16</v>
      </c>
      <c r="G73" s="15">
        <v>46281</v>
      </c>
      <c r="H73" s="13"/>
      <c r="I73" s="13"/>
      <c r="J73" s="13"/>
      <c r="K73" s="13" t="s">
        <v>23</v>
      </c>
      <c r="L73" s="14"/>
    </row>
    <row r="74" spans="1:12" ht="28.5" hidden="1" customHeight="1">
      <c r="A74" s="13">
        <v>73</v>
      </c>
      <c r="B74" s="13" t="s">
        <v>191</v>
      </c>
      <c r="C74" s="14" t="s">
        <v>192</v>
      </c>
      <c r="D74" s="14" t="s">
        <v>14</v>
      </c>
      <c r="E74" s="14" t="s">
        <v>100</v>
      </c>
      <c r="F74" s="14" t="s">
        <v>16</v>
      </c>
      <c r="G74" s="15">
        <v>46282</v>
      </c>
      <c r="H74" s="13"/>
      <c r="I74" s="13"/>
      <c r="J74" s="13"/>
      <c r="K74" s="13" t="s">
        <v>23</v>
      </c>
      <c r="L74" s="14"/>
    </row>
    <row r="75" spans="1:12" ht="28.5" hidden="1" customHeight="1">
      <c r="A75" s="13">
        <v>74</v>
      </c>
      <c r="B75" s="13" t="s">
        <v>193</v>
      </c>
      <c r="C75" s="14" t="s">
        <v>194</v>
      </c>
      <c r="D75" s="14" t="s">
        <v>29</v>
      </c>
      <c r="E75" s="14" t="s">
        <v>22</v>
      </c>
      <c r="F75" s="14" t="s">
        <v>16</v>
      </c>
      <c r="G75" s="15">
        <v>46266</v>
      </c>
      <c r="H75" s="13"/>
      <c r="I75" s="13"/>
      <c r="J75" s="13"/>
      <c r="K75" s="13" t="s">
        <v>23</v>
      </c>
      <c r="L75" s="14"/>
    </row>
    <row r="76" spans="1:12" ht="28.5" hidden="1" customHeight="1">
      <c r="A76" s="13">
        <v>75</v>
      </c>
      <c r="B76" s="13" t="s">
        <v>195</v>
      </c>
      <c r="C76" s="14" t="s">
        <v>196</v>
      </c>
      <c r="D76" s="14" t="s">
        <v>21</v>
      </c>
      <c r="E76" s="14" t="s">
        <v>48</v>
      </c>
      <c r="F76" s="14" t="s">
        <v>16</v>
      </c>
      <c r="G76" s="15">
        <v>46231</v>
      </c>
      <c r="H76" s="13"/>
      <c r="I76" s="13"/>
      <c r="J76" s="13"/>
      <c r="K76" s="13" t="s">
        <v>23</v>
      </c>
      <c r="L76" s="14"/>
    </row>
    <row r="77" spans="1:12" ht="28.5" hidden="1" customHeight="1">
      <c r="A77" s="13">
        <v>76</v>
      </c>
      <c r="B77" s="13" t="s">
        <v>197</v>
      </c>
      <c r="C77" s="14" t="s">
        <v>198</v>
      </c>
      <c r="D77" s="14" t="s">
        <v>199</v>
      </c>
      <c r="E77" s="14" t="s">
        <v>22</v>
      </c>
      <c r="F77" s="14" t="s">
        <v>16</v>
      </c>
      <c r="G77" s="15">
        <v>46232</v>
      </c>
      <c r="H77" s="13" t="s">
        <v>18</v>
      </c>
      <c r="I77" s="13" t="s">
        <v>17</v>
      </c>
      <c r="J77" s="13" t="s">
        <v>17</v>
      </c>
      <c r="K77" s="13" t="s">
        <v>18</v>
      </c>
      <c r="L77" s="14"/>
    </row>
    <row r="78" spans="1:12" ht="28.5" hidden="1" customHeight="1">
      <c r="A78" s="13">
        <v>77</v>
      </c>
      <c r="B78" s="13" t="s">
        <v>200</v>
      </c>
      <c r="C78" s="14" t="s">
        <v>201</v>
      </c>
      <c r="D78" s="14" t="s">
        <v>29</v>
      </c>
      <c r="E78" s="14" t="s">
        <v>100</v>
      </c>
      <c r="F78" s="14" t="s">
        <v>16</v>
      </c>
      <c r="G78" s="15">
        <v>46317</v>
      </c>
      <c r="H78" s="13"/>
      <c r="I78" s="13"/>
      <c r="J78" s="13"/>
      <c r="K78" s="13" t="s">
        <v>23</v>
      </c>
      <c r="L78" s="14"/>
    </row>
    <row r="79" spans="1:12" ht="28.5" hidden="1" customHeight="1">
      <c r="A79" s="13">
        <v>78</v>
      </c>
      <c r="B79" s="13" t="s">
        <v>202</v>
      </c>
      <c r="C79" s="14" t="s">
        <v>203</v>
      </c>
      <c r="D79" s="14" t="s">
        <v>90</v>
      </c>
      <c r="E79" s="14" t="s">
        <v>15</v>
      </c>
      <c r="F79" s="14" t="s">
        <v>16</v>
      </c>
      <c r="G79" s="15">
        <v>46301</v>
      </c>
      <c r="H79" s="13"/>
      <c r="I79" s="13"/>
      <c r="J79" s="13"/>
      <c r="K79" s="13" t="s">
        <v>23</v>
      </c>
      <c r="L79" s="14"/>
    </row>
    <row r="80" spans="1:12" ht="28.5" hidden="1" customHeight="1">
      <c r="A80" s="13">
        <v>79</v>
      </c>
      <c r="B80" s="13" t="s">
        <v>204</v>
      </c>
      <c r="C80" s="14" t="s">
        <v>205</v>
      </c>
      <c r="D80" s="14" t="s">
        <v>29</v>
      </c>
      <c r="E80" s="14" t="s">
        <v>166</v>
      </c>
      <c r="F80" s="14" t="s">
        <v>16</v>
      </c>
      <c r="G80" s="15">
        <v>46322</v>
      </c>
      <c r="H80" s="13"/>
      <c r="I80" s="13"/>
      <c r="J80" s="13"/>
      <c r="K80" s="13" t="s">
        <v>23</v>
      </c>
      <c r="L80" s="14"/>
    </row>
    <row r="81" spans="1:12" ht="28.5" hidden="1" customHeight="1">
      <c r="A81" s="13">
        <v>80</v>
      </c>
      <c r="B81" s="13" t="s">
        <v>206</v>
      </c>
      <c r="C81" s="14" t="s">
        <v>207</v>
      </c>
      <c r="D81" s="14" t="s">
        <v>38</v>
      </c>
      <c r="E81" s="14" t="s">
        <v>39</v>
      </c>
      <c r="F81" s="14" t="s">
        <v>16</v>
      </c>
      <c r="G81" s="15">
        <v>46275</v>
      </c>
      <c r="H81" s="13"/>
      <c r="I81" s="13"/>
      <c r="J81" s="13"/>
      <c r="K81" s="13" t="s">
        <v>23</v>
      </c>
      <c r="L81" s="14"/>
    </row>
    <row r="82" spans="1:12" ht="28.5" hidden="1" customHeight="1">
      <c r="A82" s="13">
        <v>81</v>
      </c>
      <c r="B82" s="13" t="s">
        <v>208</v>
      </c>
      <c r="C82" s="14" t="s">
        <v>209</v>
      </c>
      <c r="D82" s="14" t="s">
        <v>95</v>
      </c>
      <c r="E82" s="14" t="s">
        <v>22</v>
      </c>
      <c r="F82" s="14" t="s">
        <v>16</v>
      </c>
      <c r="G82" s="15">
        <v>46283</v>
      </c>
      <c r="H82" s="13"/>
      <c r="I82" s="13"/>
      <c r="J82" s="13"/>
      <c r="K82" s="13" t="s">
        <v>23</v>
      </c>
      <c r="L82" s="14"/>
    </row>
    <row r="83" spans="1:12" ht="28.5" hidden="1" customHeight="1">
      <c r="A83" s="13">
        <v>82</v>
      </c>
      <c r="B83" s="13" t="s">
        <v>210</v>
      </c>
      <c r="C83" s="14" t="s">
        <v>211</v>
      </c>
      <c r="D83" s="14" t="s">
        <v>95</v>
      </c>
      <c r="E83" s="14" t="s">
        <v>48</v>
      </c>
      <c r="F83" s="14" t="s">
        <v>16</v>
      </c>
      <c r="G83" s="15">
        <v>46293</v>
      </c>
      <c r="H83" s="13"/>
      <c r="I83" s="13"/>
      <c r="J83" s="13"/>
      <c r="K83" s="13" t="s">
        <v>23</v>
      </c>
      <c r="L83" s="14"/>
    </row>
    <row r="84" spans="1:12" ht="28.5" hidden="1" customHeight="1">
      <c r="A84" s="13">
        <v>83</v>
      </c>
      <c r="B84" s="13" t="s">
        <v>212</v>
      </c>
      <c r="C84" s="14" t="s">
        <v>213</v>
      </c>
      <c r="D84" s="14" t="s">
        <v>47</v>
      </c>
      <c r="E84" s="14" t="s">
        <v>122</v>
      </c>
      <c r="F84" s="14" t="s">
        <v>16</v>
      </c>
      <c r="G84" s="15">
        <v>46239</v>
      </c>
      <c r="H84" s="13"/>
      <c r="I84" s="13"/>
      <c r="J84" s="13"/>
      <c r="K84" s="13" t="s">
        <v>23</v>
      </c>
      <c r="L84" s="14"/>
    </row>
    <row r="85" spans="1:12" ht="28.5" hidden="1" customHeight="1">
      <c r="A85" s="13">
        <v>84</v>
      </c>
      <c r="B85" s="13" t="s">
        <v>214</v>
      </c>
      <c r="C85" s="14" t="s">
        <v>215</v>
      </c>
      <c r="D85" s="14" t="s">
        <v>26</v>
      </c>
      <c r="E85" s="14" t="s">
        <v>48</v>
      </c>
      <c r="F85" s="14" t="s">
        <v>16</v>
      </c>
      <c r="G85" s="15">
        <v>46323</v>
      </c>
      <c r="H85" s="13"/>
      <c r="I85" s="13"/>
      <c r="J85" s="13"/>
      <c r="K85" s="13" t="s">
        <v>23</v>
      </c>
      <c r="L85" s="14"/>
    </row>
    <row r="86" spans="1:12" ht="28.5" hidden="1" customHeight="1">
      <c r="A86" s="13">
        <v>85</v>
      </c>
      <c r="B86" s="13" t="s">
        <v>216</v>
      </c>
      <c r="C86" s="14" t="s">
        <v>217</v>
      </c>
      <c r="D86" s="14" t="s">
        <v>29</v>
      </c>
      <c r="E86" s="14" t="s">
        <v>22</v>
      </c>
      <c r="F86" s="14" t="s">
        <v>16</v>
      </c>
      <c r="G86" s="15">
        <v>46325</v>
      </c>
      <c r="H86" s="13"/>
      <c r="I86" s="13"/>
      <c r="J86" s="13"/>
      <c r="K86" s="13" t="s">
        <v>23</v>
      </c>
      <c r="L86" s="14"/>
    </row>
    <row r="87" spans="1:12" ht="28.5" hidden="1" customHeight="1">
      <c r="A87" s="13">
        <v>86</v>
      </c>
      <c r="B87" s="13" t="s">
        <v>218</v>
      </c>
      <c r="C87" s="14" t="s">
        <v>219</v>
      </c>
      <c r="D87" s="14" t="s">
        <v>134</v>
      </c>
      <c r="E87" s="14" t="s">
        <v>22</v>
      </c>
      <c r="F87" s="14" t="s">
        <v>16</v>
      </c>
      <c r="G87" s="15">
        <v>46240</v>
      </c>
      <c r="H87" s="13"/>
      <c r="I87" s="13"/>
      <c r="J87" s="13"/>
      <c r="K87" s="13" t="s">
        <v>23</v>
      </c>
      <c r="L87" s="14"/>
    </row>
    <row r="88" spans="1:12" ht="28.5" hidden="1" customHeight="1">
      <c r="A88" s="13">
        <v>87</v>
      </c>
      <c r="B88" s="13" t="s">
        <v>220</v>
      </c>
      <c r="C88" s="14" t="s">
        <v>221</v>
      </c>
      <c r="D88" s="14" t="s">
        <v>26</v>
      </c>
      <c r="E88" s="14" t="s">
        <v>22</v>
      </c>
      <c r="F88" s="14" t="s">
        <v>16</v>
      </c>
      <c r="G88" s="15">
        <v>46297</v>
      </c>
      <c r="H88" s="13"/>
      <c r="I88" s="13"/>
      <c r="J88" s="13"/>
      <c r="K88" s="13" t="s">
        <v>23</v>
      </c>
      <c r="L88" s="14"/>
    </row>
    <row r="89" spans="1:12" ht="28.5" hidden="1" customHeight="1">
      <c r="A89" s="13">
        <v>88</v>
      </c>
      <c r="B89" s="13" t="s">
        <v>222</v>
      </c>
      <c r="C89" s="14" t="s">
        <v>223</v>
      </c>
      <c r="D89" s="14" t="s">
        <v>21</v>
      </c>
      <c r="E89" s="14" t="s">
        <v>122</v>
      </c>
      <c r="F89" s="14" t="s">
        <v>16</v>
      </c>
      <c r="G89" s="15">
        <v>46253</v>
      </c>
      <c r="H89" s="13"/>
      <c r="I89" s="13"/>
      <c r="J89" s="13"/>
      <c r="K89" s="13" t="s">
        <v>23</v>
      </c>
      <c r="L89" s="14"/>
    </row>
    <row r="90" spans="1:12" ht="28.5" hidden="1" customHeight="1">
      <c r="A90" s="13">
        <v>89</v>
      </c>
      <c r="B90" s="13" t="s">
        <v>224</v>
      </c>
      <c r="C90" s="14" t="s">
        <v>225</v>
      </c>
      <c r="D90" s="14" t="s">
        <v>26</v>
      </c>
      <c r="E90" s="14" t="s">
        <v>22</v>
      </c>
      <c r="F90" s="14" t="s">
        <v>16</v>
      </c>
      <c r="G90" s="15">
        <v>46300</v>
      </c>
      <c r="H90" s="13"/>
      <c r="I90" s="13"/>
      <c r="J90" s="13"/>
      <c r="K90" s="13" t="s">
        <v>23</v>
      </c>
      <c r="L90" s="14"/>
    </row>
    <row r="91" spans="1:12" ht="28.5" hidden="1" customHeight="1">
      <c r="A91" s="13">
        <v>90</v>
      </c>
      <c r="B91" s="13" t="s">
        <v>226</v>
      </c>
      <c r="C91" s="14" t="s">
        <v>227</v>
      </c>
      <c r="D91" s="14" t="s">
        <v>57</v>
      </c>
      <c r="E91" s="14" t="s">
        <v>100</v>
      </c>
      <c r="F91" s="14" t="s">
        <v>16</v>
      </c>
      <c r="G91" s="15">
        <v>46286</v>
      </c>
      <c r="H91" s="13"/>
      <c r="I91" s="13"/>
      <c r="J91" s="13"/>
      <c r="K91" s="13" t="s">
        <v>23</v>
      </c>
      <c r="L91" s="14"/>
    </row>
    <row r="92" spans="1:12" ht="28.5" hidden="1" customHeight="1">
      <c r="A92" s="13">
        <v>91</v>
      </c>
      <c r="B92" s="13" t="s">
        <v>228</v>
      </c>
      <c r="C92" s="14" t="s">
        <v>229</v>
      </c>
      <c r="D92" s="14" t="s">
        <v>34</v>
      </c>
      <c r="E92" s="14" t="s">
        <v>62</v>
      </c>
      <c r="F92" s="14" t="s">
        <v>16</v>
      </c>
      <c r="G92" s="15">
        <v>46330</v>
      </c>
      <c r="H92" s="13"/>
      <c r="I92" s="13"/>
      <c r="J92" s="13"/>
      <c r="K92" s="13" t="s">
        <v>23</v>
      </c>
      <c r="L92" s="14"/>
    </row>
    <row r="93" spans="1:12" ht="28.5" hidden="1" customHeight="1">
      <c r="A93" s="13">
        <v>92</v>
      </c>
      <c r="B93" s="13" t="s">
        <v>230</v>
      </c>
      <c r="C93" s="14" t="s">
        <v>231</v>
      </c>
      <c r="D93" s="14" t="s">
        <v>26</v>
      </c>
      <c r="E93" s="14" t="s">
        <v>22</v>
      </c>
      <c r="F93" s="14" t="s">
        <v>16</v>
      </c>
      <c r="G93" s="15">
        <v>46329</v>
      </c>
      <c r="H93" s="13" t="s">
        <v>18</v>
      </c>
      <c r="I93" s="13" t="s">
        <v>17</v>
      </c>
      <c r="J93" s="13" t="s">
        <v>17</v>
      </c>
      <c r="K93" s="13" t="s">
        <v>18</v>
      </c>
      <c r="L93" s="14"/>
    </row>
    <row r="94" spans="1:12" ht="28.5" hidden="1" customHeight="1">
      <c r="A94" s="13">
        <v>93</v>
      </c>
      <c r="B94" s="13" t="s">
        <v>232</v>
      </c>
      <c r="C94" s="14" t="s">
        <v>233</v>
      </c>
      <c r="D94" s="14" t="s">
        <v>90</v>
      </c>
      <c r="E94" s="14" t="s">
        <v>48</v>
      </c>
      <c r="F94" s="14" t="s">
        <v>16</v>
      </c>
      <c r="G94" s="15">
        <v>46309</v>
      </c>
      <c r="H94" s="13"/>
      <c r="I94" s="13"/>
      <c r="J94" s="13"/>
      <c r="K94" s="13" t="s">
        <v>23</v>
      </c>
      <c r="L94" s="14"/>
    </row>
    <row r="95" spans="1:12" ht="28.5" hidden="1" customHeight="1">
      <c r="A95" s="13">
        <v>94</v>
      </c>
      <c r="B95" s="13" t="s">
        <v>234</v>
      </c>
      <c r="C95" s="14" t="s">
        <v>235</v>
      </c>
      <c r="D95" s="14" t="s">
        <v>90</v>
      </c>
      <c r="E95" s="14" t="s">
        <v>15</v>
      </c>
      <c r="F95" s="14" t="s">
        <v>16</v>
      </c>
      <c r="G95" s="15">
        <v>46315</v>
      </c>
      <c r="H95" s="13"/>
      <c r="I95" s="13"/>
      <c r="J95" s="13"/>
      <c r="K95" s="13" t="s">
        <v>23</v>
      </c>
      <c r="L95" s="14"/>
    </row>
    <row r="96" spans="1:12" ht="28.5" hidden="1" customHeight="1">
      <c r="A96" s="13">
        <v>95</v>
      </c>
      <c r="B96" s="13" t="s">
        <v>236</v>
      </c>
      <c r="C96" s="14" t="s">
        <v>237</v>
      </c>
      <c r="D96" s="14" t="s">
        <v>57</v>
      </c>
      <c r="E96" s="14" t="s">
        <v>100</v>
      </c>
      <c r="F96" s="14" t="s">
        <v>16</v>
      </c>
      <c r="G96" s="15">
        <v>46294</v>
      </c>
      <c r="H96" s="13"/>
      <c r="I96" s="13"/>
      <c r="J96" s="13"/>
      <c r="K96" s="13" t="s">
        <v>23</v>
      </c>
      <c r="L96" s="14"/>
    </row>
    <row r="97" spans="1:12" ht="28.5" hidden="1" customHeight="1">
      <c r="A97" s="13">
        <v>96</v>
      </c>
      <c r="B97" s="13" t="s">
        <v>238</v>
      </c>
      <c r="C97" s="14" t="s">
        <v>239</v>
      </c>
      <c r="D97" s="14" t="s">
        <v>34</v>
      </c>
      <c r="E97" s="14" t="s">
        <v>22</v>
      </c>
      <c r="F97" s="14" t="s">
        <v>16</v>
      </c>
      <c r="G97" s="15">
        <v>46328</v>
      </c>
      <c r="H97" s="13"/>
      <c r="I97" s="13"/>
      <c r="J97" s="13"/>
      <c r="K97" s="13" t="s">
        <v>23</v>
      </c>
      <c r="L97" s="14"/>
    </row>
    <row r="98" spans="1:12" ht="28.5" hidden="1" customHeight="1">
      <c r="A98" s="13">
        <v>97</v>
      </c>
      <c r="B98" s="13" t="s">
        <v>240</v>
      </c>
      <c r="C98" s="14" t="s">
        <v>241</v>
      </c>
      <c r="D98" s="14" t="s">
        <v>47</v>
      </c>
      <c r="E98" s="14" t="s">
        <v>122</v>
      </c>
      <c r="F98" s="14" t="s">
        <v>16</v>
      </c>
      <c r="G98" s="15">
        <v>46252</v>
      </c>
      <c r="H98" s="13"/>
      <c r="I98" s="13"/>
      <c r="J98" s="13"/>
      <c r="K98" s="13" t="s">
        <v>23</v>
      </c>
      <c r="L98" s="14"/>
    </row>
    <row r="99" spans="1:12" ht="28.5" hidden="1" customHeight="1">
      <c r="A99" s="13">
        <v>98</v>
      </c>
      <c r="B99" s="13" t="s">
        <v>242</v>
      </c>
      <c r="C99" s="14" t="s">
        <v>243</v>
      </c>
      <c r="D99" s="14" t="s">
        <v>57</v>
      </c>
      <c r="E99" s="14" t="s">
        <v>100</v>
      </c>
      <c r="F99" s="14" t="s">
        <v>16</v>
      </c>
      <c r="G99" s="15">
        <v>46238</v>
      </c>
      <c r="H99" s="13"/>
      <c r="I99" s="13"/>
      <c r="J99" s="13"/>
      <c r="K99" s="13" t="s">
        <v>23</v>
      </c>
      <c r="L99" s="14"/>
    </row>
    <row r="100" spans="1:12" ht="28.5" hidden="1" customHeight="1">
      <c r="A100" s="13">
        <v>99</v>
      </c>
      <c r="B100" s="13" t="s">
        <v>244</v>
      </c>
      <c r="C100" s="14" t="s">
        <v>245</v>
      </c>
      <c r="D100" s="14" t="s">
        <v>26</v>
      </c>
      <c r="E100" s="14" t="s">
        <v>22</v>
      </c>
      <c r="F100" s="14" t="s">
        <v>16</v>
      </c>
      <c r="G100" s="15">
        <v>46318</v>
      </c>
      <c r="H100" s="13"/>
      <c r="I100" s="13"/>
      <c r="J100" s="13"/>
      <c r="K100" s="13" t="s">
        <v>23</v>
      </c>
      <c r="L100" s="14"/>
    </row>
    <row r="101" spans="1:12" ht="28.5" hidden="1" customHeight="1">
      <c r="A101" s="13">
        <v>100</v>
      </c>
      <c r="B101" s="13" t="s">
        <v>246</v>
      </c>
      <c r="C101" s="14" t="s">
        <v>247</v>
      </c>
      <c r="D101" s="14" t="s">
        <v>21</v>
      </c>
      <c r="E101" s="14" t="s">
        <v>22</v>
      </c>
      <c r="F101" s="14" t="s">
        <v>16</v>
      </c>
      <c r="G101" s="15">
        <v>46241</v>
      </c>
      <c r="H101" s="13"/>
      <c r="I101" s="13"/>
      <c r="J101" s="13"/>
      <c r="K101" s="13" t="s">
        <v>23</v>
      </c>
      <c r="L101" s="14"/>
    </row>
    <row r="102" spans="1:12" ht="28.5" hidden="1" customHeight="1">
      <c r="A102" s="13">
        <v>101</v>
      </c>
      <c r="B102" s="13" t="s">
        <v>248</v>
      </c>
      <c r="C102" s="14" t="s">
        <v>249</v>
      </c>
      <c r="D102" s="14" t="s">
        <v>90</v>
      </c>
      <c r="E102" s="14" t="s">
        <v>22</v>
      </c>
      <c r="F102" s="14" t="s">
        <v>16</v>
      </c>
      <c r="G102" s="15">
        <v>46224</v>
      </c>
      <c r="H102" s="13" t="s">
        <v>18</v>
      </c>
      <c r="I102" s="13" t="s">
        <v>17</v>
      </c>
      <c r="J102" s="13" t="s">
        <v>17</v>
      </c>
      <c r="K102" s="13" t="s">
        <v>18</v>
      </c>
      <c r="L102" s="14"/>
    </row>
    <row r="103" spans="1:12" ht="28.5" hidden="1" customHeight="1">
      <c r="A103" s="13">
        <v>102</v>
      </c>
      <c r="B103" s="13" t="s">
        <v>250</v>
      </c>
      <c r="C103" s="14" t="s">
        <v>251</v>
      </c>
      <c r="D103" s="14" t="s">
        <v>26</v>
      </c>
      <c r="E103" s="14" t="s">
        <v>48</v>
      </c>
      <c r="F103" s="14" t="s">
        <v>16</v>
      </c>
      <c r="G103" s="15">
        <v>46231</v>
      </c>
      <c r="H103" s="13" t="s">
        <v>18</v>
      </c>
      <c r="I103" s="13" t="s">
        <v>17</v>
      </c>
      <c r="J103" s="13" t="s">
        <v>17</v>
      </c>
      <c r="K103" s="13" t="s">
        <v>18</v>
      </c>
      <c r="L103" s="14"/>
    </row>
    <row r="104" spans="1:12" ht="28.5" hidden="1" customHeight="1">
      <c r="A104" s="13">
        <v>103</v>
      </c>
      <c r="B104" s="13" t="s">
        <v>252</v>
      </c>
      <c r="C104" s="14" t="s">
        <v>253</v>
      </c>
      <c r="D104" s="14" t="s">
        <v>34</v>
      </c>
      <c r="E104" s="14" t="s">
        <v>48</v>
      </c>
      <c r="F104" s="14" t="s">
        <v>16</v>
      </c>
      <c r="G104" s="15">
        <v>46233</v>
      </c>
      <c r="H104" s="13" t="s">
        <v>18</v>
      </c>
      <c r="I104" s="13" t="s">
        <v>17</v>
      </c>
      <c r="J104" s="13" t="s">
        <v>17</v>
      </c>
      <c r="K104" s="13" t="s">
        <v>18</v>
      </c>
      <c r="L104" s="14"/>
    </row>
    <row r="105" spans="1:12" ht="28.5" hidden="1" customHeight="1">
      <c r="A105" s="13">
        <v>104</v>
      </c>
      <c r="B105" s="13" t="s">
        <v>254</v>
      </c>
      <c r="C105" s="14" t="s">
        <v>255</v>
      </c>
      <c r="D105" s="14" t="s">
        <v>34</v>
      </c>
      <c r="E105" s="14" t="s">
        <v>158</v>
      </c>
      <c r="F105" s="14" t="s">
        <v>16</v>
      </c>
      <c r="G105" s="15">
        <v>46331</v>
      </c>
      <c r="H105" s="13"/>
      <c r="I105" s="13"/>
      <c r="J105" s="13"/>
      <c r="K105" s="13" t="s">
        <v>23</v>
      </c>
      <c r="L105" s="14"/>
    </row>
  </sheetData>
  <conditionalFormatting sqref="H2:H105">
    <cfRule type="cellIs" dxfId="5" priority="3" operator="equal">
      <formula>"Apto"</formula>
    </cfRule>
    <cfRule type="cellIs" dxfId="4" priority="4" operator="equal">
      <formula>"Apto c/obs"</formula>
    </cfRule>
    <cfRule type="cellIs" dxfId="3" priority="5" operator="equal">
      <formula>"Apto c/res."</formula>
    </cfRule>
    <cfRule type="cellIs" dxfId="2" priority="6" operator="equal">
      <formula>"No apto"</formula>
    </cfRule>
  </conditionalFormatting>
  <conditionalFormatting sqref="H2:J106">
    <cfRule type="containsText" dxfId="1" priority="1" operator="containsText" text="Normal"/>
    <cfRule type="containsText" dxfId="0" priority="2" operator="containsText" text="Anormal"/>
  </conditionalFormatting>
  <dataValidations count="3">
    <dataValidation type="list" sqref="K2:K106" xr:uid="{00000000-0002-0000-0000-000000000000}">
      <formula1>"Pendiente,Apto,Apto con restricciones,No apto,Requiere evaluacion"</formula1>
    </dataValidation>
    <dataValidation type="list" allowBlank="1" errorTitle="Valor no valido" error="Seleccione una opcion de la lista." sqref="H2:H105" xr:uid="{00000000-0002-0000-0000-000001000000}">
      <formula1>"Apto,Apto c/obs,Apto c/res.,No apto"</formula1>
    </dataValidation>
    <dataValidation type="list" allowBlank="1" errorTitle="Valor no valido" error="Seleccione una opcion de la lista." sqref="I2:J105" xr:uid="{00000000-0002-0000-0000-000002000000}">
      <formula1>"Normal,Anormal"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showGridLines="0" workbookViewId="0">
      <selection activeCell="B3" sqref="B3"/>
    </sheetView>
  </sheetViews>
  <sheetFormatPr baseColWidth="10" defaultColWidth="9" defaultRowHeight="14.25"/>
  <cols>
    <col min="1" max="1" width="10" customWidth="1"/>
    <col min="2" max="2" width="16" customWidth="1"/>
    <col min="3" max="4" width="13" customWidth="1"/>
    <col min="5" max="5" width="10" customWidth="1"/>
    <col min="6" max="6" width="30" customWidth="1"/>
    <col min="7" max="7" width="28" customWidth="1"/>
    <col min="8" max="8" width="44" customWidth="1"/>
  </cols>
  <sheetData>
    <row r="1" spans="1:8" ht="15" customHeight="1">
      <c r="A1" s="3" t="s">
        <v>256</v>
      </c>
      <c r="B1" s="3" t="s">
        <v>257</v>
      </c>
      <c r="C1" s="3" t="s">
        <v>258</v>
      </c>
      <c r="D1" s="3" t="s">
        <v>259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>
      <c r="A2" s="4">
        <v>1</v>
      </c>
      <c r="B2" s="5">
        <v>46223</v>
      </c>
      <c r="C2" s="4" t="s">
        <v>260</v>
      </c>
      <c r="D2" s="4" t="s">
        <v>261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s="4">
        <v>2</v>
      </c>
      <c r="B3" s="5">
        <v>46223</v>
      </c>
      <c r="C3" s="4" t="s">
        <v>260</v>
      </c>
      <c r="D3" s="4" t="s">
        <v>261</v>
      </c>
      <c r="E3" s="4" t="s">
        <v>45</v>
      </c>
      <c r="F3" s="4" t="s">
        <v>46</v>
      </c>
      <c r="G3" s="4" t="s">
        <v>47</v>
      </c>
      <c r="H3" s="4" t="s">
        <v>48</v>
      </c>
    </row>
    <row r="4" spans="1:8">
      <c r="A4" s="4">
        <v>3</v>
      </c>
      <c r="B4" s="5">
        <v>46223</v>
      </c>
      <c r="C4" s="4" t="s">
        <v>260</v>
      </c>
      <c r="D4" s="4" t="s">
        <v>261</v>
      </c>
      <c r="E4" s="4" t="s">
        <v>69</v>
      </c>
      <c r="F4" s="4" t="s">
        <v>70</v>
      </c>
      <c r="G4" s="4" t="s">
        <v>34</v>
      </c>
      <c r="H4" s="4" t="s">
        <v>62</v>
      </c>
    </row>
    <row r="5" spans="1:8">
      <c r="A5" s="4">
        <v>4</v>
      </c>
      <c r="B5" s="5">
        <v>46224</v>
      </c>
      <c r="C5" s="4" t="s">
        <v>262</v>
      </c>
      <c r="D5" s="4" t="s">
        <v>261</v>
      </c>
      <c r="E5" s="4" t="s">
        <v>19</v>
      </c>
      <c r="F5" s="4" t="s">
        <v>20</v>
      </c>
      <c r="G5" s="4" t="s">
        <v>21</v>
      </c>
      <c r="H5" s="4" t="s">
        <v>22</v>
      </c>
    </row>
    <row r="6" spans="1:8">
      <c r="A6" s="4">
        <v>5</v>
      </c>
      <c r="B6" s="5">
        <v>46224</v>
      </c>
      <c r="C6" s="4" t="s">
        <v>262</v>
      </c>
      <c r="D6" s="4" t="s">
        <v>261</v>
      </c>
      <c r="E6" s="4" t="s">
        <v>248</v>
      </c>
      <c r="F6" s="4" t="s">
        <v>249</v>
      </c>
      <c r="G6" s="4" t="s">
        <v>90</v>
      </c>
      <c r="H6" s="4" t="s">
        <v>22</v>
      </c>
    </row>
    <row r="7" spans="1:8">
      <c r="A7" s="4">
        <v>6</v>
      </c>
      <c r="B7" s="5">
        <v>46224</v>
      </c>
      <c r="C7" s="4" t="s">
        <v>262</v>
      </c>
      <c r="D7" s="4" t="s">
        <v>261</v>
      </c>
      <c r="E7" s="4" t="s">
        <v>110</v>
      </c>
      <c r="F7" s="4" t="s">
        <v>111</v>
      </c>
      <c r="G7" s="4" t="s">
        <v>57</v>
      </c>
      <c r="H7" s="4" t="s">
        <v>100</v>
      </c>
    </row>
    <row r="8" spans="1:8">
      <c r="A8" s="4">
        <v>7</v>
      </c>
      <c r="B8" s="5">
        <v>46225</v>
      </c>
      <c r="C8" s="4" t="s">
        <v>263</v>
      </c>
      <c r="D8" s="4" t="s">
        <v>261</v>
      </c>
      <c r="E8" s="4" t="s">
        <v>51</v>
      </c>
      <c r="F8" s="4" t="s">
        <v>52</v>
      </c>
      <c r="G8" s="4" t="s">
        <v>14</v>
      </c>
      <c r="H8" s="4" t="s">
        <v>22</v>
      </c>
    </row>
    <row r="9" spans="1:8">
      <c r="A9" s="4">
        <v>8</v>
      </c>
      <c r="B9" s="5">
        <v>46225</v>
      </c>
      <c r="C9" s="4" t="s">
        <v>263</v>
      </c>
      <c r="D9" s="4" t="s">
        <v>261</v>
      </c>
      <c r="E9" s="4" t="s">
        <v>24</v>
      </c>
      <c r="F9" s="4" t="s">
        <v>25</v>
      </c>
      <c r="G9" s="4" t="s">
        <v>26</v>
      </c>
      <c r="H9" s="4" t="s">
        <v>22</v>
      </c>
    </row>
    <row r="10" spans="1:8">
      <c r="A10" s="4">
        <v>9</v>
      </c>
      <c r="B10" s="5">
        <v>46225</v>
      </c>
      <c r="C10" s="4" t="s">
        <v>263</v>
      </c>
      <c r="D10" s="4" t="s">
        <v>261</v>
      </c>
      <c r="E10" s="4" t="s">
        <v>58</v>
      </c>
      <c r="F10" s="4" t="s">
        <v>59</v>
      </c>
      <c r="G10" s="4" t="s">
        <v>38</v>
      </c>
      <c r="H10" s="4" t="s">
        <v>39</v>
      </c>
    </row>
    <row r="11" spans="1:8">
      <c r="A11" s="4">
        <v>10</v>
      </c>
      <c r="B11" s="5">
        <v>46226</v>
      </c>
      <c r="C11" s="4" t="s">
        <v>264</v>
      </c>
      <c r="D11" s="4" t="s">
        <v>261</v>
      </c>
      <c r="E11" s="4" t="s">
        <v>55</v>
      </c>
      <c r="F11" s="4" t="s">
        <v>56</v>
      </c>
      <c r="G11" s="4" t="s">
        <v>57</v>
      </c>
      <c r="H11" s="4" t="s">
        <v>22</v>
      </c>
    </row>
    <row r="12" spans="1:8">
      <c r="A12" s="4">
        <v>11</v>
      </c>
      <c r="B12" s="5">
        <v>46226</v>
      </c>
      <c r="C12" s="4" t="s">
        <v>264</v>
      </c>
      <c r="D12" s="4" t="s">
        <v>261</v>
      </c>
      <c r="E12" s="4" t="s">
        <v>74</v>
      </c>
      <c r="F12" s="4" t="s">
        <v>75</v>
      </c>
      <c r="G12" s="4" t="s">
        <v>26</v>
      </c>
      <c r="H12" s="4" t="s">
        <v>48</v>
      </c>
    </row>
    <row r="13" spans="1:8">
      <c r="A13" s="4">
        <v>12</v>
      </c>
      <c r="B13" s="5">
        <v>46226</v>
      </c>
      <c r="C13" s="4" t="s">
        <v>264</v>
      </c>
      <c r="D13" s="4" t="s">
        <v>261</v>
      </c>
      <c r="E13" s="4" t="s">
        <v>27</v>
      </c>
      <c r="F13" s="4" t="s">
        <v>28</v>
      </c>
      <c r="G13" s="4" t="s">
        <v>29</v>
      </c>
      <c r="H13" s="4" t="s">
        <v>15</v>
      </c>
    </row>
    <row r="14" spans="1:8">
      <c r="A14" s="4">
        <v>13</v>
      </c>
      <c r="B14" s="5">
        <v>46227</v>
      </c>
      <c r="C14" s="4" t="s">
        <v>265</v>
      </c>
      <c r="D14" s="4" t="s">
        <v>261</v>
      </c>
      <c r="E14" s="4" t="s">
        <v>80</v>
      </c>
      <c r="F14" s="4" t="s">
        <v>81</v>
      </c>
      <c r="G14" s="4" t="s">
        <v>57</v>
      </c>
      <c r="H14" s="4" t="s">
        <v>22</v>
      </c>
    </row>
    <row r="15" spans="1:8">
      <c r="A15" s="4">
        <v>14</v>
      </c>
      <c r="B15" s="5">
        <v>46227</v>
      </c>
      <c r="C15" s="4" t="s">
        <v>265</v>
      </c>
      <c r="D15" s="4" t="s">
        <v>261</v>
      </c>
      <c r="E15" s="4" t="s">
        <v>30</v>
      </c>
      <c r="F15" s="4" t="s">
        <v>31</v>
      </c>
      <c r="G15" s="4" t="s">
        <v>26</v>
      </c>
      <c r="H15" s="4" t="s">
        <v>22</v>
      </c>
    </row>
    <row r="16" spans="1:8">
      <c r="A16" s="4">
        <v>15</v>
      </c>
      <c r="B16" s="5">
        <v>46227</v>
      </c>
      <c r="C16" s="4" t="s">
        <v>265</v>
      </c>
      <c r="D16" s="4" t="s">
        <v>261</v>
      </c>
      <c r="E16" s="4" t="s">
        <v>53</v>
      </c>
      <c r="F16" s="4" t="s">
        <v>54</v>
      </c>
      <c r="G16" s="4" t="s">
        <v>29</v>
      </c>
      <c r="H16" s="4" t="s">
        <v>22</v>
      </c>
    </row>
    <row r="17" spans="1:8">
      <c r="A17" s="4">
        <v>16</v>
      </c>
      <c r="B17" s="5">
        <v>46230</v>
      </c>
      <c r="C17" s="4" t="s">
        <v>260</v>
      </c>
      <c r="D17" s="4" t="s">
        <v>261</v>
      </c>
      <c r="E17" s="4" t="s">
        <v>65</v>
      </c>
      <c r="F17" s="4" t="s">
        <v>66</v>
      </c>
      <c r="G17" s="4" t="s">
        <v>29</v>
      </c>
      <c r="H17" s="4" t="s">
        <v>22</v>
      </c>
    </row>
    <row r="18" spans="1:8">
      <c r="A18" s="4">
        <v>17</v>
      </c>
      <c r="B18" s="5">
        <v>46230</v>
      </c>
      <c r="C18" s="4" t="s">
        <v>260</v>
      </c>
      <c r="D18" s="4" t="s">
        <v>261</v>
      </c>
      <c r="E18" s="4" t="s">
        <v>143</v>
      </c>
      <c r="F18" s="4" t="s">
        <v>144</v>
      </c>
      <c r="G18" s="4" t="s">
        <v>134</v>
      </c>
      <c r="H18" s="4" t="s">
        <v>22</v>
      </c>
    </row>
    <row r="19" spans="1:8">
      <c r="A19" s="4">
        <v>18</v>
      </c>
      <c r="B19" s="5">
        <v>46231</v>
      </c>
      <c r="C19" s="4" t="s">
        <v>262</v>
      </c>
      <c r="D19" s="4" t="s">
        <v>261</v>
      </c>
      <c r="E19" s="4" t="s">
        <v>250</v>
      </c>
      <c r="F19" s="4" t="s">
        <v>251</v>
      </c>
      <c r="G19" s="4" t="s">
        <v>26</v>
      </c>
      <c r="H19" s="4" t="s">
        <v>48</v>
      </c>
    </row>
    <row r="20" spans="1:8">
      <c r="A20" s="4">
        <v>19</v>
      </c>
      <c r="B20" s="5">
        <v>46231</v>
      </c>
      <c r="C20" s="4" t="s">
        <v>262</v>
      </c>
      <c r="D20" s="4" t="s">
        <v>261</v>
      </c>
      <c r="E20" s="4" t="s">
        <v>195</v>
      </c>
      <c r="F20" s="4" t="s">
        <v>196</v>
      </c>
      <c r="G20" s="4" t="s">
        <v>21</v>
      </c>
      <c r="H20" s="4" t="s">
        <v>48</v>
      </c>
    </row>
    <row r="21" spans="1:8">
      <c r="A21" s="4">
        <v>20</v>
      </c>
      <c r="B21" s="5">
        <v>46232</v>
      </c>
      <c r="C21" s="4" t="s">
        <v>263</v>
      </c>
      <c r="D21" s="4" t="s">
        <v>261</v>
      </c>
      <c r="E21" s="4" t="s">
        <v>125</v>
      </c>
      <c r="F21" s="4" t="s">
        <v>126</v>
      </c>
      <c r="G21" s="4" t="s">
        <v>95</v>
      </c>
      <c r="H21" s="4" t="s">
        <v>22</v>
      </c>
    </row>
    <row r="22" spans="1:8">
      <c r="A22" s="4">
        <v>21</v>
      </c>
      <c r="B22" s="5">
        <v>46232</v>
      </c>
      <c r="C22" s="4" t="s">
        <v>263</v>
      </c>
      <c r="D22" s="4" t="s">
        <v>261</v>
      </c>
      <c r="E22" s="4" t="s">
        <v>197</v>
      </c>
      <c r="F22" s="4" t="s">
        <v>198</v>
      </c>
      <c r="G22" s="4" t="s">
        <v>199</v>
      </c>
      <c r="H22" s="4" t="s">
        <v>22</v>
      </c>
    </row>
    <row r="23" spans="1:8">
      <c r="A23" s="4">
        <v>22</v>
      </c>
      <c r="B23" s="5">
        <v>46233</v>
      </c>
      <c r="C23" s="4" t="s">
        <v>264</v>
      </c>
      <c r="D23" s="4" t="s">
        <v>261</v>
      </c>
      <c r="E23" s="4" t="s">
        <v>129</v>
      </c>
      <c r="F23" s="4" t="s">
        <v>130</v>
      </c>
      <c r="G23" s="4" t="s">
        <v>131</v>
      </c>
      <c r="H23" s="4" t="s">
        <v>22</v>
      </c>
    </row>
    <row r="24" spans="1:8">
      <c r="A24" s="4">
        <v>23</v>
      </c>
      <c r="B24" s="5">
        <v>46233</v>
      </c>
      <c r="C24" s="4" t="s">
        <v>264</v>
      </c>
      <c r="D24" s="4" t="s">
        <v>261</v>
      </c>
      <c r="E24" s="4" t="s">
        <v>252</v>
      </c>
      <c r="F24" s="4" t="s">
        <v>253</v>
      </c>
      <c r="G24" s="4" t="s">
        <v>34</v>
      </c>
      <c r="H24" s="4" t="s">
        <v>48</v>
      </c>
    </row>
    <row r="25" spans="1:8">
      <c r="A25" s="4">
        <v>24</v>
      </c>
      <c r="B25" s="5">
        <v>46234</v>
      </c>
      <c r="C25" s="4" t="s">
        <v>265</v>
      </c>
      <c r="D25" s="4" t="s">
        <v>261</v>
      </c>
      <c r="E25" s="4" t="s">
        <v>107</v>
      </c>
      <c r="F25" s="4" t="s">
        <v>108</v>
      </c>
      <c r="G25" s="4" t="s">
        <v>109</v>
      </c>
      <c r="H25" s="4" t="s">
        <v>22</v>
      </c>
    </row>
    <row r="26" spans="1:8">
      <c r="A26" s="4">
        <v>25</v>
      </c>
      <c r="B26" s="5">
        <v>46234</v>
      </c>
      <c r="C26" s="4" t="s">
        <v>265</v>
      </c>
      <c r="D26" s="4" t="s">
        <v>261</v>
      </c>
      <c r="E26" s="4" t="s">
        <v>32</v>
      </c>
      <c r="F26" s="4" t="s">
        <v>33</v>
      </c>
      <c r="G26" s="4" t="s">
        <v>34</v>
      </c>
      <c r="H26" s="4" t="s">
        <v>35</v>
      </c>
    </row>
    <row r="27" spans="1:8">
      <c r="A27" s="4">
        <v>26</v>
      </c>
      <c r="B27" s="5">
        <v>46237</v>
      </c>
      <c r="C27" s="4" t="s">
        <v>260</v>
      </c>
      <c r="D27" s="4" t="s">
        <v>261</v>
      </c>
      <c r="E27" s="4" t="s">
        <v>141</v>
      </c>
      <c r="F27" s="4" t="s">
        <v>142</v>
      </c>
      <c r="G27" s="4" t="s">
        <v>73</v>
      </c>
      <c r="H27" s="4" t="s">
        <v>22</v>
      </c>
    </row>
    <row r="28" spans="1:8">
      <c r="A28" s="4">
        <v>27</v>
      </c>
      <c r="B28" s="5">
        <v>46237</v>
      </c>
      <c r="C28" s="4" t="s">
        <v>260</v>
      </c>
      <c r="D28" s="4" t="s">
        <v>261</v>
      </c>
      <c r="E28" s="4" t="s">
        <v>176</v>
      </c>
      <c r="F28" s="4" t="s">
        <v>177</v>
      </c>
      <c r="G28" s="4" t="s">
        <v>109</v>
      </c>
      <c r="H28" s="4" t="s">
        <v>22</v>
      </c>
    </row>
    <row r="29" spans="1:8">
      <c r="A29" s="4">
        <v>28</v>
      </c>
      <c r="B29" s="5">
        <v>46238</v>
      </c>
      <c r="C29" s="4" t="s">
        <v>262</v>
      </c>
      <c r="D29" s="4" t="s">
        <v>261</v>
      </c>
      <c r="E29" s="4" t="s">
        <v>49</v>
      </c>
      <c r="F29" s="4" t="s">
        <v>50</v>
      </c>
      <c r="G29" s="4" t="s">
        <v>26</v>
      </c>
      <c r="H29" s="4" t="s">
        <v>22</v>
      </c>
    </row>
    <row r="30" spans="1:8">
      <c r="A30" s="4">
        <v>29</v>
      </c>
      <c r="B30" s="5">
        <v>46238</v>
      </c>
      <c r="C30" s="4" t="s">
        <v>262</v>
      </c>
      <c r="D30" s="4" t="s">
        <v>261</v>
      </c>
      <c r="E30" s="4" t="s">
        <v>242</v>
      </c>
      <c r="F30" s="4" t="s">
        <v>243</v>
      </c>
      <c r="G30" s="4" t="s">
        <v>57</v>
      </c>
      <c r="H30" s="4" t="s">
        <v>100</v>
      </c>
    </row>
    <row r="31" spans="1:8">
      <c r="A31" s="4">
        <v>30</v>
      </c>
      <c r="B31" s="5">
        <v>46239</v>
      </c>
      <c r="C31" s="4" t="s">
        <v>263</v>
      </c>
      <c r="D31" s="4" t="s">
        <v>261</v>
      </c>
      <c r="E31" s="4" t="s">
        <v>60</v>
      </c>
      <c r="F31" s="4" t="s">
        <v>61</v>
      </c>
      <c r="G31" s="4" t="s">
        <v>29</v>
      </c>
      <c r="H31" s="4" t="s">
        <v>62</v>
      </c>
    </row>
    <row r="32" spans="1:8">
      <c r="A32" s="4">
        <v>31</v>
      </c>
      <c r="B32" s="5">
        <v>46239</v>
      </c>
      <c r="C32" s="4" t="s">
        <v>263</v>
      </c>
      <c r="D32" s="4" t="s">
        <v>261</v>
      </c>
      <c r="E32" s="4" t="s">
        <v>212</v>
      </c>
      <c r="F32" s="4" t="s">
        <v>213</v>
      </c>
      <c r="G32" s="4" t="s">
        <v>47</v>
      </c>
      <c r="H32" s="4" t="s">
        <v>122</v>
      </c>
    </row>
    <row r="33" spans="1:8">
      <c r="A33" s="4">
        <v>32</v>
      </c>
      <c r="B33" s="5">
        <v>46240</v>
      </c>
      <c r="C33" s="4" t="s">
        <v>264</v>
      </c>
      <c r="D33" s="4" t="s">
        <v>261</v>
      </c>
      <c r="E33" s="4" t="s">
        <v>36</v>
      </c>
      <c r="F33" s="4" t="s">
        <v>37</v>
      </c>
      <c r="G33" s="4" t="s">
        <v>38</v>
      </c>
      <c r="H33" s="4" t="s">
        <v>39</v>
      </c>
    </row>
    <row r="34" spans="1:8">
      <c r="A34" s="4">
        <v>33</v>
      </c>
      <c r="B34" s="5">
        <v>46240</v>
      </c>
      <c r="C34" s="4" t="s">
        <v>264</v>
      </c>
      <c r="D34" s="4" t="s">
        <v>261</v>
      </c>
      <c r="E34" s="4" t="s">
        <v>218</v>
      </c>
      <c r="F34" s="4" t="s">
        <v>219</v>
      </c>
      <c r="G34" s="4" t="s">
        <v>134</v>
      </c>
      <c r="H34" s="4" t="s">
        <v>22</v>
      </c>
    </row>
    <row r="35" spans="1:8">
      <c r="A35" s="4">
        <v>34</v>
      </c>
      <c r="B35" s="5">
        <v>46241</v>
      </c>
      <c r="C35" s="4" t="s">
        <v>265</v>
      </c>
      <c r="D35" s="4" t="s">
        <v>261</v>
      </c>
      <c r="E35" s="4" t="s">
        <v>127</v>
      </c>
      <c r="F35" s="4" t="s">
        <v>128</v>
      </c>
      <c r="G35" s="4" t="s">
        <v>95</v>
      </c>
      <c r="H35" s="4" t="s">
        <v>22</v>
      </c>
    </row>
    <row r="36" spans="1:8">
      <c r="A36" s="4">
        <v>35</v>
      </c>
      <c r="B36" s="5">
        <v>46241</v>
      </c>
      <c r="C36" s="4" t="s">
        <v>265</v>
      </c>
      <c r="D36" s="4" t="s">
        <v>261</v>
      </c>
      <c r="E36" s="4" t="s">
        <v>246</v>
      </c>
      <c r="F36" s="4" t="s">
        <v>247</v>
      </c>
      <c r="G36" s="4" t="s">
        <v>21</v>
      </c>
      <c r="H36" s="4" t="s">
        <v>22</v>
      </c>
    </row>
    <row r="37" spans="1:8">
      <c r="A37" s="4">
        <v>36</v>
      </c>
      <c r="B37" s="5">
        <v>46244</v>
      </c>
      <c r="C37" s="4" t="s">
        <v>260</v>
      </c>
      <c r="D37" s="4" t="s">
        <v>261</v>
      </c>
      <c r="E37" s="4" t="s">
        <v>132</v>
      </c>
      <c r="F37" s="4" t="s">
        <v>133</v>
      </c>
      <c r="G37" s="4" t="s">
        <v>134</v>
      </c>
      <c r="H37" s="4" t="s">
        <v>22</v>
      </c>
    </row>
    <row r="38" spans="1:8">
      <c r="A38" s="4">
        <v>37</v>
      </c>
      <c r="B38" s="5">
        <v>46245</v>
      </c>
      <c r="C38" s="4" t="s">
        <v>262</v>
      </c>
      <c r="D38" s="4" t="s">
        <v>261</v>
      </c>
      <c r="E38" s="4" t="s">
        <v>135</v>
      </c>
      <c r="F38" s="4" t="s">
        <v>136</v>
      </c>
      <c r="G38" s="4" t="s">
        <v>14</v>
      </c>
      <c r="H38" s="4" t="s">
        <v>22</v>
      </c>
    </row>
    <row r="39" spans="1:8">
      <c r="A39" s="4">
        <v>38</v>
      </c>
      <c r="B39" s="5">
        <v>46246</v>
      </c>
      <c r="C39" s="4" t="s">
        <v>263</v>
      </c>
      <c r="D39" s="4" t="s">
        <v>261</v>
      </c>
      <c r="E39" s="4" t="s">
        <v>88</v>
      </c>
      <c r="F39" s="4" t="s">
        <v>89</v>
      </c>
      <c r="G39" s="4" t="s">
        <v>90</v>
      </c>
      <c r="H39" s="4" t="s">
        <v>22</v>
      </c>
    </row>
    <row r="40" spans="1:8">
      <c r="A40" s="4">
        <v>39</v>
      </c>
      <c r="B40" s="5">
        <v>46247</v>
      </c>
      <c r="C40" s="4" t="s">
        <v>264</v>
      </c>
      <c r="D40" s="4" t="s">
        <v>261</v>
      </c>
      <c r="E40" s="4" t="s">
        <v>167</v>
      </c>
      <c r="F40" s="4" t="s">
        <v>168</v>
      </c>
      <c r="G40" s="4" t="s">
        <v>57</v>
      </c>
      <c r="H40" s="4" t="s">
        <v>100</v>
      </c>
    </row>
    <row r="41" spans="1:8">
      <c r="A41" s="4">
        <v>40</v>
      </c>
      <c r="B41" s="5">
        <v>46248</v>
      </c>
      <c r="C41" s="4" t="s">
        <v>265</v>
      </c>
      <c r="D41" s="4" t="s">
        <v>261</v>
      </c>
      <c r="E41" s="4" t="s">
        <v>174</v>
      </c>
      <c r="F41" s="4" t="s">
        <v>175</v>
      </c>
      <c r="G41" s="4" t="s">
        <v>109</v>
      </c>
      <c r="H41" s="4" t="s">
        <v>22</v>
      </c>
    </row>
    <row r="42" spans="1:8">
      <c r="A42" s="4">
        <v>41</v>
      </c>
      <c r="B42" s="5">
        <v>46252</v>
      </c>
      <c r="C42" s="4" t="s">
        <v>262</v>
      </c>
      <c r="D42" s="4" t="s">
        <v>261</v>
      </c>
      <c r="E42" s="4" t="s">
        <v>240</v>
      </c>
      <c r="F42" s="4" t="s">
        <v>241</v>
      </c>
      <c r="G42" s="4" t="s">
        <v>47</v>
      </c>
      <c r="H42" s="4" t="s">
        <v>122</v>
      </c>
    </row>
    <row r="43" spans="1:8">
      <c r="A43" s="4">
        <v>42</v>
      </c>
      <c r="B43" s="5">
        <v>46253</v>
      </c>
      <c r="C43" s="4" t="s">
        <v>263</v>
      </c>
      <c r="D43" s="4" t="s">
        <v>261</v>
      </c>
      <c r="E43" s="4" t="s">
        <v>222</v>
      </c>
      <c r="F43" s="4" t="s">
        <v>223</v>
      </c>
      <c r="G43" s="4" t="s">
        <v>21</v>
      </c>
      <c r="H43" s="4" t="s">
        <v>122</v>
      </c>
    </row>
    <row r="44" spans="1:8">
      <c r="A44" s="4">
        <v>43</v>
      </c>
      <c r="B44" s="5">
        <v>46254</v>
      </c>
      <c r="C44" s="4" t="s">
        <v>264</v>
      </c>
      <c r="D44" s="4" t="s">
        <v>261</v>
      </c>
      <c r="E44" s="4" t="s">
        <v>71</v>
      </c>
      <c r="F44" s="4" t="s">
        <v>72</v>
      </c>
      <c r="G44" s="4" t="s">
        <v>73</v>
      </c>
      <c r="H44" s="4" t="s">
        <v>22</v>
      </c>
    </row>
    <row r="45" spans="1:8">
      <c r="A45" s="4">
        <v>44</v>
      </c>
      <c r="B45" s="5">
        <v>46255</v>
      </c>
      <c r="C45" s="4" t="s">
        <v>265</v>
      </c>
      <c r="D45" s="4" t="s">
        <v>261</v>
      </c>
      <c r="E45" s="4" t="s">
        <v>63</v>
      </c>
      <c r="F45" s="4" t="s">
        <v>64</v>
      </c>
      <c r="G45" s="4" t="s">
        <v>34</v>
      </c>
      <c r="H45" s="4" t="s">
        <v>62</v>
      </c>
    </row>
    <row r="46" spans="1:8">
      <c r="A46" s="4">
        <v>45</v>
      </c>
      <c r="B46" s="5">
        <v>46258</v>
      </c>
      <c r="C46" s="4" t="s">
        <v>260</v>
      </c>
      <c r="D46" s="4" t="s">
        <v>261</v>
      </c>
      <c r="E46" s="4" t="s">
        <v>40</v>
      </c>
      <c r="F46" s="4" t="s">
        <v>41</v>
      </c>
      <c r="G46" s="4" t="s">
        <v>38</v>
      </c>
      <c r="H46" s="4" t="s">
        <v>39</v>
      </c>
    </row>
    <row r="47" spans="1:8">
      <c r="A47" s="4">
        <v>46</v>
      </c>
      <c r="B47" s="5">
        <v>46259</v>
      </c>
      <c r="C47" s="4" t="s">
        <v>262</v>
      </c>
      <c r="D47" s="4" t="s">
        <v>261</v>
      </c>
      <c r="E47" s="4" t="s">
        <v>67</v>
      </c>
      <c r="F47" s="4" t="s">
        <v>68</v>
      </c>
      <c r="G47" s="4" t="s">
        <v>26</v>
      </c>
      <c r="H47" s="4" t="s">
        <v>22</v>
      </c>
    </row>
    <row r="48" spans="1:8">
      <c r="A48" s="4">
        <v>47</v>
      </c>
      <c r="B48" s="5">
        <v>46260</v>
      </c>
      <c r="C48" s="4" t="s">
        <v>263</v>
      </c>
      <c r="D48" s="4" t="s">
        <v>261</v>
      </c>
      <c r="E48" s="4" t="s">
        <v>93</v>
      </c>
      <c r="F48" s="4" t="s">
        <v>94</v>
      </c>
      <c r="G48" s="4" t="s">
        <v>95</v>
      </c>
      <c r="H48" s="4" t="s">
        <v>22</v>
      </c>
    </row>
    <row r="49" spans="1:8">
      <c r="A49" s="4">
        <v>48</v>
      </c>
      <c r="B49" s="5">
        <v>46261</v>
      </c>
      <c r="C49" s="4" t="s">
        <v>264</v>
      </c>
      <c r="D49" s="4" t="s">
        <v>261</v>
      </c>
      <c r="E49" s="4" t="s">
        <v>96</v>
      </c>
      <c r="F49" s="4" t="s">
        <v>97</v>
      </c>
      <c r="G49" s="4" t="s">
        <v>14</v>
      </c>
      <c r="H49" s="4" t="s">
        <v>22</v>
      </c>
    </row>
    <row r="50" spans="1:8">
      <c r="A50" s="4">
        <v>49</v>
      </c>
      <c r="B50" s="5">
        <v>46262</v>
      </c>
      <c r="C50" s="4" t="s">
        <v>265</v>
      </c>
      <c r="D50" s="4" t="s">
        <v>261</v>
      </c>
      <c r="E50" s="4" t="s">
        <v>98</v>
      </c>
      <c r="F50" s="4" t="s">
        <v>99</v>
      </c>
      <c r="G50" s="4" t="s">
        <v>29</v>
      </c>
      <c r="H50" s="4" t="s">
        <v>100</v>
      </c>
    </row>
    <row r="51" spans="1:8">
      <c r="A51" s="4">
        <v>50</v>
      </c>
      <c r="B51" s="5">
        <v>46265</v>
      </c>
      <c r="C51" s="4" t="s">
        <v>260</v>
      </c>
      <c r="D51" s="4" t="s">
        <v>261</v>
      </c>
      <c r="E51" s="4" t="s">
        <v>105</v>
      </c>
      <c r="F51" s="4" t="s">
        <v>106</v>
      </c>
      <c r="G51" s="4" t="s">
        <v>90</v>
      </c>
      <c r="H51" s="4" t="s">
        <v>22</v>
      </c>
    </row>
    <row r="52" spans="1:8">
      <c r="A52" s="4">
        <v>51</v>
      </c>
      <c r="B52" s="5">
        <v>46266</v>
      </c>
      <c r="C52" s="4" t="s">
        <v>262</v>
      </c>
      <c r="D52" s="4" t="s">
        <v>261</v>
      </c>
      <c r="E52" s="4" t="s">
        <v>42</v>
      </c>
      <c r="F52" s="4" t="s">
        <v>43</v>
      </c>
      <c r="G52" s="4" t="s">
        <v>34</v>
      </c>
      <c r="H52" s="4" t="s">
        <v>44</v>
      </c>
    </row>
    <row r="53" spans="1:8">
      <c r="A53" s="4">
        <v>52</v>
      </c>
      <c r="B53" s="5">
        <v>46266</v>
      </c>
      <c r="C53" s="4" t="s">
        <v>262</v>
      </c>
      <c r="D53" s="4" t="s">
        <v>261</v>
      </c>
      <c r="E53" s="4" t="s">
        <v>193</v>
      </c>
      <c r="F53" s="4" t="s">
        <v>194</v>
      </c>
      <c r="G53" s="4" t="s">
        <v>29</v>
      </c>
      <c r="H53" s="4" t="s">
        <v>22</v>
      </c>
    </row>
    <row r="54" spans="1:8">
      <c r="A54" s="4">
        <v>53</v>
      </c>
      <c r="B54" s="5">
        <v>46267</v>
      </c>
      <c r="C54" s="4" t="s">
        <v>263</v>
      </c>
      <c r="D54" s="4" t="s">
        <v>261</v>
      </c>
      <c r="E54" s="4" t="s">
        <v>76</v>
      </c>
      <c r="F54" s="4" t="s">
        <v>77</v>
      </c>
      <c r="G54" s="4" t="s">
        <v>26</v>
      </c>
      <c r="H54" s="4" t="s">
        <v>22</v>
      </c>
    </row>
    <row r="55" spans="1:8">
      <c r="A55" s="4">
        <v>54</v>
      </c>
      <c r="B55" s="5">
        <v>46267</v>
      </c>
      <c r="C55" s="4" t="s">
        <v>263</v>
      </c>
      <c r="D55" s="4" t="s">
        <v>261</v>
      </c>
      <c r="E55" s="4" t="s">
        <v>145</v>
      </c>
      <c r="F55" s="4" t="s">
        <v>146</v>
      </c>
      <c r="G55" s="4" t="s">
        <v>34</v>
      </c>
      <c r="H55" s="4" t="s">
        <v>147</v>
      </c>
    </row>
    <row r="56" spans="1:8">
      <c r="A56" s="4">
        <v>55</v>
      </c>
      <c r="B56" s="5">
        <v>46268</v>
      </c>
      <c r="C56" s="4" t="s">
        <v>264</v>
      </c>
      <c r="D56" s="4" t="s">
        <v>261</v>
      </c>
      <c r="E56" s="4" t="s">
        <v>101</v>
      </c>
      <c r="F56" s="4" t="s">
        <v>102</v>
      </c>
      <c r="G56" s="4" t="s">
        <v>29</v>
      </c>
      <c r="H56" s="4" t="s">
        <v>22</v>
      </c>
    </row>
    <row r="57" spans="1:8">
      <c r="A57" s="4">
        <v>56</v>
      </c>
      <c r="B57" s="5">
        <v>46268</v>
      </c>
      <c r="C57" s="4" t="s">
        <v>264</v>
      </c>
      <c r="D57" s="4" t="s">
        <v>261</v>
      </c>
      <c r="E57" s="4" t="s">
        <v>178</v>
      </c>
      <c r="F57" s="4" t="s">
        <v>179</v>
      </c>
      <c r="G57" s="4" t="s">
        <v>90</v>
      </c>
      <c r="H57" s="4" t="s">
        <v>171</v>
      </c>
    </row>
    <row r="58" spans="1:8">
      <c r="A58" s="4">
        <v>57</v>
      </c>
      <c r="B58" s="5">
        <v>46269</v>
      </c>
      <c r="C58" s="4" t="s">
        <v>265</v>
      </c>
      <c r="D58" s="4" t="s">
        <v>261</v>
      </c>
      <c r="E58" s="4" t="s">
        <v>120</v>
      </c>
      <c r="F58" s="4" t="s">
        <v>121</v>
      </c>
      <c r="G58" s="4" t="s">
        <v>90</v>
      </c>
      <c r="H58" s="4" t="s">
        <v>122</v>
      </c>
    </row>
    <row r="59" spans="1:8">
      <c r="A59" s="4">
        <v>58</v>
      </c>
      <c r="B59" s="5">
        <v>46272</v>
      </c>
      <c r="C59" s="4" t="s">
        <v>260</v>
      </c>
      <c r="D59" s="4" t="s">
        <v>261</v>
      </c>
      <c r="E59" s="4" t="s">
        <v>137</v>
      </c>
      <c r="F59" s="4" t="s">
        <v>138</v>
      </c>
      <c r="G59" s="4" t="s">
        <v>14</v>
      </c>
      <c r="H59" s="4" t="s">
        <v>15</v>
      </c>
    </row>
    <row r="60" spans="1:8">
      <c r="A60" s="4">
        <v>59</v>
      </c>
      <c r="B60" s="5">
        <v>46273</v>
      </c>
      <c r="C60" s="4" t="s">
        <v>262</v>
      </c>
      <c r="D60" s="4" t="s">
        <v>261</v>
      </c>
      <c r="E60" s="4" t="s">
        <v>139</v>
      </c>
      <c r="F60" s="4" t="s">
        <v>140</v>
      </c>
      <c r="G60" s="4" t="s">
        <v>95</v>
      </c>
      <c r="H60" s="4" t="s">
        <v>22</v>
      </c>
    </row>
    <row r="61" spans="1:8">
      <c r="A61" s="4">
        <v>60</v>
      </c>
      <c r="B61" s="5">
        <v>46274</v>
      </c>
      <c r="C61" s="4" t="s">
        <v>263</v>
      </c>
      <c r="D61" s="4" t="s">
        <v>261</v>
      </c>
      <c r="E61" s="4" t="s">
        <v>172</v>
      </c>
      <c r="F61" s="4" t="s">
        <v>173</v>
      </c>
      <c r="G61" s="4" t="s">
        <v>57</v>
      </c>
      <c r="H61" s="4" t="s">
        <v>100</v>
      </c>
    </row>
    <row r="62" spans="1:8">
      <c r="A62" s="4">
        <v>61</v>
      </c>
      <c r="B62" s="5">
        <v>46275</v>
      </c>
      <c r="C62" s="4" t="s">
        <v>264</v>
      </c>
      <c r="D62" s="4" t="s">
        <v>261</v>
      </c>
      <c r="E62" s="4" t="s">
        <v>206</v>
      </c>
      <c r="F62" s="4" t="s">
        <v>207</v>
      </c>
      <c r="G62" s="4" t="s">
        <v>38</v>
      </c>
      <c r="H62" s="4" t="s">
        <v>39</v>
      </c>
    </row>
    <row r="63" spans="1:8">
      <c r="A63" s="4">
        <v>62</v>
      </c>
      <c r="B63" s="5">
        <v>46276</v>
      </c>
      <c r="C63" s="4" t="s">
        <v>265</v>
      </c>
      <c r="D63" s="4" t="s">
        <v>261</v>
      </c>
      <c r="E63" s="4" t="s">
        <v>82</v>
      </c>
      <c r="F63" s="4" t="s">
        <v>83</v>
      </c>
      <c r="G63" s="4" t="s">
        <v>34</v>
      </c>
      <c r="H63" s="4" t="s">
        <v>62</v>
      </c>
    </row>
    <row r="64" spans="1:8">
      <c r="A64" s="4">
        <v>63</v>
      </c>
      <c r="B64" s="5">
        <v>46279</v>
      </c>
      <c r="C64" s="4" t="s">
        <v>260</v>
      </c>
      <c r="D64" s="4" t="s">
        <v>261</v>
      </c>
      <c r="E64" s="4" t="s">
        <v>84</v>
      </c>
      <c r="F64" s="4" t="s">
        <v>85</v>
      </c>
      <c r="G64" s="4" t="s">
        <v>26</v>
      </c>
      <c r="H64" s="4" t="s">
        <v>22</v>
      </c>
    </row>
    <row r="65" spans="1:8">
      <c r="A65" s="4">
        <v>64</v>
      </c>
      <c r="B65" s="5">
        <v>46280</v>
      </c>
      <c r="C65" s="4" t="s">
        <v>262</v>
      </c>
      <c r="D65" s="4" t="s">
        <v>261</v>
      </c>
      <c r="E65" s="4" t="s">
        <v>103</v>
      </c>
      <c r="F65" s="4" t="s">
        <v>104</v>
      </c>
      <c r="G65" s="4" t="s">
        <v>29</v>
      </c>
      <c r="H65" s="4" t="s">
        <v>15</v>
      </c>
    </row>
    <row r="66" spans="1:8">
      <c r="A66" s="4">
        <v>65</v>
      </c>
      <c r="B66" s="5">
        <v>46281</v>
      </c>
      <c r="C66" s="4" t="s">
        <v>263</v>
      </c>
      <c r="D66" s="4" t="s">
        <v>261</v>
      </c>
      <c r="E66" s="4" t="s">
        <v>189</v>
      </c>
      <c r="F66" s="4" t="s">
        <v>190</v>
      </c>
      <c r="G66" s="4" t="s">
        <v>90</v>
      </c>
      <c r="H66" s="4" t="s">
        <v>166</v>
      </c>
    </row>
    <row r="67" spans="1:8">
      <c r="A67" s="4">
        <v>66</v>
      </c>
      <c r="B67" s="5">
        <v>46282</v>
      </c>
      <c r="C67" s="4" t="s">
        <v>264</v>
      </c>
      <c r="D67" s="4" t="s">
        <v>261</v>
      </c>
      <c r="E67" s="4" t="s">
        <v>191</v>
      </c>
      <c r="F67" s="4" t="s">
        <v>192</v>
      </c>
      <c r="G67" s="4" t="s">
        <v>14</v>
      </c>
      <c r="H67" s="4" t="s">
        <v>100</v>
      </c>
    </row>
    <row r="68" spans="1:8">
      <c r="A68" s="4">
        <v>67</v>
      </c>
      <c r="B68" s="5">
        <v>46283</v>
      </c>
      <c r="C68" s="4" t="s">
        <v>265</v>
      </c>
      <c r="D68" s="4" t="s">
        <v>261</v>
      </c>
      <c r="E68" s="4" t="s">
        <v>208</v>
      </c>
      <c r="F68" s="4" t="s">
        <v>209</v>
      </c>
      <c r="G68" s="4" t="s">
        <v>95</v>
      </c>
      <c r="H68" s="4" t="s">
        <v>22</v>
      </c>
    </row>
    <row r="69" spans="1:8">
      <c r="A69" s="4">
        <v>68</v>
      </c>
      <c r="B69" s="5">
        <v>46286</v>
      </c>
      <c r="C69" s="4" t="s">
        <v>260</v>
      </c>
      <c r="D69" s="4" t="s">
        <v>261</v>
      </c>
      <c r="E69" s="4" t="s">
        <v>226</v>
      </c>
      <c r="F69" s="4" t="s">
        <v>227</v>
      </c>
      <c r="G69" s="4" t="s">
        <v>57</v>
      </c>
      <c r="H69" s="4" t="s">
        <v>100</v>
      </c>
    </row>
    <row r="70" spans="1:8">
      <c r="A70" s="4">
        <v>69</v>
      </c>
      <c r="B70" s="5">
        <v>46287</v>
      </c>
      <c r="C70" s="4" t="s">
        <v>262</v>
      </c>
      <c r="D70" s="4" t="s">
        <v>261</v>
      </c>
      <c r="E70" s="4" t="s">
        <v>86</v>
      </c>
      <c r="F70" s="4" t="s">
        <v>87</v>
      </c>
      <c r="G70" s="4" t="s">
        <v>26</v>
      </c>
      <c r="H70" s="4" t="s">
        <v>22</v>
      </c>
    </row>
    <row r="71" spans="1:8">
      <c r="A71" s="4">
        <v>70</v>
      </c>
      <c r="B71" s="5">
        <v>46288</v>
      </c>
      <c r="C71" s="4" t="s">
        <v>263</v>
      </c>
      <c r="D71" s="4" t="s">
        <v>261</v>
      </c>
      <c r="E71" s="4" t="s">
        <v>118</v>
      </c>
      <c r="F71" s="4" t="s">
        <v>119</v>
      </c>
      <c r="G71" s="4" t="s">
        <v>29</v>
      </c>
      <c r="H71" s="4" t="s">
        <v>100</v>
      </c>
    </row>
    <row r="72" spans="1:8">
      <c r="A72" s="4">
        <v>71</v>
      </c>
      <c r="B72" s="5">
        <v>46289</v>
      </c>
      <c r="C72" s="4" t="s">
        <v>264</v>
      </c>
      <c r="D72" s="4" t="s">
        <v>261</v>
      </c>
      <c r="E72" s="4" t="s">
        <v>123</v>
      </c>
      <c r="F72" s="4" t="s">
        <v>124</v>
      </c>
      <c r="G72" s="4" t="s">
        <v>34</v>
      </c>
      <c r="H72" s="4" t="s">
        <v>15</v>
      </c>
    </row>
    <row r="73" spans="1:8">
      <c r="A73" s="4">
        <v>72</v>
      </c>
      <c r="B73" s="5">
        <v>46290</v>
      </c>
      <c r="C73" s="4" t="s">
        <v>265</v>
      </c>
      <c r="D73" s="4" t="s">
        <v>261</v>
      </c>
      <c r="E73" s="4" t="s">
        <v>169</v>
      </c>
      <c r="F73" s="4" t="s">
        <v>170</v>
      </c>
      <c r="G73" s="4" t="s">
        <v>90</v>
      </c>
      <c r="H73" s="4" t="s">
        <v>171</v>
      </c>
    </row>
    <row r="74" spans="1:8">
      <c r="A74" s="4">
        <v>73</v>
      </c>
      <c r="B74" s="5">
        <v>46293</v>
      </c>
      <c r="C74" s="4" t="s">
        <v>260</v>
      </c>
      <c r="D74" s="4" t="s">
        <v>261</v>
      </c>
      <c r="E74" s="4" t="s">
        <v>210</v>
      </c>
      <c r="F74" s="4" t="s">
        <v>211</v>
      </c>
      <c r="G74" s="4" t="s">
        <v>95</v>
      </c>
      <c r="H74" s="4" t="s">
        <v>48</v>
      </c>
    </row>
    <row r="75" spans="1:8">
      <c r="A75" s="4">
        <v>74</v>
      </c>
      <c r="B75" s="5">
        <v>46294</v>
      </c>
      <c r="C75" s="4" t="s">
        <v>262</v>
      </c>
      <c r="D75" s="4" t="s">
        <v>261</v>
      </c>
      <c r="E75" s="4" t="s">
        <v>236</v>
      </c>
      <c r="F75" s="4" t="s">
        <v>237</v>
      </c>
      <c r="G75" s="4" t="s">
        <v>57</v>
      </c>
      <c r="H75" s="4" t="s">
        <v>100</v>
      </c>
    </row>
    <row r="76" spans="1:8">
      <c r="A76" s="4">
        <v>75</v>
      </c>
      <c r="B76" s="5">
        <v>46295</v>
      </c>
      <c r="C76" s="4" t="s">
        <v>263</v>
      </c>
      <c r="D76" s="4" t="s">
        <v>261</v>
      </c>
      <c r="E76" s="4" t="s">
        <v>91</v>
      </c>
      <c r="F76" s="4" t="s">
        <v>92</v>
      </c>
      <c r="G76" s="4" t="s">
        <v>26</v>
      </c>
      <c r="H76" s="4" t="s">
        <v>22</v>
      </c>
    </row>
    <row r="77" spans="1:8">
      <c r="A77" s="4">
        <v>76</v>
      </c>
      <c r="B77" s="5">
        <v>46296</v>
      </c>
      <c r="C77" s="4" t="s">
        <v>264</v>
      </c>
      <c r="D77" s="4" t="s">
        <v>261</v>
      </c>
      <c r="E77" s="4" t="s">
        <v>112</v>
      </c>
      <c r="F77" s="4" t="s">
        <v>113</v>
      </c>
      <c r="G77" s="4" t="s">
        <v>26</v>
      </c>
      <c r="H77" s="4" t="s">
        <v>22</v>
      </c>
    </row>
    <row r="78" spans="1:8">
      <c r="A78" s="4">
        <v>77</v>
      </c>
      <c r="B78" s="5">
        <v>46296</v>
      </c>
      <c r="C78" s="4" t="s">
        <v>264</v>
      </c>
      <c r="D78" s="4" t="s">
        <v>261</v>
      </c>
      <c r="E78" s="4" t="s">
        <v>180</v>
      </c>
      <c r="F78" s="4" t="s">
        <v>181</v>
      </c>
      <c r="G78" s="4" t="s">
        <v>34</v>
      </c>
      <c r="H78" s="4" t="s">
        <v>62</v>
      </c>
    </row>
    <row r="79" spans="1:8">
      <c r="A79" s="4">
        <v>78</v>
      </c>
      <c r="B79" s="5">
        <v>46297</v>
      </c>
      <c r="C79" s="4" t="s">
        <v>265</v>
      </c>
      <c r="D79" s="4" t="s">
        <v>261</v>
      </c>
      <c r="E79" s="4" t="s">
        <v>148</v>
      </c>
      <c r="F79" s="4" t="s">
        <v>149</v>
      </c>
      <c r="G79" s="4" t="s">
        <v>34</v>
      </c>
      <c r="H79" s="4" t="s">
        <v>150</v>
      </c>
    </row>
    <row r="80" spans="1:8">
      <c r="A80" s="4">
        <v>79</v>
      </c>
      <c r="B80" s="5">
        <v>46297</v>
      </c>
      <c r="C80" s="4" t="s">
        <v>265</v>
      </c>
      <c r="D80" s="4" t="s">
        <v>261</v>
      </c>
      <c r="E80" s="4" t="s">
        <v>220</v>
      </c>
      <c r="F80" s="4" t="s">
        <v>221</v>
      </c>
      <c r="G80" s="4" t="s">
        <v>26</v>
      </c>
      <c r="H80" s="4" t="s">
        <v>22</v>
      </c>
    </row>
    <row r="81" spans="1:8">
      <c r="A81" s="4">
        <v>80</v>
      </c>
      <c r="B81" s="5">
        <v>46300</v>
      </c>
      <c r="C81" s="4" t="s">
        <v>260</v>
      </c>
      <c r="D81" s="4" t="s">
        <v>261</v>
      </c>
      <c r="E81" s="4" t="s">
        <v>164</v>
      </c>
      <c r="F81" s="4" t="s">
        <v>165</v>
      </c>
      <c r="G81" s="4" t="s">
        <v>29</v>
      </c>
      <c r="H81" s="4" t="s">
        <v>166</v>
      </c>
    </row>
    <row r="82" spans="1:8">
      <c r="A82" s="4">
        <v>81</v>
      </c>
      <c r="B82" s="5">
        <v>46300</v>
      </c>
      <c r="C82" s="4" t="s">
        <v>260</v>
      </c>
      <c r="D82" s="4" t="s">
        <v>261</v>
      </c>
      <c r="E82" s="4" t="s">
        <v>224</v>
      </c>
      <c r="F82" s="4" t="s">
        <v>225</v>
      </c>
      <c r="G82" s="4" t="s">
        <v>26</v>
      </c>
      <c r="H82" s="4" t="s">
        <v>22</v>
      </c>
    </row>
    <row r="83" spans="1:8">
      <c r="A83" s="4">
        <v>82</v>
      </c>
      <c r="B83" s="5">
        <v>46301</v>
      </c>
      <c r="C83" s="4" t="s">
        <v>262</v>
      </c>
      <c r="D83" s="4" t="s">
        <v>261</v>
      </c>
      <c r="E83" s="4" t="s">
        <v>202</v>
      </c>
      <c r="F83" s="4" t="s">
        <v>203</v>
      </c>
      <c r="G83" s="4" t="s">
        <v>90</v>
      </c>
      <c r="H83" s="4" t="s">
        <v>15</v>
      </c>
    </row>
    <row r="84" spans="1:8">
      <c r="A84" s="4">
        <v>83</v>
      </c>
      <c r="B84" s="5">
        <v>46301</v>
      </c>
      <c r="C84" s="4" t="s">
        <v>262</v>
      </c>
      <c r="D84" s="4" t="s">
        <v>261</v>
      </c>
      <c r="E84" s="4" t="s">
        <v>182</v>
      </c>
      <c r="F84" s="4" t="s">
        <v>183</v>
      </c>
      <c r="G84" s="4" t="s">
        <v>34</v>
      </c>
      <c r="H84" s="4" t="s">
        <v>184</v>
      </c>
    </row>
    <row r="85" spans="1:8">
      <c r="A85" s="4">
        <v>84</v>
      </c>
      <c r="B85" s="5">
        <v>46302</v>
      </c>
      <c r="C85" s="4" t="s">
        <v>263</v>
      </c>
      <c r="D85" s="4" t="s">
        <v>261</v>
      </c>
      <c r="E85" s="4" t="s">
        <v>78</v>
      </c>
      <c r="F85" s="4" t="s">
        <v>79</v>
      </c>
      <c r="G85" s="4" t="s">
        <v>57</v>
      </c>
      <c r="H85" s="4" t="s">
        <v>22</v>
      </c>
    </row>
    <row r="86" spans="1:8">
      <c r="A86" s="4">
        <v>85</v>
      </c>
      <c r="B86" s="5">
        <v>46303</v>
      </c>
      <c r="C86" s="4" t="s">
        <v>264</v>
      </c>
      <c r="D86" s="4" t="s">
        <v>261</v>
      </c>
      <c r="E86" s="4" t="s">
        <v>114</v>
      </c>
      <c r="F86" s="4" t="s">
        <v>115</v>
      </c>
      <c r="G86" s="4" t="s">
        <v>26</v>
      </c>
      <c r="H86" s="4" t="s">
        <v>22</v>
      </c>
    </row>
    <row r="87" spans="1:8">
      <c r="A87" s="4">
        <v>86</v>
      </c>
      <c r="B87" s="5">
        <v>46304</v>
      </c>
      <c r="C87" s="4" t="s">
        <v>265</v>
      </c>
      <c r="D87" s="4" t="s">
        <v>261</v>
      </c>
      <c r="E87" s="4" t="s">
        <v>151</v>
      </c>
      <c r="F87" s="4" t="s">
        <v>152</v>
      </c>
      <c r="G87" s="4" t="s">
        <v>34</v>
      </c>
      <c r="H87" s="4" t="s">
        <v>153</v>
      </c>
    </row>
    <row r="88" spans="1:8">
      <c r="A88" s="4">
        <v>87</v>
      </c>
      <c r="B88" s="5">
        <v>46308</v>
      </c>
      <c r="C88" s="4" t="s">
        <v>262</v>
      </c>
      <c r="D88" s="4" t="s">
        <v>261</v>
      </c>
      <c r="E88" s="4" t="s">
        <v>185</v>
      </c>
      <c r="F88" s="4" t="s">
        <v>186</v>
      </c>
      <c r="G88" s="4" t="s">
        <v>29</v>
      </c>
      <c r="H88" s="4" t="s">
        <v>166</v>
      </c>
    </row>
    <row r="89" spans="1:8">
      <c r="A89" s="4">
        <v>88</v>
      </c>
      <c r="B89" s="5">
        <v>46309</v>
      </c>
      <c r="C89" s="4" t="s">
        <v>263</v>
      </c>
      <c r="D89" s="4" t="s">
        <v>261</v>
      </c>
      <c r="E89" s="4" t="s">
        <v>232</v>
      </c>
      <c r="F89" s="4" t="s">
        <v>233</v>
      </c>
      <c r="G89" s="4" t="s">
        <v>90</v>
      </c>
      <c r="H89" s="4" t="s">
        <v>48</v>
      </c>
    </row>
    <row r="90" spans="1:8">
      <c r="A90" s="4">
        <v>89</v>
      </c>
      <c r="B90" s="5">
        <v>46310</v>
      </c>
      <c r="C90" s="4" t="s">
        <v>264</v>
      </c>
      <c r="D90" s="4" t="s">
        <v>261</v>
      </c>
      <c r="E90" s="4" t="s">
        <v>116</v>
      </c>
      <c r="F90" s="4" t="s">
        <v>117</v>
      </c>
      <c r="G90" s="4" t="s">
        <v>26</v>
      </c>
      <c r="H90" s="4" t="s">
        <v>22</v>
      </c>
    </row>
    <row r="91" spans="1:8">
      <c r="A91" s="4">
        <v>90</v>
      </c>
      <c r="B91" s="5">
        <v>46311</v>
      </c>
      <c r="C91" s="4" t="s">
        <v>265</v>
      </c>
      <c r="D91" s="4" t="s">
        <v>261</v>
      </c>
      <c r="E91" s="4" t="s">
        <v>154</v>
      </c>
      <c r="F91" s="4" t="s">
        <v>155</v>
      </c>
      <c r="G91" s="4" t="s">
        <v>34</v>
      </c>
      <c r="H91" s="4" t="s">
        <v>153</v>
      </c>
    </row>
    <row r="92" spans="1:8">
      <c r="A92" s="4">
        <v>91</v>
      </c>
      <c r="B92" s="5">
        <v>46314</v>
      </c>
      <c r="C92" s="4" t="s">
        <v>260</v>
      </c>
      <c r="D92" s="4" t="s">
        <v>261</v>
      </c>
      <c r="E92" s="4" t="s">
        <v>187</v>
      </c>
      <c r="F92" s="4" t="s">
        <v>188</v>
      </c>
      <c r="G92" s="4" t="s">
        <v>29</v>
      </c>
      <c r="H92" s="4" t="s">
        <v>166</v>
      </c>
    </row>
    <row r="93" spans="1:8">
      <c r="A93" s="4">
        <v>92</v>
      </c>
      <c r="B93" s="5">
        <v>46315</v>
      </c>
      <c r="C93" s="4" t="s">
        <v>262</v>
      </c>
      <c r="D93" s="4" t="s">
        <v>261</v>
      </c>
      <c r="E93" s="4" t="s">
        <v>234</v>
      </c>
      <c r="F93" s="4" t="s">
        <v>235</v>
      </c>
      <c r="G93" s="4" t="s">
        <v>90</v>
      </c>
      <c r="H93" s="4" t="s">
        <v>15</v>
      </c>
    </row>
    <row r="94" spans="1:8">
      <c r="A94" s="4">
        <v>93</v>
      </c>
      <c r="B94" s="5">
        <v>46316</v>
      </c>
      <c r="C94" s="4" t="s">
        <v>263</v>
      </c>
      <c r="D94" s="4" t="s">
        <v>261</v>
      </c>
      <c r="E94" s="4" t="s">
        <v>156</v>
      </c>
      <c r="F94" s="4" t="s">
        <v>157</v>
      </c>
      <c r="G94" s="4" t="s">
        <v>34</v>
      </c>
      <c r="H94" s="4" t="s">
        <v>158</v>
      </c>
    </row>
    <row r="95" spans="1:8">
      <c r="A95" s="4">
        <v>94</v>
      </c>
      <c r="B95" s="5">
        <v>46317</v>
      </c>
      <c r="C95" s="4" t="s">
        <v>264</v>
      </c>
      <c r="D95" s="4" t="s">
        <v>261</v>
      </c>
      <c r="E95" s="4" t="s">
        <v>200</v>
      </c>
      <c r="F95" s="4" t="s">
        <v>201</v>
      </c>
      <c r="G95" s="4" t="s">
        <v>29</v>
      </c>
      <c r="H95" s="4" t="s">
        <v>100</v>
      </c>
    </row>
    <row r="96" spans="1:8">
      <c r="A96" s="4">
        <v>95</v>
      </c>
      <c r="B96" s="5">
        <v>46318</v>
      </c>
      <c r="C96" s="4" t="s">
        <v>265</v>
      </c>
      <c r="D96" s="4" t="s">
        <v>261</v>
      </c>
      <c r="E96" s="4" t="s">
        <v>244</v>
      </c>
      <c r="F96" s="4" t="s">
        <v>245</v>
      </c>
      <c r="G96" s="4" t="s">
        <v>26</v>
      </c>
      <c r="H96" s="4" t="s">
        <v>22</v>
      </c>
    </row>
    <row r="97" spans="1:8">
      <c r="A97" s="4">
        <v>96</v>
      </c>
      <c r="B97" s="5">
        <v>46321</v>
      </c>
      <c r="C97" s="4" t="s">
        <v>260</v>
      </c>
      <c r="D97" s="4" t="s">
        <v>261</v>
      </c>
      <c r="E97" s="4" t="s">
        <v>159</v>
      </c>
      <c r="F97" s="4" t="s">
        <v>160</v>
      </c>
      <c r="G97" s="4" t="s">
        <v>34</v>
      </c>
      <c r="H97" s="4" t="s">
        <v>158</v>
      </c>
    </row>
    <row r="98" spans="1:8">
      <c r="A98" s="4">
        <v>97</v>
      </c>
      <c r="B98" s="5">
        <v>46322</v>
      </c>
      <c r="C98" s="4" t="s">
        <v>262</v>
      </c>
      <c r="D98" s="4" t="s">
        <v>261</v>
      </c>
      <c r="E98" s="4" t="s">
        <v>204</v>
      </c>
      <c r="F98" s="4" t="s">
        <v>205</v>
      </c>
      <c r="G98" s="4" t="s">
        <v>29</v>
      </c>
      <c r="H98" s="4" t="s">
        <v>166</v>
      </c>
    </row>
    <row r="99" spans="1:8">
      <c r="A99" s="4">
        <v>98</v>
      </c>
      <c r="B99" s="5">
        <v>46323</v>
      </c>
      <c r="C99" s="4" t="s">
        <v>263</v>
      </c>
      <c r="D99" s="4" t="s">
        <v>261</v>
      </c>
      <c r="E99" s="4" t="s">
        <v>214</v>
      </c>
      <c r="F99" s="4" t="s">
        <v>215</v>
      </c>
      <c r="G99" s="4" t="s">
        <v>26</v>
      </c>
      <c r="H99" s="4" t="s">
        <v>48</v>
      </c>
    </row>
    <row r="100" spans="1:8">
      <c r="A100" s="4">
        <v>99</v>
      </c>
      <c r="B100" s="5">
        <v>46324</v>
      </c>
      <c r="C100" s="4" t="s">
        <v>264</v>
      </c>
      <c r="D100" s="4" t="s">
        <v>261</v>
      </c>
      <c r="E100" s="4" t="s">
        <v>161</v>
      </c>
      <c r="F100" s="4" t="s">
        <v>162</v>
      </c>
      <c r="G100" s="4" t="s">
        <v>34</v>
      </c>
      <c r="H100" s="4" t="s">
        <v>163</v>
      </c>
    </row>
    <row r="101" spans="1:8">
      <c r="A101" s="4">
        <v>100</v>
      </c>
      <c r="B101" s="5">
        <v>46325</v>
      </c>
      <c r="C101" s="4" t="s">
        <v>265</v>
      </c>
      <c r="D101" s="4" t="s">
        <v>261</v>
      </c>
      <c r="E101" s="4" t="s">
        <v>216</v>
      </c>
      <c r="F101" s="4" t="s">
        <v>217</v>
      </c>
      <c r="G101" s="4" t="s">
        <v>29</v>
      </c>
      <c r="H101" s="4" t="s">
        <v>22</v>
      </c>
    </row>
    <row r="102" spans="1:8">
      <c r="A102" s="4">
        <v>101</v>
      </c>
      <c r="B102" s="5">
        <v>46328</v>
      </c>
      <c r="C102" s="4" t="s">
        <v>260</v>
      </c>
      <c r="D102" s="4" t="s">
        <v>261</v>
      </c>
      <c r="E102" s="4" t="s">
        <v>238</v>
      </c>
      <c r="F102" s="4" t="s">
        <v>239</v>
      </c>
      <c r="G102" s="4" t="s">
        <v>34</v>
      </c>
      <c r="H102" s="4" t="s">
        <v>22</v>
      </c>
    </row>
    <row r="103" spans="1:8">
      <c r="A103" s="4">
        <v>102</v>
      </c>
      <c r="B103" s="5">
        <v>46329</v>
      </c>
      <c r="C103" s="4" t="s">
        <v>262</v>
      </c>
      <c r="D103" s="4" t="s">
        <v>261</v>
      </c>
      <c r="E103" s="4" t="s">
        <v>230</v>
      </c>
      <c r="F103" s="4" t="s">
        <v>231</v>
      </c>
      <c r="G103" s="4" t="s">
        <v>26</v>
      </c>
      <c r="H103" s="4" t="s">
        <v>22</v>
      </c>
    </row>
    <row r="104" spans="1:8">
      <c r="A104" s="4">
        <v>103</v>
      </c>
      <c r="B104" s="5">
        <v>46330</v>
      </c>
      <c r="C104" s="4" t="s">
        <v>263</v>
      </c>
      <c r="D104" s="4" t="s">
        <v>261</v>
      </c>
      <c r="E104" s="4" t="s">
        <v>228</v>
      </c>
      <c r="F104" s="4" t="s">
        <v>229</v>
      </c>
      <c r="G104" s="4" t="s">
        <v>34</v>
      </c>
      <c r="H104" s="4" t="s">
        <v>62</v>
      </c>
    </row>
    <row r="105" spans="1:8">
      <c r="A105" s="4">
        <v>104</v>
      </c>
      <c r="B105" s="5">
        <v>46331</v>
      </c>
      <c r="C105" s="4" t="s">
        <v>264</v>
      </c>
      <c r="D105" s="4" t="s">
        <v>261</v>
      </c>
      <c r="E105" s="4" t="s">
        <v>254</v>
      </c>
      <c r="F105" s="4" t="s">
        <v>255</v>
      </c>
      <c r="G105" s="4" t="s">
        <v>34</v>
      </c>
      <c r="H105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2"/>
  <sheetViews>
    <sheetView showGridLines="0" topLeftCell="A10" workbookViewId="0">
      <selection activeCell="B13" sqref="B13"/>
    </sheetView>
  </sheetViews>
  <sheetFormatPr baseColWidth="10" defaultColWidth="9" defaultRowHeight="14.25"/>
  <cols>
    <col min="1" max="1" width="34" customWidth="1"/>
    <col min="2" max="2" width="42" customWidth="1"/>
    <col min="3" max="3" width="11.25" customWidth="1"/>
    <col min="4" max="4" width="16.875" customWidth="1"/>
    <col min="5" max="5" width="10.125" bestFit="1" customWidth="1"/>
    <col min="6" max="6" width="7.375" customWidth="1"/>
    <col min="7" max="7" width="55" customWidth="1"/>
  </cols>
  <sheetData>
    <row r="1" spans="1:7" ht="20.25" customHeight="1">
      <c r="A1" s="17" t="s">
        <v>266</v>
      </c>
      <c r="B1" s="18"/>
      <c r="C1" s="18"/>
      <c r="D1" s="18"/>
      <c r="E1" s="18"/>
      <c r="F1" s="18"/>
      <c r="G1" s="18"/>
    </row>
    <row r="3" spans="1:7" ht="15" customHeight="1">
      <c r="A3" s="8" t="s">
        <v>267</v>
      </c>
      <c r="B3" s="7">
        <v>104</v>
      </c>
      <c r="D3" s="9" t="s">
        <v>268</v>
      </c>
      <c r="E3" s="9" t="s">
        <v>269</v>
      </c>
    </row>
    <row r="4" spans="1:7" ht="15" customHeight="1">
      <c r="A4" s="8" t="s">
        <v>270</v>
      </c>
      <c r="B4" s="7">
        <v>163</v>
      </c>
      <c r="D4" s="7" t="s">
        <v>271</v>
      </c>
      <c r="E4" s="7">
        <f>COUNTA('Seguimiento ESTOC'!G2:G105)</f>
        <v>104</v>
      </c>
    </row>
    <row r="5" spans="1:7" ht="15" customHeight="1">
      <c r="A5" s="8" t="s">
        <v>272</v>
      </c>
      <c r="B5" s="7" t="s">
        <v>273</v>
      </c>
      <c r="D5" s="7" t="s">
        <v>274</v>
      </c>
      <c r="E5" s="7">
        <f>COUNTIF('Seguimiento ESTOC'!H2:H105,"Anormal")</f>
        <v>0</v>
      </c>
    </row>
    <row r="6" spans="1:7" ht="15" customHeight="1">
      <c r="A6" s="8" t="s">
        <v>275</v>
      </c>
      <c r="B6" s="7" t="s">
        <v>276</v>
      </c>
      <c r="D6" s="7" t="s">
        <v>277</v>
      </c>
      <c r="E6" s="7">
        <f>COUNTIF('Seguimiento ESTOC'!I2:I105,"Anormal")</f>
        <v>0</v>
      </c>
    </row>
    <row r="7" spans="1:7" ht="15" customHeight="1">
      <c r="A7" s="8" t="s">
        <v>278</v>
      </c>
      <c r="B7" s="7" t="s">
        <v>261</v>
      </c>
      <c r="D7" s="7" t="s">
        <v>279</v>
      </c>
      <c r="E7" s="7">
        <f>COUNTIF('Seguimiento ESTOC'!J2:J105,"Anormal")</f>
        <v>3</v>
      </c>
    </row>
    <row r="8" spans="1:7" ht="15" customHeight="1">
      <c r="A8" s="8" t="s">
        <v>280</v>
      </c>
      <c r="B8" s="7" t="s">
        <v>281</v>
      </c>
      <c r="D8" s="7" t="s">
        <v>282</v>
      </c>
      <c r="E8" s="7">
        <f>COUNTIF('Seguimiento ESTOC'!K2:K105,"Apto")</f>
        <v>25</v>
      </c>
    </row>
    <row r="9" spans="1:7" ht="15" customHeight="1">
      <c r="A9" s="8" t="s">
        <v>283</v>
      </c>
      <c r="B9" s="7" t="s">
        <v>284</v>
      </c>
      <c r="D9" s="7" t="s">
        <v>285</v>
      </c>
      <c r="E9" s="7">
        <f>COUNTIF('Seguimiento ESTOC'!K2:K105,"Pendiente")</f>
        <v>79</v>
      </c>
    </row>
    <row r="12" spans="1:7" ht="15" customHeight="1">
      <c r="A12" s="2" t="s">
        <v>286</v>
      </c>
      <c r="B12" s="2" t="s">
        <v>287</v>
      </c>
      <c r="C12" s="2" t="s">
        <v>288</v>
      </c>
      <c r="E12" s="2" t="s">
        <v>289</v>
      </c>
      <c r="F12" s="2" t="s">
        <v>269</v>
      </c>
      <c r="G12" s="2" t="s">
        <v>290</v>
      </c>
    </row>
    <row r="13" spans="1:7">
      <c r="A13" t="s">
        <v>291</v>
      </c>
      <c r="B13">
        <v>25</v>
      </c>
      <c r="C13">
        <v>0</v>
      </c>
      <c r="E13" s="6">
        <v>46223</v>
      </c>
      <c r="F13">
        <v>3</v>
      </c>
      <c r="G13" t="s">
        <v>292</v>
      </c>
    </row>
    <row r="14" spans="1:7">
      <c r="A14" t="s">
        <v>293</v>
      </c>
      <c r="B14">
        <v>25</v>
      </c>
      <c r="C14">
        <v>0</v>
      </c>
      <c r="E14" s="6">
        <v>46224</v>
      </c>
      <c r="F14">
        <v>3</v>
      </c>
      <c r="G14" t="s">
        <v>294</v>
      </c>
    </row>
    <row r="15" spans="1:7">
      <c r="A15" t="s">
        <v>295</v>
      </c>
      <c r="B15">
        <v>25</v>
      </c>
      <c r="C15">
        <v>0</v>
      </c>
      <c r="E15" s="6">
        <v>46225</v>
      </c>
      <c r="F15">
        <v>3</v>
      </c>
      <c r="G15" t="s">
        <v>296</v>
      </c>
    </row>
    <row r="16" spans="1:7">
      <c r="A16" t="s">
        <v>297</v>
      </c>
      <c r="B16">
        <v>25</v>
      </c>
      <c r="C16">
        <v>0</v>
      </c>
      <c r="E16" s="6">
        <v>46226</v>
      </c>
      <c r="F16">
        <v>3</v>
      </c>
      <c r="G16" t="s">
        <v>298</v>
      </c>
    </row>
    <row r="17" spans="1:7">
      <c r="A17" t="s">
        <v>299</v>
      </c>
      <c r="B17">
        <v>4</v>
      </c>
      <c r="C17">
        <v>21</v>
      </c>
      <c r="E17" s="6">
        <v>46227</v>
      </c>
      <c r="F17">
        <v>3</v>
      </c>
      <c r="G17" t="s">
        <v>298</v>
      </c>
    </row>
    <row r="18" spans="1:7">
      <c r="A18" t="s">
        <v>300</v>
      </c>
      <c r="B18">
        <v>0</v>
      </c>
      <c r="C18">
        <v>25</v>
      </c>
      <c r="E18" s="6">
        <v>46230</v>
      </c>
      <c r="F18">
        <v>2</v>
      </c>
      <c r="G18" t="s">
        <v>301</v>
      </c>
    </row>
    <row r="19" spans="1:7">
      <c r="E19" s="6">
        <v>46231</v>
      </c>
      <c r="F19">
        <v>2</v>
      </c>
      <c r="G19" t="s">
        <v>302</v>
      </c>
    </row>
    <row r="20" spans="1:7">
      <c r="E20" s="6">
        <v>46232</v>
      </c>
      <c r="F20">
        <v>2</v>
      </c>
      <c r="G20" t="s">
        <v>303</v>
      </c>
    </row>
    <row r="21" spans="1:7">
      <c r="E21" s="6">
        <v>46233</v>
      </c>
      <c r="F21">
        <v>2</v>
      </c>
      <c r="G21" t="s">
        <v>304</v>
      </c>
    </row>
    <row r="22" spans="1:7">
      <c r="E22" s="6">
        <v>46234</v>
      </c>
      <c r="F22">
        <v>2</v>
      </c>
      <c r="G22" t="s">
        <v>305</v>
      </c>
    </row>
    <row r="23" spans="1:7">
      <c r="E23" s="6">
        <v>46237</v>
      </c>
      <c r="F23">
        <v>2</v>
      </c>
      <c r="G23" t="s">
        <v>306</v>
      </c>
    </row>
    <row r="24" spans="1:7">
      <c r="E24" s="6">
        <v>46238</v>
      </c>
      <c r="F24">
        <v>2</v>
      </c>
      <c r="G24" t="s">
        <v>307</v>
      </c>
    </row>
    <row r="25" spans="1:7">
      <c r="E25" s="6">
        <v>46239</v>
      </c>
      <c r="F25">
        <v>2</v>
      </c>
      <c r="G25" t="s">
        <v>308</v>
      </c>
    </row>
    <row r="26" spans="1:7">
      <c r="E26" s="6">
        <v>46240</v>
      </c>
      <c r="F26">
        <v>2</v>
      </c>
      <c r="G26" t="s">
        <v>309</v>
      </c>
    </row>
    <row r="27" spans="1:7">
      <c r="E27" s="6">
        <v>46241</v>
      </c>
      <c r="F27">
        <v>2</v>
      </c>
      <c r="G27" t="s">
        <v>310</v>
      </c>
    </row>
    <row r="28" spans="1:7">
      <c r="E28" s="6">
        <v>46244</v>
      </c>
      <c r="F28">
        <v>1</v>
      </c>
      <c r="G28" t="s">
        <v>134</v>
      </c>
    </row>
    <row r="29" spans="1:7">
      <c r="E29" s="6">
        <v>46245</v>
      </c>
      <c r="F29">
        <v>1</v>
      </c>
      <c r="G29" t="s">
        <v>14</v>
      </c>
    </row>
    <row r="30" spans="1:7">
      <c r="E30" s="6">
        <v>46246</v>
      </c>
      <c r="F30">
        <v>1</v>
      </c>
      <c r="G30" t="s">
        <v>90</v>
      </c>
    </row>
    <row r="31" spans="1:7">
      <c r="E31" s="6">
        <v>46247</v>
      </c>
      <c r="F31">
        <v>1</v>
      </c>
      <c r="G31" t="s">
        <v>57</v>
      </c>
    </row>
    <row r="32" spans="1:7">
      <c r="E32" s="6">
        <v>46248</v>
      </c>
      <c r="F32">
        <v>1</v>
      </c>
      <c r="G32" t="s">
        <v>109</v>
      </c>
    </row>
    <row r="33" spans="5:7">
      <c r="E33" s="6">
        <v>46252</v>
      </c>
      <c r="F33">
        <v>1</v>
      </c>
      <c r="G33" t="s">
        <v>47</v>
      </c>
    </row>
    <row r="34" spans="5:7">
      <c r="E34" s="6">
        <v>46253</v>
      </c>
      <c r="F34">
        <v>1</v>
      </c>
      <c r="G34" t="s">
        <v>21</v>
      </c>
    </row>
    <row r="35" spans="5:7">
      <c r="E35" s="6">
        <v>46254</v>
      </c>
      <c r="F35">
        <v>1</v>
      </c>
      <c r="G35" t="s">
        <v>73</v>
      </c>
    </row>
    <row r="36" spans="5:7">
      <c r="E36" s="6">
        <v>46255</v>
      </c>
      <c r="F36">
        <v>1</v>
      </c>
      <c r="G36" t="s">
        <v>34</v>
      </c>
    </row>
    <row r="37" spans="5:7">
      <c r="E37" s="6">
        <v>46258</v>
      </c>
      <c r="F37">
        <v>1</v>
      </c>
      <c r="G37" t="s">
        <v>38</v>
      </c>
    </row>
    <row r="38" spans="5:7">
      <c r="E38" s="6">
        <v>46259</v>
      </c>
      <c r="F38">
        <v>1</v>
      </c>
      <c r="G38" t="s">
        <v>26</v>
      </c>
    </row>
    <row r="39" spans="5:7">
      <c r="E39" s="6">
        <v>46260</v>
      </c>
      <c r="F39">
        <v>1</v>
      </c>
      <c r="G39" t="s">
        <v>95</v>
      </c>
    </row>
    <row r="40" spans="5:7">
      <c r="E40" s="6">
        <v>46261</v>
      </c>
      <c r="F40">
        <v>1</v>
      </c>
      <c r="G40" t="s">
        <v>14</v>
      </c>
    </row>
    <row r="41" spans="5:7">
      <c r="E41" s="6">
        <v>46262</v>
      </c>
      <c r="F41">
        <v>1</v>
      </c>
      <c r="G41" t="s">
        <v>29</v>
      </c>
    </row>
    <row r="42" spans="5:7">
      <c r="E42" s="6">
        <v>46265</v>
      </c>
      <c r="F42">
        <v>1</v>
      </c>
      <c r="G42" t="s">
        <v>90</v>
      </c>
    </row>
    <row r="43" spans="5:7">
      <c r="E43" s="6">
        <v>46266</v>
      </c>
      <c r="F43">
        <v>2</v>
      </c>
      <c r="G43" t="s">
        <v>311</v>
      </c>
    </row>
    <row r="44" spans="5:7">
      <c r="E44" s="6">
        <v>46267</v>
      </c>
      <c r="F44">
        <v>2</v>
      </c>
      <c r="G44" t="s">
        <v>312</v>
      </c>
    </row>
    <row r="45" spans="5:7">
      <c r="E45" s="6">
        <v>46268</v>
      </c>
      <c r="F45">
        <v>2</v>
      </c>
      <c r="G45" t="s">
        <v>313</v>
      </c>
    </row>
    <row r="46" spans="5:7">
      <c r="E46" s="6">
        <v>46269</v>
      </c>
      <c r="F46">
        <v>1</v>
      </c>
      <c r="G46" t="s">
        <v>90</v>
      </c>
    </row>
    <row r="47" spans="5:7">
      <c r="E47" s="6">
        <v>46272</v>
      </c>
      <c r="F47">
        <v>1</v>
      </c>
      <c r="G47" t="s">
        <v>14</v>
      </c>
    </row>
    <row r="48" spans="5:7">
      <c r="E48" s="6">
        <v>46273</v>
      </c>
      <c r="F48">
        <v>1</v>
      </c>
      <c r="G48" t="s">
        <v>95</v>
      </c>
    </row>
    <row r="49" spans="5:7">
      <c r="E49" s="6">
        <v>46274</v>
      </c>
      <c r="F49">
        <v>1</v>
      </c>
      <c r="G49" t="s">
        <v>57</v>
      </c>
    </row>
    <row r="50" spans="5:7">
      <c r="E50" s="6">
        <v>46275</v>
      </c>
      <c r="F50">
        <v>1</v>
      </c>
      <c r="G50" t="s">
        <v>38</v>
      </c>
    </row>
    <row r="51" spans="5:7">
      <c r="E51" s="6">
        <v>46276</v>
      </c>
      <c r="F51">
        <v>1</v>
      </c>
      <c r="G51" t="s">
        <v>34</v>
      </c>
    </row>
    <row r="52" spans="5:7">
      <c r="E52" s="6">
        <v>46279</v>
      </c>
      <c r="F52">
        <v>1</v>
      </c>
      <c r="G52" t="s">
        <v>26</v>
      </c>
    </row>
    <row r="53" spans="5:7">
      <c r="E53" s="6">
        <v>46280</v>
      </c>
      <c r="F53">
        <v>1</v>
      </c>
      <c r="G53" t="s">
        <v>29</v>
      </c>
    </row>
    <row r="54" spans="5:7">
      <c r="E54" s="6">
        <v>46281</v>
      </c>
      <c r="F54">
        <v>1</v>
      </c>
      <c r="G54" t="s">
        <v>90</v>
      </c>
    </row>
    <row r="55" spans="5:7">
      <c r="E55" s="6">
        <v>46282</v>
      </c>
      <c r="F55">
        <v>1</v>
      </c>
      <c r="G55" t="s">
        <v>14</v>
      </c>
    </row>
    <row r="56" spans="5:7">
      <c r="E56" s="6">
        <v>46283</v>
      </c>
      <c r="F56">
        <v>1</v>
      </c>
      <c r="G56" t="s">
        <v>95</v>
      </c>
    </row>
    <row r="57" spans="5:7">
      <c r="E57" s="6">
        <v>46286</v>
      </c>
      <c r="F57">
        <v>1</v>
      </c>
      <c r="G57" t="s">
        <v>57</v>
      </c>
    </row>
    <row r="58" spans="5:7">
      <c r="E58" s="6">
        <v>46287</v>
      </c>
      <c r="F58">
        <v>1</v>
      </c>
      <c r="G58" t="s">
        <v>26</v>
      </c>
    </row>
    <row r="59" spans="5:7">
      <c r="E59" s="6">
        <v>46288</v>
      </c>
      <c r="F59">
        <v>1</v>
      </c>
      <c r="G59" t="s">
        <v>29</v>
      </c>
    </row>
    <row r="60" spans="5:7">
      <c r="E60" s="6">
        <v>46289</v>
      </c>
      <c r="F60">
        <v>1</v>
      </c>
      <c r="G60" t="s">
        <v>34</v>
      </c>
    </row>
    <row r="61" spans="5:7">
      <c r="E61" s="6">
        <v>46290</v>
      </c>
      <c r="F61">
        <v>1</v>
      </c>
      <c r="G61" t="s">
        <v>90</v>
      </c>
    </row>
    <row r="62" spans="5:7">
      <c r="E62" s="6">
        <v>46293</v>
      </c>
      <c r="F62">
        <v>1</v>
      </c>
      <c r="G62" t="s">
        <v>95</v>
      </c>
    </row>
    <row r="63" spans="5:7">
      <c r="E63" s="6">
        <v>46294</v>
      </c>
      <c r="F63">
        <v>1</v>
      </c>
      <c r="G63" t="s">
        <v>57</v>
      </c>
    </row>
    <row r="64" spans="5:7">
      <c r="E64" s="6">
        <v>46295</v>
      </c>
      <c r="F64">
        <v>1</v>
      </c>
      <c r="G64" t="s">
        <v>26</v>
      </c>
    </row>
    <row r="65" spans="5:7">
      <c r="E65" s="6">
        <v>46296</v>
      </c>
      <c r="F65">
        <v>2</v>
      </c>
      <c r="G65" t="s">
        <v>312</v>
      </c>
    </row>
    <row r="66" spans="5:7">
      <c r="E66" s="6">
        <v>46297</v>
      </c>
      <c r="F66">
        <v>2</v>
      </c>
      <c r="G66" t="s">
        <v>312</v>
      </c>
    </row>
    <row r="67" spans="5:7">
      <c r="E67" s="6">
        <v>46300</v>
      </c>
      <c r="F67">
        <v>2</v>
      </c>
      <c r="G67" t="s">
        <v>314</v>
      </c>
    </row>
    <row r="68" spans="5:7">
      <c r="E68" s="6">
        <v>46301</v>
      </c>
      <c r="F68">
        <v>2</v>
      </c>
      <c r="G68" t="s">
        <v>315</v>
      </c>
    </row>
    <row r="69" spans="5:7">
      <c r="E69" s="6">
        <v>46302</v>
      </c>
      <c r="F69">
        <v>1</v>
      </c>
      <c r="G69" t="s">
        <v>57</v>
      </c>
    </row>
    <row r="70" spans="5:7">
      <c r="E70" s="6">
        <v>46303</v>
      </c>
      <c r="F70">
        <v>1</v>
      </c>
      <c r="G70" t="s">
        <v>26</v>
      </c>
    </row>
    <row r="71" spans="5:7">
      <c r="E71" s="6">
        <v>46304</v>
      </c>
      <c r="F71">
        <v>1</v>
      </c>
      <c r="G71" t="s">
        <v>34</v>
      </c>
    </row>
    <row r="72" spans="5:7">
      <c r="E72" s="6">
        <v>46308</v>
      </c>
      <c r="F72">
        <v>1</v>
      </c>
      <c r="G72" t="s">
        <v>29</v>
      </c>
    </row>
    <row r="73" spans="5:7">
      <c r="E73" s="6">
        <v>46309</v>
      </c>
      <c r="F73">
        <v>1</v>
      </c>
      <c r="G73" t="s">
        <v>90</v>
      </c>
    </row>
    <row r="74" spans="5:7">
      <c r="E74" s="6">
        <v>46310</v>
      </c>
      <c r="F74">
        <v>1</v>
      </c>
      <c r="G74" t="s">
        <v>26</v>
      </c>
    </row>
    <row r="75" spans="5:7">
      <c r="E75" s="6">
        <v>46311</v>
      </c>
      <c r="F75">
        <v>1</v>
      </c>
      <c r="G75" t="s">
        <v>34</v>
      </c>
    </row>
    <row r="76" spans="5:7">
      <c r="E76" s="6">
        <v>46314</v>
      </c>
      <c r="F76">
        <v>1</v>
      </c>
      <c r="G76" t="s">
        <v>29</v>
      </c>
    </row>
    <row r="77" spans="5:7">
      <c r="E77" s="6">
        <v>46315</v>
      </c>
      <c r="F77">
        <v>1</v>
      </c>
      <c r="G77" t="s">
        <v>90</v>
      </c>
    </row>
    <row r="78" spans="5:7">
      <c r="E78" s="6">
        <v>46316</v>
      </c>
      <c r="F78">
        <v>1</v>
      </c>
      <c r="G78" t="s">
        <v>34</v>
      </c>
    </row>
    <row r="79" spans="5:7">
      <c r="E79" s="6">
        <v>46317</v>
      </c>
      <c r="F79">
        <v>1</v>
      </c>
      <c r="G79" t="s">
        <v>29</v>
      </c>
    </row>
    <row r="80" spans="5:7">
      <c r="E80" s="6">
        <v>46318</v>
      </c>
      <c r="F80">
        <v>1</v>
      </c>
      <c r="G80" t="s">
        <v>26</v>
      </c>
    </row>
    <row r="81" spans="5:7">
      <c r="E81" s="6">
        <v>46321</v>
      </c>
      <c r="F81">
        <v>1</v>
      </c>
      <c r="G81" t="s">
        <v>34</v>
      </c>
    </row>
    <row r="82" spans="5:7">
      <c r="E82" s="6">
        <v>46322</v>
      </c>
      <c r="F82">
        <v>1</v>
      </c>
      <c r="G82" t="s">
        <v>29</v>
      </c>
    </row>
    <row r="83" spans="5:7">
      <c r="E83" s="6">
        <v>46323</v>
      </c>
      <c r="F83">
        <v>1</v>
      </c>
      <c r="G83" t="s">
        <v>26</v>
      </c>
    </row>
    <row r="84" spans="5:7">
      <c r="E84" s="6">
        <v>46324</v>
      </c>
      <c r="F84">
        <v>1</v>
      </c>
      <c r="G84" t="s">
        <v>34</v>
      </c>
    </row>
    <row r="85" spans="5:7">
      <c r="E85" s="6">
        <v>46325</v>
      </c>
      <c r="F85">
        <v>1</v>
      </c>
      <c r="G85" t="s">
        <v>29</v>
      </c>
    </row>
    <row r="86" spans="5:7">
      <c r="E86" s="6">
        <v>46328</v>
      </c>
      <c r="F86">
        <v>1</v>
      </c>
      <c r="G86" t="s">
        <v>34</v>
      </c>
    </row>
    <row r="87" spans="5:7">
      <c r="E87" s="6">
        <v>46329</v>
      </c>
      <c r="F87">
        <v>1</v>
      </c>
      <c r="G87" t="s">
        <v>26</v>
      </c>
    </row>
    <row r="88" spans="5:7">
      <c r="E88" s="6">
        <v>46330</v>
      </c>
      <c r="F88">
        <v>1</v>
      </c>
      <c r="G88" t="s">
        <v>34</v>
      </c>
    </row>
    <row r="89" spans="5:7">
      <c r="E89" s="6">
        <v>46331</v>
      </c>
      <c r="F89">
        <v>1</v>
      </c>
      <c r="G89" t="s">
        <v>34</v>
      </c>
    </row>
    <row r="90" spans="5:7">
      <c r="E90" s="6"/>
    </row>
    <row r="91" spans="5:7">
      <c r="E91" s="10"/>
    </row>
    <row r="92" spans="5:7">
      <c r="E92" s="10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workbookViewId="0"/>
  </sheetViews>
  <sheetFormatPr baseColWidth="10" defaultColWidth="9" defaultRowHeight="14.25"/>
  <cols>
    <col min="1" max="1" width="14.25" customWidth="1"/>
    <col min="3" max="3" width="17.125" customWidth="1"/>
    <col min="5" max="5" width="13" customWidth="1"/>
    <col min="6" max="6" width="38.125" customWidth="1"/>
  </cols>
  <sheetData>
    <row r="1" spans="1:7" ht="15" customHeight="1">
      <c r="A1" s="1" t="s">
        <v>316</v>
      </c>
      <c r="B1" s="1"/>
      <c r="C1" s="1" t="s">
        <v>317</v>
      </c>
      <c r="D1" s="1"/>
      <c r="E1" s="1" t="s">
        <v>318</v>
      </c>
      <c r="F1" s="1" t="s">
        <v>319</v>
      </c>
      <c r="G1" t="s">
        <v>320</v>
      </c>
    </row>
    <row r="2" spans="1:7">
      <c r="A2" t="s">
        <v>17</v>
      </c>
      <c r="C2" t="s">
        <v>23</v>
      </c>
      <c r="E2" s="6">
        <v>46251</v>
      </c>
      <c r="F2" t="s">
        <v>321</v>
      </c>
      <c r="G2" t="s">
        <v>18</v>
      </c>
    </row>
    <row r="3" spans="1:7">
      <c r="A3" t="s">
        <v>322</v>
      </c>
      <c r="C3" t="s">
        <v>18</v>
      </c>
      <c r="E3" s="6">
        <v>46307</v>
      </c>
      <c r="F3" t="s">
        <v>323</v>
      </c>
      <c r="G3" t="s">
        <v>324</v>
      </c>
    </row>
    <row r="4" spans="1:7">
      <c r="C4" t="s">
        <v>325</v>
      </c>
      <c r="E4" s="6">
        <v>46349</v>
      </c>
      <c r="F4" t="s">
        <v>326</v>
      </c>
      <c r="G4" t="s">
        <v>327</v>
      </c>
    </row>
    <row r="5" spans="1:7">
      <c r="C5" t="s">
        <v>328</v>
      </c>
      <c r="E5" s="6">
        <v>46364</v>
      </c>
      <c r="F5" t="s">
        <v>329</v>
      </c>
      <c r="G5" t="s">
        <v>328</v>
      </c>
    </row>
    <row r="6" spans="1:7">
      <c r="C6" t="s">
        <v>330</v>
      </c>
      <c r="E6" s="6">
        <v>46381</v>
      </c>
      <c r="F6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Seguimiento ESTOC</vt:lpstr>
      <vt:lpstr>Cronograma</vt:lpstr>
      <vt:lpstr>Resumen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 Lechmann</cp:lastModifiedBy>
  <dcterms:created xsi:type="dcterms:W3CDTF">2026-07-17T14:23:47Z</dcterms:created>
  <dcterms:modified xsi:type="dcterms:W3CDTF">2026-08-06T10:47:36Z</dcterms:modified>
</cp:coreProperties>
</file>