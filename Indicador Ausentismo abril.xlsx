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ciones Industriales" sheetId="1" r:id="rId4"/>
  </sheets>
  <definedNames/>
  <calcPr/>
  <extLst>
    <ext uri="GoogleSheetsCustomDataVersion2">
      <go:sheetsCustomData xmlns:go="http://customooxmlschemas.google.com/" r:id="rId5" roundtripDataChecksum="hDB2IOdqd6xf9liHomvBXY4CmkogEHG1S1axaJxd28k="/>
    </ext>
  </extLst>
</workbook>
</file>

<file path=xl/sharedStrings.xml><?xml version="1.0" encoding="utf-8"?>
<sst xmlns="http://schemas.openxmlformats.org/spreadsheetml/2006/main" count="15" uniqueCount="15">
  <si>
    <t>Periodo (Promedio mes)</t>
  </si>
  <si>
    <t>Hs NORMAL</t>
  </si>
  <si>
    <t xml:space="preserve">Hs NORMAL TRABAJADAS </t>
  </si>
  <si>
    <t xml:space="preserve">ENFERMEDAD </t>
  </si>
  <si>
    <t xml:space="preserve">ACCIDENTES </t>
  </si>
  <si>
    <t>COMPENSATORIOS</t>
  </si>
  <si>
    <t>Ausencias, Licencias Vs. y Suspensiones</t>
  </si>
  <si>
    <t>AUSENTISMO s/vacaciones</t>
  </si>
  <si>
    <t>Horas Suplementarias</t>
  </si>
  <si>
    <t>HORAS 130 Y al 100</t>
  </si>
  <si>
    <t>Horas Suplementarias vs Trabajadas</t>
  </si>
  <si>
    <t>Monto Horas Suplementarias</t>
  </si>
  <si>
    <t>Dotación</t>
  </si>
  <si>
    <t>Relacion Compensatorias vs suplementarias</t>
  </si>
  <si>
    <t>Horas trabajadas vs dotación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</si>
</sst>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&quot;HH&quot;"/>
    <numFmt numFmtId="165" formatCode="[$-C0A]mmm\-yy"/>
    <numFmt numFmtId="166" formatCode="_ &quot;$&quot;\ * #,##0_ ;_ &quot;$&quot;\ * \-#,##0_ ;_ &quot;$&quot;\ * &quot;-&quot;??_ ;_ @_ "/>
  </numFmts>
  <fonts count="11">
    <font>
      <sz val="11.0"/>
      <color theme="1"/>
      <name val="Calibri"/>
      <scheme val="minor"/>
    </font>
    <font>
      <b/>
      <sz val="12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00B050"/>
      <name val="Calibri"/>
    </font>
    <font>
      <sz val="12.0"/>
      <color rgb="FF00B050"/>
      <name val="Calibri"/>
    </font>
    <font>
      <sz val="11.0"/>
      <color rgb="FFFF0000"/>
      <name val="Calibri"/>
    </font>
    <font>
      <sz val="12.0"/>
      <color rgb="FFFF0000"/>
      <name val="Calibri"/>
    </font>
    <font>
      <sz val="12.0"/>
      <color theme="9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165" xfId="0" applyAlignment="1" applyFont="1" applyNumberFormat="1">
      <alignment horizontal="center"/>
    </xf>
    <xf borderId="0" fillId="0" fontId="6" numFmtId="164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/>
    </xf>
    <xf borderId="0" fillId="0" fontId="5" numFmtId="9" xfId="0" applyAlignment="1" applyFont="1" applyNumberFormat="1">
      <alignment horizontal="center" vertical="center"/>
    </xf>
    <xf borderId="0" fillId="0" fontId="4" numFmtId="10" xfId="0" applyFont="1" applyNumberFormat="1"/>
    <xf borderId="0" fillId="0" fontId="4" numFmtId="164" xfId="0" applyFont="1" applyNumberFormat="1"/>
    <xf borderId="0" fillId="0" fontId="4" numFmtId="9" xfId="0" applyFont="1" applyNumberFormat="1"/>
    <xf borderId="0" fillId="0" fontId="4" numFmtId="2" xfId="0" applyFont="1" applyNumberFormat="1"/>
    <xf borderId="0" fillId="0" fontId="7" numFmtId="165" xfId="0" applyAlignment="1" applyFont="1" applyNumberFormat="1">
      <alignment horizontal="center"/>
    </xf>
    <xf borderId="0" fillId="0" fontId="8" numFmtId="164" xfId="0" applyAlignment="1" applyFont="1" applyNumberFormat="1">
      <alignment horizontal="center" vertical="center"/>
    </xf>
    <xf borderId="0" fillId="0" fontId="8" numFmtId="9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/>
    </xf>
    <xf borderId="0" fillId="0" fontId="7" numFmtId="9" xfId="0" applyAlignment="1" applyFont="1" applyNumberFormat="1">
      <alignment horizontal="center" vertical="center"/>
    </xf>
    <xf borderId="2" fillId="3" fontId="7" numFmtId="165" xfId="0" applyAlignment="1" applyBorder="1" applyFill="1" applyFont="1" applyNumberFormat="1">
      <alignment horizontal="center"/>
    </xf>
    <xf borderId="2" fillId="3" fontId="8" numFmtId="164" xfId="0" applyAlignment="1" applyBorder="1" applyFont="1" applyNumberFormat="1">
      <alignment horizontal="center" vertical="center"/>
    </xf>
    <xf borderId="2" fillId="3" fontId="8" numFmtId="9" xfId="0" applyAlignment="1" applyBorder="1" applyFont="1" applyNumberFormat="1">
      <alignment horizontal="center" vertical="center"/>
    </xf>
    <xf borderId="2" fillId="3" fontId="9" numFmtId="164" xfId="0" applyAlignment="1" applyBorder="1" applyFont="1" applyNumberFormat="1">
      <alignment horizontal="center" vertical="center"/>
    </xf>
    <xf borderId="0" fillId="0" fontId="10" numFmtId="0" xfId="0" applyFont="1"/>
    <xf borderId="0" fillId="2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AUSENTISMO s/vacaciones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8CB3E3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A2C4C9"/>
              </a:solidFill>
              <a:ln cmpd="sng">
                <a:solidFill>
                  <a:srgbClr val="A4C2F4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Industriales'!$A$2:$A$17</c:f>
            </c:strRef>
          </c:cat>
          <c:val>
            <c:numRef>
              <c:f>'Relaciones Industriales'!$H$2:$H$17</c:f>
              <c:numCache/>
            </c:numRef>
          </c:val>
        </c:ser>
        <c:axId val="1451183884"/>
        <c:axId val="438385941"/>
      </c:barChart>
      <c:catAx>
        <c:axId val="1451183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385941"/>
      </c:catAx>
      <c:valAx>
        <c:axId val="438385941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400">
                <a:solidFill>
                  <a:srgbClr val="000000"/>
                </a:solidFill>
                <a:latin typeface="Calibri"/>
              </a:defRPr>
            </a:pPr>
          </a:p>
        </c:txPr>
        <c:crossAx val="1451183884"/>
        <c:majorUnit val="0.05000000000000001"/>
        <c:minorUnit val="0.010000000000000002"/>
      </c:valAx>
    </c:plotArea>
    <c:legend>
      <c:legendPos val="t"/>
      <c:overlay val="0"/>
      <c:txPr>
        <a:bodyPr/>
        <a:lstStyle/>
        <a:p>
          <a:pPr lvl="0">
            <a:defRPr b="1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500">
                <a:solidFill>
                  <a:srgbClr val="339966"/>
                </a:solidFill>
                <a:latin typeface="Calibri"/>
              </a:defRPr>
            </a:pPr>
            <a:r>
              <a:rPr b="1" i="0" sz="2500">
                <a:solidFill>
                  <a:srgbClr val="339966"/>
                </a:solidFill>
                <a:latin typeface="Calibri"/>
              </a:rPr>
              <a:t>Horas Suplementarias vs Trabajadas</a:t>
            </a:r>
          </a:p>
        </c:rich>
      </c:tx>
      <c:layout>
        <c:manualLayout>
          <c:xMode val="edge"/>
          <c:yMode val="edge"/>
          <c:x val="0.3091241943935919"/>
          <c:y val="0.027676970130799766"/>
        </c:manualLayout>
      </c:layout>
      <c:overlay val="0"/>
    </c:title>
    <c:plotArea>
      <c:layout>
        <c:manualLayout>
          <c:xMode val="edge"/>
          <c:yMode val="edge"/>
          <c:x val="0.09427530228744242"/>
          <c:y val="0.1568799835296605"/>
          <c:w val="0.8671657672193168"/>
          <c:h val="0.639341249391881"/>
        </c:manualLayout>
      </c:layout>
      <c:barChart>
        <c:barDir val="col"/>
        <c:ser>
          <c:idx val="0"/>
          <c:order val="0"/>
          <c:tx>
            <c:v>Horas Suplementarias vs Trabajadas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0504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2DADA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FCE4F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Industriales'!$A$2:$A$17</c:f>
            </c:strRef>
          </c:cat>
          <c:val>
            <c:numRef>
              <c:f>'Relaciones Industriales'!$K$2:$K$17</c:f>
              <c:numCache/>
            </c:numRef>
          </c:val>
        </c:ser>
        <c:axId val="1128423618"/>
        <c:axId val="520762797"/>
      </c:barChart>
      <c:catAx>
        <c:axId val="1128423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762797"/>
      </c:catAx>
      <c:valAx>
        <c:axId val="520762797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1128423618"/>
        <c:majorUnit val="0.05000000000000001"/>
        <c:minorUnit val="0.01000000000000000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Monto Horas Suplementarias</a:t>
            </a:r>
          </a:p>
        </c:rich>
      </c:tx>
      <c:layout>
        <c:manualLayout>
          <c:xMode val="edge"/>
          <c:yMode val="edge"/>
          <c:x val="0.35551574017319687"/>
          <c:y val="0.022948048849265743"/>
        </c:manualLayout>
      </c:layout>
      <c:overlay val="0"/>
    </c:title>
    <c:plotArea>
      <c:layout>
        <c:manualLayout>
          <c:xMode val="edge"/>
          <c:yMode val="edge"/>
          <c:x val="0.0956524840699307"/>
          <c:y val="0.14506583371293466"/>
          <c:w val="0.8723501051730236"/>
          <c:h val="0.6713590834552143"/>
        </c:manualLayout>
      </c:layout>
      <c:barChart>
        <c:barDir val="col"/>
        <c:ser>
          <c:idx val="0"/>
          <c:order val="0"/>
          <c:tx>
            <c:v>Monto Horas Suplementarias</c:v>
          </c:tx>
          <c:spPr>
            <a:solidFill>
              <a:srgbClr val="C2D59B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0504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</c:dPt>
          <c:dPt>
            <c:idx val="26"/>
          </c:dPt>
          <c:dLbls>
            <c:dLbl>
              <c:idx val="25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[VALOR]</a:t>
                    </a:r>
                  </a:p>
                </c:rich>
              </c:tx>
              <c:numFmt formatCode="_ &quot;$&quot;\ * #,##0_ ;_ &quot;$&quot;\ * \-#,##0_ ;_ &quot;$&quot;\ * &quot;-&quot;??_ ;_ @_ " sourceLinked="0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[VALOR]</a:t>
                    </a:r>
                  </a:p>
                </c:rich>
              </c:tx>
              <c:numFmt formatCode="_ &quot;$&quot;\ * #,##0_ ;_ &quot;$&quot;\ * \-#,##0_ ;_ &quot;$&quot;\ * &quot;-&quot;??_ ;_ @_ " sourceLinked="0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_ &quot;$&quot;\ * #,##0_ ;_ &quot;$&quot;\ * \-#,##0_ ;_ &quot;$&quot;\ * &quot;-&quot;??_ ;_ @_ 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Industriales'!$A$2:$A$17</c:f>
            </c:strRef>
          </c:cat>
          <c:val>
            <c:numRef>
              <c:f>'Relaciones Industriales'!$L$2:$L$17</c:f>
              <c:numCache/>
            </c:numRef>
          </c:val>
        </c:ser>
        <c:axId val="2106510585"/>
        <c:axId val="963486244"/>
      </c:barChart>
      <c:catAx>
        <c:axId val="2106510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486244"/>
      </c:catAx>
      <c:valAx>
        <c:axId val="963486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6510585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500">
                <a:solidFill>
                  <a:srgbClr val="808000"/>
                </a:solidFill>
                <a:latin typeface="Calibri"/>
              </a:defRPr>
            </a:pPr>
            <a:r>
              <a:rPr b="1" i="0" sz="2500">
                <a:solidFill>
                  <a:srgbClr val="808000"/>
                </a:solidFill>
                <a:latin typeface="Calibri"/>
              </a:rPr>
              <a:t>Horas normales y relación horas vs dotación</a:t>
            </a:r>
          </a:p>
        </c:rich>
      </c:tx>
      <c:layout>
        <c:manualLayout>
          <c:xMode val="edge"/>
          <c:yMode val="edge"/>
          <c:x val="0.23962224687341913"/>
          <c:y val="0.010252098652957635"/>
        </c:manualLayout>
      </c:layout>
      <c:overlay val="0"/>
    </c:title>
    <c:plotArea>
      <c:layout>
        <c:manualLayout>
          <c:xMode val="edge"/>
          <c:yMode val="edge"/>
          <c:x val="0.11603267698533568"/>
          <c:y val="0.17733639754360847"/>
          <c:w val="0.8000461069962694"/>
          <c:h val="0.5804864145009566"/>
        </c:manualLayout>
      </c:layout>
      <c:barChart>
        <c:barDir val="col"/>
        <c:ser>
          <c:idx val="0"/>
          <c:order val="0"/>
          <c:tx>
            <c:v>Hs NORMAL TRABAJADAS 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4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5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6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7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8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'Relaciones Industriales'!$A$1:$A$31</c:f>
            </c:strRef>
          </c:cat>
          <c:val>
            <c:numRef>
              <c:f>'Relaciones Industriales'!$A$2:$A$31</c:f>
              <c:numCache/>
            </c:numRef>
          </c:val>
        </c:ser>
        <c:ser>
          <c:idx val="1"/>
          <c:order val="1"/>
          <c:tx>
            <c:v>Horas trabajadas vs dotación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8"/>
          </c:dPt>
          <c:dPt>
            <c:idx val="9"/>
          </c:dPt>
          <c:dLbls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Industriales'!$A$1:$A$31</c:f>
            </c:strRef>
          </c:cat>
          <c:val>
            <c:numRef>
              <c:f>'Relaciones Industriales'!$C$2:$C$31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Industriales'!$A$1:$A$31</c:f>
            </c:strRef>
          </c:cat>
          <c:val>
            <c:numRef>
              <c:f>'Relaciones Industriales'!$C$1</c:f>
              <c:numCache/>
            </c:numRef>
          </c:val>
        </c:ser>
        <c:ser>
          <c:idx val="3"/>
          <c:order val="3"/>
          <c:cat>
            <c:strRef>
              <c:f>'Relaciones Industriales'!$A$1:$A$31</c:f>
            </c:strRef>
          </c:cat>
          <c:val>
            <c:numRef>
              <c:f>'Relaciones Industriales'!$O$1:$O$31</c:f>
              <c:numCache/>
            </c:numRef>
          </c:val>
        </c:ser>
        <c:ser>
          <c:idx val="4"/>
          <c:order val="4"/>
          <c:cat>
            <c:strRef>
              <c:f>'Relaciones Industriales'!$A$1:$A$31</c:f>
            </c:strRef>
          </c:cat>
          <c:val>
            <c:numRef>
              <c:f>'Relaciones Industriales'!$O$1</c:f>
              <c:numCache/>
            </c:numRef>
          </c:val>
        </c:ser>
        <c:axId val="1546044756"/>
        <c:axId val="772393496"/>
      </c:barChart>
      <c:catAx>
        <c:axId val="1546044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27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772393496"/>
      </c:catAx>
      <c:valAx>
        <c:axId val="772393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6044756"/>
      </c:valAx>
    </c:plotArea>
    <c:legend>
      <c:legendPos val="b"/>
      <c:legendEntry>
        <c:idx val="0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</c:legendEntry>
      <c:layout>
        <c:manualLayout>
          <c:xMode val="edge"/>
          <c:yMode val="edge"/>
          <c:x val="0.2850339256426136"/>
          <c:y val="0.8646285330036225"/>
        </c:manualLayout>
      </c:layout>
      <c:overlay val="0"/>
      <c:txPr>
        <a:bodyPr/>
        <a:lstStyle/>
        <a:p>
          <a:pPr lvl="0">
            <a:defRPr b="0" i="0" sz="4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B050"/>
                </a:solidFill>
                <a:latin typeface="+mn-lt"/>
              </a:defRPr>
            </a:pPr>
            <a:r>
              <a:rPr b="1" i="0" sz="2400">
                <a:solidFill>
                  <a:srgbClr val="00B050"/>
                </a:solidFill>
                <a:latin typeface="+mn-lt"/>
              </a:rPr>
              <a:t>Apertura de Ausentismo s/ Vacaciones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ACCIDENTES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Industriales'!$A$2:$A$17</c:f>
            </c:strRef>
          </c:cat>
          <c:val>
            <c:numRef>
              <c:f>'Relaciones Industriales'!$E$2:$E$17</c:f>
              <c:numCache/>
            </c:numRef>
          </c:val>
        </c:ser>
        <c:ser>
          <c:idx val="1"/>
          <c:order val="1"/>
          <c:tx>
            <c:v>ENFERMEDAD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Industriales'!$A$2:$A$17</c:f>
            </c:strRef>
          </c:cat>
          <c:val>
            <c:numRef>
              <c:f>'Relaciones Industriales'!$D$2:$D$17</c:f>
              <c:numCache/>
            </c:numRef>
          </c:val>
        </c:ser>
        <c:ser>
          <c:idx val="2"/>
          <c:order val="2"/>
          <c:tx>
            <c:v>Ausencias, Licencias Vs. y Suspensiones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Industriales'!$A$2:$A$17</c:f>
            </c:strRef>
          </c:cat>
          <c:val>
            <c:numRef>
              <c:f>'Relaciones Industriales'!$G$2:$G$17</c:f>
              <c:numCache/>
            </c:numRef>
          </c:val>
        </c:ser>
        <c:ser>
          <c:idx val="3"/>
          <c:order val="3"/>
          <c:tx>
            <c:v>COMPENSATORIOS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Industriales'!$A$2:$A$17</c:f>
            </c:strRef>
          </c:cat>
          <c:val>
            <c:numRef>
              <c:f>'Relaciones Industriales'!$F$2:$F$17</c:f>
              <c:numCache/>
            </c:numRef>
          </c:val>
        </c:ser>
        <c:axId val="1119402140"/>
        <c:axId val="1169554837"/>
      </c:barChart>
      <c:catAx>
        <c:axId val="1119402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9554837"/>
      </c:catAx>
      <c:valAx>
        <c:axId val="1169554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9402140"/>
      </c:valAx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70C0"/>
                </a:solidFill>
                <a:latin typeface="+mn-lt"/>
              </a:defRPr>
            </a:pPr>
            <a:r>
              <a:rPr b="1" i="0" sz="2400">
                <a:solidFill>
                  <a:srgbClr val="0070C0"/>
                </a:solidFill>
                <a:latin typeface="+mn-lt"/>
              </a:rPr>
              <a:t>Horas compensatorias vs horas suplementarias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Relacion Compensatorias vs suplementarias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77F44A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Industriales'!$A$2:$A$17</c:f>
            </c:strRef>
          </c:cat>
          <c:val>
            <c:numRef>
              <c:f>'Relaciones Industriales'!$N$2:$N$17</c:f>
              <c:numCache/>
            </c:numRef>
          </c:val>
        </c:ser>
        <c:axId val="118437020"/>
        <c:axId val="1894665804"/>
      </c:barChart>
      <c:catAx>
        <c:axId val="118437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4665804"/>
      </c:catAx>
      <c:valAx>
        <c:axId val="1894665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43702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18</xdr:row>
      <xdr:rowOff>9525</xdr:rowOff>
    </xdr:from>
    <xdr:ext cx="7334250" cy="4600575"/>
    <xdr:graphicFrame>
      <xdr:nvGraphicFramePr>
        <xdr:cNvPr id="81986953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314325</xdr:colOff>
      <xdr:row>42</xdr:row>
      <xdr:rowOff>171450</xdr:rowOff>
    </xdr:from>
    <xdr:ext cx="7334250" cy="4724400"/>
    <xdr:graphicFrame>
      <xdr:nvGraphicFramePr>
        <xdr:cNvPr id="267287471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781050</xdr:colOff>
      <xdr:row>42</xdr:row>
      <xdr:rowOff>171450</xdr:rowOff>
    </xdr:from>
    <xdr:ext cx="8248650" cy="5029200"/>
    <xdr:graphicFrame>
      <xdr:nvGraphicFramePr>
        <xdr:cNvPr id="1228421672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314325</xdr:colOff>
      <xdr:row>68</xdr:row>
      <xdr:rowOff>19050</xdr:rowOff>
    </xdr:from>
    <xdr:ext cx="7553325" cy="4905375"/>
    <xdr:graphicFrame>
      <xdr:nvGraphicFramePr>
        <xdr:cNvPr id="827248167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781050</xdr:colOff>
      <xdr:row>18</xdr:row>
      <xdr:rowOff>9525</xdr:rowOff>
    </xdr:from>
    <xdr:ext cx="8248650" cy="4600575"/>
    <xdr:graphicFrame>
      <xdr:nvGraphicFramePr>
        <xdr:cNvPr id="920794564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876300</xdr:colOff>
      <xdr:row>68</xdr:row>
      <xdr:rowOff>19050</xdr:rowOff>
    </xdr:from>
    <xdr:ext cx="9382125" cy="4905375"/>
    <xdr:graphicFrame>
      <xdr:nvGraphicFramePr>
        <xdr:cNvPr id="187632108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552450</xdr:colOff>
      <xdr:row>44</xdr:row>
      <xdr:rowOff>47625</xdr:rowOff>
    </xdr:from>
    <xdr:ext cx="3705225" cy="228600"/>
    <xdr:sp>
      <xdr:nvSpPr>
        <xdr:cNvPr id="3" name="Shape 3"/>
        <xdr:cNvSpPr txBox="1"/>
      </xdr:nvSpPr>
      <xdr:spPr>
        <a:xfrm>
          <a:off x="3011695" y="3641888"/>
          <a:ext cx="466861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Expresado en Millones de $ en valores corrientes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71"/>
    <col customWidth="1" min="3" max="3" width="20.0"/>
    <col customWidth="1" min="4" max="4" width="15.29"/>
    <col customWidth="1" min="5" max="5" width="18.86"/>
    <col customWidth="1" min="6" max="7" width="18.14"/>
    <col customWidth="1" min="8" max="8" width="19.86"/>
    <col customWidth="1" min="9" max="9" width="21.86"/>
    <col customWidth="1" min="10" max="10" width="16.43"/>
    <col customWidth="1" min="11" max="11" width="23.0"/>
    <col customWidth="1" min="12" max="12" width="21.86"/>
    <col customWidth="1" min="13" max="13" width="13.43"/>
    <col customWidth="1" min="14" max="14" width="14.43"/>
    <col customWidth="1" min="15" max="15" width="11.43"/>
    <col customWidth="1" min="16" max="16" width="14.43"/>
    <col customWidth="1" min="17" max="17" width="14.71"/>
    <col customWidth="1" min="18" max="19" width="11.43"/>
    <col customWidth="1" min="20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>
        <v>45658.0</v>
      </c>
      <c r="B2" s="7">
        <v>74096.0</v>
      </c>
      <c r="C2" s="7">
        <v>49582.0</v>
      </c>
      <c r="D2" s="7">
        <v>1921.0</v>
      </c>
      <c r="E2" s="7">
        <v>336.0</v>
      </c>
      <c r="F2" s="7">
        <v>2282.0</v>
      </c>
      <c r="G2" s="7">
        <v>3832.0</v>
      </c>
      <c r="H2" s="8">
        <f>(D2+E2+F2)/B2</f>
        <v>0.06125836752</v>
      </c>
      <c r="I2" s="7">
        <v>4470.0</v>
      </c>
      <c r="J2" s="7">
        <v>2803.0</v>
      </c>
      <c r="K2" s="8">
        <f t="shared" ref="K2:K17" si="1">IF(C2=0,"",(I2+J2)/C2)</f>
        <v>0.1466862974</v>
      </c>
      <c r="L2" s="9">
        <v>1.17844507E8</v>
      </c>
      <c r="M2" s="10">
        <v>421.0</v>
      </c>
      <c r="N2" s="11">
        <f t="shared" ref="N2:N17" si="2">+F2/J2</f>
        <v>0.8141277203</v>
      </c>
      <c r="O2" s="7">
        <f t="shared" ref="O2:O17" si="3">+C2/M2</f>
        <v>117.7719715</v>
      </c>
      <c r="P2" s="12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6">
        <v>45689.0</v>
      </c>
      <c r="B3" s="7">
        <v>67040.0</v>
      </c>
      <c r="C3" s="7">
        <v>44700.0</v>
      </c>
      <c r="D3" s="7">
        <v>2160.0</v>
      </c>
      <c r="E3" s="7">
        <v>452.0</v>
      </c>
      <c r="F3" s="7">
        <v>2141.0</v>
      </c>
      <c r="G3" s="7">
        <v>2876.0</v>
      </c>
      <c r="H3" s="8">
        <f t="shared" ref="H3:H17" si="4">(D3+E3+G3+F3)/B3</f>
        <v>0.1137977327</v>
      </c>
      <c r="I3" s="7">
        <v>2731.0</v>
      </c>
      <c r="J3" s="7">
        <v>1524.0</v>
      </c>
      <c r="K3" s="8">
        <f t="shared" si="1"/>
        <v>0.0951901566</v>
      </c>
      <c r="L3" s="9">
        <v>6.7169187E7</v>
      </c>
      <c r="M3" s="10">
        <v>419.0</v>
      </c>
      <c r="N3" s="11">
        <f t="shared" si="2"/>
        <v>1.404855643</v>
      </c>
      <c r="O3" s="7">
        <f t="shared" si="3"/>
        <v>106.6825776</v>
      </c>
      <c r="P3" s="12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6">
        <v>45717.0</v>
      </c>
      <c r="B4" s="7">
        <v>60480.0</v>
      </c>
      <c r="C4" s="7">
        <v>47451.0</v>
      </c>
      <c r="D4" s="7">
        <v>2080.0</v>
      </c>
      <c r="E4" s="7">
        <v>410.0</v>
      </c>
      <c r="F4" s="7">
        <v>2158.0</v>
      </c>
      <c r="G4" s="7">
        <v>3565.0</v>
      </c>
      <c r="H4" s="8">
        <f t="shared" si="4"/>
        <v>0.1357969577</v>
      </c>
      <c r="I4" s="7">
        <v>1596.0</v>
      </c>
      <c r="J4" s="7">
        <v>6262.0</v>
      </c>
      <c r="K4" s="8">
        <f t="shared" si="1"/>
        <v>0.1656024109</v>
      </c>
      <c r="L4" s="9">
        <v>1.3693049E8</v>
      </c>
      <c r="M4" s="10">
        <v>420.0</v>
      </c>
      <c r="N4" s="11">
        <f t="shared" si="2"/>
        <v>0.3446183328</v>
      </c>
      <c r="O4" s="7">
        <f t="shared" si="3"/>
        <v>112.9785714</v>
      </c>
      <c r="P4" s="12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6">
        <v>45748.0</v>
      </c>
      <c r="B5" s="7">
        <v>67520.0</v>
      </c>
      <c r="C5" s="7">
        <v>55661.0</v>
      </c>
      <c r="D5" s="7">
        <v>2143.0</v>
      </c>
      <c r="E5" s="7">
        <v>560.0</v>
      </c>
      <c r="F5" s="7">
        <v>3199.0</v>
      </c>
      <c r="G5" s="7">
        <v>4397.0</v>
      </c>
      <c r="H5" s="8">
        <f t="shared" si="4"/>
        <v>0.1525325829</v>
      </c>
      <c r="I5" s="7">
        <v>5491.0</v>
      </c>
      <c r="J5" s="7">
        <v>2718.0</v>
      </c>
      <c r="K5" s="8">
        <f t="shared" si="1"/>
        <v>0.147482079</v>
      </c>
      <c r="L5" s="9">
        <v>1.31921653E8</v>
      </c>
      <c r="M5" s="10">
        <v>422.0</v>
      </c>
      <c r="N5" s="11">
        <f t="shared" si="2"/>
        <v>1.176968359</v>
      </c>
      <c r="O5" s="7">
        <f t="shared" si="3"/>
        <v>131.8981043</v>
      </c>
      <c r="P5" s="12"/>
      <c r="Q5" s="13"/>
      <c r="R5" s="14"/>
      <c r="S5" s="5"/>
      <c r="T5" s="5"/>
      <c r="U5" s="5"/>
      <c r="V5" s="5"/>
      <c r="W5" s="5"/>
      <c r="X5" s="5"/>
      <c r="Y5" s="5"/>
      <c r="Z5" s="5"/>
    </row>
    <row r="6" ht="15.0" customHeight="1">
      <c r="A6" s="6">
        <v>45778.0</v>
      </c>
      <c r="B6" s="7">
        <v>67680.0</v>
      </c>
      <c r="C6" s="7">
        <v>57179.0</v>
      </c>
      <c r="D6" s="7">
        <v>2395.0</v>
      </c>
      <c r="E6" s="7">
        <v>201.0</v>
      </c>
      <c r="F6" s="7">
        <v>2634.0</v>
      </c>
      <c r="G6" s="7">
        <v>3071.0</v>
      </c>
      <c r="H6" s="8">
        <f t="shared" si="4"/>
        <v>0.1226507092</v>
      </c>
      <c r="I6" s="7">
        <v>3384.0</v>
      </c>
      <c r="J6" s="7">
        <v>1282.0</v>
      </c>
      <c r="K6" s="8">
        <f t="shared" si="1"/>
        <v>0.08160338586</v>
      </c>
      <c r="L6" s="9">
        <v>7.4867647E7</v>
      </c>
      <c r="M6" s="10">
        <v>423.0</v>
      </c>
      <c r="N6" s="11">
        <f t="shared" si="2"/>
        <v>2.054602184</v>
      </c>
      <c r="O6" s="7">
        <f t="shared" si="3"/>
        <v>135.1749409</v>
      </c>
      <c r="P6" s="12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6">
        <v>45809.0</v>
      </c>
      <c r="B7" s="7">
        <v>64296.0</v>
      </c>
      <c r="C7" s="7">
        <v>54681.0</v>
      </c>
      <c r="D7" s="7">
        <v>2650.0</v>
      </c>
      <c r="E7" s="7">
        <v>421.0</v>
      </c>
      <c r="F7" s="7">
        <v>1592.0</v>
      </c>
      <c r="G7" s="7">
        <v>3368.0</v>
      </c>
      <c r="H7" s="8">
        <f t="shared" si="4"/>
        <v>0.1249066816</v>
      </c>
      <c r="I7" s="7">
        <v>2742.0</v>
      </c>
      <c r="J7" s="7">
        <v>1699.0</v>
      </c>
      <c r="K7" s="8">
        <f t="shared" si="1"/>
        <v>0.08121651031</v>
      </c>
      <c r="L7" s="9">
        <v>7.4819435E7</v>
      </c>
      <c r="M7" s="10">
        <v>423.0</v>
      </c>
      <c r="N7" s="11">
        <f t="shared" si="2"/>
        <v>0.9370217775</v>
      </c>
      <c r="O7" s="7">
        <f t="shared" si="3"/>
        <v>129.2695035</v>
      </c>
      <c r="P7" s="15"/>
      <c r="Q7" s="13"/>
      <c r="R7" s="14"/>
      <c r="S7" s="5"/>
      <c r="T7" s="5"/>
      <c r="U7" s="5"/>
      <c r="V7" s="5"/>
      <c r="W7" s="5"/>
      <c r="X7" s="5"/>
      <c r="Y7" s="5"/>
      <c r="Z7" s="5"/>
    </row>
    <row r="8" ht="15.0" customHeight="1">
      <c r="A8" s="6">
        <v>45839.0</v>
      </c>
      <c r="B8" s="7">
        <v>74272.0</v>
      </c>
      <c r="C8" s="7">
        <v>58966.0</v>
      </c>
      <c r="D8" s="7">
        <v>3218.0</v>
      </c>
      <c r="E8" s="7">
        <v>633.0</v>
      </c>
      <c r="F8" s="7">
        <v>2020.0</v>
      </c>
      <c r="G8" s="7">
        <v>3252.0</v>
      </c>
      <c r="H8" s="8">
        <f t="shared" si="4"/>
        <v>0.1228322921</v>
      </c>
      <c r="I8" s="7">
        <v>2400.0</v>
      </c>
      <c r="J8" s="7">
        <v>1490.0</v>
      </c>
      <c r="K8" s="8">
        <f t="shared" si="1"/>
        <v>0.06597022013</v>
      </c>
      <c r="L8" s="9">
        <v>6.5688401E7</v>
      </c>
      <c r="M8" s="10">
        <v>422.0</v>
      </c>
      <c r="N8" s="11">
        <f t="shared" si="2"/>
        <v>1.355704698</v>
      </c>
      <c r="O8" s="7">
        <f t="shared" si="3"/>
        <v>139.7298578</v>
      </c>
      <c r="P8" s="12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6">
        <v>45870.0</v>
      </c>
      <c r="B9" s="7">
        <v>67200.0</v>
      </c>
      <c r="C9" s="7">
        <v>54829.0</v>
      </c>
      <c r="D9" s="7">
        <v>3408.0</v>
      </c>
      <c r="E9" s="7">
        <v>739.0</v>
      </c>
      <c r="F9" s="7">
        <v>1832.0</v>
      </c>
      <c r="G9" s="7">
        <v>2545.0</v>
      </c>
      <c r="H9" s="8">
        <f t="shared" si="4"/>
        <v>0.1268452381</v>
      </c>
      <c r="I9" s="7">
        <v>4436.0</v>
      </c>
      <c r="J9" s="7">
        <v>2163.0</v>
      </c>
      <c r="K9" s="8">
        <f t="shared" si="1"/>
        <v>0.120356016</v>
      </c>
      <c r="L9" s="9">
        <v>1.10333858E8</v>
      </c>
      <c r="M9" s="10">
        <v>420.0</v>
      </c>
      <c r="N9" s="11">
        <f t="shared" si="2"/>
        <v>0.8469717984</v>
      </c>
      <c r="O9" s="7">
        <f t="shared" si="3"/>
        <v>130.5452381</v>
      </c>
      <c r="P9" s="12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6">
        <v>45901.0</v>
      </c>
      <c r="B10" s="7">
        <v>71064.0</v>
      </c>
      <c r="C10" s="7">
        <v>59350.0</v>
      </c>
      <c r="D10" s="7">
        <v>3506.0</v>
      </c>
      <c r="E10" s="7">
        <v>757.0</v>
      </c>
      <c r="F10" s="7">
        <v>1852.0</v>
      </c>
      <c r="G10" s="7">
        <v>2663.0</v>
      </c>
      <c r="H10" s="8">
        <f t="shared" si="4"/>
        <v>0.1235224586</v>
      </c>
      <c r="I10" s="7">
        <v>8477.0</v>
      </c>
      <c r="J10" s="7">
        <v>6171.0</v>
      </c>
      <c r="K10" s="8">
        <f t="shared" si="1"/>
        <v>0.2468070767</v>
      </c>
      <c r="L10" s="9">
        <v>2.6753341472E8</v>
      </c>
      <c r="M10" s="10">
        <v>423.0</v>
      </c>
      <c r="N10" s="11">
        <f t="shared" si="2"/>
        <v>0.3001134338</v>
      </c>
      <c r="O10" s="7">
        <f t="shared" si="3"/>
        <v>140.3073286</v>
      </c>
      <c r="P10" s="12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6">
        <v>45931.0</v>
      </c>
      <c r="B11" s="7">
        <v>74800.0</v>
      </c>
      <c r="C11" s="7">
        <v>60933.0</v>
      </c>
      <c r="D11" s="7">
        <v>3688.0</v>
      </c>
      <c r="E11" s="7">
        <v>583.0</v>
      </c>
      <c r="F11" s="7">
        <v>3955.0</v>
      </c>
      <c r="G11" s="7">
        <v>2770.0</v>
      </c>
      <c r="H11" s="8">
        <f t="shared" si="4"/>
        <v>0.1470053476</v>
      </c>
      <c r="I11" s="7">
        <v>11625.0</v>
      </c>
      <c r="J11" s="7">
        <v>8306.0</v>
      </c>
      <c r="K11" s="8">
        <f t="shared" si="1"/>
        <v>0.3270969754</v>
      </c>
      <c r="L11" s="9">
        <v>3.746924373500001E8</v>
      </c>
      <c r="M11" s="10">
        <v>425.0</v>
      </c>
      <c r="N11" s="11">
        <f t="shared" si="2"/>
        <v>0.4761618107</v>
      </c>
      <c r="O11" s="7">
        <f t="shared" si="3"/>
        <v>143.3717647</v>
      </c>
      <c r="P11" s="7"/>
      <c r="Q11" s="13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6">
        <v>45962.0</v>
      </c>
      <c r="B12" s="7">
        <v>60768.0</v>
      </c>
      <c r="C12" s="7">
        <v>47988.0</v>
      </c>
      <c r="D12" s="7">
        <v>2913.0</v>
      </c>
      <c r="E12" s="7">
        <v>605.0</v>
      </c>
      <c r="F12" s="7">
        <v>4610.0</v>
      </c>
      <c r="G12" s="7">
        <v>2141.0</v>
      </c>
      <c r="H12" s="8">
        <f t="shared" si="4"/>
        <v>0.1689869668</v>
      </c>
      <c r="I12" s="7">
        <v>5489.0</v>
      </c>
      <c r="J12" s="7">
        <v>5008.0</v>
      </c>
      <c r="K12" s="8">
        <f t="shared" si="1"/>
        <v>0.2187421855</v>
      </c>
      <c r="L12" s="9">
        <v>2.0040413819E8</v>
      </c>
      <c r="M12" s="10">
        <v>422.0</v>
      </c>
      <c r="N12" s="11">
        <f t="shared" si="2"/>
        <v>0.9205271565</v>
      </c>
      <c r="O12" s="7">
        <f t="shared" si="3"/>
        <v>113.7156398</v>
      </c>
      <c r="P12" s="7"/>
      <c r="Q12" s="13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6">
        <v>45992.0</v>
      </c>
      <c r="B13" s="7">
        <v>64752.0</v>
      </c>
      <c r="C13" s="7">
        <v>50998.0</v>
      </c>
      <c r="D13" s="7">
        <v>2447.0</v>
      </c>
      <c r="E13" s="7">
        <v>633.0</v>
      </c>
      <c r="F13" s="7">
        <v>4595.0</v>
      </c>
      <c r="G13" s="7">
        <v>3360.0</v>
      </c>
      <c r="H13" s="8">
        <f t="shared" si="4"/>
        <v>0.1704194465</v>
      </c>
      <c r="I13" s="7">
        <v>7073.0</v>
      </c>
      <c r="J13" s="7">
        <v>5646.0</v>
      </c>
      <c r="K13" s="8">
        <f t="shared" si="1"/>
        <v>0.2494019373</v>
      </c>
      <c r="L13" s="9">
        <v>2.4834670035E8</v>
      </c>
      <c r="M13" s="10">
        <v>426.0</v>
      </c>
      <c r="N13" s="11">
        <f t="shared" si="2"/>
        <v>0.8138505136</v>
      </c>
      <c r="O13" s="7">
        <f t="shared" si="3"/>
        <v>119.713615</v>
      </c>
      <c r="P13" s="7"/>
      <c r="Q13" s="13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6">
        <v>46023.0</v>
      </c>
      <c r="B14" s="17">
        <v>71736.0</v>
      </c>
      <c r="C14" s="17">
        <v>46890.0</v>
      </c>
      <c r="D14" s="17">
        <v>2208.0</v>
      </c>
      <c r="E14" s="17">
        <v>920.0</v>
      </c>
      <c r="F14" s="17">
        <v>3952.0</v>
      </c>
      <c r="G14" s="17">
        <v>2287.0</v>
      </c>
      <c r="H14" s="18">
        <f t="shared" si="4"/>
        <v>0.1305760009</v>
      </c>
      <c r="I14" s="17">
        <v>6704.0</v>
      </c>
      <c r="J14" s="17">
        <v>4177.0</v>
      </c>
      <c r="K14" s="18">
        <f t="shared" si="1"/>
        <v>0.2320537428</v>
      </c>
      <c r="L14" s="19">
        <v>2.1549940463E8</v>
      </c>
      <c r="M14" s="20">
        <v>427.0</v>
      </c>
      <c r="N14" s="21">
        <f t="shared" si="2"/>
        <v>0.9461335887</v>
      </c>
      <c r="O14" s="17">
        <f t="shared" si="3"/>
        <v>109.8126464</v>
      </c>
      <c r="P14" s="7"/>
      <c r="Q14" s="13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6">
        <v>46054.0</v>
      </c>
      <c r="B15" s="17">
        <v>60912.0</v>
      </c>
      <c r="C15" s="17">
        <v>38802.0</v>
      </c>
      <c r="D15" s="17">
        <v>1881.0</v>
      </c>
      <c r="E15" s="17">
        <v>768.0</v>
      </c>
      <c r="F15" s="17">
        <v>5021.0</v>
      </c>
      <c r="G15" s="17">
        <v>2201.0</v>
      </c>
      <c r="H15" s="18">
        <f t="shared" si="4"/>
        <v>0.1620534542</v>
      </c>
      <c r="I15" s="17">
        <v>3061.0</v>
      </c>
      <c r="J15" s="17">
        <v>2738.0</v>
      </c>
      <c r="K15" s="18">
        <f t="shared" si="1"/>
        <v>0.1494510592</v>
      </c>
      <c r="L15" s="19">
        <v>1.2128038271E8</v>
      </c>
      <c r="M15" s="20">
        <v>423.0</v>
      </c>
      <c r="N15" s="21">
        <f t="shared" si="2"/>
        <v>1.833820307</v>
      </c>
      <c r="O15" s="17">
        <f t="shared" si="3"/>
        <v>91.73049645</v>
      </c>
      <c r="P15" s="1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6">
        <v>46082.0</v>
      </c>
      <c r="B16" s="17">
        <v>67040.0</v>
      </c>
      <c r="C16" s="17">
        <v>50715.0</v>
      </c>
      <c r="D16" s="17">
        <v>2095.0</v>
      </c>
      <c r="E16" s="17">
        <v>880.0</v>
      </c>
      <c r="F16" s="17">
        <v>4398.0</v>
      </c>
      <c r="G16" s="17">
        <v>3105.0</v>
      </c>
      <c r="H16" s="18">
        <f t="shared" si="4"/>
        <v>0.1562947494</v>
      </c>
      <c r="I16" s="17">
        <v>4052.0</v>
      </c>
      <c r="J16" s="17">
        <v>3451.0</v>
      </c>
      <c r="K16" s="18">
        <f t="shared" si="1"/>
        <v>0.1479443951</v>
      </c>
      <c r="L16" s="19">
        <v>1.5550637335E8</v>
      </c>
      <c r="M16" s="20">
        <v>419.0</v>
      </c>
      <c r="N16" s="21">
        <f t="shared" si="2"/>
        <v>1.274413214</v>
      </c>
      <c r="O16" s="17">
        <f t="shared" si="3"/>
        <v>121.0381862</v>
      </c>
      <c r="P16" s="13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6">
        <v>46113.0</v>
      </c>
      <c r="B17" s="17">
        <v>66880.0</v>
      </c>
      <c r="C17" s="17">
        <v>53893.0</v>
      </c>
      <c r="D17" s="17">
        <v>2467.0</v>
      </c>
      <c r="E17" s="17">
        <v>344.0</v>
      </c>
      <c r="F17" s="17">
        <v>4182.0</v>
      </c>
      <c r="G17" s="17">
        <v>3219.0</v>
      </c>
      <c r="H17" s="18">
        <f t="shared" si="4"/>
        <v>0.1526913876</v>
      </c>
      <c r="I17" s="17">
        <v>3645.0</v>
      </c>
      <c r="J17" s="17">
        <v>2304.0</v>
      </c>
      <c r="K17" s="18">
        <f t="shared" si="1"/>
        <v>0.1103853933</v>
      </c>
      <c r="L17" s="19">
        <v>1.1727345712E8</v>
      </c>
      <c r="M17" s="20">
        <v>418.0</v>
      </c>
      <c r="N17" s="21">
        <f t="shared" si="2"/>
        <v>1.815104167</v>
      </c>
      <c r="O17" s="17">
        <f t="shared" si="3"/>
        <v>128.930622</v>
      </c>
      <c r="P17" s="13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22"/>
      <c r="B18" s="23"/>
      <c r="C18" s="23"/>
      <c r="D18" s="23"/>
      <c r="E18" s="23"/>
      <c r="F18" s="23"/>
      <c r="G18" s="23"/>
      <c r="H18" s="24"/>
      <c r="I18" s="23"/>
      <c r="J18" s="17"/>
      <c r="K18" s="18"/>
      <c r="L18" s="19"/>
      <c r="M18" s="20"/>
      <c r="N18" s="21"/>
      <c r="O18" s="17"/>
      <c r="P18" s="13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22"/>
      <c r="B19" s="23"/>
      <c r="C19" s="23"/>
      <c r="D19" s="23"/>
      <c r="E19" s="23"/>
      <c r="F19" s="23"/>
      <c r="G19" s="23"/>
      <c r="H19" s="24"/>
      <c r="I19" s="23"/>
      <c r="J19" s="17"/>
      <c r="K19" s="18"/>
      <c r="L19" s="19"/>
      <c r="M19" s="20"/>
      <c r="N19" s="21"/>
      <c r="O19" s="17"/>
      <c r="P19" s="13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5"/>
      <c r="U20" s="5"/>
      <c r="V20" s="5"/>
      <c r="W20" s="5"/>
      <c r="X20" s="5"/>
      <c r="Y20" s="5"/>
      <c r="Z20" s="5"/>
    </row>
    <row r="21" ht="15.0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/>
      <c r="U21" s="26"/>
      <c r="V21" s="26"/>
      <c r="W21" s="26"/>
      <c r="X21" s="26"/>
      <c r="Y21" s="26"/>
      <c r="Z21" s="26"/>
    </row>
    <row r="22" ht="15.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5"/>
      <c r="U22" s="5"/>
      <c r="V22" s="5"/>
      <c r="W22" s="5"/>
      <c r="X22" s="5"/>
      <c r="Y22" s="5"/>
      <c r="Z22" s="5"/>
    </row>
    <row r="23" ht="15.0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5"/>
      <c r="U23" s="5"/>
      <c r="V23" s="5"/>
      <c r="W23" s="5"/>
      <c r="X23" s="5"/>
      <c r="Y23" s="5"/>
      <c r="Z23" s="5"/>
    </row>
    <row r="24" ht="15.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5"/>
      <c r="U24" s="5"/>
      <c r="V24" s="5"/>
      <c r="W24" s="5"/>
      <c r="X24" s="5"/>
      <c r="Y24" s="5"/>
      <c r="Z24" s="5"/>
    </row>
    <row r="25" ht="15.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5"/>
      <c r="U25" s="5"/>
      <c r="V25" s="5"/>
      <c r="W25" s="5"/>
      <c r="X25" s="5"/>
      <c r="Y25" s="5"/>
      <c r="Z25" s="5"/>
    </row>
    <row r="26" ht="15.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5"/>
      <c r="U26" s="5"/>
      <c r="V26" s="5"/>
      <c r="W26" s="5"/>
      <c r="X26" s="5"/>
      <c r="Y26" s="5"/>
      <c r="Z26" s="5"/>
    </row>
    <row r="27" ht="15.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5"/>
      <c r="U27" s="5"/>
      <c r="V27" s="5"/>
      <c r="W27" s="5"/>
      <c r="X27" s="5"/>
      <c r="Y27" s="5"/>
      <c r="Z27" s="5"/>
    </row>
    <row r="28" ht="15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5"/>
      <c r="U28" s="5"/>
      <c r="V28" s="5"/>
      <c r="W28" s="5"/>
      <c r="X28" s="5"/>
      <c r="Y28" s="5"/>
      <c r="Z28" s="5"/>
    </row>
    <row r="29" ht="15.0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5"/>
      <c r="U29" s="5"/>
      <c r="V29" s="5"/>
      <c r="W29" s="5"/>
      <c r="X29" s="5"/>
      <c r="Y29" s="5"/>
      <c r="Z29" s="5"/>
    </row>
    <row r="30" ht="15.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5"/>
      <c r="U30" s="5"/>
      <c r="V30" s="5"/>
      <c r="W30" s="5"/>
      <c r="X30" s="5"/>
      <c r="Y30" s="5"/>
      <c r="Z30" s="5"/>
    </row>
    <row r="31" ht="15.0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5"/>
      <c r="U31" s="5"/>
      <c r="V31" s="5"/>
      <c r="W31" s="5"/>
      <c r="X31" s="5"/>
      <c r="Y31" s="5"/>
      <c r="Z31" s="5"/>
    </row>
    <row r="32" ht="15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7"/>
      <c r="U32" s="5"/>
      <c r="V32" s="5"/>
      <c r="W32" s="5"/>
      <c r="X32" s="5"/>
      <c r="Y32" s="5"/>
      <c r="Z32" s="5"/>
    </row>
    <row r="33" ht="15.0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7"/>
      <c r="U33" s="5"/>
      <c r="V33" s="5"/>
      <c r="W33" s="5"/>
      <c r="X33" s="5"/>
      <c r="Y33" s="5"/>
      <c r="Z33" s="5"/>
    </row>
    <row r="34" ht="15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7"/>
      <c r="U34" s="5"/>
      <c r="V34" s="5"/>
      <c r="W34" s="5"/>
      <c r="X34" s="5"/>
      <c r="Y34" s="5"/>
      <c r="Z34" s="5"/>
    </row>
    <row r="35" ht="15.0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7"/>
      <c r="U35" s="5"/>
      <c r="V35" s="5"/>
      <c r="W35" s="5"/>
      <c r="X35" s="5"/>
      <c r="Y35" s="5"/>
      <c r="Z35" s="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7"/>
      <c r="U36" s="5"/>
      <c r="V36" s="5"/>
      <c r="W36" s="5"/>
      <c r="X36" s="5"/>
      <c r="Y36" s="5"/>
      <c r="Z36" s="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7"/>
      <c r="U37" s="5"/>
      <c r="V37" s="5"/>
      <c r="W37" s="5"/>
      <c r="X37" s="5"/>
      <c r="Y37" s="5"/>
      <c r="Z37" s="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7"/>
      <c r="U38" s="5"/>
      <c r="V38" s="5"/>
      <c r="W38" s="5"/>
      <c r="X38" s="5"/>
      <c r="Y38" s="5"/>
      <c r="Z38" s="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7"/>
      <c r="U39" s="5"/>
      <c r="V39" s="5"/>
      <c r="W39" s="5"/>
      <c r="X39" s="5"/>
      <c r="Y39" s="5"/>
      <c r="Z39" s="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7"/>
      <c r="U40" s="5"/>
      <c r="V40" s="5"/>
      <c r="W40" s="5"/>
      <c r="X40" s="5"/>
      <c r="Y40" s="5"/>
      <c r="Z40" s="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7"/>
      <c r="U41" s="5"/>
      <c r="V41" s="5"/>
      <c r="W41" s="5"/>
      <c r="X41" s="5"/>
      <c r="Y41" s="5"/>
      <c r="Z41" s="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7"/>
      <c r="U42" s="5"/>
      <c r="V42" s="5"/>
      <c r="W42" s="5"/>
      <c r="X42" s="5"/>
      <c r="Y42" s="5"/>
      <c r="Z42" s="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7"/>
      <c r="U43" s="5"/>
      <c r="V43" s="5"/>
      <c r="W43" s="5"/>
      <c r="X43" s="5"/>
      <c r="Y43" s="5"/>
      <c r="Z43" s="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7"/>
      <c r="U44" s="5"/>
      <c r="V44" s="5"/>
      <c r="W44" s="5"/>
      <c r="X44" s="5"/>
      <c r="Y44" s="5"/>
      <c r="Z44" s="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7"/>
      <c r="U45" s="5"/>
      <c r="V45" s="5"/>
      <c r="W45" s="5"/>
      <c r="X45" s="5"/>
      <c r="Y45" s="5"/>
      <c r="Z45" s="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7"/>
      <c r="U46" s="5"/>
      <c r="V46" s="5"/>
      <c r="W46" s="5"/>
      <c r="X46" s="5"/>
      <c r="Y46" s="5"/>
      <c r="Z46" s="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7"/>
      <c r="U47" s="5"/>
      <c r="V47" s="5"/>
      <c r="W47" s="5"/>
      <c r="X47" s="5"/>
      <c r="Y47" s="5"/>
      <c r="Z47" s="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7"/>
      <c r="U48" s="5"/>
      <c r="V48" s="5"/>
      <c r="W48" s="5"/>
      <c r="X48" s="5"/>
      <c r="Y48" s="5"/>
      <c r="Z48" s="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7"/>
      <c r="U49" s="5"/>
      <c r="V49" s="5"/>
      <c r="W49" s="5"/>
      <c r="X49" s="5"/>
      <c r="Y49" s="5"/>
      <c r="Z49" s="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7"/>
      <c r="U50" s="5"/>
      <c r="V50" s="5"/>
      <c r="W50" s="5"/>
      <c r="X50" s="5"/>
      <c r="Y50" s="5"/>
      <c r="Z50" s="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7"/>
      <c r="U51" s="5"/>
      <c r="V51" s="5"/>
      <c r="W51" s="5"/>
      <c r="X51" s="5"/>
      <c r="Y51" s="5"/>
      <c r="Z51" s="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7"/>
      <c r="U52" s="5"/>
      <c r="V52" s="5"/>
      <c r="W52" s="5"/>
      <c r="X52" s="5"/>
      <c r="Y52" s="5"/>
      <c r="Z52" s="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7"/>
      <c r="U53" s="5"/>
      <c r="V53" s="5"/>
      <c r="W53" s="5"/>
      <c r="X53" s="5"/>
      <c r="Y53" s="5"/>
      <c r="Z53" s="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7"/>
      <c r="U54" s="5"/>
      <c r="V54" s="5"/>
      <c r="W54" s="5"/>
      <c r="X54" s="5"/>
      <c r="Y54" s="5"/>
      <c r="Z54" s="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7"/>
      <c r="U55" s="5"/>
      <c r="V55" s="5"/>
      <c r="W55" s="5"/>
      <c r="X55" s="5"/>
      <c r="Y55" s="5"/>
      <c r="Z55" s="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7"/>
      <c r="U56" s="5"/>
      <c r="V56" s="5"/>
      <c r="W56" s="5"/>
      <c r="X56" s="5"/>
      <c r="Y56" s="5"/>
      <c r="Z56" s="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7"/>
      <c r="U57" s="5"/>
      <c r="V57" s="5"/>
      <c r="W57" s="5"/>
      <c r="X57" s="5"/>
      <c r="Y57" s="5"/>
      <c r="Z57" s="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7"/>
      <c r="U58" s="5"/>
      <c r="V58" s="5"/>
      <c r="W58" s="5"/>
      <c r="X58" s="5"/>
      <c r="Y58" s="5"/>
      <c r="Z58" s="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7"/>
      <c r="U59" s="5"/>
      <c r="V59" s="5"/>
      <c r="W59" s="5"/>
      <c r="X59" s="5"/>
      <c r="Y59" s="5"/>
      <c r="Z59" s="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7"/>
      <c r="U60" s="5"/>
      <c r="V60" s="5"/>
      <c r="W60" s="5"/>
      <c r="X60" s="5"/>
      <c r="Y60" s="5"/>
      <c r="Z60" s="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7"/>
      <c r="U61" s="5"/>
      <c r="V61" s="5"/>
      <c r="W61" s="5"/>
      <c r="X61" s="5"/>
      <c r="Y61" s="5"/>
      <c r="Z61" s="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7"/>
      <c r="U62" s="5"/>
      <c r="V62" s="5"/>
      <c r="W62" s="5"/>
      <c r="X62" s="5"/>
      <c r="Y62" s="5"/>
      <c r="Z62" s="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7"/>
      <c r="U63" s="5"/>
      <c r="V63" s="5"/>
      <c r="W63" s="5"/>
      <c r="X63" s="5"/>
      <c r="Y63" s="5"/>
      <c r="Z63" s="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7"/>
      <c r="U64" s="5"/>
      <c r="V64" s="5"/>
      <c r="W64" s="5"/>
      <c r="X64" s="5"/>
      <c r="Y64" s="5"/>
      <c r="Z64" s="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7"/>
      <c r="U65" s="5"/>
      <c r="V65" s="5"/>
      <c r="W65" s="5"/>
      <c r="X65" s="5"/>
      <c r="Y65" s="5"/>
      <c r="Z65" s="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7"/>
      <c r="U66" s="5"/>
      <c r="V66" s="5"/>
      <c r="W66" s="5"/>
      <c r="X66" s="5"/>
      <c r="Y66" s="5"/>
      <c r="Z66" s="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7"/>
      <c r="U67" s="5"/>
      <c r="V67" s="5"/>
      <c r="W67" s="5"/>
      <c r="X67" s="5"/>
      <c r="Y67" s="5"/>
      <c r="Z67" s="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7"/>
      <c r="U68" s="5"/>
      <c r="V68" s="5"/>
      <c r="W68" s="5"/>
      <c r="X68" s="5"/>
      <c r="Y68" s="5"/>
      <c r="Z68" s="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7"/>
      <c r="U69" s="5"/>
      <c r="V69" s="5"/>
      <c r="W69" s="5"/>
      <c r="X69" s="5"/>
      <c r="Y69" s="5"/>
      <c r="Z69" s="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7"/>
      <c r="U70" s="5"/>
      <c r="V70" s="5"/>
      <c r="W70" s="5"/>
      <c r="X70" s="5"/>
      <c r="Y70" s="5"/>
      <c r="Z70" s="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7"/>
      <c r="U71" s="5"/>
      <c r="V71" s="5"/>
      <c r="W71" s="5"/>
      <c r="X71" s="5"/>
      <c r="Y71" s="5"/>
      <c r="Z71" s="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7"/>
      <c r="U72" s="5"/>
      <c r="V72" s="5"/>
      <c r="W72" s="5"/>
      <c r="X72" s="5"/>
      <c r="Y72" s="5"/>
      <c r="Z72" s="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7"/>
      <c r="U73" s="5"/>
      <c r="V73" s="5"/>
      <c r="W73" s="5"/>
      <c r="X73" s="5"/>
      <c r="Y73" s="5"/>
      <c r="Z73" s="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7"/>
      <c r="U74" s="5"/>
      <c r="V74" s="5"/>
      <c r="W74" s="5"/>
      <c r="X74" s="5"/>
      <c r="Y74" s="5"/>
      <c r="Z74" s="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7"/>
      <c r="U75" s="5"/>
      <c r="V75" s="5"/>
      <c r="W75" s="5"/>
      <c r="X75" s="5"/>
      <c r="Y75" s="5"/>
      <c r="Z75" s="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7"/>
      <c r="U76" s="5"/>
      <c r="V76" s="5"/>
      <c r="W76" s="5"/>
      <c r="X76" s="5"/>
      <c r="Y76" s="5"/>
      <c r="Z76" s="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7"/>
      <c r="U77" s="5"/>
      <c r="V77" s="5"/>
      <c r="W77" s="5"/>
      <c r="X77" s="5"/>
      <c r="Y77" s="5"/>
      <c r="Z77" s="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7"/>
      <c r="U78" s="5"/>
      <c r="V78" s="5"/>
      <c r="W78" s="5"/>
      <c r="X78" s="5"/>
      <c r="Y78" s="5"/>
      <c r="Z78" s="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7"/>
      <c r="U79" s="5"/>
      <c r="V79" s="5"/>
      <c r="W79" s="5"/>
      <c r="X79" s="5"/>
      <c r="Y79" s="5"/>
      <c r="Z79" s="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7"/>
      <c r="U80" s="5"/>
      <c r="V80" s="5"/>
      <c r="W80" s="5"/>
      <c r="X80" s="5"/>
      <c r="Y80" s="5"/>
      <c r="Z80" s="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7"/>
      <c r="U81" s="5"/>
      <c r="V81" s="5"/>
      <c r="W81" s="5"/>
      <c r="X81" s="5"/>
      <c r="Y81" s="5"/>
      <c r="Z81" s="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7"/>
      <c r="U82" s="5"/>
      <c r="V82" s="5"/>
      <c r="W82" s="5"/>
      <c r="X82" s="5"/>
      <c r="Y82" s="5"/>
      <c r="Z82" s="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7"/>
      <c r="U83" s="5"/>
      <c r="V83" s="5"/>
      <c r="W83" s="5"/>
      <c r="X83" s="5"/>
      <c r="Y83" s="5"/>
      <c r="Z83" s="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7"/>
      <c r="U84" s="5"/>
      <c r="V84" s="5"/>
      <c r="W84" s="5"/>
      <c r="X84" s="5"/>
      <c r="Y84" s="5"/>
      <c r="Z84" s="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7"/>
      <c r="U85" s="5"/>
      <c r="V85" s="5"/>
      <c r="W85" s="5"/>
      <c r="X85" s="5"/>
      <c r="Y85" s="5"/>
      <c r="Z85" s="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7"/>
      <c r="U86" s="5"/>
      <c r="V86" s="5"/>
      <c r="W86" s="5"/>
      <c r="X86" s="5"/>
      <c r="Y86" s="5"/>
      <c r="Z86" s="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7"/>
      <c r="U87" s="5"/>
      <c r="V87" s="5"/>
      <c r="W87" s="5"/>
      <c r="X87" s="5"/>
      <c r="Y87" s="5"/>
      <c r="Z87" s="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7"/>
      <c r="U88" s="5"/>
      <c r="V88" s="5"/>
      <c r="W88" s="5"/>
      <c r="X88" s="5"/>
      <c r="Y88" s="5"/>
      <c r="Z88" s="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7"/>
      <c r="U89" s="5"/>
      <c r="V89" s="5"/>
      <c r="W89" s="5"/>
      <c r="X89" s="5"/>
      <c r="Y89" s="5"/>
      <c r="Z89" s="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7"/>
      <c r="U90" s="5"/>
      <c r="V90" s="5"/>
      <c r="W90" s="5"/>
      <c r="X90" s="5"/>
      <c r="Y90" s="5"/>
      <c r="Z90" s="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7"/>
      <c r="U91" s="5"/>
      <c r="V91" s="5"/>
      <c r="W91" s="5"/>
      <c r="X91" s="5"/>
      <c r="Y91" s="5"/>
      <c r="Z91" s="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7"/>
      <c r="U92" s="5"/>
      <c r="V92" s="5"/>
      <c r="W92" s="5"/>
      <c r="X92" s="5"/>
      <c r="Y92" s="5"/>
      <c r="Z92" s="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7"/>
      <c r="U93" s="5"/>
      <c r="V93" s="5"/>
      <c r="W93" s="5"/>
      <c r="X93" s="5"/>
      <c r="Y93" s="5"/>
      <c r="Z93" s="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7"/>
      <c r="U94" s="5"/>
      <c r="V94" s="5"/>
      <c r="W94" s="5"/>
      <c r="X94" s="5"/>
      <c r="Y94" s="5"/>
      <c r="Z94" s="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7"/>
      <c r="U95" s="5"/>
      <c r="V95" s="5"/>
      <c r="W95" s="5"/>
      <c r="X95" s="5"/>
      <c r="Y95" s="5"/>
      <c r="Z95" s="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7"/>
      <c r="U96" s="5"/>
      <c r="V96" s="5"/>
      <c r="W96" s="5"/>
      <c r="X96" s="5"/>
      <c r="Y96" s="5"/>
      <c r="Z96" s="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7"/>
      <c r="U97" s="5"/>
      <c r="V97" s="5"/>
      <c r="W97" s="5"/>
      <c r="X97" s="5"/>
      <c r="Y97" s="5"/>
      <c r="Z97" s="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7"/>
      <c r="U98" s="5"/>
      <c r="V98" s="5"/>
      <c r="W98" s="5"/>
      <c r="X98" s="5"/>
      <c r="Y98" s="5"/>
      <c r="Z98" s="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7"/>
      <c r="U99" s="5"/>
      <c r="V99" s="5"/>
      <c r="W99" s="5"/>
      <c r="X99" s="5"/>
      <c r="Y99" s="5"/>
      <c r="Z99" s="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7"/>
      <c r="U100" s="5"/>
      <c r="V100" s="5"/>
      <c r="W100" s="5"/>
      <c r="X100" s="5"/>
      <c r="Y100" s="5"/>
      <c r="Z100" s="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7"/>
      <c r="U101" s="5"/>
      <c r="V101" s="5"/>
      <c r="W101" s="5"/>
      <c r="X101" s="5"/>
      <c r="Y101" s="5"/>
      <c r="Z101" s="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7"/>
      <c r="U102" s="5"/>
      <c r="V102" s="5"/>
      <c r="W102" s="5"/>
      <c r="X102" s="5"/>
      <c r="Y102" s="5"/>
      <c r="Z102" s="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7"/>
      <c r="U103" s="5"/>
      <c r="V103" s="5"/>
      <c r="W103" s="5"/>
      <c r="X103" s="5"/>
      <c r="Y103" s="5"/>
      <c r="Z103" s="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7"/>
      <c r="U104" s="5"/>
      <c r="V104" s="5"/>
      <c r="W104" s="5"/>
      <c r="X104" s="5"/>
      <c r="Y104" s="5"/>
      <c r="Z104" s="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7"/>
      <c r="U105" s="5"/>
      <c r="V105" s="5"/>
      <c r="W105" s="5"/>
      <c r="X105" s="5"/>
      <c r="Y105" s="5"/>
      <c r="Z105" s="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7"/>
      <c r="U106" s="5"/>
      <c r="V106" s="5"/>
      <c r="W106" s="5"/>
      <c r="X106" s="5"/>
      <c r="Y106" s="5"/>
      <c r="Z106" s="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7"/>
      <c r="U107" s="5"/>
      <c r="V107" s="5"/>
      <c r="W107" s="5"/>
      <c r="X107" s="5"/>
      <c r="Y107" s="5"/>
      <c r="Z107" s="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7"/>
      <c r="U108" s="5"/>
      <c r="V108" s="5"/>
      <c r="W108" s="5"/>
      <c r="X108" s="5"/>
      <c r="Y108" s="5"/>
      <c r="Z108" s="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7"/>
      <c r="U109" s="5"/>
      <c r="V109" s="5"/>
      <c r="W109" s="5"/>
      <c r="X109" s="5"/>
      <c r="Y109" s="5"/>
      <c r="Z109" s="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7"/>
      <c r="U110" s="5"/>
      <c r="V110" s="5"/>
      <c r="W110" s="5"/>
      <c r="X110" s="5"/>
      <c r="Y110" s="5"/>
      <c r="Z110" s="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7"/>
      <c r="U111" s="5"/>
      <c r="V111" s="5"/>
      <c r="W111" s="5"/>
      <c r="X111" s="5"/>
      <c r="Y111" s="5"/>
      <c r="Z111" s="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7"/>
      <c r="U112" s="5"/>
      <c r="V112" s="5"/>
      <c r="W112" s="5"/>
      <c r="X112" s="5"/>
      <c r="Y112" s="5"/>
      <c r="Z112" s="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7"/>
      <c r="U113" s="5"/>
      <c r="V113" s="5"/>
      <c r="W113" s="5"/>
      <c r="X113" s="5"/>
      <c r="Y113" s="5"/>
      <c r="Z113" s="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7"/>
      <c r="U114" s="5"/>
      <c r="V114" s="5"/>
      <c r="W114" s="5"/>
      <c r="X114" s="5"/>
      <c r="Y114" s="5"/>
      <c r="Z114" s="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7"/>
      <c r="U115" s="5"/>
      <c r="V115" s="5"/>
      <c r="W115" s="5"/>
      <c r="X115" s="5"/>
      <c r="Y115" s="5"/>
      <c r="Z115" s="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7"/>
      <c r="U116" s="5"/>
      <c r="V116" s="5"/>
      <c r="W116" s="5"/>
      <c r="X116" s="5"/>
      <c r="Y116" s="5"/>
      <c r="Z116" s="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7"/>
      <c r="U117" s="5"/>
      <c r="V117" s="5"/>
      <c r="W117" s="5"/>
      <c r="X117" s="5"/>
      <c r="Y117" s="5"/>
      <c r="Z117" s="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7"/>
      <c r="U118" s="5"/>
      <c r="V118" s="5"/>
      <c r="W118" s="5"/>
      <c r="X118" s="5"/>
      <c r="Y118" s="5"/>
      <c r="Z118" s="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7"/>
      <c r="U119" s="5"/>
      <c r="V119" s="5"/>
      <c r="W119" s="5"/>
      <c r="X119" s="5"/>
      <c r="Y119" s="5"/>
      <c r="Z119" s="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7"/>
      <c r="U120" s="5"/>
      <c r="V120" s="5"/>
      <c r="W120" s="5"/>
      <c r="X120" s="5"/>
      <c r="Y120" s="5"/>
      <c r="Z120" s="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7"/>
      <c r="U121" s="5"/>
      <c r="V121" s="5"/>
      <c r="W121" s="5"/>
      <c r="X121" s="5"/>
      <c r="Y121" s="5"/>
      <c r="Z121" s="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7"/>
      <c r="U122" s="5"/>
      <c r="V122" s="5"/>
      <c r="W122" s="5"/>
      <c r="X122" s="5"/>
      <c r="Y122" s="5"/>
      <c r="Z122" s="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7"/>
      <c r="U123" s="5"/>
      <c r="V123" s="5"/>
      <c r="W123" s="5"/>
      <c r="X123" s="5"/>
      <c r="Y123" s="5"/>
      <c r="Z123" s="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7"/>
      <c r="U124" s="5"/>
      <c r="V124" s="5"/>
      <c r="W124" s="5"/>
      <c r="X124" s="5"/>
      <c r="Y124" s="5"/>
      <c r="Z124" s="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7"/>
      <c r="U125" s="5"/>
      <c r="V125" s="5"/>
      <c r="W125" s="5"/>
      <c r="X125" s="5"/>
      <c r="Y125" s="5"/>
      <c r="Z125" s="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7"/>
      <c r="U126" s="5"/>
      <c r="V126" s="5"/>
      <c r="W126" s="5"/>
      <c r="X126" s="5"/>
      <c r="Y126" s="5"/>
      <c r="Z126" s="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7"/>
      <c r="U127" s="5"/>
      <c r="V127" s="5"/>
      <c r="W127" s="5"/>
      <c r="X127" s="5"/>
      <c r="Y127" s="5"/>
      <c r="Z127" s="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7"/>
      <c r="U128" s="5"/>
      <c r="V128" s="5"/>
      <c r="W128" s="5"/>
      <c r="X128" s="5"/>
      <c r="Y128" s="5"/>
      <c r="Z128" s="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7"/>
      <c r="U129" s="5"/>
      <c r="V129" s="5"/>
      <c r="W129" s="5"/>
      <c r="X129" s="5"/>
      <c r="Y129" s="5"/>
      <c r="Z129" s="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7"/>
      <c r="U130" s="5"/>
      <c r="V130" s="5"/>
      <c r="W130" s="5"/>
      <c r="X130" s="5"/>
      <c r="Y130" s="5"/>
      <c r="Z130" s="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7"/>
      <c r="U131" s="5"/>
      <c r="V131" s="5"/>
      <c r="W131" s="5"/>
      <c r="X131" s="5"/>
      <c r="Y131" s="5"/>
      <c r="Z131" s="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7"/>
      <c r="U132" s="5"/>
      <c r="V132" s="5"/>
      <c r="W132" s="5"/>
      <c r="X132" s="5"/>
      <c r="Y132" s="5"/>
      <c r="Z132" s="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7"/>
      <c r="U133" s="5"/>
      <c r="V133" s="5"/>
      <c r="W133" s="5"/>
      <c r="X133" s="5"/>
      <c r="Y133" s="5"/>
      <c r="Z133" s="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7"/>
      <c r="U134" s="5"/>
      <c r="V134" s="5"/>
      <c r="W134" s="5"/>
      <c r="X134" s="5"/>
      <c r="Y134" s="5"/>
      <c r="Z134" s="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7"/>
      <c r="U135" s="5"/>
      <c r="V135" s="5"/>
      <c r="W135" s="5"/>
      <c r="X135" s="5"/>
      <c r="Y135" s="5"/>
      <c r="Z135" s="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7"/>
      <c r="U136" s="5"/>
      <c r="V136" s="5"/>
      <c r="W136" s="5"/>
      <c r="X136" s="5"/>
      <c r="Y136" s="5"/>
      <c r="Z136" s="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7"/>
      <c r="U137" s="5"/>
      <c r="V137" s="5"/>
      <c r="W137" s="5"/>
      <c r="X137" s="5"/>
      <c r="Y137" s="5"/>
      <c r="Z137" s="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7"/>
      <c r="U138" s="5"/>
      <c r="V138" s="5"/>
      <c r="W138" s="5"/>
      <c r="X138" s="5"/>
      <c r="Y138" s="5"/>
      <c r="Z138" s="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7"/>
      <c r="U139" s="5"/>
      <c r="V139" s="5"/>
      <c r="W139" s="5"/>
      <c r="X139" s="5"/>
      <c r="Y139" s="5"/>
      <c r="Z139" s="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7"/>
      <c r="U140" s="5"/>
      <c r="V140" s="5"/>
      <c r="W140" s="5"/>
      <c r="X140" s="5"/>
      <c r="Y140" s="5"/>
      <c r="Z140" s="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7"/>
      <c r="U141" s="5"/>
      <c r="V141" s="5"/>
      <c r="W141" s="5"/>
      <c r="X141" s="5"/>
      <c r="Y141" s="5"/>
      <c r="Z141" s="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7"/>
      <c r="U142" s="5"/>
      <c r="V142" s="5"/>
      <c r="W142" s="5"/>
      <c r="X142" s="5"/>
      <c r="Y142" s="5"/>
      <c r="Z142" s="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7"/>
      <c r="U143" s="5"/>
      <c r="V143" s="5"/>
      <c r="W143" s="5"/>
      <c r="X143" s="5"/>
      <c r="Y143" s="5"/>
      <c r="Z143" s="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7"/>
      <c r="U144" s="5"/>
      <c r="V144" s="5"/>
      <c r="W144" s="5"/>
      <c r="X144" s="5"/>
      <c r="Y144" s="5"/>
      <c r="Z144" s="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7"/>
      <c r="U145" s="5"/>
      <c r="V145" s="5"/>
      <c r="W145" s="5"/>
      <c r="X145" s="5"/>
      <c r="Y145" s="5"/>
      <c r="Z145" s="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7"/>
      <c r="U146" s="5"/>
      <c r="V146" s="5"/>
      <c r="W146" s="5"/>
      <c r="X146" s="5"/>
      <c r="Y146" s="5"/>
      <c r="Z146" s="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7"/>
      <c r="U147" s="5"/>
      <c r="V147" s="5"/>
      <c r="W147" s="5"/>
      <c r="X147" s="5"/>
      <c r="Y147" s="5"/>
      <c r="Z147" s="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7"/>
      <c r="U148" s="5"/>
      <c r="V148" s="5"/>
      <c r="W148" s="5"/>
      <c r="X148" s="5"/>
      <c r="Y148" s="5"/>
      <c r="Z148" s="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7"/>
      <c r="U149" s="5"/>
      <c r="V149" s="5"/>
      <c r="W149" s="5"/>
      <c r="X149" s="5"/>
      <c r="Y149" s="5"/>
      <c r="Z149" s="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7"/>
      <c r="U150" s="5"/>
      <c r="V150" s="5"/>
      <c r="W150" s="5"/>
      <c r="X150" s="5"/>
      <c r="Y150" s="5"/>
      <c r="Z150" s="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7"/>
      <c r="U151" s="5"/>
      <c r="V151" s="5"/>
      <c r="W151" s="5"/>
      <c r="X151" s="5"/>
      <c r="Y151" s="5"/>
      <c r="Z151" s="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7"/>
      <c r="U152" s="5"/>
      <c r="V152" s="5"/>
      <c r="W152" s="5"/>
      <c r="X152" s="5"/>
      <c r="Y152" s="5"/>
      <c r="Z152" s="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7"/>
      <c r="U153" s="5"/>
      <c r="V153" s="5"/>
      <c r="W153" s="5"/>
      <c r="X153" s="5"/>
      <c r="Y153" s="5"/>
      <c r="Z153" s="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7"/>
      <c r="U154" s="5"/>
      <c r="V154" s="5"/>
      <c r="W154" s="5"/>
      <c r="X154" s="5"/>
      <c r="Y154" s="5"/>
      <c r="Z154" s="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7"/>
      <c r="U155" s="5"/>
      <c r="V155" s="5"/>
      <c r="W155" s="5"/>
      <c r="X155" s="5"/>
      <c r="Y155" s="5"/>
      <c r="Z155" s="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7"/>
      <c r="U156" s="5"/>
      <c r="V156" s="5"/>
      <c r="W156" s="5"/>
      <c r="X156" s="5"/>
      <c r="Y156" s="5"/>
      <c r="Z156" s="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7"/>
      <c r="U157" s="5"/>
      <c r="V157" s="5"/>
      <c r="W157" s="5"/>
      <c r="X157" s="5"/>
      <c r="Y157" s="5"/>
      <c r="Z157" s="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7"/>
      <c r="U158" s="5"/>
      <c r="V158" s="5"/>
      <c r="W158" s="5"/>
      <c r="X158" s="5"/>
      <c r="Y158" s="5"/>
      <c r="Z158" s="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7"/>
      <c r="U159" s="5"/>
      <c r="V159" s="5"/>
      <c r="W159" s="5"/>
      <c r="X159" s="5"/>
      <c r="Y159" s="5"/>
      <c r="Z159" s="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7"/>
      <c r="U160" s="5"/>
      <c r="V160" s="5"/>
      <c r="W160" s="5"/>
      <c r="X160" s="5"/>
      <c r="Y160" s="5"/>
      <c r="Z160" s="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7"/>
      <c r="U161" s="5"/>
      <c r="V161" s="5"/>
      <c r="W161" s="5"/>
      <c r="X161" s="5"/>
      <c r="Y161" s="5"/>
      <c r="Z161" s="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7"/>
      <c r="U162" s="5"/>
      <c r="V162" s="5"/>
      <c r="W162" s="5"/>
      <c r="X162" s="5"/>
      <c r="Y162" s="5"/>
      <c r="Z162" s="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5"/>
      <c r="U163" s="5"/>
      <c r="V163" s="5"/>
      <c r="W163" s="5"/>
      <c r="X163" s="5"/>
      <c r="Y163" s="5"/>
      <c r="Z163" s="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5"/>
      <c r="U164" s="5"/>
      <c r="V164" s="5"/>
      <c r="W164" s="5"/>
      <c r="X164" s="5"/>
      <c r="Y164" s="5"/>
      <c r="Z164" s="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5"/>
      <c r="U165" s="5"/>
      <c r="V165" s="5"/>
      <c r="W165" s="5"/>
      <c r="X165" s="5"/>
      <c r="Y165" s="5"/>
      <c r="Z165" s="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5"/>
      <c r="U166" s="5"/>
      <c r="V166" s="5"/>
      <c r="W166" s="5"/>
      <c r="X166" s="5"/>
      <c r="Y166" s="5"/>
      <c r="Z166" s="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5"/>
      <c r="U167" s="5"/>
      <c r="V167" s="5"/>
      <c r="W167" s="5"/>
      <c r="X167" s="5"/>
      <c r="Y167" s="5"/>
      <c r="Z167" s="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2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2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2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2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2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2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2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2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2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2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2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2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2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2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2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2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2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2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2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2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2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2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2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2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2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2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2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2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2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2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2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2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2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2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2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2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2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2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2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2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2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2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2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2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2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2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2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2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2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2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2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2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2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2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2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2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2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2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2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2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2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2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2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2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2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2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2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2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2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2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2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2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2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2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2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2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2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2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2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2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2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2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2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2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2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2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2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2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2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2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2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2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2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2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2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2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2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2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2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2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2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2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2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2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2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2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2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2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2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2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2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2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2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2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2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2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2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2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2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2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2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2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2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2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2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2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2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2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2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2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2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2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2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2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2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2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2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2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2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2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2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2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2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2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2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2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2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2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2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2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2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2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2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2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2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2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2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2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2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2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2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2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2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2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2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2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2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2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2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2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2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2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2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2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2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2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2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2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2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2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2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2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2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2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2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2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2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2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2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2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2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2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2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2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2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2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2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2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2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2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2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2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2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2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2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2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2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2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2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2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2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2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2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2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2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2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2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2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2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2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2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2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2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2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2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2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2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2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2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2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2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2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2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2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2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2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2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2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2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2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2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2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2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2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2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2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2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2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2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2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2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2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2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2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2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2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2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2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2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2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2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2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2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2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2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2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2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2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2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2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2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2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2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2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2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2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2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2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2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2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2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2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2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2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2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2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2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2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2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2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2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2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2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2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2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2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2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2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2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2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2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2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2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2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2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2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2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2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2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2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2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2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2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2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2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2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2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2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2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2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2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2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2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2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2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2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2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2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2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2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2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2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2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2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2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2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2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2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2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2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2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2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2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2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2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2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2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2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2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2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2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2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2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2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2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2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2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2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2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2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2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2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2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2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2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2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2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2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2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2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2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2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2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2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2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2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2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2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2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2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2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2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2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2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2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2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2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2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2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2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2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2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2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2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2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2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2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2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2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2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2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2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2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2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2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2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2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2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2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2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2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2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2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2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2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2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2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2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2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2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2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2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2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2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2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2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2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2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2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2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2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2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2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2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2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2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2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2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2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2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2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2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2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2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2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2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2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2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2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2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2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2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2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2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2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2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2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2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2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2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2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2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2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2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2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2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2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2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2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2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2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2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2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2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2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2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2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2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2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2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2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2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2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2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2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2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2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2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2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2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2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2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2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2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2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2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2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2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2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2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2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2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2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2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2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2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2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2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2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2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2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2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2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2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2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2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2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2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2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2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2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2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2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2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2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2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2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2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2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2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2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2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2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2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2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2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2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2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2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2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2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2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2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2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2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2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2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2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2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2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2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2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2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2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2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2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2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2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2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2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2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2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2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2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2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2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2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2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2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2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2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2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2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2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2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2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2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2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2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2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2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2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2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2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2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2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2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2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2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2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2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2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2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2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2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2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2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2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2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2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2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2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2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2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2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2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2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2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2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2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2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2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2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2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2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2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2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2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2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2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2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2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2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2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2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2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2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2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2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2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2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2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2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2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2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2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2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2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2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2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2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2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2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2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2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2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2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2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2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2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2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2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2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2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2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2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2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2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2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2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2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2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2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2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2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2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2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2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2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2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2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2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2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2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2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2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2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2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2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2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2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2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2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2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2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2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2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2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2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2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2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2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2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2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2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2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2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2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2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2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2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2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2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2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2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2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2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2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2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2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2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2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2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2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2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2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2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2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2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2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2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2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2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2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2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2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2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2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2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2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2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2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2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2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2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2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2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2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2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2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2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2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2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2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2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2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2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2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2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2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2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2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2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2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2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2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2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2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2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2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2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2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2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2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2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2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2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2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2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2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2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2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2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2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2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2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2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2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2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2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2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2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2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2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2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2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2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2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2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2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2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2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2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2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2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2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2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2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2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2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2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2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2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2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2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2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2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2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2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2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2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2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2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2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2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2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2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2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2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2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2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2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2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2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2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2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2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2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2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2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2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2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orizontalCentered="1"/>
  <pageMargins bottom="0.0" footer="0.0" header="0.0" left="0.3937007874015748" right="0.3937007874015748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2016-06-08T18:09:53Z</dcterms:created>
  <dc:creator>puccella</dc:creator>
</cp:coreProperties>
</file>