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4c96642c631659/Escritorio/KPIs TND/"/>
    </mc:Choice>
  </mc:AlternateContent>
  <xr:revisionPtr revIDLastSave="0" documentId="8_{B75D4B4E-49EB-4A12-951B-CF7FDC8F89D6}" xr6:coauthVersionLast="47" xr6:coauthVersionMax="47" xr10:uidLastSave="{00000000-0000-0000-0000-000000000000}"/>
  <bookViews>
    <workbookView minimized="1" xWindow="4464" yWindow="4068" windowWidth="17280" windowHeight="9960" firstSheet="8" activeTab="13" xr2:uid="{00000000-000D-0000-FFFF-FFFF00000000}"/>
  </bookViews>
  <sheets>
    <sheet name="DASHBOARD" sheetId="15" r:id="rId1"/>
    <sheet name="Dea" sheetId="2" r:id="rId2"/>
    <sheet name="Indicadores Dea" sheetId="9" r:id="rId3"/>
    <sheet name="BOTIQUINES" sheetId="23" r:id="rId4"/>
    <sheet name="indicadores bot" sheetId="1" r:id="rId5"/>
    <sheet name="Oxigeno" sheetId="13" r:id="rId6"/>
    <sheet name="Medicaciones en stock" sheetId="6" r:id="rId7"/>
    <sheet name="Medicacion Usadas Mens" sheetId="24" r:id="rId8"/>
    <sheet name="Ambulancias c-Paro stock" sheetId="7" r:id="rId9"/>
    <sheet name="Registro Accidentes" sheetId="18" r:id="rId10"/>
    <sheet name="Indice Acc" sheetId="19" r:id="rId11"/>
    <sheet name="Personal" sheetId="8" r:id="rId12"/>
    <sheet name="Antigripal 2026" sheetId="25" r:id="rId13"/>
    <sheet name="vacunacion" sheetId="22" r:id="rId14"/>
    <sheet name="Capacitaciones" sheetId="4" r:id="rId15"/>
    <sheet name="empleados" sheetId="21" r:id="rId16"/>
  </sheets>
  <definedNames>
    <definedName name="_xlnm._FilterDatabase" localSheetId="12" hidden="1">'Antigripal 2026'!$A$1:$M$1</definedName>
    <definedName name="_xlnm._FilterDatabase" localSheetId="15" hidden="1">empleados!$A$1:$Y$1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5" l="1"/>
  <c r="D15" i="15"/>
  <c r="D12" i="15"/>
  <c r="D11" i="15"/>
  <c r="D10" i="15"/>
  <c r="D9" i="15"/>
  <c r="B2" i="9"/>
  <c r="B3" i="9"/>
  <c r="B6" i="9"/>
  <c r="B5" i="9"/>
  <c r="B4" i="9"/>
  <c r="D14" i="15" l="1"/>
  <c r="D13" i="15"/>
</calcChain>
</file>

<file path=xl/sharedStrings.xml><?xml version="1.0" encoding="utf-8"?>
<sst xmlns="http://schemas.openxmlformats.org/spreadsheetml/2006/main" count="5082" uniqueCount="1579">
  <si>
    <t>INVENTARIO MAESTRO – EQUIPOS SANITARIOS DE EMERGENCIA (SALUD OCUPACIONAL)</t>
  </si>
  <si>
    <t>Panel ejecutivo (completar fórmulas / tablas dinámicas según necesidad)</t>
  </si>
  <si>
    <t>Fecha última actualización:</t>
  </si>
  <si>
    <t>Responsable del sistema:</t>
  </si>
  <si>
    <t>ENFERMERÍA – SALUD OCUPACIONAL</t>
  </si>
  <si>
    <t>KPIs (metas sugeridas)</t>
  </si>
  <si>
    <t>Indicador</t>
  </si>
  <si>
    <t>Valor</t>
  </si>
  <si>
    <t>Meta</t>
  </si>
  <si>
    <t>Estado</t>
  </si>
  <si>
    <t>% Botiquines operativos</t>
  </si>
  <si>
    <t>% DEA operativos</t>
  </si>
  <si>
    <t>% Oxígeno operativo</t>
  </si>
  <si>
    <t>Insumos con vencimiento &lt; 30 días</t>
  </si>
  <si>
    <t>Insumos vencidos</t>
  </si>
  <si>
    <t>Equipos fuera de servicio</t>
  </si>
  <si>
    <t>Equipos Operativos con observaciones</t>
  </si>
  <si>
    <t>Total Equipos</t>
  </si>
  <si>
    <t>% Cumplimiento periodicidad</t>
  </si>
  <si>
    <t>ID Equipo</t>
  </si>
  <si>
    <t>Categoría</t>
  </si>
  <si>
    <t>Equipo</t>
  </si>
  <si>
    <t>Marca</t>
  </si>
  <si>
    <t>Modelo</t>
  </si>
  <si>
    <t>N° Serie</t>
  </si>
  <si>
    <t>Ubicación</t>
  </si>
  <si>
    <t>Responsable</t>
  </si>
  <si>
    <t>Fecha Alta</t>
  </si>
  <si>
    <t>Último Control</t>
  </si>
  <si>
    <t>Vencimiento</t>
  </si>
  <si>
    <t>Observaciones</t>
  </si>
  <si>
    <t>EQ-001</t>
  </si>
  <si>
    <t>Dea</t>
  </si>
  <si>
    <t>Desfibrilador</t>
  </si>
  <si>
    <t>Lifepak</t>
  </si>
  <si>
    <t>HeartStart</t>
  </si>
  <si>
    <t>PN-3200731-129</t>
  </si>
  <si>
    <t>Oficinas 1</t>
  </si>
  <si>
    <t>Jefe Médico</t>
  </si>
  <si>
    <t>Operativo</t>
  </si>
  <si>
    <t>Sin novedades</t>
  </si>
  <si>
    <t>EQ-002</t>
  </si>
  <si>
    <t>Mindray</t>
  </si>
  <si>
    <t>Baneheart</t>
  </si>
  <si>
    <t>AF3-5B069615</t>
  </si>
  <si>
    <t>Ambulancia utim</t>
  </si>
  <si>
    <t>EQ-003</t>
  </si>
  <si>
    <t>SN-47458048</t>
  </si>
  <si>
    <t>Storni</t>
  </si>
  <si>
    <t>Fuera de servicio</t>
  </si>
  <si>
    <t>retirado para reposicion</t>
  </si>
  <si>
    <t>EQ-004</t>
  </si>
  <si>
    <t>AF3-25009159</t>
  </si>
  <si>
    <t>Bomberos</t>
  </si>
  <si>
    <t>Equipos Operativos</t>
  </si>
  <si>
    <t>Equipos en Reparación</t>
  </si>
  <si>
    <t>Equipos Fuera de Servicio</t>
  </si>
  <si>
    <t>Servicios de Mantenimiento</t>
  </si>
  <si>
    <t>Inspecciones Realizadas</t>
  </si>
  <si>
    <t>Sector</t>
  </si>
  <si>
    <t>Tipo</t>
  </si>
  <si>
    <t>Responsable Inspector</t>
  </si>
  <si>
    <t>Fecha ul Revicion</t>
  </si>
  <si>
    <t>Estado Actual</t>
  </si>
  <si>
    <t>BOT-01</t>
  </si>
  <si>
    <t>SEGURIDAD PATRIMONIAL TAND</t>
  </si>
  <si>
    <t>operativo</t>
  </si>
  <si>
    <t>FIJO</t>
  </si>
  <si>
    <t>Larissa</t>
  </si>
  <si>
    <t>ninguna</t>
  </si>
  <si>
    <t>BOT-02</t>
  </si>
  <si>
    <t>CONTROL DE GESTION</t>
  </si>
  <si>
    <t>espinola /garcia</t>
  </si>
  <si>
    <t>BOT-03</t>
  </si>
  <si>
    <t>FINANZAS</t>
  </si>
  <si>
    <t>BOT-04</t>
  </si>
  <si>
    <t>COMPRAS Y CONTRATACIONES</t>
  </si>
  <si>
    <t>BOT-05</t>
  </si>
  <si>
    <t>DIRECCION DE OPERACIONES</t>
  </si>
  <si>
    <t>no operativo</t>
  </si>
  <si>
    <t>no se encuentra</t>
  </si>
  <si>
    <t>BOT-06</t>
  </si>
  <si>
    <t>COMERCIALES</t>
  </si>
  <si>
    <t>BOT-07</t>
  </si>
  <si>
    <t>PRESIDENCIA</t>
  </si>
  <si>
    <t>Lechmann/paz</t>
  </si>
  <si>
    <t>BOT-08</t>
  </si>
  <si>
    <t>SEGURIDAD INDUSTRIAL</t>
  </si>
  <si>
    <t>BOT-09</t>
  </si>
  <si>
    <t>RECURSOS HUMANOS</t>
  </si>
  <si>
    <t>BOT-10</t>
  </si>
  <si>
    <t>LEGALES</t>
  </si>
  <si>
    <t>operativo con observaciones</t>
  </si>
  <si>
    <t>operativo c/o</t>
  </si>
  <si>
    <t>reponer alcohol</t>
  </si>
  <si>
    <t>BOT-11</t>
  </si>
  <si>
    <t>RELACIONES INSTITUCIONALES</t>
  </si>
  <si>
    <t>BOT-12</t>
  </si>
  <si>
    <t>JEFATURA DE BUQUES</t>
  </si>
  <si>
    <t>paz ruben</t>
  </si>
  <si>
    <t>BOT-13</t>
  </si>
  <si>
    <t>CARENADO</t>
  </si>
  <si>
    <t>BOT-14</t>
  </si>
  <si>
    <t>COMEDOR</t>
  </si>
  <si>
    <t>BOT-15</t>
  </si>
  <si>
    <t>BOMBEROS GUARDIA</t>
  </si>
  <si>
    <t>BOT-16</t>
  </si>
  <si>
    <t>BOMBEROS OFICINA</t>
  </si>
  <si>
    <t>BOT-17</t>
  </si>
  <si>
    <t>ALMACENES</t>
  </si>
  <si>
    <t>BOT-18</t>
  </si>
  <si>
    <t>MANTENIMIENTO</t>
  </si>
  <si>
    <t>BOT-19</t>
  </si>
  <si>
    <t>MECANICA</t>
  </si>
  <si>
    <t>BOT-20</t>
  </si>
  <si>
    <t>CALDERERIA</t>
  </si>
  <si>
    <t>BOT-21</t>
  </si>
  <si>
    <t>ELECTRICIDAD</t>
  </si>
  <si>
    <t>BOT-22</t>
  </si>
  <si>
    <t>TRANSPORTE</t>
  </si>
  <si>
    <t>BOT-23</t>
  </si>
  <si>
    <t>SYNCROLIFT</t>
  </si>
  <si>
    <t>BOT-24</t>
  </si>
  <si>
    <t>COBRERIA</t>
  </si>
  <si>
    <t>BOT-25</t>
  </si>
  <si>
    <t>MECANICA DICC</t>
  </si>
  <si>
    <t>BOT-26</t>
  </si>
  <si>
    <t>MECANICA DICC OFICINA</t>
  </si>
  <si>
    <t>BOT-27</t>
  </si>
  <si>
    <t>CALIDAD</t>
  </si>
  <si>
    <t>BOT-28</t>
  </si>
  <si>
    <t>GERENCIA DE PRODUCCION</t>
  </si>
  <si>
    <t>BOT-29</t>
  </si>
  <si>
    <t>COBRERIA DICC</t>
  </si>
  <si>
    <t>BOT-30</t>
  </si>
  <si>
    <t>HABITABILIDAD DICC</t>
  </si>
  <si>
    <t>BOT-31</t>
  </si>
  <si>
    <t>ELECTRICIDAD DICC</t>
  </si>
  <si>
    <t>BOT-32</t>
  </si>
  <si>
    <t>CASCO Y ACERO CONSTR</t>
  </si>
  <si>
    <t>BOT-33</t>
  </si>
  <si>
    <t>HABITABILIDAD DICC OFICINA</t>
  </si>
  <si>
    <t>BOT-34</t>
  </si>
  <si>
    <t>MECANICA INTERNA</t>
  </si>
  <si>
    <t>BOT-35</t>
  </si>
  <si>
    <t>BOT-36</t>
  </si>
  <si>
    <t>CASCO Y ACERO PAÑOL</t>
  </si>
  <si>
    <t>CONTROL GENERAL - SERVICIO MÉDICO ASTILLERO</t>
  </si>
  <si>
    <t>Fecha de actualización:</t>
  </si>
  <si>
    <t>28/05/2026</t>
  </si>
  <si>
    <t>Cantidad</t>
  </si>
  <si>
    <t>incompletos</t>
  </si>
  <si>
    <t>ID</t>
  </si>
  <si>
    <t>Regulador</t>
  </si>
  <si>
    <t>Capacidad</t>
  </si>
  <si>
    <t>Fecha venc</t>
  </si>
  <si>
    <t>OX-01</t>
  </si>
  <si>
    <t>SHOCK ROOM</t>
  </si>
  <si>
    <t>si</t>
  </si>
  <si>
    <t>6,4 m3</t>
  </si>
  <si>
    <t>OX-02</t>
  </si>
  <si>
    <t xml:space="preserve">No operativo </t>
  </si>
  <si>
    <t>OX-03</t>
  </si>
  <si>
    <t>UNIDA DE TRASL</t>
  </si>
  <si>
    <t>0,5 m3</t>
  </si>
  <si>
    <t>PAP0416854-1</t>
  </si>
  <si>
    <t>OX-04</t>
  </si>
  <si>
    <t>11,1 kg</t>
  </si>
  <si>
    <t>p20222428</t>
  </si>
  <si>
    <t>OX-05</t>
  </si>
  <si>
    <t>AMBULANCIA</t>
  </si>
  <si>
    <t>2 m3</t>
  </si>
  <si>
    <t>P1110972</t>
  </si>
  <si>
    <t>OX-06</t>
  </si>
  <si>
    <t>P1110891</t>
  </si>
  <si>
    <t>OX-07</t>
  </si>
  <si>
    <t>PBW10</t>
  </si>
  <si>
    <t>Código</t>
  </si>
  <si>
    <t>Medicamento</t>
  </si>
  <si>
    <t>Presentacion</t>
  </si>
  <si>
    <t>Stock Actual</t>
  </si>
  <si>
    <t>Stock Mínimo</t>
  </si>
  <si>
    <t>Revisacion</t>
  </si>
  <si>
    <t>MED-001</t>
  </si>
  <si>
    <t>Paracetamol 1 Gr</t>
  </si>
  <si>
    <t>comprimidos</t>
  </si>
  <si>
    <t>OK</t>
  </si>
  <si>
    <t>MED-002</t>
  </si>
  <si>
    <t>Ibuprofeno</t>
  </si>
  <si>
    <t>MED-003</t>
  </si>
  <si>
    <t xml:space="preserve">buscapina </t>
  </si>
  <si>
    <t>MED-004</t>
  </si>
  <si>
    <t>Omeprazol 40 mg</t>
  </si>
  <si>
    <t>MED-005</t>
  </si>
  <si>
    <t>Estrpt Carbon</t>
  </si>
  <si>
    <t>MED-006</t>
  </si>
  <si>
    <t>Keterolac sub</t>
  </si>
  <si>
    <t>MED-007</t>
  </si>
  <si>
    <t>Diclofenaco sodico 75</t>
  </si>
  <si>
    <t>MED-008</t>
  </si>
  <si>
    <t>Diclofenaco Potasico</t>
  </si>
  <si>
    <t>MED-009</t>
  </si>
  <si>
    <t>Omeprazol 20 mg</t>
  </si>
  <si>
    <t>MED-010</t>
  </si>
  <si>
    <t>Loperamida</t>
  </si>
  <si>
    <t>MED-011</t>
  </si>
  <si>
    <t>Amlodipina</t>
  </si>
  <si>
    <t>MED-012</t>
  </si>
  <si>
    <t>Buscapina Simple</t>
  </si>
  <si>
    <t>MED-013</t>
  </si>
  <si>
    <t>Furosemida</t>
  </si>
  <si>
    <t>MED-014</t>
  </si>
  <si>
    <t>Refrianex</t>
  </si>
  <si>
    <t>MED-015</t>
  </si>
  <si>
    <t>Alprazolam</t>
  </si>
  <si>
    <t>MED-016</t>
  </si>
  <si>
    <t>Midazolam</t>
  </si>
  <si>
    <t>MED-017</t>
  </si>
  <si>
    <t>Defehidramina 50</t>
  </si>
  <si>
    <t>MED-018</t>
  </si>
  <si>
    <t>Dexalergin</t>
  </si>
  <si>
    <t>MED-019</t>
  </si>
  <si>
    <t>Inyectable</t>
  </si>
  <si>
    <t>MED-020</t>
  </si>
  <si>
    <t>Ranitidina</t>
  </si>
  <si>
    <t>MED-021</t>
  </si>
  <si>
    <t>Difenhidramina</t>
  </si>
  <si>
    <t>MED-022</t>
  </si>
  <si>
    <t>Diclofenaco sodico</t>
  </si>
  <si>
    <t>MED-023</t>
  </si>
  <si>
    <t>Dexametazona</t>
  </si>
  <si>
    <t>MED-024</t>
  </si>
  <si>
    <t>Dipirona</t>
  </si>
  <si>
    <t>MED-025</t>
  </si>
  <si>
    <t>Diazepan</t>
  </si>
  <si>
    <t>MED-026</t>
  </si>
  <si>
    <t>MED-027</t>
  </si>
  <si>
    <t>lobetalol</t>
  </si>
  <si>
    <t>MED-028</t>
  </si>
  <si>
    <t>Adrenalina</t>
  </si>
  <si>
    <t>MED-029</t>
  </si>
  <si>
    <t>Nalbufina</t>
  </si>
  <si>
    <t>MED-030</t>
  </si>
  <si>
    <t>Nubaina</t>
  </si>
  <si>
    <t>MED-031</t>
  </si>
  <si>
    <t>Atropina</t>
  </si>
  <si>
    <t>MED-032</t>
  </si>
  <si>
    <t>Solucion hipert</t>
  </si>
  <si>
    <t>MED-033</t>
  </si>
  <si>
    <t>hidrocortisona</t>
  </si>
  <si>
    <t>MED-034</t>
  </si>
  <si>
    <t>Benadryl</t>
  </si>
  <si>
    <t>MED-035</t>
  </si>
  <si>
    <t>Sertal compuesto</t>
  </si>
  <si>
    <t>MED-036</t>
  </si>
  <si>
    <t>Nero 40</t>
  </si>
  <si>
    <t>MED-037</t>
  </si>
  <si>
    <t>Amiodarona</t>
  </si>
  <si>
    <t>MED-038</t>
  </si>
  <si>
    <t>dexalergin frasco</t>
  </si>
  <si>
    <t>Gotas</t>
  </si>
  <si>
    <t>MED-039</t>
  </si>
  <si>
    <t>Gotapc</t>
  </si>
  <si>
    <t>MED-040</t>
  </si>
  <si>
    <t>salbutamol</t>
  </si>
  <si>
    <t>gotas</t>
  </si>
  <si>
    <t>MED-041</t>
  </si>
  <si>
    <t>otosporin</t>
  </si>
  <si>
    <t>MED-042</t>
  </si>
  <si>
    <t>systane</t>
  </si>
  <si>
    <t>MED-043</t>
  </si>
  <si>
    <t>otosclean</t>
  </si>
  <si>
    <t>MED-044</t>
  </si>
  <si>
    <t>nitrofurazona</t>
  </si>
  <si>
    <t>cajas</t>
  </si>
  <si>
    <t>MED-045</t>
  </si>
  <si>
    <t>MED-046</t>
  </si>
  <si>
    <t>unidades</t>
  </si>
  <si>
    <t>Mes</t>
  </si>
  <si>
    <t>Mayo</t>
  </si>
  <si>
    <t>blokium</t>
  </si>
  <si>
    <t>blokium cox</t>
  </si>
  <si>
    <t>ibuprofeno 400</t>
  </si>
  <si>
    <t>mylanta</t>
  </si>
  <si>
    <t>ibuprofeno 600</t>
  </si>
  <si>
    <t>keterolaco sl</t>
  </si>
  <si>
    <t>reliveran</t>
  </si>
  <si>
    <t>buscapina comp</t>
  </si>
  <si>
    <t>loratadina</t>
  </si>
  <si>
    <t>dicloflex</t>
  </si>
  <si>
    <t>cafiaspirina</t>
  </si>
  <si>
    <t>amlodipina</t>
  </si>
  <si>
    <t>blokium b12</t>
  </si>
  <si>
    <t>acemuck</t>
  </si>
  <si>
    <t>blokium forte</t>
  </si>
  <si>
    <t>diclofenac potasico</t>
  </si>
  <si>
    <t>losartan</t>
  </si>
  <si>
    <t>diclofenaco b12</t>
  </si>
  <si>
    <t>dexametazona</t>
  </si>
  <si>
    <t>TOTAL</t>
  </si>
  <si>
    <t>MEDICACIONES</t>
  </si>
  <si>
    <t>Unidad</t>
  </si>
  <si>
    <t>Patente</t>
  </si>
  <si>
    <t>Unidades</t>
  </si>
  <si>
    <t>Fecha de venci</t>
  </si>
  <si>
    <t>Último Service</t>
  </si>
  <si>
    <t>Próximo Service</t>
  </si>
  <si>
    <t>Comprimidos</t>
  </si>
  <si>
    <t>AMB-01</t>
  </si>
  <si>
    <t>AA123BB</t>
  </si>
  <si>
    <t>Mercedez Sprinter</t>
  </si>
  <si>
    <t>Operativa</t>
  </si>
  <si>
    <t xml:space="preserve">Medicaciones </t>
  </si>
  <si>
    <t>comprimidos:</t>
  </si>
  <si>
    <t>diclofenac 75</t>
  </si>
  <si>
    <t>Inyectables:</t>
  </si>
  <si>
    <t>Atlansil</t>
  </si>
  <si>
    <t>diclofenac flex</t>
  </si>
  <si>
    <t>buscapina</t>
  </si>
  <si>
    <t>furosemida</t>
  </si>
  <si>
    <t>estrepto carbon</t>
  </si>
  <si>
    <t>ranitidina</t>
  </si>
  <si>
    <t>Mylanta</t>
  </si>
  <si>
    <t>nero</t>
  </si>
  <si>
    <t>Loratadina</t>
  </si>
  <si>
    <t>sertal compuesto</t>
  </si>
  <si>
    <t>s hipertonica</t>
  </si>
  <si>
    <t>dipirona</t>
  </si>
  <si>
    <t>diclofenaco</t>
  </si>
  <si>
    <t>diazepan</t>
  </si>
  <si>
    <t>Difenihidramina</t>
  </si>
  <si>
    <t>hidrocortizona</t>
  </si>
  <si>
    <t>AMB-02</t>
  </si>
  <si>
    <t>Renault Kangoo</t>
  </si>
  <si>
    <r>
      <rPr>
        <b/>
        <sz val="11"/>
        <color rgb="FF000000"/>
        <rFont val="Calibri"/>
        <scheme val="minor"/>
      </rPr>
      <t>CARRO DE PARO</t>
    </r>
    <r>
      <rPr>
        <sz val="11"/>
        <color rgb="FF000000"/>
        <rFont val="Calibri"/>
        <scheme val="minor"/>
      </rPr>
      <t>-01</t>
    </r>
  </si>
  <si>
    <t xml:space="preserve"> </t>
  </si>
  <si>
    <t>midazolam</t>
  </si>
  <si>
    <t>nubaina</t>
  </si>
  <si>
    <t>ntg</t>
  </si>
  <si>
    <t>Fecha</t>
  </si>
  <si>
    <t>Hora</t>
  </si>
  <si>
    <t>Empleado</t>
  </si>
  <si>
    <t>Legajo</t>
  </si>
  <si>
    <t>Empresa</t>
  </si>
  <si>
    <t>Tipo de Lesión</t>
  </si>
  <si>
    <t>Parte del Cuerpo</t>
  </si>
  <si>
    <t>Agente Causante</t>
  </si>
  <si>
    <t>Descripción</t>
  </si>
  <si>
    <t>Art</t>
  </si>
  <si>
    <t>Acción Correctiva</t>
  </si>
  <si>
    <t>baja</t>
  </si>
  <si>
    <t>Enero</t>
  </si>
  <si>
    <t>ituarte victor</t>
  </si>
  <si>
    <t>contratista</t>
  </si>
  <si>
    <t>Serza</t>
  </si>
  <si>
    <t>Herida cortante</t>
  </si>
  <si>
    <t>pulgar derecho</t>
  </si>
  <si>
    <t xml:space="preserve">objeto punzante </t>
  </si>
  <si>
    <t>Corte 1 cm</t>
  </si>
  <si>
    <t>no</t>
  </si>
  <si>
    <t>Sí</t>
  </si>
  <si>
    <t>Acosta Martinez A</t>
  </si>
  <si>
    <t>Ont/Zacarias silverio</t>
  </si>
  <si>
    <t>dedo indice</t>
  </si>
  <si>
    <t>caño hierro</t>
  </si>
  <si>
    <t>corte 4 cm</t>
  </si>
  <si>
    <t>Ortiz Daniel</t>
  </si>
  <si>
    <t>Tandanor</t>
  </si>
  <si>
    <t>Mecanica</t>
  </si>
  <si>
    <t>disco amoladora</t>
  </si>
  <si>
    <t>corte 3 cm</t>
  </si>
  <si>
    <t>Febrero</t>
  </si>
  <si>
    <t>Claudepierre German</t>
  </si>
  <si>
    <t>Traumatismo</t>
  </si>
  <si>
    <t>dedo anular 1er falanje</t>
  </si>
  <si>
    <t>golpe con obj pesado</t>
  </si>
  <si>
    <t>Golpe menor</t>
  </si>
  <si>
    <t>Marzo</t>
  </si>
  <si>
    <t>Rodriguez Leandro</t>
  </si>
  <si>
    <t>Tripulant</t>
  </si>
  <si>
    <t>Buque Estefania H</t>
  </si>
  <si>
    <t>tripulante</t>
  </si>
  <si>
    <t>Tramatismo</t>
  </si>
  <si>
    <t>rodilla izq</t>
  </si>
  <si>
    <t>piso mal</t>
  </si>
  <si>
    <t>dolor agudo</t>
  </si>
  <si>
    <t>marzo</t>
  </si>
  <si>
    <t>Rosedo Bryan</t>
  </si>
  <si>
    <t>Buque Emma B</t>
  </si>
  <si>
    <t>Distencion musc</t>
  </si>
  <si>
    <t>espalda</t>
  </si>
  <si>
    <t>levanto obj pesado</t>
  </si>
  <si>
    <t>Abril</t>
  </si>
  <si>
    <t>Verdia Elias</t>
  </si>
  <si>
    <t>tandanor</t>
  </si>
  <si>
    <t>casco y acero</t>
  </si>
  <si>
    <t>cuerpo extraño</t>
  </si>
  <si>
    <t>ojo derecho</t>
  </si>
  <si>
    <t xml:space="preserve">irritacion </t>
  </si>
  <si>
    <t>abril</t>
  </si>
  <si>
    <t>Perez adrian</t>
  </si>
  <si>
    <t>wannes</t>
  </si>
  <si>
    <t>caida</t>
  </si>
  <si>
    <t>Aranda hector</t>
  </si>
  <si>
    <t>quemadura</t>
  </si>
  <si>
    <t>pierna izquierda</t>
  </si>
  <si>
    <t>soplete</t>
  </si>
  <si>
    <t>quemadura leve</t>
  </si>
  <si>
    <t>Altamiranda juan</t>
  </si>
  <si>
    <t>Cobreria</t>
  </si>
  <si>
    <t>dolor leve</t>
  </si>
  <si>
    <t>Condori German</t>
  </si>
  <si>
    <t>Lobos Marcelo</t>
  </si>
  <si>
    <t>Comedor</t>
  </si>
  <si>
    <t>Dedo pulgar izq</t>
  </si>
  <si>
    <t>corte</t>
  </si>
  <si>
    <t>corte cuchillo</t>
  </si>
  <si>
    <t>mayo</t>
  </si>
  <si>
    <t>Villalba Ricardo</t>
  </si>
  <si>
    <t>Quemadura</t>
  </si>
  <si>
    <t>zona pectoral</t>
  </si>
  <si>
    <t>quemadura soplete</t>
  </si>
  <si>
    <t>leve molestia</t>
  </si>
  <si>
    <t>Cassicia Alejandro</t>
  </si>
  <si>
    <t>Syncrolift</t>
  </si>
  <si>
    <t>miembro superior</t>
  </si>
  <si>
    <t>Maccari Jose</t>
  </si>
  <si>
    <t>Servimagnus</t>
  </si>
  <si>
    <t>tx contuso</t>
  </si>
  <si>
    <t>objeto pesado</t>
  </si>
  <si>
    <t>traumatismo</t>
  </si>
  <si>
    <t>Vilmaski Matias</t>
  </si>
  <si>
    <t>Seguridad industrial</t>
  </si>
  <si>
    <t>Pineda Ramon</t>
  </si>
  <si>
    <t>Trasporte</t>
  </si>
  <si>
    <t>dedo menique mano izq</t>
  </si>
  <si>
    <t xml:space="preserve">edema </t>
  </si>
  <si>
    <t xml:space="preserve">cabeza </t>
  </si>
  <si>
    <t>corte con chapa</t>
  </si>
  <si>
    <t>Jorge Oscar</t>
  </si>
  <si>
    <t>Caida</t>
  </si>
  <si>
    <t>miembro inferior izquierdo</t>
  </si>
  <si>
    <t>junio</t>
  </si>
  <si>
    <t>Garnica Agapito</t>
  </si>
  <si>
    <t>Mantenimiento</t>
  </si>
  <si>
    <t>luxacion tobillo izq</t>
  </si>
  <si>
    <t>villanueva lautaro</t>
  </si>
  <si>
    <t>Cimsa</t>
  </si>
  <si>
    <t>caida de moto</t>
  </si>
  <si>
    <t>miembro superior derecho</t>
  </si>
  <si>
    <t>initinere</t>
  </si>
  <si>
    <t>Paz Raul</t>
  </si>
  <si>
    <t>Anjor</t>
  </si>
  <si>
    <t>Gonzales leonardo</t>
  </si>
  <si>
    <t>mal movimiento</t>
  </si>
  <si>
    <t>lumbar</t>
  </si>
  <si>
    <t>julio</t>
  </si>
  <si>
    <t>Zorrilla walter</t>
  </si>
  <si>
    <t>electricidad</t>
  </si>
  <si>
    <t>dedo pulgar derecho</t>
  </si>
  <si>
    <t>traumatismo con puerta hierro</t>
  </si>
  <si>
    <t>dolor aguido</t>
  </si>
  <si>
    <t>Cardozo Ramon</t>
  </si>
  <si>
    <t>Entorsis de tobillo</t>
  </si>
  <si>
    <t>tobillo derecho</t>
  </si>
  <si>
    <t>entorsis</t>
  </si>
  <si>
    <t>Accidentes</t>
  </si>
  <si>
    <t>Junio</t>
  </si>
  <si>
    <t>Julio</t>
  </si>
  <si>
    <t>Agosto</t>
  </si>
  <si>
    <t>mecanica</t>
  </si>
  <si>
    <t>Septiembre</t>
  </si>
  <si>
    <t>cobreria</t>
  </si>
  <si>
    <t>Octubre</t>
  </si>
  <si>
    <t>Noviembre</t>
  </si>
  <si>
    <t>trasporte</t>
  </si>
  <si>
    <t>Diciembre</t>
  </si>
  <si>
    <t>seguridad ind</t>
  </si>
  <si>
    <t>syncrolift</t>
  </si>
  <si>
    <t>Tipo de lesion</t>
  </si>
  <si>
    <t>Derivados Art</t>
  </si>
  <si>
    <t>Cortes</t>
  </si>
  <si>
    <t>SI</t>
  </si>
  <si>
    <t>Traumatismos</t>
  </si>
  <si>
    <t>NO</t>
  </si>
  <si>
    <t>Caidas</t>
  </si>
  <si>
    <t>Quemaduras</t>
  </si>
  <si>
    <t>Cuerpo extraño</t>
  </si>
  <si>
    <t>derivados art TANDANOR</t>
  </si>
  <si>
    <t>TANDANOR</t>
  </si>
  <si>
    <t>CONTRATISTAS</t>
  </si>
  <si>
    <t>8783--GIOSTRA GUSTAVO</t>
  </si>
  <si>
    <t>Nombre</t>
  </si>
  <si>
    <t>Cargo</t>
  </si>
  <si>
    <t>Turno</t>
  </si>
  <si>
    <t>Mail emp</t>
  </si>
  <si>
    <t>Capacitación RCP</t>
  </si>
  <si>
    <t>CURSOS</t>
  </si>
  <si>
    <t>Carolina Lechmann</t>
  </si>
  <si>
    <t>JEFE MEDICO</t>
  </si>
  <si>
    <t>mañana</t>
  </si>
  <si>
    <t>clechmann@tandanor.com</t>
  </si>
  <si>
    <t>Vigente</t>
  </si>
  <si>
    <t>PHTLS</t>
  </si>
  <si>
    <t>Larisa Espindola</t>
  </si>
  <si>
    <t>MEDICO</t>
  </si>
  <si>
    <t>tarde</t>
  </si>
  <si>
    <t>lespindola@tandanor.com</t>
  </si>
  <si>
    <t>vigente</t>
  </si>
  <si>
    <t>ENF-003</t>
  </si>
  <si>
    <t>Ruben Paz</t>
  </si>
  <si>
    <t>ENFERMERO</t>
  </si>
  <si>
    <t>rpaz@tandanor.com</t>
  </si>
  <si>
    <t>ENF-004</t>
  </si>
  <si>
    <t>Amalita Garcia</t>
  </si>
  <si>
    <t>ENFERMERA</t>
  </si>
  <si>
    <t>agarcia@tandanor.com</t>
  </si>
  <si>
    <t>ENF-005</t>
  </si>
  <si>
    <t>cecilia Anglas</t>
  </si>
  <si>
    <t>sadofe</t>
  </si>
  <si>
    <t>canglas@tandanor.com</t>
  </si>
  <si>
    <t>PSI-001</t>
  </si>
  <si>
    <t>Paula Stillman</t>
  </si>
  <si>
    <t>PSICOLOGA</t>
  </si>
  <si>
    <t>pstillman@tandanor.com</t>
  </si>
  <si>
    <t>LEG</t>
  </si>
  <si>
    <t>APELLIDO Y NOMBRE</t>
  </si>
  <si>
    <t>DEPARTAMENTO</t>
  </si>
  <si>
    <t>VACUNADOS</t>
  </si>
  <si>
    <t>NEGREIRA JOSE ENRIQUE</t>
  </si>
  <si>
    <t>Depto. Higiene y Seg. Industrial</t>
  </si>
  <si>
    <t>ROCHA CLAUDIO OMAR</t>
  </si>
  <si>
    <t>Depto. Syncrolift</t>
  </si>
  <si>
    <t>ARGÜELLO JOSE LUIS</t>
  </si>
  <si>
    <t>Depto. Mecánica</t>
  </si>
  <si>
    <t>TOCCALINO CLAUDIO ANDRES</t>
  </si>
  <si>
    <t>Depto. Maniobras y Transportes</t>
  </si>
  <si>
    <t>VILLAGRA LUIS HORACIO</t>
  </si>
  <si>
    <t>Depto. Bomberos</t>
  </si>
  <si>
    <t>RODRIGUEZ ANTONIO NESTOR</t>
  </si>
  <si>
    <t>POUSO EDUARDO LUIS</t>
  </si>
  <si>
    <t>Depto. Casco y Acero</t>
  </si>
  <si>
    <t>NAVARRO PASCUAL EMILIO</t>
  </si>
  <si>
    <t>MAVER FABIO ALBERTO</t>
  </si>
  <si>
    <t>GALEANO DANIEL ENRIQUE</t>
  </si>
  <si>
    <t>CERRA RUBEN AGUSTIN</t>
  </si>
  <si>
    <t>ZABALA JORGE EDUARDO</t>
  </si>
  <si>
    <t>FRANCO JUAN NICOLAS</t>
  </si>
  <si>
    <t>MAKAREWICZ NESTOR OSVALDO</t>
  </si>
  <si>
    <t>Depto. Desarrollo Tecnológico</t>
  </si>
  <si>
    <t>TARELLI HORACIO</t>
  </si>
  <si>
    <t>AGUIRRE JORGE RUVEN</t>
  </si>
  <si>
    <t>Depto. Carenado</t>
  </si>
  <si>
    <t>ARCE RUIZ RICHARD WILLAM</t>
  </si>
  <si>
    <t>Depto. Cobrería</t>
  </si>
  <si>
    <t>VALENCIA LUIS ALBERTO</t>
  </si>
  <si>
    <t>Depto. Electricidad</t>
  </si>
  <si>
    <t>LUCERO JULIO DIEGO</t>
  </si>
  <si>
    <t>AVILA ARIEL GUSTAVO</t>
  </si>
  <si>
    <t>PEREIRA GORDILLO JORGE ARTURO</t>
  </si>
  <si>
    <t>FLORES CASTOR HOMERO</t>
  </si>
  <si>
    <t>GIMENEZ WENCESLAO PAULINO</t>
  </si>
  <si>
    <t>VERGARA JAVIER GUSTAVO</t>
  </si>
  <si>
    <t>FARIAS DAMIAN PABLO</t>
  </si>
  <si>
    <t>BENARY FELIX GUILLERMO</t>
  </si>
  <si>
    <t>PADELIN MARCELO FABIAN</t>
  </si>
  <si>
    <t>MOREL SERGIO</t>
  </si>
  <si>
    <t>Depto. Control de Gestión</t>
  </si>
  <si>
    <t>MIRANDA GUSTAVO JAVIER</t>
  </si>
  <si>
    <t>SCHETTINI JUAN CARLOS</t>
  </si>
  <si>
    <t>Depto. Capital Humano</t>
  </si>
  <si>
    <t>PINEDA VIDAL RAMON</t>
  </si>
  <si>
    <t>DURAND LEONARDO RAUL</t>
  </si>
  <si>
    <t>TAYLOR CLAUDIO JAVIER</t>
  </si>
  <si>
    <t>ROLDAN JUAN CARLOS</t>
  </si>
  <si>
    <t>WOOLEY FERNANDO</t>
  </si>
  <si>
    <t>ALLENDE WALTER ENRIQUE</t>
  </si>
  <si>
    <t>Depto. Servicios Generales</t>
  </si>
  <si>
    <t>IRALA FELIX GUSTAVO</t>
  </si>
  <si>
    <t>PEREZ EDGARDO FABIAN</t>
  </si>
  <si>
    <t>TUÑINALI LUIS ALBERTO</t>
  </si>
  <si>
    <t>ESPINOSA ALFREDO PLACIDO</t>
  </si>
  <si>
    <t>VELAZCO PABLO MARTIN</t>
  </si>
  <si>
    <t>MAGALLANES ALEJANDRO RODRIGO</t>
  </si>
  <si>
    <t>ROLDAN ESTEBAN MARTIN</t>
  </si>
  <si>
    <t>ZACHMANN FRANCISCO FABRICIO</t>
  </si>
  <si>
    <t>ABELI MARIO HECTOR</t>
  </si>
  <si>
    <t>ALCARAZ CARLOS RODOLFO</t>
  </si>
  <si>
    <t>BARATTI ESTEBAN RUBEN</t>
  </si>
  <si>
    <t>Depto. Almacenes</t>
  </si>
  <si>
    <t>ABAPINTO RICARDO JAVIER</t>
  </si>
  <si>
    <t>FARIAS FACUNDO EZEQUIEL</t>
  </si>
  <si>
    <t>FARIAS LUCAS ANTONIO</t>
  </si>
  <si>
    <t>MARTINS BERNARDO ALEJANDRO</t>
  </si>
  <si>
    <t>CODA OSCAR ARTURO</t>
  </si>
  <si>
    <t>MONZON LEONARDO OSCAR</t>
  </si>
  <si>
    <t>OLIVERA MARCELO GUSTAVO</t>
  </si>
  <si>
    <t>MOLINA MATIAS JAVIER</t>
  </si>
  <si>
    <t>BARBOZA LUIS ALBERTO</t>
  </si>
  <si>
    <t>VILLAMAYOR PABLO ANTONIO</t>
  </si>
  <si>
    <t>LUGO CARLOS RAMON</t>
  </si>
  <si>
    <t>BAEZ JOSE LUIS</t>
  </si>
  <si>
    <t>GIRARD NORBERTO CARLOS</t>
  </si>
  <si>
    <t>RITANO JULIAN JORGE</t>
  </si>
  <si>
    <t>Depto. Control de Calidad</t>
  </si>
  <si>
    <t>MIRANDA JUAN MARTIN</t>
  </si>
  <si>
    <t>FLEITAS DANIEL ALBERTO</t>
  </si>
  <si>
    <t>RODRIGUEZ MAXIMILIANO</t>
  </si>
  <si>
    <t>ARRUA LUCAS SEBASTIAN</t>
  </si>
  <si>
    <t>AYALA LUCAS MARTIN</t>
  </si>
  <si>
    <t>CARDOZO ANIBAL ALEJANDRO</t>
  </si>
  <si>
    <t>FERREIRONE PABLO ALBERTO</t>
  </si>
  <si>
    <t>LUCERO SEBASTIAN ANDRES</t>
  </si>
  <si>
    <t>ESPINOLA DANIEL ALBERTO</t>
  </si>
  <si>
    <t>MAZZULLA MARCELO LIONEL</t>
  </si>
  <si>
    <t>CUOMO JUAN PABLO</t>
  </si>
  <si>
    <t>FIGUEREDO CELSO JAVIER</t>
  </si>
  <si>
    <t>GONZALEZ DANIEL ALEJANDRO</t>
  </si>
  <si>
    <t>CASTELLANO CHRISTIAN MARCELO</t>
  </si>
  <si>
    <t>GARAY LAZARO DAVID</t>
  </si>
  <si>
    <t>PUCHETA JONATAN ENRIQUE</t>
  </si>
  <si>
    <t>GARCILAZO JUAN CARLOS</t>
  </si>
  <si>
    <t>COZZI MAURICIO GERMAN</t>
  </si>
  <si>
    <t>OJEDA PABLO DANIEL</t>
  </si>
  <si>
    <t>PAGANO NORBERTO JAVIER</t>
  </si>
  <si>
    <t>CABALLERO HERMES MARCOS</t>
  </si>
  <si>
    <t>SANDUAY ROBERTO ISAAC</t>
  </si>
  <si>
    <t>ESCOBAR JUAN JOSE</t>
  </si>
  <si>
    <t>FERRUFINO DANIEL PABLO</t>
  </si>
  <si>
    <t>NAVARRO MATIAS ALEJANDRO</t>
  </si>
  <si>
    <t>PANIAGUA DARIO MAXIMILIANO</t>
  </si>
  <si>
    <t>ZABALA DARIO GERMAN</t>
  </si>
  <si>
    <t>IZAGUIRRE FERNANDO MARTIN</t>
  </si>
  <si>
    <t>PASCOTTO NESTOR ALEJANDRO</t>
  </si>
  <si>
    <t>CANDI NICOLAS ALEJANDRO</t>
  </si>
  <si>
    <t>CARDOZO OMAR SAMUEL</t>
  </si>
  <si>
    <t>ROJAS CRISTIAN</t>
  </si>
  <si>
    <t>ALVAREZ VILLAROEL GERALD MARCELO</t>
  </si>
  <si>
    <t>CAMPOS HUGO ALBERTO</t>
  </si>
  <si>
    <t>GARCIA MATIAS EMANUEL</t>
  </si>
  <si>
    <t>GARCIA POGGIO PABLO OSCAR</t>
  </si>
  <si>
    <t>LARRONDO LUIS EDUARDO</t>
  </si>
  <si>
    <t>DEMUZIO JAVIER HERNAN</t>
  </si>
  <si>
    <t>Depto. Jefatura de buques</t>
  </si>
  <si>
    <t>ESTEBEZ PABLO DANIEL</t>
  </si>
  <si>
    <t>ACEVEDO CARLOS ALBERTO</t>
  </si>
  <si>
    <t>AREVALO GONZALO DANIEL</t>
  </si>
  <si>
    <t>RUIZ JONATAN MATIAS</t>
  </si>
  <si>
    <t>IZAGUIRRE ROBERTO CARLOS</t>
  </si>
  <si>
    <t>ROMERO GONZALO RODRIGO</t>
  </si>
  <si>
    <t>Control de Contratistas</t>
  </si>
  <si>
    <t>VILMASKI MATIAS EZEQUIEL</t>
  </si>
  <si>
    <t>FIGUEROA MARCOS ALEJANDRO</t>
  </si>
  <si>
    <t>FLORES EMANUEL ABELARDO</t>
  </si>
  <si>
    <t>Depto. Habitabilidad</t>
  </si>
  <si>
    <t>BASALDUA JUAN NICOLAS</t>
  </si>
  <si>
    <t>GONZALEZ LEONARDO ANDRES</t>
  </si>
  <si>
    <t>FIGUEROA EMANUEL JUAN</t>
  </si>
  <si>
    <t>GONZALEZ ALEXIS RODRIGO</t>
  </si>
  <si>
    <t>CHAVEZ CLAUDIO EDGARDO</t>
  </si>
  <si>
    <t>AVALOS JOSE MARIA</t>
  </si>
  <si>
    <t>CARDOZO ARNALDO EZEQUIEL</t>
  </si>
  <si>
    <t>PENAYO HECTOR OMAR</t>
  </si>
  <si>
    <t>GAUNA ENRIQUE EUSEBIO</t>
  </si>
  <si>
    <t>MERCADO RUIZ HERNAN RODRIGO</t>
  </si>
  <si>
    <t>GIMENEZ JAVIER HUMBERTO</t>
  </si>
  <si>
    <t>ABELI EMANUEL OSVALDO</t>
  </si>
  <si>
    <t>DIMASO EZEQUIEL GERMAN</t>
  </si>
  <si>
    <t>GIMENEZ EZEQUIEL</t>
  </si>
  <si>
    <t>CRESPIN EBER ALEXIS</t>
  </si>
  <si>
    <t>ZIER DIEGO ALEJANDRO</t>
  </si>
  <si>
    <t>CALDERON DIEGO JAVIER</t>
  </si>
  <si>
    <t>MANCUELLO RODOLFO ARISTIDES</t>
  </si>
  <si>
    <t>SILVA PRIETO DANIEL EDGARDO</t>
  </si>
  <si>
    <t>ALVAREZ CHRISTIAN FABIAN</t>
  </si>
  <si>
    <t>RODRIGUEZ GASTON MARIO</t>
  </si>
  <si>
    <t>PERONA JORGE MARTIN</t>
  </si>
  <si>
    <t>ABELI RAMIRO OSVALDO</t>
  </si>
  <si>
    <t>ARANDA HECTOR ARIEL</t>
  </si>
  <si>
    <t>MATARESE PABLO GASTON</t>
  </si>
  <si>
    <t>BARBOSA XAVIER EZEQUIEL</t>
  </si>
  <si>
    <t>NEBEL HERNAN EDUARDO</t>
  </si>
  <si>
    <t>ZORRILLA WALTER RAMON DARIO</t>
  </si>
  <si>
    <t>CIROCCO FABIAN LEANDRO</t>
  </si>
  <si>
    <t>MARCHIONNI NAZARETH</t>
  </si>
  <si>
    <t>CARDOZO RAMON LEONARDO</t>
  </si>
  <si>
    <t>CUBILLA MARIO JAVIER</t>
  </si>
  <si>
    <t>MAUTONE ROGELIO WALTER</t>
  </si>
  <si>
    <t>OLIVA GERARDO RAMON</t>
  </si>
  <si>
    <t>FIORE LAURA GABRIELA</t>
  </si>
  <si>
    <t>Depto. Legales</t>
  </si>
  <si>
    <t>ZOPPI ALFONSO JUAN IGNACIO</t>
  </si>
  <si>
    <t>TEDESCO CYNTHIA VANESA</t>
  </si>
  <si>
    <t>LEON LEONARDO JAVIER</t>
  </si>
  <si>
    <t>MELIAN EDUARDO OSCAR</t>
  </si>
  <si>
    <t>VIVAS GERMAN NICOLAS</t>
  </si>
  <si>
    <t>GOMEZ ARIEL DAMIAN</t>
  </si>
  <si>
    <t>BANEGA RUBEN ANTONIO</t>
  </si>
  <si>
    <t>SOSA OSCAR HILARIO</t>
  </si>
  <si>
    <t>MARTINEZ JUAN DOMINGO</t>
  </si>
  <si>
    <t>GIANNETTO MATIAS EMMANUEL</t>
  </si>
  <si>
    <t>FRANCO NESTOR JAVIER</t>
  </si>
  <si>
    <t>GUTIERREZ LIZARRAGA JANS AGUSTIN</t>
  </si>
  <si>
    <t>NOVERASCO SERGIO MARTIN</t>
  </si>
  <si>
    <t>GARAY JUAN EMILIO</t>
  </si>
  <si>
    <t>TOLEDO MIGUEL ANGEL</t>
  </si>
  <si>
    <t>CAMAROTA CLAUDIO ERNESTO</t>
  </si>
  <si>
    <t>RICCIO DANIEL FABIAN</t>
  </si>
  <si>
    <t>ANDRADE ALEJANDRO MANUEL</t>
  </si>
  <si>
    <t>ARAYA MATIAS GABRIEL</t>
  </si>
  <si>
    <t>ALTAMIRANDA CRISTIAN ARIEL</t>
  </si>
  <si>
    <t>BENITEZ DIEGO ALBERTO</t>
  </si>
  <si>
    <t>NAZAR EMILIO DANIEL</t>
  </si>
  <si>
    <t>ALTAMIRANDA JUAN JOSE</t>
  </si>
  <si>
    <t>DE LUCA FEDERICO ESTEBAN</t>
  </si>
  <si>
    <t>DUTRA LUCAS OSCAR</t>
  </si>
  <si>
    <t>BARREIRO JOSE LUIS</t>
  </si>
  <si>
    <t>TAMBURELLI ARIEL ALDO</t>
  </si>
  <si>
    <t>Depto. Compras</t>
  </si>
  <si>
    <t>AVALOS EDUARDO MANUEL</t>
  </si>
  <si>
    <t>HERRERA RODRIGO JAVIER</t>
  </si>
  <si>
    <t>MARINO FERNANDO</t>
  </si>
  <si>
    <t>CORREA DIEGO ARMANDO</t>
  </si>
  <si>
    <t>VILLAVERDE EDUARDO JULIAN</t>
  </si>
  <si>
    <t>RUSTERHOLZ ARIEL JOSE</t>
  </si>
  <si>
    <t>BELCHIOR NELSON HUGO</t>
  </si>
  <si>
    <t>WEBER LUCAS DARIO</t>
  </si>
  <si>
    <t>FERREIRA LEANDRO</t>
  </si>
  <si>
    <t>GARAY MARCELO DANIEL</t>
  </si>
  <si>
    <t>GARCIA WALTER SEBASTIAN</t>
  </si>
  <si>
    <t>PAZ LUCAS DANIEL</t>
  </si>
  <si>
    <t>TORNERO DAMIAN ALBERTO</t>
  </si>
  <si>
    <t>SOLOAGA SERGIO DELIO</t>
  </si>
  <si>
    <t>BOJARSKI ARIEL ANDRES</t>
  </si>
  <si>
    <t>ACEVEDO LUIS ALBERTO</t>
  </si>
  <si>
    <t>TUÑINALI RICARDO ALFREDO</t>
  </si>
  <si>
    <t>GAMARRA SERGIO GUSTAVO</t>
  </si>
  <si>
    <t>AYALA LUIS ALBERTO</t>
  </si>
  <si>
    <t>BRESTIC DARIO JAVIER</t>
  </si>
  <si>
    <t>CORONEL JOSE ERNESTO</t>
  </si>
  <si>
    <t>Gcia. Producción</t>
  </si>
  <si>
    <t>BARRIOS DANIEL ALEJANDRO</t>
  </si>
  <si>
    <t>BIRD BRIAN MATIAS PATRICIO</t>
  </si>
  <si>
    <t>CHAMBI FLORES ANALIA TATIANA</t>
  </si>
  <si>
    <t>MEDINA CLAUDIO MIGUEL</t>
  </si>
  <si>
    <t>GJUKA NATALIA SILVANA</t>
  </si>
  <si>
    <t>Depto. Cobranzas y Pagos</t>
  </si>
  <si>
    <t>HINOJOSA JORGE LUIS</t>
  </si>
  <si>
    <t>REYNA MARIO GUILLERMO</t>
  </si>
  <si>
    <t>FERRAGUTT LEANDRO DAVID</t>
  </si>
  <si>
    <t>CLAUDEPIERRE GERMAN SIGFRIDO</t>
  </si>
  <si>
    <t>HERRERA NESTOR FABIAN</t>
  </si>
  <si>
    <t>GONZALEZ MAXIMILIANO ANDRES</t>
  </si>
  <si>
    <t>GOITIA DE JESUS</t>
  </si>
  <si>
    <t>URSO HECTOR DAMIAN</t>
  </si>
  <si>
    <t>GONZALEZ LEONARDO</t>
  </si>
  <si>
    <t>PASCOTTO SILVIO ALEJANDRO</t>
  </si>
  <si>
    <t>ROMANO JULIA VANESA</t>
  </si>
  <si>
    <t>SOSA CLAUDIO AUGUSTO</t>
  </si>
  <si>
    <t>GENIN RUBEN HORACIO</t>
  </si>
  <si>
    <t>FARIAS JUAN CARLOS</t>
  </si>
  <si>
    <t>DUARTE FERNANDO MARCELO</t>
  </si>
  <si>
    <t>MOLINARI JUAN PABLO</t>
  </si>
  <si>
    <t>WADA ADRIAN PABLO</t>
  </si>
  <si>
    <t>Depto. Jefe de Buque</t>
  </si>
  <si>
    <t>CORRIPIO FABIO ADRIAN</t>
  </si>
  <si>
    <t>CAMUS GUILLERMO OSVALDO</t>
  </si>
  <si>
    <t>BARRIOS HORACIO DANIEL</t>
  </si>
  <si>
    <t>VERA JUAN ANDRES</t>
  </si>
  <si>
    <t>GIMENEZ DANIEL SALVADOR</t>
  </si>
  <si>
    <t>GAVIN ROMERO MATIAS LUCIANO</t>
  </si>
  <si>
    <t>GERBASONI MARCELO DAMIAN</t>
  </si>
  <si>
    <t>ARANDA WALTER EDUARDO</t>
  </si>
  <si>
    <t>SANCHEZ WALTER JAVIER</t>
  </si>
  <si>
    <t>VERA JUAN MANUEL</t>
  </si>
  <si>
    <t>CONCILIO HERNAN ESTEBAN</t>
  </si>
  <si>
    <t>CORREA LEONARDO DANIEL</t>
  </si>
  <si>
    <t>Depto. Contrataciones</t>
  </si>
  <si>
    <t>GOMEZ CESAR MARTIN</t>
  </si>
  <si>
    <t>MENDOZA DIEGO ARNALDO DAMIAN</t>
  </si>
  <si>
    <t>SOSA CARLOS ENRIQUE</t>
  </si>
  <si>
    <t>Depto. Jurídico</t>
  </si>
  <si>
    <t>FLORES PINTOS DANIEL ALBERTO</t>
  </si>
  <si>
    <t>CAPART GABRIEL</t>
  </si>
  <si>
    <t>IMPERIALE PABLO DANIEL</t>
  </si>
  <si>
    <t>CASSICCIA ALEJANDRO SEBASTIAN</t>
  </si>
  <si>
    <t>MAIDANA MIGUEL ANGEL</t>
  </si>
  <si>
    <t>LEDESMA JUAN JOSE DAVID</t>
  </si>
  <si>
    <t>TORRES JUAN CARLOS</t>
  </si>
  <si>
    <t>MOLINA OSCAR BENJAMIN</t>
  </si>
  <si>
    <t>ORELLANA JESUS MARIA</t>
  </si>
  <si>
    <t>ROMANO ENRIQUE ADRIAN</t>
  </si>
  <si>
    <t>CACERES MARCO ANTONIO</t>
  </si>
  <si>
    <t>RODRIGUEZ ADRIAN</t>
  </si>
  <si>
    <t>BECHINI GUSTAVO RAUL</t>
  </si>
  <si>
    <t>BOND LUCAS EZEQUIEL</t>
  </si>
  <si>
    <t>MUÑOA EZEQUIEL</t>
  </si>
  <si>
    <t>ROJAS MAXIMILIANO</t>
  </si>
  <si>
    <t>GALARZA ANIBAL GABRIEL</t>
  </si>
  <si>
    <t>SILVA JUAN IGNACIO</t>
  </si>
  <si>
    <t>GARNICA AGAPITO MARCELO</t>
  </si>
  <si>
    <t>MENDEZ GUTIERREZ PAULA ANDREA</t>
  </si>
  <si>
    <t>OJEDA MAURO EZEQUIEL</t>
  </si>
  <si>
    <t>PELERO GABRIEL HECTOR</t>
  </si>
  <si>
    <t>BENITEZ BIENVENIDO LUIS</t>
  </si>
  <si>
    <t>SALDAÑO HUGO OMAR</t>
  </si>
  <si>
    <t>BESOAIN CASTILLO CRISTIAN ALFONSO</t>
  </si>
  <si>
    <t>PIÑEIRO FRANCO DANIEL</t>
  </si>
  <si>
    <t>TUÑINALI RICARDO ANDRES</t>
  </si>
  <si>
    <t>OCA VITORES JOSE LUIS</t>
  </si>
  <si>
    <t>GUTIERREZ EZEQUIEL ALEJANDRO</t>
  </si>
  <si>
    <t>MORETTI MARIANO</t>
  </si>
  <si>
    <t>CLERICI LEANDRO ANDRES</t>
  </si>
  <si>
    <t>JORGE DAVID EMMANUEL</t>
  </si>
  <si>
    <t>JORGE OSCAR ALEJANDRO</t>
  </si>
  <si>
    <t>OTERO WENCESLAO ALEJANDRO</t>
  </si>
  <si>
    <t>PYROGOV PAVLO</t>
  </si>
  <si>
    <t>NETTO DAMIAN LUIS</t>
  </si>
  <si>
    <t>ROCHA JORGE GUSTAVO</t>
  </si>
  <si>
    <t>SOSA GABRIEL AGUSTIN</t>
  </si>
  <si>
    <t>QUINTEROS JORGE PABLO</t>
  </si>
  <si>
    <t>BENITEZ PABLO CESAR</t>
  </si>
  <si>
    <t>BENAVIDEZ SANTIAGO RAUL MARIO</t>
  </si>
  <si>
    <t>ORELLANO RAFAEL FERNANDO</t>
  </si>
  <si>
    <t>VALDEZ OSCAR ARIEL</t>
  </si>
  <si>
    <t>MORALES DIEGO JAVIER</t>
  </si>
  <si>
    <t>PEÑALVA ADRIAN GUSTAVO</t>
  </si>
  <si>
    <t>RIVERO GERMAN ALEJANDRO</t>
  </si>
  <si>
    <t>DEL VALLE FRANCISCO</t>
  </si>
  <si>
    <t>Depto. Comercial</t>
  </si>
  <si>
    <t>RODRIGUEZ HERNAN MATIAS</t>
  </si>
  <si>
    <t>LARRONDO GASTON ANDRES</t>
  </si>
  <si>
    <t>AGÜERO CARLOS MARTIN</t>
  </si>
  <si>
    <t>FRUTOS FERNANDO ANDRES</t>
  </si>
  <si>
    <t>HERRERA FEDERICO MIGUEL</t>
  </si>
  <si>
    <t>LUQUE JORGE ARNALDO DE LUJAN</t>
  </si>
  <si>
    <t>ALMIRON DANIEL MATIAS</t>
  </si>
  <si>
    <t>KOHAN VALERIA</t>
  </si>
  <si>
    <t>Depto. Relaciones Institucionales</t>
  </si>
  <si>
    <t>MOLEDO PABLO EZEQUIEL</t>
  </si>
  <si>
    <t>SANCHEZ GASTON ALEJANDRO</t>
  </si>
  <si>
    <t>KIRICZUK ANDRES</t>
  </si>
  <si>
    <t>Depto. Sistemas de Gestión</t>
  </si>
  <si>
    <t>LOZANO IGNACIO AGUSTIN</t>
  </si>
  <si>
    <t>DA SILVA NICOLAS ANIBAL</t>
  </si>
  <si>
    <t>GHINZANI HERNAN RODOLFO</t>
  </si>
  <si>
    <t>IZAGUIRRE LEANDRO JAVIER</t>
  </si>
  <si>
    <t>HERRERA IVAN MAXIMILIANO</t>
  </si>
  <si>
    <t>RIVEROS GUSTAVO HERNAN</t>
  </si>
  <si>
    <t>SUPERI PABLO EMANUEL</t>
  </si>
  <si>
    <t>RAIMONDO ALBERTO</t>
  </si>
  <si>
    <t>SOSA RODRIGO JONATHAN</t>
  </si>
  <si>
    <t>BRITOS OSCAR ALEXANDER</t>
  </si>
  <si>
    <t>BAEZ RAMON SALVADOR</t>
  </si>
  <si>
    <t>SANCHEZ MATIAS EZEQUIEL</t>
  </si>
  <si>
    <t>GOMEZ LUCAS NICOLAS</t>
  </si>
  <si>
    <t>GALESA JUAN CARLOS ALBERTO</t>
  </si>
  <si>
    <t>TOLABA CRISTIAN SEBASTIAN</t>
  </si>
  <si>
    <t>ROLON EZEQUIEL EMILIANO</t>
  </si>
  <si>
    <t>GARCIA ALIAGA AMALITA</t>
  </si>
  <si>
    <t>SARACHO MEJIA BRIAN JESUS</t>
  </si>
  <si>
    <t>RUIZ BRIAN GASTON</t>
  </si>
  <si>
    <t>TIRALONGO RUBEN GABRIEL</t>
  </si>
  <si>
    <t>LUCCHESI MARCELO ADRIANO</t>
  </si>
  <si>
    <t>VEGA MARCOS MARCELO</t>
  </si>
  <si>
    <t>SPINELLI PABLO SANTIAGO</t>
  </si>
  <si>
    <t>ROMERO MARIO ALBERTO</t>
  </si>
  <si>
    <t>MESSON CLAUDIO ADRIAN</t>
  </si>
  <si>
    <t>TSILIMIDOS CONSTANTINO JORGE</t>
  </si>
  <si>
    <t>BENITEZ GONZALEZ JUAN ANGEL</t>
  </si>
  <si>
    <t>MANCINI MARCELO FERNANDO</t>
  </si>
  <si>
    <t>ROMERO DANIEL WALTER</t>
  </si>
  <si>
    <t>CONDORI GERMAN JEREMIAS</t>
  </si>
  <si>
    <t>MARENGO JUAN JOSE</t>
  </si>
  <si>
    <t>LOBOS MARCELO ALEJANDRO</t>
  </si>
  <si>
    <t>DIAZ ELSA FLAVIA</t>
  </si>
  <si>
    <t>ZACARIAS DAVALOS WILBERTO</t>
  </si>
  <si>
    <t>VILLALBA RICARDO HUMBERTO</t>
  </si>
  <si>
    <t>NIETO DAMIAN NICOLAS</t>
  </si>
  <si>
    <t>NAZAR MARTIN GUSTAVO</t>
  </si>
  <si>
    <t>BRUNO JORGE GABRIEL</t>
  </si>
  <si>
    <t>VELLON VANESA ALEJANDRA</t>
  </si>
  <si>
    <t>Adm. Presidencia</t>
  </si>
  <si>
    <t>CALSINAS DELGADO PEDRO</t>
  </si>
  <si>
    <t>OCAMPOS FRANCO RONY EFREN</t>
  </si>
  <si>
    <t>GIRARD ALEXIS IVAN</t>
  </si>
  <si>
    <t>ARANDA ARTURO HERNAN</t>
  </si>
  <si>
    <t>SANCHEZ LEONARDO FABIAN</t>
  </si>
  <si>
    <t>ORTIZ DANIEL ALEJANDRO</t>
  </si>
  <si>
    <t>RIVERO ROBERTO DANIEL</t>
  </si>
  <si>
    <t>LOPEZ AGUSTIN LEONEL</t>
  </si>
  <si>
    <t>SARACHO DAVID ANDRES</t>
  </si>
  <si>
    <t>GARCIA RUGGIERO NICOLAS OMAR</t>
  </si>
  <si>
    <t>LUCENA MARCELO DIEGO</t>
  </si>
  <si>
    <t>Depto. Impuestos</t>
  </si>
  <si>
    <t>GIOSTRA GUSTAVO GABRIEL</t>
  </si>
  <si>
    <t>SEJAS ANTONELLA NOEMI</t>
  </si>
  <si>
    <t>Depto. Contabilidad</t>
  </si>
  <si>
    <t>BRANDAN FACUNDO MIGUEL</t>
  </si>
  <si>
    <t>DE LA ROSA DOMINGO ALBERTO</t>
  </si>
  <si>
    <t>GOMEZ GASTON ALEJANDRO</t>
  </si>
  <si>
    <t>SOSA SABRINA NOELIA</t>
  </si>
  <si>
    <t>GOMEZ RODRIGO ALEJANDRO</t>
  </si>
  <si>
    <t>RAMIS LUCIA JAZMIN</t>
  </si>
  <si>
    <t>CAMUS GUILLERMO RODRIGO</t>
  </si>
  <si>
    <t>AQUINO FERNANDO ANTONIO</t>
  </si>
  <si>
    <t>PALACIO CARLOS ARIEL</t>
  </si>
  <si>
    <t>BAEZ FRANCO DAMIAN LUIS</t>
  </si>
  <si>
    <t>RIVERO HECTOR TOMAS</t>
  </si>
  <si>
    <t>TAYLOR FRANCO EZEQUIEL</t>
  </si>
  <si>
    <t>CORONEL RODRIGO JOSE</t>
  </si>
  <si>
    <t>CARRIZO FERNANDO ROBERTO</t>
  </si>
  <si>
    <t>GIMENEZ FABRICIO DE JESUS</t>
  </si>
  <si>
    <t>GENIN CRISTIAN NAHUEL</t>
  </si>
  <si>
    <t>ESPINOSA PATRICIO GERMAN</t>
  </si>
  <si>
    <t>BENITEZ PABLO RAMON</t>
  </si>
  <si>
    <t>CARRIZO MAURO LEANDRO</t>
  </si>
  <si>
    <t>OVEJERO RUBEN NORBERTO</t>
  </si>
  <si>
    <t>FARIAS WALTER RODRIGO</t>
  </si>
  <si>
    <t>RIVEIRA GERMAN FRANCISCO</t>
  </si>
  <si>
    <t>VARGAS MAXIMILIANO GASTON</t>
  </si>
  <si>
    <t>SOLOAGA PATRICIO JULIAN</t>
  </si>
  <si>
    <t>BANEGA JUAN LEONEL</t>
  </si>
  <si>
    <t>TORRES AGUSTIN ALEJANDRO</t>
  </si>
  <si>
    <t>FLORES GASTON NAHUEL</t>
  </si>
  <si>
    <t>PERONA DANIEL OSCAR</t>
  </si>
  <si>
    <t>ANGLAS GARCIA JOHN WESLI</t>
  </si>
  <si>
    <t>CLAUDEPIERRE LUCIANO AUGUSTO</t>
  </si>
  <si>
    <t>MARTINEZ MATIAS EMANUEL</t>
  </si>
  <si>
    <t>SILVA COSTA PABLO JAVIER</t>
  </si>
  <si>
    <t>ORELLANA GONZALO JESUS</t>
  </si>
  <si>
    <t>ARANDA SANTIAGO BRUNO</t>
  </si>
  <si>
    <t>VERDIA ELIAS SANTIAGO</t>
  </si>
  <si>
    <t>PORTATADINO ALEJANDRA</t>
  </si>
  <si>
    <t>CORDERO RODRIGO NICOLAS</t>
  </si>
  <si>
    <t>ROMANO MATIAS MIGUEL</t>
  </si>
  <si>
    <t>BUSTAMANTE KEVIN</t>
  </si>
  <si>
    <t>VIGNOLO FACUNDO MARTIN</t>
  </si>
  <si>
    <t>NAVARRO LEANDRO SANTIAGO</t>
  </si>
  <si>
    <t>LAZARTE SONIA BEATRIZ</t>
  </si>
  <si>
    <t>RUIZ BRENDA BELEN</t>
  </si>
  <si>
    <t>GARCIA ESCALANTE SEBASTIAN DAVID</t>
  </si>
  <si>
    <t>GALIGNIANA SEBASTIAN HUGO</t>
  </si>
  <si>
    <t>SUAREZ MARIELA JUDIT</t>
  </si>
  <si>
    <t>FERREYRA CRISTIAN GONZALO</t>
  </si>
  <si>
    <t>DEL CAMPO FEDERICO MATIAS</t>
  </si>
  <si>
    <t>ACOSTA SANTIAGO</t>
  </si>
  <si>
    <t>RODRIGUEZ ARIEL GONZALO</t>
  </si>
  <si>
    <t>GALARZA ANDREA SOLEDAD</t>
  </si>
  <si>
    <t>FLORES ENZO ARIEL</t>
  </si>
  <si>
    <t>FRANCESCHELLI ALEJANDRO</t>
  </si>
  <si>
    <t>ZAVALIA SANTIAGO ENRIQUE</t>
  </si>
  <si>
    <t>Depto. Gobierno Corporativo</t>
  </si>
  <si>
    <t>GUTIERREZ MARTIN ESTEBAN</t>
  </si>
  <si>
    <t>GONZALEZ JULIO ALEJANDRO</t>
  </si>
  <si>
    <t>OBERE MARIANO ANDRES</t>
  </si>
  <si>
    <t>SALOMONE GUIDO</t>
  </si>
  <si>
    <t>ALVAREZ EDUARDO</t>
  </si>
  <si>
    <t>MESA DE ENTRADA</t>
  </si>
  <si>
    <t>IBARRA EZEQUIEL AGUSTIN</t>
  </si>
  <si>
    <t>BURSA ALEJANDRA VICTORIA</t>
  </si>
  <si>
    <t>Depto. Tesoreria</t>
  </si>
  <si>
    <t>PEPE ESTEBAN</t>
  </si>
  <si>
    <t>CERVIN TOBIAS NEHUEN</t>
  </si>
  <si>
    <t>PAZ FERNANDEZ RUBEN IVAN</t>
  </si>
  <si>
    <t>CAMAROTA LEONEL ERNESTO</t>
  </si>
  <si>
    <t>ALDAVEZ AGUSTIN MATIAS</t>
  </si>
  <si>
    <t>CAMPUSANO CEFERINO LUCAS</t>
  </si>
  <si>
    <t>BORRAJO MAXIMILIANO HERNAN</t>
  </si>
  <si>
    <t>ROMERO SEBASTIAN ALEJANDRO</t>
  </si>
  <si>
    <t>NAZAR FACUNDO NICOLAS</t>
  </si>
  <si>
    <t>MAGALLANES ALEJANDRO TOMAS</t>
  </si>
  <si>
    <t>FUENTES DIEGO ROBERTO</t>
  </si>
  <si>
    <t>CAMUS MAURO SEBASTIAN</t>
  </si>
  <si>
    <t>BAHAMONDE FEDERICO</t>
  </si>
  <si>
    <t>Depto. Coordinación de Operaciones</t>
  </si>
  <si>
    <t>LEON MARCOS URIEL</t>
  </si>
  <si>
    <t>AGUIRRE JORGE EZEQUIEL</t>
  </si>
  <si>
    <t>AGÜERO SEBASTIAN EZEQUIEL</t>
  </si>
  <si>
    <t>TASSARA GUSTAVO ADOLFO</t>
  </si>
  <si>
    <t>BALERDI MIGUEL EDUARDO</t>
  </si>
  <si>
    <t>Depto. Metalmecánica y Gestión de Materiales</t>
  </si>
  <si>
    <t>GARCIA AGUSTIN</t>
  </si>
  <si>
    <t>APARICIO MATIAS EDGARDO</t>
  </si>
  <si>
    <t>GOMEZ SAAVEDRA CANDELA</t>
  </si>
  <si>
    <t>RODRIGUEZ ALEXIS ADRIAN</t>
  </si>
  <si>
    <t>CANTISANI EDUARDO</t>
  </si>
  <si>
    <t>PALAVECINO TOMAS AGUSTIN</t>
  </si>
  <si>
    <t>DESMARAS ALTINGER CAROLINA ERICA</t>
  </si>
  <si>
    <t>ROCHA ARIAS MATIAS EZEQUIEL</t>
  </si>
  <si>
    <t>LECHMANN CINTIA CAROLINA</t>
  </si>
  <si>
    <t>ROLDAN NEHEMIAS DILAN</t>
  </si>
  <si>
    <t>ROCCA ROGOWSKI ANDREW DYLAN</t>
  </si>
  <si>
    <t>VIDUEIRO IAN EZEQUIEL</t>
  </si>
  <si>
    <t>Dirección de Operaciones</t>
  </si>
  <si>
    <t>PEREYRA JONATAN RAUL</t>
  </si>
  <si>
    <t>Dirección de Administración</t>
  </si>
  <si>
    <t>BERNASCONI MARTIN ESTEBAN</t>
  </si>
  <si>
    <t>legajo</t>
  </si>
  <si>
    <t>Vacuna</t>
  </si>
  <si>
    <t>Fecha Aplicación</t>
  </si>
  <si>
    <t>Enfermero ap</t>
  </si>
  <si>
    <t>Cepa</t>
  </si>
  <si>
    <t>Negreira jose enrique</t>
  </si>
  <si>
    <t>antigripal</t>
  </si>
  <si>
    <t>Paz Ruben</t>
  </si>
  <si>
    <t>rocha claudio</t>
  </si>
  <si>
    <t>Toccalino claudio</t>
  </si>
  <si>
    <t>Pouso eduardo</t>
  </si>
  <si>
    <t>Navarro Pascual</t>
  </si>
  <si>
    <t>Zabala Jorge</t>
  </si>
  <si>
    <t>Franco Juan</t>
  </si>
  <si>
    <t>Makarewicz Nestor</t>
  </si>
  <si>
    <t>Arce Richard</t>
  </si>
  <si>
    <t>Valencia Luis</t>
  </si>
  <si>
    <t xml:space="preserve">Lucero Julio </t>
  </si>
  <si>
    <t>Flores Castor</t>
  </si>
  <si>
    <t>Gimenez Wenseslao</t>
  </si>
  <si>
    <t>Padelin Marcelo</t>
  </si>
  <si>
    <t>Schettini Juan</t>
  </si>
  <si>
    <t>Pineda Vidal Ramon</t>
  </si>
  <si>
    <t>Tylor Claudio</t>
  </si>
  <si>
    <t>Roldan Juan Carlos</t>
  </si>
  <si>
    <t>Wooley Fernando</t>
  </si>
  <si>
    <t>Perez Edgardo</t>
  </si>
  <si>
    <t>Velazco Pablo</t>
  </si>
  <si>
    <t>Zachman Francisco</t>
  </si>
  <si>
    <t>Abeli Mario</t>
  </si>
  <si>
    <t>Baratti Esteban</t>
  </si>
  <si>
    <t>Martins Bernardo</t>
  </si>
  <si>
    <t>Barboza Luis</t>
  </si>
  <si>
    <t>Villamayor Pablo</t>
  </si>
  <si>
    <t>Baez jose luis</t>
  </si>
  <si>
    <t>Ritano Julian</t>
  </si>
  <si>
    <t>miranda juan</t>
  </si>
  <si>
    <t>fleitas daniel</t>
  </si>
  <si>
    <t>arrua lucas</t>
  </si>
  <si>
    <t>ayala lucas martin</t>
  </si>
  <si>
    <t>Cardozo anibal</t>
  </si>
  <si>
    <t>Ferreirone Pablo</t>
  </si>
  <si>
    <t>Mazulla Marcelo</t>
  </si>
  <si>
    <t>figueredo celso</t>
  </si>
  <si>
    <t>Gonzales daniel</t>
  </si>
  <si>
    <t>castellano chistian</t>
  </si>
  <si>
    <t>Pucheta Jonatan</t>
  </si>
  <si>
    <t>Garcilazo Juan Carlos</t>
  </si>
  <si>
    <t>Pagano Norberto</t>
  </si>
  <si>
    <t>Ferrufino Daniel</t>
  </si>
  <si>
    <t>Navarro matias</t>
  </si>
  <si>
    <t>Pascotto Nestor</t>
  </si>
  <si>
    <t>Candi nicolas</t>
  </si>
  <si>
    <t>capacitacion</t>
  </si>
  <si>
    <t>medico</t>
  </si>
  <si>
    <t>sectores</t>
  </si>
  <si>
    <t>convocatoria</t>
  </si>
  <si>
    <t>lugar</t>
  </si>
  <si>
    <t>asistencia</t>
  </si>
  <si>
    <t>Estado Final</t>
  </si>
  <si>
    <t>observacion</t>
  </si>
  <si>
    <t>RPC</t>
  </si>
  <si>
    <t>20/05/2026</t>
  </si>
  <si>
    <t>mercedes</t>
  </si>
  <si>
    <t>seg ind, bomberos</t>
  </si>
  <si>
    <t>storni</t>
  </si>
  <si>
    <t>Aprobado</t>
  </si>
  <si>
    <t>Ninguna</t>
  </si>
  <si>
    <t>PRIMEROS AUX</t>
  </si>
  <si>
    <t>DEA</t>
  </si>
  <si>
    <t>DIRECCION</t>
  </si>
  <si>
    <t>GERENCIA</t>
  </si>
  <si>
    <t>FEC. ING.</t>
  </si>
  <si>
    <t>FEC. NAC.</t>
  </si>
  <si>
    <t>CUIL</t>
  </si>
  <si>
    <t>CATEGORIA</t>
  </si>
  <si>
    <t>P/CRONICO</t>
  </si>
  <si>
    <t>ALERGIAS</t>
  </si>
  <si>
    <t>T/LIVIANAS</t>
  </si>
  <si>
    <t>OBSERVACIONES</t>
  </si>
  <si>
    <t>Jefatura de Higiene y Seg Ambiental e Industrial</t>
  </si>
  <si>
    <t>20-14596834-9</t>
  </si>
  <si>
    <t>Técnico de 2da</t>
  </si>
  <si>
    <t>Gerencia de Producción</t>
  </si>
  <si>
    <t>20-14407838-2</t>
  </si>
  <si>
    <t>Jefe de Taller</t>
  </si>
  <si>
    <t>20-16353925-0</t>
  </si>
  <si>
    <t>Capataz Principal</t>
  </si>
  <si>
    <t>20-22156520-8</t>
  </si>
  <si>
    <t>Gerente C</t>
  </si>
  <si>
    <t>20-17834008-6</t>
  </si>
  <si>
    <t>Capataz Principal de Bombero</t>
  </si>
  <si>
    <t>20-17738609-0</t>
  </si>
  <si>
    <t>Supervisor</t>
  </si>
  <si>
    <t>20-18049251-9</t>
  </si>
  <si>
    <t>20-14829082-3</t>
  </si>
  <si>
    <t>20-20867173-2</t>
  </si>
  <si>
    <t>20-18319094-7</t>
  </si>
  <si>
    <t>20-18178897-7</t>
  </si>
  <si>
    <t>Supervisor Bombero</t>
  </si>
  <si>
    <t>20-16402250-2</t>
  </si>
  <si>
    <t>Capataz</t>
  </si>
  <si>
    <t>20-10884425-7</t>
  </si>
  <si>
    <t>Gerente</t>
  </si>
  <si>
    <t>20-14774939-3</t>
  </si>
  <si>
    <t>Dirección General</t>
  </si>
  <si>
    <t>Gerencia Comercial</t>
  </si>
  <si>
    <t>20-17499707-2</t>
  </si>
  <si>
    <t>Jefe de División</t>
  </si>
  <si>
    <t>20-22101806-1</t>
  </si>
  <si>
    <t>20-93004716-4</t>
  </si>
  <si>
    <t>20-28210253-7</t>
  </si>
  <si>
    <t>Analista A</t>
  </si>
  <si>
    <t>23-22854317-9</t>
  </si>
  <si>
    <t>23-23600119-9</t>
  </si>
  <si>
    <t>Oficial Espec. Múltiple</t>
  </si>
  <si>
    <t>20-92592263-4</t>
  </si>
  <si>
    <t>Oficial Especializado</t>
  </si>
  <si>
    <t>20-16024575-2</t>
  </si>
  <si>
    <t>Oficial</t>
  </si>
  <si>
    <t>20-16310879-9</t>
  </si>
  <si>
    <t>20-27601635-1</t>
  </si>
  <si>
    <t>20-29601138-0</t>
  </si>
  <si>
    <t>20-23137313-7</t>
  </si>
  <si>
    <t>Gerencia de Ingeniería</t>
  </si>
  <si>
    <t>20-16403013-0</t>
  </si>
  <si>
    <t>20-16765614-6</t>
  </si>
  <si>
    <t>20-28988108-6</t>
  </si>
  <si>
    <t>20-23628575-9</t>
  </si>
  <si>
    <t>Jefe de Cocina</t>
  </si>
  <si>
    <t>20-22213656-4</t>
  </si>
  <si>
    <t>20-22588207-0</t>
  </si>
  <si>
    <t>20-23060776-2</t>
  </si>
  <si>
    <t>Técnico de 1ra</t>
  </si>
  <si>
    <t>20-14436509-8</t>
  </si>
  <si>
    <t>Supervisor de Seguridad Patrimonial</t>
  </si>
  <si>
    <t>20-20807029-1</t>
  </si>
  <si>
    <t>20-22204280-2</t>
  </si>
  <si>
    <t>20-26211029-0</t>
  </si>
  <si>
    <t>20-22470942-1</t>
  </si>
  <si>
    <t>20-14060801-8</t>
  </si>
  <si>
    <t>20-18328275-2</t>
  </si>
  <si>
    <t>Bombero de 1ra</t>
  </si>
  <si>
    <t>20-29393129-2</t>
  </si>
  <si>
    <t>Supervisor Técnico</t>
  </si>
  <si>
    <t>23-27338726-9</t>
  </si>
  <si>
    <t>20-22970251-4</t>
  </si>
  <si>
    <t>Analista B</t>
  </si>
  <si>
    <t>Jefatura de Proyectos</t>
  </si>
  <si>
    <t>20-23632382-0</t>
  </si>
  <si>
    <t>20-20640357-9</t>
  </si>
  <si>
    <t>20-14575296-6</t>
  </si>
  <si>
    <t>Gerencia de Compras y Contrataciones</t>
  </si>
  <si>
    <t>20-23090269-1</t>
  </si>
  <si>
    <t>20-30600456-6</t>
  </si>
  <si>
    <t>23-32462279-9</t>
  </si>
  <si>
    <t>Ayudante</t>
  </si>
  <si>
    <t>20-30037795-6</t>
  </si>
  <si>
    <t>20-28493863-2</t>
  </si>
  <si>
    <t>23-17754043-9</t>
  </si>
  <si>
    <t>20-21594849-9</t>
  </si>
  <si>
    <t>EPILEPCIA</t>
  </si>
  <si>
    <t>20-29886815-7</t>
  </si>
  <si>
    <t>20-29993332-7</t>
  </si>
  <si>
    <t>20-17707820-5</t>
  </si>
  <si>
    <t>20-27878997-8</t>
  </si>
  <si>
    <t>20-17379713-4</t>
  </si>
  <si>
    <t>20-21760947-0</t>
  </si>
  <si>
    <t>20-17804328-6</t>
  </si>
  <si>
    <t>20-30407903-8</t>
  </si>
  <si>
    <t>20-22848183-2</t>
  </si>
  <si>
    <t>20-31306530-9</t>
  </si>
  <si>
    <t>20-31785200-3</t>
  </si>
  <si>
    <t>20-28709005-7</t>
  </si>
  <si>
    <t>20-28493374-6</t>
  </si>
  <si>
    <t>20-26206748-4</t>
  </si>
  <si>
    <t>Jefatura de Reparaciones</t>
  </si>
  <si>
    <t>20-28377641-8</t>
  </si>
  <si>
    <t>Jefe de Buque B</t>
  </si>
  <si>
    <t>20-26206862-6</t>
  </si>
  <si>
    <t>20-17542696-6</t>
  </si>
  <si>
    <t>20-20013138-0</t>
  </si>
  <si>
    <t>Gerente Coordinación de Obras</t>
  </si>
  <si>
    <t>20-29543162-9</t>
  </si>
  <si>
    <t>Supervisor Jefe de Buque</t>
  </si>
  <si>
    <t>20-93900132-9</t>
  </si>
  <si>
    <t>20-31296581-0</t>
  </si>
  <si>
    <t>20-22309449-0</t>
  </si>
  <si>
    <t>20-30063411-8</t>
  </si>
  <si>
    <t>20-31899212-7</t>
  </si>
  <si>
    <t>20-16412216-7</t>
  </si>
  <si>
    <t>20-24202219-0</t>
  </si>
  <si>
    <t>20-30764021-0</t>
  </si>
  <si>
    <t>20-32564998-5</t>
  </si>
  <si>
    <t>20-18798296-1</t>
  </si>
  <si>
    <t>20-34021505-3</t>
  </si>
  <si>
    <t>20-32932695-1</t>
  </si>
  <si>
    <t>20-28908341-4</t>
  </si>
  <si>
    <t>20-32611047-8</t>
  </si>
  <si>
    <t>20-29521713-9</t>
  </si>
  <si>
    <t>20-30459400-5</t>
  </si>
  <si>
    <t>20-27104818-2</t>
  </si>
  <si>
    <t>20-16788558-7</t>
  </si>
  <si>
    <t>20-30134521-7</t>
  </si>
  <si>
    <t>20-28364346-9</t>
  </si>
  <si>
    <t>23-31174232-9</t>
  </si>
  <si>
    <t>20-19000448-2</t>
  </si>
  <si>
    <t>20-30311621-5</t>
  </si>
  <si>
    <t>20-28493530-7</t>
  </si>
  <si>
    <t>20-30407312-9</t>
  </si>
  <si>
    <t>Técnico Especializado</t>
  </si>
  <si>
    <t>20-92337991-7</t>
  </si>
  <si>
    <t>Bombero de 2da</t>
  </si>
  <si>
    <t>20-26352505-2</t>
  </si>
  <si>
    <t>20-30425108-6</t>
  </si>
  <si>
    <t>Capataz Principal de Cocina</t>
  </si>
  <si>
    <t>20-22126295-7</t>
  </si>
  <si>
    <t>20-33569231-5</t>
  </si>
  <si>
    <t>20-33441576-8</t>
  </si>
  <si>
    <t>20-27924329-4</t>
  </si>
  <si>
    <t>Gerencia de Asuntos Legales</t>
  </si>
  <si>
    <t>20-32994688-7</t>
  </si>
  <si>
    <t>20-30086316-8</t>
  </si>
  <si>
    <t>20-31210531-5</t>
  </si>
  <si>
    <t>20-32343613-5</t>
  </si>
  <si>
    <t>20-31534590-2</t>
  </si>
  <si>
    <t>23-36895837-9</t>
  </si>
  <si>
    <t>20-31570025-7</t>
  </si>
  <si>
    <t>20-28007008-5</t>
  </si>
  <si>
    <t>23-28695841-9</t>
  </si>
  <si>
    <t>20-31255199-4</t>
  </si>
  <si>
    <t>20-25909256-7</t>
  </si>
  <si>
    <t>20-26987709-0</t>
  </si>
  <si>
    <t>20-32133578-1</t>
  </si>
  <si>
    <t>23-29130844-9</t>
  </si>
  <si>
    <t>20-31417521-3</t>
  </si>
  <si>
    <t>20-33961140-9</t>
  </si>
  <si>
    <t>20-33575088-9</t>
  </si>
  <si>
    <t>20-33020241-7</t>
  </si>
  <si>
    <t>20-33112615-3</t>
  </si>
  <si>
    <t>20-32150507-5</t>
  </si>
  <si>
    <t>20-27068013-6</t>
  </si>
  <si>
    <t>Supervisor de Cocina</t>
  </si>
  <si>
    <t>20-27692019-8</t>
  </si>
  <si>
    <t>20-92366314-3</t>
  </si>
  <si>
    <t>20-30951595-2</t>
  </si>
  <si>
    <t>20-32536005-5</t>
  </si>
  <si>
    <t>20-34649205-9</t>
  </si>
  <si>
    <t>20-33019546-1</t>
  </si>
  <si>
    <t>20-28711131-3</t>
  </si>
  <si>
    <t>20-28908845-9</t>
  </si>
  <si>
    <t>20-31835245-4</t>
  </si>
  <si>
    <t>20-30261722-9</t>
  </si>
  <si>
    <t>20-27325902-4</t>
  </si>
  <si>
    <t>20-30236690-0</t>
  </si>
  <si>
    <t>20-33984368-7</t>
  </si>
  <si>
    <t>20-33405439-0</t>
  </si>
  <si>
    <t>20-33037844-2</t>
  </si>
  <si>
    <t>20-94006731-7</t>
  </si>
  <si>
    <t>23-16680530-9</t>
  </si>
  <si>
    <t>Jefe</t>
  </si>
  <si>
    <t>27-27479148-4</t>
  </si>
  <si>
    <t>23-34672636-9</t>
  </si>
  <si>
    <t>23-30744355-4</t>
  </si>
  <si>
    <t>Coordinador/a</t>
  </si>
  <si>
    <t>20-29344182-1</t>
  </si>
  <si>
    <t>20-16197710-2</t>
  </si>
  <si>
    <t>20-32944688-4</t>
  </si>
  <si>
    <t>Especialista A</t>
  </si>
  <si>
    <t>20-30491325-9</t>
  </si>
  <si>
    <t>20-17732915-1</t>
  </si>
  <si>
    <t>20-27646664-0</t>
  </si>
  <si>
    <t>20-21134181-6</t>
  </si>
  <si>
    <t>20-33719661-7</t>
  </si>
  <si>
    <t>20-32864939-0</t>
  </si>
  <si>
    <t>20-94149934-2</t>
  </si>
  <si>
    <t>20-30435693-7</t>
  </si>
  <si>
    <t>20-29462486-5</t>
  </si>
  <si>
    <t>20-94808353-2</t>
  </si>
  <si>
    <t>20-18449520-2</t>
  </si>
  <si>
    <t>20-16522757-4</t>
  </si>
  <si>
    <t>Jefe B</t>
  </si>
  <si>
    <t>23-32969408-9</t>
  </si>
  <si>
    <t>23-34545224-9</t>
  </si>
  <si>
    <t>20-33857970-6</t>
  </si>
  <si>
    <t>20-28916434-1</t>
  </si>
  <si>
    <t>20-29647413-5</t>
  </si>
  <si>
    <t>20-30911887-2</t>
  </si>
  <si>
    <t>20-34175047-5</t>
  </si>
  <si>
    <t>20-33638943-8</t>
  </si>
  <si>
    <t>20-16755009-7</t>
  </si>
  <si>
    <t>20-24220469-8</t>
  </si>
  <si>
    <t>20-31952548-4</t>
  </si>
  <si>
    <t>20-32823183-3</t>
  </si>
  <si>
    <t>20-30927111-5</t>
  </si>
  <si>
    <t>20-32725599-2</t>
  </si>
  <si>
    <t>23-24846750-9</t>
  </si>
  <si>
    <t>20-21950029-8</t>
  </si>
  <si>
    <t>20-31190164-9</t>
  </si>
  <si>
    <t>20-32441693-6</t>
  </si>
  <si>
    <t>20-33240991-4</t>
  </si>
  <si>
    <t>20-27649102-5</t>
  </si>
  <si>
    <t>23-35891644-9</t>
  </si>
  <si>
    <t>20-35147520-0</t>
  </si>
  <si>
    <t>20-34339061-1</t>
  </si>
  <si>
    <t>20-27703723-9</t>
  </si>
  <si>
    <t>20-33246273-4</t>
  </si>
  <si>
    <t>Jefe de Bombero</t>
  </si>
  <si>
    <t>20-30492142-1</t>
  </si>
  <si>
    <t>23-17014069-9</t>
  </si>
  <si>
    <t>20-26307563-4</t>
  </si>
  <si>
    <t>20-30085710-9</t>
  </si>
  <si>
    <t>20-30664146-9</t>
  </si>
  <si>
    <t>23-13862328-9</t>
  </si>
  <si>
    <t>20-27925403-2</t>
  </si>
  <si>
    <t>20-40126668-3</t>
  </si>
  <si>
    <t>27-36160652-9</t>
  </si>
  <si>
    <t>20-23532644-3</t>
  </si>
  <si>
    <t>Seguridad Patrimonial A</t>
  </si>
  <si>
    <t>Gerencia de Administración y Finanzas</t>
  </si>
  <si>
    <t>27-24923459-7</t>
  </si>
  <si>
    <t>20-14192324-3</t>
  </si>
  <si>
    <t>Seguridad Patrimonial B</t>
  </si>
  <si>
    <t>20-14872218-9</t>
  </si>
  <si>
    <t>20-28916068-0</t>
  </si>
  <si>
    <t>Jefe Técnico</t>
  </si>
  <si>
    <t>20-34574921-8</t>
  </si>
  <si>
    <t>20-23765039-6</t>
  </si>
  <si>
    <t>20-32831729-0</t>
  </si>
  <si>
    <t>20-20094288-5</t>
  </si>
  <si>
    <t>20-35905589-8</t>
  </si>
  <si>
    <t>20-92599514-3</t>
  </si>
  <si>
    <t>23-34653391-9</t>
  </si>
  <si>
    <t>27-23608912-1</t>
  </si>
  <si>
    <t>20-20635056-4</t>
  </si>
  <si>
    <t>20-23829070-9</t>
  </si>
  <si>
    <t>20-21507529-0</t>
  </si>
  <si>
    <t>20-25400782-0</t>
  </si>
  <si>
    <t>20-28864472-2</t>
  </si>
  <si>
    <t>20-16009647-1</t>
  </si>
  <si>
    <t>20-29004128-8</t>
  </si>
  <si>
    <t>20-14553175-7</t>
  </si>
  <si>
    <t>24-32621978-5</t>
  </si>
  <si>
    <t>23-21733546-9</t>
  </si>
  <si>
    <t>20-21838091-4</t>
  </si>
  <si>
    <t>20-25664807-6</t>
  </si>
  <si>
    <t>20-25332240-4</t>
  </si>
  <si>
    <t>20-23784424-7</t>
  </si>
  <si>
    <t>20-25552841-7</t>
  </si>
  <si>
    <t>20-35400500-0</t>
  </si>
  <si>
    <t>20-27729720-6</t>
  </si>
  <si>
    <t>20-36897410-3</t>
  </si>
  <si>
    <t>Especialista B</t>
  </si>
  <si>
    <t>20-29799439-6</t>
  </si>
  <si>
    <t>20-30398841-7</t>
  </si>
  <si>
    <t>20-22490812-2</t>
  </si>
  <si>
    <t>20-35095447-4</t>
  </si>
  <si>
    <t>20-21518146-5</t>
  </si>
  <si>
    <t>20-16569610-8</t>
  </si>
  <si>
    <t>20-25867822-3</t>
  </si>
  <si>
    <t>Medio Oficial</t>
  </si>
  <si>
    <t>20-26044853-7</t>
  </si>
  <si>
    <t>20-27926370-8</t>
  </si>
  <si>
    <t>20-17227978-4</t>
  </si>
  <si>
    <t>20-16691612-8</t>
  </si>
  <si>
    <t>20-13166511-4</t>
  </si>
  <si>
    <t>20-22494504-4</t>
  </si>
  <si>
    <t>20-27845327-9</t>
  </si>
  <si>
    <t>23-23817671-9</t>
  </si>
  <si>
    <t>20-29828296-9</t>
  </si>
  <si>
    <t>20-34339495-1</t>
  </si>
  <si>
    <t>20-34072123-4</t>
  </si>
  <si>
    <t>20-36739092-2</t>
  </si>
  <si>
    <t>20-26072572-7</t>
  </si>
  <si>
    <t>20-34468126-1</t>
  </si>
  <si>
    <t>20-23868316-6</t>
  </si>
  <si>
    <t>27-35761643-9</t>
  </si>
  <si>
    <t>20-34847716-2</t>
  </si>
  <si>
    <t>23-22082739-9</t>
  </si>
  <si>
    <t>20-14586598-1</t>
  </si>
  <si>
    <t>20-25148614-0</t>
  </si>
  <si>
    <t>20-29945912-9</t>
  </si>
  <si>
    <t>20-26592775-1</t>
  </si>
  <si>
    <t>23-36177138-9</t>
  </si>
  <si>
    <t>20-31101312-3</t>
  </si>
  <si>
    <t>20-28098798-1</t>
  </si>
  <si>
    <t>20-32180764-0</t>
  </si>
  <si>
    <t>20-30505153-6</t>
  </si>
  <si>
    <t>20-35111460-7</t>
  </si>
  <si>
    <t>20-28643718-5</t>
  </si>
  <si>
    <t>20-28692554-6</t>
  </si>
  <si>
    <t>20-93748953-7</t>
  </si>
  <si>
    <t>20-28057725-2</t>
  </si>
  <si>
    <t>23-28594105-9</t>
  </si>
  <si>
    <t>20-33258962-9</t>
  </si>
  <si>
    <t>20-33915856-9</t>
  </si>
  <si>
    <t>20-30047881-7</t>
  </si>
  <si>
    <t>20-26493370-7</t>
  </si>
  <si>
    <t>20-20494941-8</t>
  </si>
  <si>
    <t>20-32323810-4</t>
  </si>
  <si>
    <t>20-29601432-0</t>
  </si>
  <si>
    <t>20-24240013-6</t>
  </si>
  <si>
    <t>23-33031794-9</t>
  </si>
  <si>
    <t>20-30366255-4</t>
  </si>
  <si>
    <t>23-29152651-9</t>
  </si>
  <si>
    <t>23-35365885-9</t>
  </si>
  <si>
    <t>20-29674364-0</t>
  </si>
  <si>
    <t>20-24088062-9</t>
  </si>
  <si>
    <t>20-37484938-8</t>
  </si>
  <si>
    <t>20-16496204-1</t>
  </si>
  <si>
    <t>20-34873773-3</t>
  </si>
  <si>
    <t>23-26095531-4</t>
  </si>
  <si>
    <t>20-31738756-4</t>
  </si>
  <si>
    <t>20-28229580-7</t>
  </si>
  <si>
    <t>20-32475344-4</t>
  </si>
  <si>
    <t>20-35110706-6</t>
  </si>
  <si>
    <t>20-37124138-9</t>
  </si>
  <si>
    <t>20-26100015-7</t>
  </si>
  <si>
    <t>20-30763731-7</t>
  </si>
  <si>
    <t>20-35226753-9</t>
  </si>
  <si>
    <t>20-40186487-4</t>
  </si>
  <si>
    <t>20-33085527-5</t>
  </si>
  <si>
    <t>20-38229821-8</t>
  </si>
  <si>
    <t>20-40833982-1</t>
  </si>
  <si>
    <t>20-35317913-7</t>
  </si>
  <si>
    <t>20-20566247-3</t>
  </si>
  <si>
    <t>20-33710255-8</t>
  </si>
  <si>
    <t>20-38636677-3</t>
  </si>
  <si>
    <t>20-16437085-3</t>
  </si>
  <si>
    <t>20-27779154-5</t>
  </si>
  <si>
    <t>20-32798999-6</t>
  </si>
  <si>
    <t>27-94403283-0</t>
  </si>
  <si>
    <t>Supervisor Médico</t>
  </si>
  <si>
    <t>20-38667181-9</t>
  </si>
  <si>
    <t>20-34814731-6</t>
  </si>
  <si>
    <t>20-11991520-2</t>
  </si>
  <si>
    <t>20-26115603-3</t>
  </si>
  <si>
    <t>20-22515150-5</t>
  </si>
  <si>
    <t>20-31265309-6</t>
  </si>
  <si>
    <t>20-27339932-2</t>
  </si>
  <si>
    <t>20-20845494-4</t>
  </si>
  <si>
    <t>20-20214629-6</t>
  </si>
  <si>
    <t>20-94621017-0</t>
  </si>
  <si>
    <t>20-17737969-8</t>
  </si>
  <si>
    <t>20-29489719-5</t>
  </si>
  <si>
    <t>20-33783197-5</t>
  </si>
  <si>
    <t>20-29839108-3</t>
  </si>
  <si>
    <t>Supervisor/a F/C</t>
  </si>
  <si>
    <t>23-33536587-9</t>
  </si>
  <si>
    <t>Medio Oficial de Cocina</t>
  </si>
  <si>
    <t>27-24665600-8</t>
  </si>
  <si>
    <t>20-94241454-5</t>
  </si>
  <si>
    <t>20-32601371-5</t>
  </si>
  <si>
    <t>20-34649362-4</t>
  </si>
  <si>
    <t>23-30544886-9</t>
  </si>
  <si>
    <t>20-22666958-3</t>
  </si>
  <si>
    <t>Directorio</t>
  </si>
  <si>
    <t>27-25676533-6</t>
  </si>
  <si>
    <t>20-94030736-9</t>
  </si>
  <si>
    <t>20-94494267-0</t>
  </si>
  <si>
    <t>20-37341052-8</t>
  </si>
  <si>
    <t>20-35371620-5</t>
  </si>
  <si>
    <t>20-38889908-6</t>
  </si>
  <si>
    <t>20-38153817-7</t>
  </si>
  <si>
    <t>20-39714757-7</t>
  </si>
  <si>
    <t>23-33118370-9</t>
  </si>
  <si>
    <t>20-41135559-5</t>
  </si>
  <si>
    <t>20-35336345-0</t>
  </si>
  <si>
    <t>20-27643033-6</t>
  </si>
  <si>
    <t>20-18311653-4</t>
  </si>
  <si>
    <t>20-35111770-3</t>
  </si>
  <si>
    <t>27-42872028-3</t>
  </si>
  <si>
    <t>Asistente/a</t>
  </si>
  <si>
    <t>20-35329482-3</t>
  </si>
  <si>
    <t>Bombero de 3ra</t>
  </si>
  <si>
    <t>20-18826693-3</t>
  </si>
  <si>
    <t>20-30142407-9</t>
  </si>
  <si>
    <t>27-30951534-5</t>
  </si>
  <si>
    <t>20-43459969-6</t>
  </si>
  <si>
    <t>20-39657427-7</t>
  </si>
  <si>
    <t>20-36717749-8</t>
  </si>
  <si>
    <t>20-22167675-1</t>
  </si>
  <si>
    <t>20-30642340-2</t>
  </si>
  <si>
    <t>23-41856632-9</t>
  </si>
  <si>
    <t>20-53303700-4</t>
  </si>
  <si>
    <t>20-44423812-8</t>
  </si>
  <si>
    <t>Técnico de 3ra</t>
  </si>
  <si>
    <t>20-41318243-4</t>
  </si>
  <si>
    <t>20-26206956-8</t>
  </si>
  <si>
    <t>27-43825400-0</t>
  </si>
  <si>
    <t>20-42256158-8</t>
  </si>
  <si>
    <t>20-42955534-6</t>
  </si>
  <si>
    <t>20-31534300-4</t>
  </si>
  <si>
    <t>23-33485737-9</t>
  </si>
  <si>
    <t>20-31283716-2</t>
  </si>
  <si>
    <t>20-36949058-4</t>
  </si>
  <si>
    <t>20-32532546-2</t>
  </si>
  <si>
    <t>20-37865573-1</t>
  </si>
  <si>
    <t>23-39714909-9</t>
  </si>
  <si>
    <t>20-44338891-6</t>
  </si>
  <si>
    <t>20-40742140-0</t>
  </si>
  <si>
    <t>20-35802374-7</t>
  </si>
  <si>
    <t>20-31080715-0</t>
  </si>
  <si>
    <t>20-94538662-3</t>
  </si>
  <si>
    <t>20-42684959-4</t>
  </si>
  <si>
    <t>20-42902931-8</t>
  </si>
  <si>
    <t>27-35394434-2</t>
  </si>
  <si>
    <t>23-42944689-9</t>
  </si>
  <si>
    <t>20-43043910-4</t>
  </si>
  <si>
    <t>20-41069932-0</t>
  </si>
  <si>
    <t>20-12549645-9</t>
  </si>
  <si>
    <t>20-36319578-5</t>
  </si>
  <si>
    <t>20-40945818-2</t>
  </si>
  <si>
    <t>Auxiliar</t>
  </si>
  <si>
    <t>27-40547819-1</t>
  </si>
  <si>
    <t>27-36933242-8</t>
  </si>
  <si>
    <t>20-39112727-2</t>
  </si>
  <si>
    <t>27-34178862-0</t>
  </si>
  <si>
    <t>27-44264002-0</t>
  </si>
  <si>
    <t>Ayudante de Cocina</t>
  </si>
  <si>
    <t>23-44398828-9</t>
  </si>
  <si>
    <t>23-41990461-9</t>
  </si>
  <si>
    <t>27-27738968-7</t>
  </si>
  <si>
    <t>20-38699594-0</t>
  </si>
  <si>
    <t>20-30820496-1</t>
  </si>
  <si>
    <t>20-44829677-7</t>
  </si>
  <si>
    <t>Ayudante - Part time</t>
  </si>
  <si>
    <t>20-27757449-8</t>
  </si>
  <si>
    <t>27-34225190-6</t>
  </si>
  <si>
    <t>20-43975917-9</t>
  </si>
  <si>
    <t>20-31958485-5</t>
  </si>
  <si>
    <t>20-28032363-3</t>
  </si>
  <si>
    <t>20-24854219-6</t>
  </si>
  <si>
    <t>Director General</t>
  </si>
  <si>
    <t>20-21865793-2</t>
  </si>
  <si>
    <t>Director de Administración</t>
  </si>
  <si>
    <t>20-27711754-2</t>
  </si>
  <si>
    <t>20-33220080-2</t>
  </si>
  <si>
    <t>20-43778092-8</t>
  </si>
  <si>
    <t>27-26257624-3</t>
  </si>
  <si>
    <t>Tesorero/a</t>
  </si>
  <si>
    <t>20-32267418-0</t>
  </si>
  <si>
    <t>Director Comercial</t>
  </si>
  <si>
    <t>20-43585735-4</t>
  </si>
  <si>
    <t>20-93668403-4</t>
  </si>
  <si>
    <t>Auxiliar Médico</t>
  </si>
  <si>
    <t>20-36484844-8</t>
  </si>
  <si>
    <t>20-39714755-0</t>
  </si>
  <si>
    <t>20-24417393-5</t>
  </si>
  <si>
    <t>Director de Operaciones</t>
  </si>
  <si>
    <t>20-44209211-8</t>
  </si>
  <si>
    <t>Programador</t>
  </si>
  <si>
    <t>20-46912043-1</t>
  </si>
  <si>
    <t>20-45522406-4</t>
  </si>
  <si>
    <t>20-42687829-2</t>
  </si>
  <si>
    <t>Unidad de Auditoria Interna</t>
  </si>
  <si>
    <t>20-26952091-5</t>
  </si>
  <si>
    <t>Auditor Interno</t>
  </si>
  <si>
    <t>20-41726985-2</t>
  </si>
  <si>
    <t>20-31727782-3</t>
  </si>
  <si>
    <t>20-46272240-1</t>
  </si>
  <si>
    <t>23-44619344-9</t>
  </si>
  <si>
    <t>20-45911575-8</t>
  </si>
  <si>
    <t>Jefatura de Planificación y Mantenimiento Industrial</t>
  </si>
  <si>
    <t>20--16415432-8</t>
  </si>
  <si>
    <t>20-21953869-4</t>
  </si>
  <si>
    <t>Administrativo F/C</t>
  </si>
  <si>
    <t>23-37784977-9</t>
  </si>
  <si>
    <t>Proyectista Senior</t>
  </si>
  <si>
    <t>20-39488898-3</t>
  </si>
  <si>
    <t>27-35995316-5</t>
  </si>
  <si>
    <t>23-47098024-9</t>
  </si>
  <si>
    <t>20-25181655-8</t>
  </si>
  <si>
    <t>Supervisor F/C</t>
  </si>
  <si>
    <t>20-40713456-8</t>
  </si>
  <si>
    <t>2732945063-0</t>
  </si>
  <si>
    <t>Jefe de Buque C</t>
  </si>
  <si>
    <t>20-47388766-6</t>
  </si>
  <si>
    <t>27-31648849-3</t>
  </si>
  <si>
    <t>20-48221472-0</t>
  </si>
  <si>
    <t>20-95679384-0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</si>
</sst>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sz val="11"/>
      <color rgb="FF000000"/>
      <name val="Calibri"/>
    </font>
    <font>
      <sz val="11"/>
      <color rgb="FF000000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  <font>
      <b/>
      <sz val="10"/>
      <color theme="1"/>
      <name val="Aptos Narrow"/>
      <charset val="1"/>
    </font>
    <font>
      <sz val="11"/>
      <color theme="1"/>
      <name val="Aptos Narrow"/>
      <charset val="1"/>
    </font>
    <font>
      <sz val="10"/>
      <color theme="1"/>
      <name val="Aptos Narrow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0"/>
      <color theme="0"/>
      <name val="Aptos Narrow"/>
      <charset val="1"/>
    </font>
    <font>
      <b/>
      <sz val="10"/>
      <color theme="0"/>
      <name val="Calibri"/>
    </font>
    <font>
      <b/>
      <sz val="10"/>
      <color rgb="FFFFFFFF"/>
      <name val="Aptos Narrow"/>
    </font>
    <font>
      <b/>
      <sz val="10"/>
      <color rgb="FFFFFFFF"/>
      <name val="Calibri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F4C81"/>
        <bgColor rgb="FF0F4C81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0B5394"/>
        <bgColor rgb="FF0B5394"/>
      </patternFill>
    </fill>
    <fill>
      <patternFill patternType="solid">
        <fgColor rgb="FF1F4E79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4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3" fillId="3" borderId="2" xfId="0" applyFont="1" applyFill="1" applyBorder="1" applyAlignment="1">
      <alignment horizontal="left" vertical="center" wrapText="1"/>
    </xf>
    <xf numFmtId="0" fontId="5" fillId="0" borderId="0" xfId="0" applyFont="1"/>
    <xf numFmtId="9" fontId="0" fillId="0" borderId="2" xfId="0" applyNumberFormat="1" applyBorder="1" applyAlignment="1">
      <alignment horizontal="center" vertical="top" wrapText="1"/>
    </xf>
    <xf numFmtId="1" fontId="0" fillId="0" borderId="2" xfId="0" applyNumberForma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10" fontId="0" fillId="0" borderId="2" xfId="0" applyNumberFormat="1" applyBorder="1" applyAlignment="1">
      <alignment horizontal="center"/>
    </xf>
    <xf numFmtId="0" fontId="0" fillId="0" borderId="0" xfId="0" applyAlignment="1">
      <alignment wrapText="1"/>
    </xf>
    <xf numFmtId="0" fontId="2" fillId="6" borderId="0" xfId="0" applyFont="1" applyFill="1"/>
    <xf numFmtId="0" fontId="7" fillId="0" borderId="0" xfId="0" applyFont="1"/>
    <xf numFmtId="0" fontId="2" fillId="7" borderId="3" xfId="0" applyFont="1" applyFill="1" applyBorder="1"/>
    <xf numFmtId="0" fontId="8" fillId="0" borderId="0" xfId="0" applyFont="1"/>
    <xf numFmtId="0" fontId="9" fillId="8" borderId="4" xfId="0" applyFont="1" applyFill="1" applyBorder="1" applyAlignment="1">
      <alignment wrapText="1" readingOrder="1"/>
    </xf>
    <xf numFmtId="0" fontId="9" fillId="8" borderId="5" xfId="0" applyFont="1" applyFill="1" applyBorder="1" applyAlignment="1">
      <alignment wrapText="1" readingOrder="1"/>
    </xf>
    <xf numFmtId="0" fontId="10" fillId="0" borderId="6" xfId="0" applyFont="1" applyBorder="1" applyAlignment="1">
      <alignment wrapText="1" readingOrder="1"/>
    </xf>
    <xf numFmtId="0" fontId="11" fillId="0" borderId="7" xfId="0" applyFont="1" applyBorder="1" applyAlignment="1">
      <alignment readingOrder="1"/>
    </xf>
    <xf numFmtId="0" fontId="10" fillId="0" borderId="7" xfId="0" applyFont="1" applyBorder="1" applyAlignment="1">
      <alignment wrapText="1" readingOrder="1"/>
    </xf>
    <xf numFmtId="14" fontId="11" fillId="0" borderId="7" xfId="0" applyNumberFormat="1" applyFont="1" applyBorder="1" applyAlignment="1">
      <alignment readingOrder="1"/>
    </xf>
    <xf numFmtId="14" fontId="0" fillId="0" borderId="2" xfId="0" applyNumberFormat="1" applyBorder="1" applyAlignment="1">
      <alignment horizontal="center" vertical="top" wrapText="1"/>
    </xf>
    <xf numFmtId="0" fontId="0" fillId="9" borderId="8" xfId="0" applyFill="1" applyBorder="1"/>
    <xf numFmtId="17" fontId="0" fillId="0" borderId="0" xfId="0" applyNumberFormat="1"/>
    <xf numFmtId="0" fontId="13" fillId="0" borderId="9" xfId="0" applyFont="1" applyBorder="1" applyAlignment="1">
      <alignment readingOrder="1"/>
    </xf>
    <xf numFmtId="0" fontId="13" fillId="0" borderId="10" xfId="0" applyFont="1" applyBorder="1" applyAlignment="1">
      <alignment readingOrder="1"/>
    </xf>
    <xf numFmtId="0" fontId="14" fillId="0" borderId="7" xfId="0" applyFont="1" applyBorder="1" applyAlignment="1">
      <alignment readingOrder="1"/>
    </xf>
    <xf numFmtId="0" fontId="13" fillId="0" borderId="3" xfId="0" applyFont="1" applyBorder="1" applyAlignment="1">
      <alignment readingOrder="1"/>
    </xf>
    <xf numFmtId="0" fontId="13" fillId="0" borderId="11" xfId="0" applyFont="1" applyBorder="1" applyAlignment="1">
      <alignment readingOrder="1"/>
    </xf>
    <xf numFmtId="0" fontId="13" fillId="0" borderId="7" xfId="0" applyFont="1" applyBorder="1" applyAlignment="1">
      <alignment readingOrder="1"/>
    </xf>
    <xf numFmtId="0" fontId="14" fillId="10" borderId="7" xfId="0" applyFont="1" applyFill="1" applyBorder="1" applyAlignment="1">
      <alignment readingOrder="1"/>
    </xf>
    <xf numFmtId="0" fontId="14" fillId="0" borderId="7" xfId="0" applyFont="1" applyBorder="1" applyAlignment="1">
      <alignment wrapText="1" readingOrder="1"/>
    </xf>
    <xf numFmtId="0" fontId="10" fillId="10" borderId="7" xfId="0" applyFont="1" applyFill="1" applyBorder="1" applyAlignment="1">
      <alignment readingOrder="1"/>
    </xf>
    <xf numFmtId="0" fontId="13" fillId="10" borderId="7" xfId="0" applyFont="1" applyFill="1" applyBorder="1" applyAlignment="1">
      <alignment readingOrder="1"/>
    </xf>
    <xf numFmtId="0" fontId="13" fillId="0" borderId="12" xfId="0" applyFont="1" applyBorder="1" applyAlignment="1">
      <alignment readingOrder="1"/>
    </xf>
    <xf numFmtId="0" fontId="13" fillId="0" borderId="13" xfId="0" applyFont="1" applyBorder="1" applyAlignment="1">
      <alignment readingOrder="1"/>
    </xf>
    <xf numFmtId="0" fontId="13" fillId="0" borderId="14" xfId="0" applyFont="1" applyBorder="1" applyAlignment="1">
      <alignment readingOrder="1"/>
    </xf>
    <xf numFmtId="0" fontId="14" fillId="0" borderId="6" xfId="0" applyFont="1" applyBorder="1" applyAlignment="1">
      <alignment readingOrder="1"/>
    </xf>
    <xf numFmtId="0" fontId="14" fillId="10" borderId="6" xfId="0" applyFont="1" applyFill="1" applyBorder="1" applyAlignment="1">
      <alignment readingOrder="1"/>
    </xf>
    <xf numFmtId="0" fontId="14" fillId="0" borderId="6" xfId="0" applyFont="1" applyBorder="1" applyAlignment="1">
      <alignment wrapText="1" readingOrder="1"/>
    </xf>
    <xf numFmtId="0" fontId="10" fillId="10" borderId="6" xfId="0" applyFont="1" applyFill="1" applyBorder="1" applyAlignment="1">
      <alignment readingOrder="1"/>
    </xf>
    <xf numFmtId="14" fontId="14" fillId="0" borderId="7" xfId="0" applyNumberFormat="1" applyFont="1" applyBorder="1" applyAlignment="1">
      <alignment readingOrder="1"/>
    </xf>
    <xf numFmtId="14" fontId="14" fillId="10" borderId="7" xfId="0" applyNumberFormat="1" applyFont="1" applyFill="1" applyBorder="1" applyAlignment="1">
      <alignment readingOrder="1"/>
    </xf>
    <xf numFmtId="0" fontId="12" fillId="11" borderId="5" xfId="0" applyFont="1" applyFill="1" applyBorder="1" applyAlignment="1">
      <alignment readingOrder="1"/>
    </xf>
    <xf numFmtId="0" fontId="12" fillId="11" borderId="4" xfId="0" applyFont="1" applyFill="1" applyBorder="1" applyAlignment="1">
      <alignment readingOrder="1"/>
    </xf>
    <xf numFmtId="0" fontId="0" fillId="0" borderId="2" xfId="0" applyBorder="1" applyAlignment="1">
      <alignment horizontal="center" vertical="center" wrapText="1"/>
    </xf>
    <xf numFmtId="0" fontId="16" fillId="9" borderId="8" xfId="0" applyFont="1" applyFill="1" applyBorder="1"/>
    <xf numFmtId="20" fontId="0" fillId="0" borderId="0" xfId="0" applyNumberFormat="1"/>
    <xf numFmtId="0" fontId="13" fillId="0" borderId="4" xfId="0" applyFont="1" applyBorder="1" applyAlignment="1">
      <alignment readingOrder="1"/>
    </xf>
    <xf numFmtId="0" fontId="14" fillId="0" borderId="15" xfId="0" applyFont="1" applyBorder="1" applyAlignment="1">
      <alignment readingOrder="1"/>
    </xf>
    <xf numFmtId="0" fontId="13" fillId="0" borderId="16" xfId="0" applyFont="1" applyBorder="1" applyAlignment="1">
      <alignment readingOrder="1"/>
    </xf>
    <xf numFmtId="0" fontId="12" fillId="11" borderId="17" xfId="0" applyFont="1" applyFill="1" applyBorder="1" applyAlignment="1">
      <alignment readingOrder="1"/>
    </xf>
    <xf numFmtId="0" fontId="13" fillId="0" borderId="18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3" fillId="10" borderId="15" xfId="0" applyFont="1" applyFill="1" applyBorder="1" applyAlignment="1">
      <alignment readingOrder="1"/>
    </xf>
    <xf numFmtId="0" fontId="1" fillId="11" borderId="0" xfId="0" applyFont="1" applyFill="1"/>
    <xf numFmtId="0" fontId="0" fillId="11" borderId="0" xfId="0" applyFill="1"/>
    <xf numFmtId="0" fontId="18" fillId="12" borderId="4" xfId="0" applyFont="1" applyFill="1" applyBorder="1" applyAlignment="1">
      <alignment readingOrder="1"/>
    </xf>
    <xf numFmtId="0" fontId="19" fillId="12" borderId="5" xfId="0" applyFont="1" applyFill="1" applyBorder="1" applyAlignment="1">
      <alignment readingOrder="1"/>
    </xf>
    <xf numFmtId="0" fontId="17" fillId="12" borderId="5" xfId="0" applyFont="1" applyFill="1" applyBorder="1" applyAlignment="1">
      <alignment readingOrder="1"/>
    </xf>
    <xf numFmtId="0" fontId="20" fillId="12" borderId="5" xfId="0" applyFont="1" applyFill="1" applyBorder="1" applyAlignment="1">
      <alignment readingOrder="1"/>
    </xf>
    <xf numFmtId="14" fontId="0" fillId="9" borderId="8" xfId="0" applyNumberFormat="1" applyFill="1" applyBorder="1"/>
    <xf numFmtId="0" fontId="13" fillId="0" borderId="19" xfId="0" applyFont="1" applyBorder="1" applyAlignment="1">
      <alignment readingOrder="1"/>
    </xf>
    <xf numFmtId="0" fontId="13" fillId="0" borderId="20" xfId="0" applyFont="1" applyBorder="1" applyAlignment="1">
      <alignment readingOrder="1"/>
    </xf>
    <xf numFmtId="0" fontId="13" fillId="0" borderId="21" xfId="0" applyFont="1" applyBorder="1" applyAlignment="1">
      <alignment readingOrder="1"/>
    </xf>
    <xf numFmtId="0" fontId="13" fillId="10" borderId="4" xfId="0" applyFont="1" applyFill="1" applyBorder="1" applyAlignment="1">
      <alignment readingOrder="1"/>
    </xf>
    <xf numFmtId="0" fontId="10" fillId="10" borderId="15" xfId="0" applyFont="1" applyFill="1" applyBorder="1" applyAlignment="1">
      <alignment readingOrder="1"/>
    </xf>
    <xf numFmtId="0" fontId="13" fillId="0" borderId="22" xfId="0" applyFont="1" applyBorder="1" applyAlignment="1">
      <alignment readingOrder="1"/>
    </xf>
    <xf numFmtId="0" fontId="14" fillId="0" borderId="23" xfId="0" applyFont="1" applyBorder="1" applyAlignment="1">
      <alignment readingOrder="1"/>
    </xf>
    <xf numFmtId="14" fontId="14" fillId="0" borderId="23" xfId="0" applyNumberFormat="1" applyFont="1" applyBorder="1" applyAlignment="1">
      <alignment readingOrder="1"/>
    </xf>
    <xf numFmtId="0" fontId="14" fillId="0" borderId="24" xfId="0" applyFont="1" applyBorder="1" applyAlignment="1">
      <alignment readingOrder="1"/>
    </xf>
    <xf numFmtId="0" fontId="21" fillId="0" borderId="0" xfId="1"/>
    <xf numFmtId="0" fontId="0" fillId="13" borderId="0" xfId="0" applyFill="1"/>
    <xf numFmtId="0" fontId="3" fillId="3" borderId="0" xfId="0" applyFont="1" applyFill="1" applyAlignment="1">
      <alignment horizontal="left" vertical="top" wrapText="1"/>
    </xf>
    <xf numFmtId="0" fontId="0" fillId="0" borderId="0" xfId="0"/>
    <xf numFmtId="0" fontId="0" fillId="4" borderId="0" xfId="0" applyFill="1" applyAlignment="1">
      <alignment horizontal="left" vertical="top" wrapText="1"/>
    </xf>
    <xf numFmtId="14" fontId="4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Estado General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'Indicadores Dea'!$A$2:$A$4</c:f>
              <c:strCache>
                <c:ptCount val="3"/>
                <c:pt idx="0">
                  <c:v>Equipos Operativos</c:v>
                </c:pt>
                <c:pt idx="1">
                  <c:v>Equipos en Reparación</c:v>
                </c:pt>
                <c:pt idx="2">
                  <c:v>Equipos Fuera de Servicio</c:v>
                </c:pt>
              </c:strCache>
            </c:strRef>
          </c:cat>
          <c:val>
            <c:numRef>
              <c:f>'Indicadores Dea'!$B$2:$B$4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5-4B67-B144-C6BF98D8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Estado de Equipos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'indicadores bot'!$B$6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'indicadores bot'!$A$7:$A$9</c:f>
              <c:strCache>
                <c:ptCount val="3"/>
                <c:pt idx="0">
                  <c:v>Operativo</c:v>
                </c:pt>
                <c:pt idx="1">
                  <c:v>incompletos</c:v>
                </c:pt>
                <c:pt idx="2">
                  <c:v>Fuera de servicio</c:v>
                </c:pt>
              </c:strCache>
            </c:strRef>
          </c:cat>
          <c:val>
            <c:numRef>
              <c:f>'indicadores bot'!$B$7:$B$9</c:f>
              <c:numCache>
                <c:formatCode>General</c:formatCode>
                <c:ptCount val="3"/>
                <c:pt idx="0">
                  <c:v>30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5-4890-8245-5C3EEB7E6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"Accidentes"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'Indice Acc'!$C$8</c:f>
              <c:strCache>
                <c:ptCount val="1"/>
                <c:pt idx="0">
                  <c:v>Accidentes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'Indice Acc'!$B$9:$B$20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'Indice Acc'!$C$9:$C$20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DD991892-A93C-47CE-BDAC-E3ECBDF25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29554951"/>
        <c:axId val="1201597959"/>
      </c:barChart>
      <c:catAx>
        <c:axId val="929554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97959"/>
        <c:crosses val="autoZero"/>
        <c:auto val="1"/>
        <c:lblAlgn val="ctr"/>
        <c:lblOffset val="100"/>
        <c:noMultiLvlLbl val="0"/>
      </c:catAx>
      <c:valAx>
        <c:axId val="120159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Accidentes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54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'Indice Acc'!$Q$14</c:f>
              <c:strCache>
                <c:ptCount val="1"/>
                <c:pt idx="0">
                  <c:v>Accidentes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C7-4051-93CB-74563FE4B4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C7-4051-93CB-74563FE4B4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C7-4051-93CB-74563FE4B4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C7-4051-93CB-74563FE4B4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C7-4051-93CB-74563FE4B4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C7-4051-93CB-74563FE4B4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C7-4051-93CB-74563FE4B4F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C7-4051-93CB-74563FE4B4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1C7-4051-93CB-74563FE4B4F1}"/>
              </c:ext>
            </c:extLst>
          </c:dPt>
          <c:cat>
            <c:strRef>
              <c:f>'Indice Acc'!$P$15:$P$23</c:f>
              <c:strCache>
                <c:ptCount val="9"/>
                <c:pt idx="0">
                  <c:v>casco y acero</c:v>
                </c:pt>
                <c:pt idx="1">
                  <c:v>mecanica</c:v>
                </c:pt>
                <c:pt idx="2">
                  <c:v>cobreria</c:v>
                </c:pt>
                <c:pt idx="3">
                  <c:v>Mantenimiento</c:v>
                </c:pt>
                <c:pt idx="4">
                  <c:v>trasporte</c:v>
                </c:pt>
                <c:pt idx="5">
                  <c:v>seguridad ind</c:v>
                </c:pt>
                <c:pt idx="6">
                  <c:v>syncrolift</c:v>
                </c:pt>
                <c:pt idx="7">
                  <c:v>tripulante</c:v>
                </c:pt>
                <c:pt idx="8">
                  <c:v>contratista</c:v>
                </c:pt>
              </c:strCache>
            </c:strRef>
          </c:cat>
          <c:val>
            <c:numRef>
              <c:f>'Indice Acc'!$Q$15:$Q$23</c:f>
              <c:numCache>
                <c:formatCode>General</c:formatCode>
                <c:ptCount val="9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A-4151-8698-C0E5E8579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Derivados 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20-4109-9AB3-5B79FD24A3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20-4109-9AB3-5B79FD24A3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20-4109-9AB3-5B79FD24A331}"/>
              </c:ext>
            </c:extLst>
          </c:dPt>
          <c:cat>
            <c:strRef>
              <c:f>'Indice Acc'!$B$28:$B$30</c:f>
              <c:strCache>
                <c:ptCount val="3"/>
                <c:pt idx="0">
                  <c:v>Derivados Art</c:v>
                </c:pt>
                <c:pt idx="1">
                  <c:v>SI</c:v>
                </c:pt>
                <c:pt idx="2">
                  <c:v>NO</c:v>
                </c:pt>
              </c:strCache>
            </c:strRef>
          </c:cat>
          <c:val>
            <c:numRef>
              <c:f>'Indice Acc'!$C$28:$C$30</c:f>
              <c:numCache>
                <c:formatCode>General</c:formatCode>
                <c:ptCount val="3"/>
                <c:pt idx="1">
                  <c:v>12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3-477A-BAFC-A32846F49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Título del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'Indice Acc'!$O$27:$O$32</c:f>
              <c:strCache>
                <c:ptCount val="6"/>
                <c:pt idx="0">
                  <c:v>Tipo de lesion</c:v>
                </c:pt>
                <c:pt idx="1">
                  <c:v>Cortes</c:v>
                </c:pt>
                <c:pt idx="2">
                  <c:v>Traumatismos</c:v>
                </c:pt>
                <c:pt idx="3">
                  <c:v>Caidas</c:v>
                </c:pt>
                <c:pt idx="4">
                  <c:v>Quemaduras</c:v>
                </c:pt>
                <c:pt idx="5">
                  <c:v>Cuerpo extraño</c:v>
                </c:pt>
              </c:strCache>
            </c:strRef>
          </c:cat>
          <c:val>
            <c:numRef>
              <c:f>'Indice Acc'!$P$27:$P$32</c:f>
              <c:numCache>
                <c:formatCode>General</c:formatCode>
                <c:ptCount val="6"/>
                <c:pt idx="1">
                  <c:v>6</c:v>
                </c:pt>
                <c:pt idx="2">
                  <c:v>10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B-4709-8E14-8CB93DB4E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648840"/>
        <c:axId val="62650888"/>
      </c:barChart>
      <c:catAx>
        <c:axId val="62648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0888"/>
        <c:crosses val="autoZero"/>
        <c:auto val="1"/>
        <c:lblAlgn val="ctr"/>
        <c:lblOffset val="100"/>
        <c:noMultiLvlLbl val="0"/>
      </c:catAx>
      <c:valAx>
        <c:axId val="62650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8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3B-4B6B-8503-CBD622EA77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3B-4B6B-8503-CBD622EA77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3B-4B6B-8503-CBD622EA7722}"/>
              </c:ext>
            </c:extLst>
          </c:dPt>
          <c:cat>
            <c:strRef>
              <c:f>'Indice Acc'!$B$42:$B$44</c:f>
              <c:strCache>
                <c:ptCount val="3"/>
                <c:pt idx="0">
                  <c:v>derivados art TANDANOR</c:v>
                </c:pt>
                <c:pt idx="1">
                  <c:v>TANDANOR</c:v>
                </c:pt>
                <c:pt idx="2">
                  <c:v>CONTRATISTAS</c:v>
                </c:pt>
              </c:strCache>
            </c:strRef>
          </c:cat>
          <c:val>
            <c:numRef>
              <c:f>'Indice Acc'!$C$42:$C$44</c:f>
              <c:numCache>
                <c:formatCode>General</c:formatCode>
                <c:ptCount val="3"/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E-409A-95E1-F2D1648A9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VACUNADOS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0B-49BF-89DF-16F839E5B3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0B-49BF-89DF-16F839E5B3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0B-49BF-89DF-16F839E5B3C4}"/>
              </c:ext>
            </c:extLst>
          </c:dPt>
          <c:cat>
            <c:strRef>
              <c:f>vacunacion!$I$6:$I$8</c:f>
              <c:strCache>
                <c:ptCount val="3"/>
                <c:pt idx="0">
                  <c:v>VACUNADOS</c:v>
                </c:pt>
                <c:pt idx="1">
                  <c:v>SI</c:v>
                </c:pt>
                <c:pt idx="2">
                  <c:v>NO</c:v>
                </c:pt>
              </c:strCache>
            </c:strRef>
          </c:cat>
          <c:val>
            <c:numRef>
              <c:f>vacunacion!$J$6:$J$8</c:f>
              <c:numCache>
                <c:formatCode>General</c:formatCode>
                <c:ptCount val="3"/>
                <c:pt idx="1">
                  <c:v>200</c:v>
                </c:pt>
                <c:pt idx="2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E-4946-BCCD-18C9E9E33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5</xdr:row>
      <xdr:rowOff>171450</xdr:rowOff>
    </xdr:from>
    <xdr:to>
      <xdr:col>12</xdr:col>
      <xdr:colOff>466725</xdr:colOff>
      <xdr:row>22</xdr:row>
      <xdr:rowOff>161925</xdr:rowOff>
    </xdr:to>
    <xdr:graphicFrame macro="">
      <xdr:nvGraphicFramePr>
        <xdr:cNvPr id="2" name="Gráfico 1" descr="Tipo de gráfico: Columnas agrupadas. &quot;Accidentes&quot;&#10;&#10;Descripción generada automáticamente">
          <a:extLst>
            <a:ext uri="{FF2B5EF4-FFF2-40B4-BE49-F238E27FC236}">
              <a16:creationId xmlns:a16="http://schemas.microsoft.com/office/drawing/2014/main" id="{4FFCED69-9745-B1F9-8958-14A91C15F7E4}"/>
            </a:ext>
            <a:ext uri="{147F2762-F138-4A5C-976F-8EAC2B608ADB}">
              <a16:predDERef xmlns:a16="http://schemas.microsoft.com/office/drawing/2014/main" pred="{1079C9FF-4712-54A9-C45C-0CD84F100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171450</xdr:colOff>
      <xdr:row>8</xdr:row>
      <xdr:rowOff>142875</xdr:rowOff>
    </xdr:from>
    <xdr:to>
      <xdr:col>24</xdr:col>
      <xdr:colOff>476250</xdr:colOff>
      <xdr:row>23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3B60C4-9D78-56BA-D0E9-34DC947E708C}"/>
            </a:ext>
            <a:ext uri="{147F2762-F138-4A5C-976F-8EAC2B608ADB}">
              <a16:predDERef xmlns:a16="http://schemas.microsoft.com/office/drawing/2014/main" pred="{4FFCED69-9745-B1F9-8958-14A91C15F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23</xdr:row>
      <xdr:rowOff>161925</xdr:rowOff>
    </xdr:from>
    <xdr:to>
      <xdr:col>11</xdr:col>
      <xdr:colOff>304800</xdr:colOff>
      <xdr:row>38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CA889A7-DC2D-D82D-AE8D-C460705F95F1}"/>
            </a:ext>
            <a:ext uri="{147F2762-F138-4A5C-976F-8EAC2B608ADB}">
              <a16:predDERef xmlns:a16="http://schemas.microsoft.com/office/drawing/2014/main" pred="{473B60C4-9D78-56BA-D0E9-34DC947E7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219075</xdr:colOff>
      <xdr:row>24</xdr:row>
      <xdr:rowOff>133350</xdr:rowOff>
    </xdr:from>
    <xdr:to>
      <xdr:col>23</xdr:col>
      <xdr:colOff>447675</xdr:colOff>
      <xdr:row>39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2B25267-0D6A-4A2F-EDFE-3EB12FB45D6F}"/>
            </a:ext>
            <a:ext uri="{147F2762-F138-4A5C-976F-8EAC2B608ADB}">
              <a16:predDERef xmlns:a16="http://schemas.microsoft.com/office/drawing/2014/main" pred="{1CA889A7-DC2D-D82D-AE8D-C460705F9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600075</xdr:colOff>
      <xdr:row>40</xdr:row>
      <xdr:rowOff>114300</xdr:rowOff>
    </xdr:from>
    <xdr:to>
      <xdr:col>11</xdr:col>
      <xdr:colOff>295275</xdr:colOff>
      <xdr:row>55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E3601A8-CAF4-24B7-E286-716BEA89E6A0}"/>
            </a:ext>
            <a:ext uri="{147F2762-F138-4A5C-976F-8EAC2B608ADB}">
              <a16:predDERef xmlns:a16="http://schemas.microsoft.com/office/drawing/2014/main" pred="{E2B25267-0D6A-4A2F-EDFE-3EB12FB45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8</xdr:row>
      <xdr:rowOff>161925</xdr:rowOff>
    </xdr:from>
    <xdr:to>
      <xdr:col>15</xdr:col>
      <xdr:colOff>133350</xdr:colOff>
      <xdr:row>23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CA4560-BABA-DE9F-0A7D-955AD79D5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Inventario" displayName="TablaInventario" ref="A1:M5">
  <autoFilter ref="A1:M5" xr:uid="{00000000-0009-0000-0100-000001000000}"/>
  <tableColumns count="13">
    <tableColumn id="1" xr3:uid="{00000000-0010-0000-0000-000001000000}" name="ID Equipo"/>
    <tableColumn id="2" xr3:uid="{00000000-0010-0000-0000-000002000000}" name="Categoría"/>
    <tableColumn id="3" xr3:uid="{00000000-0010-0000-0000-000003000000}" name="Equipo"/>
    <tableColumn id="4" xr3:uid="{00000000-0010-0000-0000-000004000000}" name="Marca"/>
    <tableColumn id="5" xr3:uid="{00000000-0010-0000-0000-000005000000}" name="Modelo"/>
    <tableColumn id="6" xr3:uid="{00000000-0010-0000-0000-000006000000}" name="N° Serie"/>
    <tableColumn id="7" xr3:uid="{00000000-0010-0000-0000-000007000000}" name="Ubicación"/>
    <tableColumn id="8" xr3:uid="{00000000-0010-0000-0000-000008000000}" name="Responsable"/>
    <tableColumn id="9" xr3:uid="{00000000-0010-0000-0000-000009000000}" name="Estado"/>
    <tableColumn id="10" xr3:uid="{00000000-0010-0000-0000-00000A000000}" name="Fecha Alta"/>
    <tableColumn id="11" xr3:uid="{00000000-0010-0000-0000-00000B000000}" name="Último Control"/>
    <tableColumn id="12" xr3:uid="{00000000-0010-0000-0000-00000C000000}" name="Vencimiento"/>
    <tableColumn id="13" xr3:uid="{00000000-0010-0000-0000-00000D000000}" name="Observacion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Stock" displayName="TablaStock" ref="A1:H47">
  <autoFilter ref="A1:H47" xr:uid="{00000000-0009-0000-0100-000005000000}"/>
  <tableColumns count="8">
    <tableColumn id="1" xr3:uid="{00000000-0010-0000-0400-000001000000}" name="Código"/>
    <tableColumn id="2" xr3:uid="{00000000-0010-0000-0400-000002000000}" name="Medicamento"/>
    <tableColumn id="3" xr3:uid="{00000000-0010-0000-0400-000003000000}" name="Presentacion"/>
    <tableColumn id="4" xr3:uid="{00000000-0010-0000-0400-000004000000}" name="Stock Actual"/>
    <tableColumn id="5" xr3:uid="{00000000-0010-0000-0400-000005000000}" name="Stock Mínimo"/>
    <tableColumn id="6" xr3:uid="{00000000-0010-0000-0400-000006000000}" name="Vencimiento"/>
    <tableColumn id="8" xr3:uid="{00000000-0010-0000-0400-000008000000}" name="Estado"/>
    <tableColumn id="9" xr3:uid="{DD2578C4-AAF4-461E-9563-E53FE7B585AB}" name="Revisac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BB7263-BBD1-4B2C-AAC0-8375DBBEBF2E}" name="TablaStock3" displayName="TablaStock3" ref="A1:G28">
  <autoFilter ref="A1:G28" xr:uid="{00000000-0009-0000-0100-000005000000}"/>
  <tableColumns count="7">
    <tableColumn id="1" xr3:uid="{F84668A2-A096-4C30-9A81-6BF89BD42F50}" name="Código"/>
    <tableColumn id="2" xr3:uid="{C034D35A-4655-4744-82CD-FDB6ED899F4C}" name="Medicamento"/>
    <tableColumn id="3" xr3:uid="{B53FFD34-A7EF-421D-98E9-AB4DF2C72134}" name="Presentacion"/>
    <tableColumn id="4" xr3:uid="{BA784A5E-2083-4420-A84B-B4B30A0D41D0}" name="unidades"/>
    <tableColumn id="7" xr3:uid="{3EF23E1F-008B-4923-9A6D-59793077525E}" name="Mes"/>
    <tableColumn id="8" xr3:uid="{B36CD5C5-A647-43AC-9A7C-904844C63FCA}" name="Estado"/>
    <tableColumn id="9" xr3:uid="{B87143AF-F9CD-4307-BB1A-6DF0259F2DBD}" name="Revisac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Ambulancias" displayName="TablaAmbulancias" ref="A1:H2">
  <autoFilter ref="A1:H2" xr:uid="{00000000-0009-0000-0100-000006000000}"/>
  <tableColumns count="8">
    <tableColumn id="1" xr3:uid="{00000000-0010-0000-0500-000001000000}" name="Unidad"/>
    <tableColumn id="2" xr3:uid="{00000000-0010-0000-0500-000002000000}" name="Patente"/>
    <tableColumn id="3" xr3:uid="{00000000-0010-0000-0500-000003000000}" name="Unidades"/>
    <tableColumn id="4" xr3:uid="{00000000-0010-0000-0500-000004000000}" name="Fecha de venci"/>
    <tableColumn id="5" xr3:uid="{00000000-0010-0000-0500-000005000000}" name="Último Service"/>
    <tableColumn id="6" xr3:uid="{00000000-0010-0000-0500-000006000000}" name="Próximo Service"/>
    <tableColumn id="7" xr3:uid="{00000000-0010-0000-0500-000007000000}" name="Comprimidos"/>
    <tableColumn id="8" xr3:uid="{00000000-0010-0000-0500-000008000000}" name="Observacion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C0B2E3-7059-40DA-9924-4BE9FA2E520F}" name="TablaAccidentes" displayName="TablaAccidentes" ref="A1:O26">
  <autoFilter ref="A1:O26" xr:uid="{A5C0B2E3-7059-40DA-9924-4BE9FA2E520F}"/>
  <tableColumns count="15">
    <tableColumn id="1" xr3:uid="{B331E93D-3D43-4F2B-8A64-C6B51CC7734B}" name="Mes"/>
    <tableColumn id="2" xr3:uid="{1571688D-967B-4725-A807-67AC6F9D350A}" name="Fecha"/>
    <tableColumn id="3" xr3:uid="{0CE6E3BD-3345-4434-9E51-20023F7F9E78}" name="Hora"/>
    <tableColumn id="4" xr3:uid="{686D120E-AC0B-4F18-822D-9238FA26C02A}" name="Empleado"/>
    <tableColumn id="5" xr3:uid="{FA4E78E9-08D5-42BA-B706-4AFE4BABACE2}" name="Legajo"/>
    <tableColumn id="6" xr3:uid="{829B332D-7941-4CF4-B7A4-0136326A0C32}" name="Empresa"/>
    <tableColumn id="7" xr3:uid="{AA4DC73D-B110-466C-8494-F75917885027}" name="Sector"/>
    <tableColumn id="10" xr3:uid="{C4E33EC8-101F-4AF9-AEFB-194365FDD4BC}" name="Tipo de Lesión"/>
    <tableColumn id="11" xr3:uid="{F76D9FDC-917C-4EEB-BE64-DBFDB9A36DC8}" name="Parte del Cuerpo"/>
    <tableColumn id="12" xr3:uid="{98EAD07C-D8EE-4E54-B5FA-59F907F68093}" name="Agente Causante"/>
    <tableColumn id="13" xr3:uid="{26F4C346-9699-430A-B9B5-615C5EFA1D57}" name="Descripción"/>
    <tableColumn id="14" xr3:uid="{F2C8AD01-84A2-43FB-A42F-5836333E320C}" name="Art"/>
    <tableColumn id="16" xr3:uid="{88DF60F9-5F12-431C-B161-3EB066E23E44}" name="Acción Correctiva"/>
    <tableColumn id="17" xr3:uid="{720FB628-3708-4189-996F-E4E8E44628B1}" name="baja"/>
    <tableColumn id="19" xr3:uid="{BCBD8445-DB98-40F7-AEBD-47A0E6A21AC7}" name="Observacion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Personal" displayName="TablaPersonal" ref="A1:G7">
  <autoFilter ref="A1:G7" xr:uid="{00000000-0009-0000-0100-000007000000}"/>
  <tableColumns count="7">
    <tableColumn id="1" xr3:uid="{00000000-0010-0000-0600-000001000000}" name="Legajo"/>
    <tableColumn id="2" xr3:uid="{00000000-0010-0000-0600-000002000000}" name="Nombre"/>
    <tableColumn id="3" xr3:uid="{00000000-0010-0000-0600-000003000000}" name="Cargo"/>
    <tableColumn id="4" xr3:uid="{00000000-0010-0000-0600-000004000000}" name="Turno"/>
    <tableColumn id="5" xr3:uid="{00000000-0010-0000-0600-000005000000}" name="Mail emp"/>
    <tableColumn id="7" xr3:uid="{00000000-0010-0000-0600-000007000000}" name="Capacitación RCP"/>
    <tableColumn id="6" xr3:uid="{EB984B4B-6558-4AC5-9731-6268C7CF5CB4}" name="CURSO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Inspecciones" displayName="TablaInspecciones" ref="A1:I8">
  <autoFilter ref="A1:I8" xr:uid="{00000000-0009-0000-0100-000003000000}"/>
  <tableColumns count="9">
    <tableColumn id="1" xr3:uid="{00000000-0010-0000-0200-000001000000}" name="capacitacion"/>
    <tableColumn id="2" xr3:uid="{00000000-0010-0000-0200-000002000000}" name="Fecha"/>
    <tableColumn id="3" xr3:uid="{00000000-0010-0000-0200-000003000000}" name="medico"/>
    <tableColumn id="4" xr3:uid="{00000000-0010-0000-0200-000004000000}" name="sectores" dataDxfId="3"/>
    <tableColumn id="5" xr3:uid="{00000000-0010-0000-0200-000005000000}" name="convocatoria"/>
    <tableColumn id="6" xr3:uid="{00000000-0010-0000-0200-000006000000}" name="lugar"/>
    <tableColumn id="7" xr3:uid="{00000000-0010-0000-0200-000007000000}" name="asistencia"/>
    <tableColumn id="8" xr3:uid="{00000000-0010-0000-0200-000008000000}" name="Estado Final"/>
    <tableColumn id="9" xr3:uid="{00000000-0010-0000-0200-000009000000}" name="observa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rpaz@tandanor.com" TargetMode="External"/><Relationship Id="rId7" Type="http://schemas.openxmlformats.org/officeDocument/2006/relationships/table" Target="../tables/table6.xml"/><Relationship Id="rId2" Type="http://schemas.openxmlformats.org/officeDocument/2006/relationships/hyperlink" Target="mailto:lespindola@tandanor.com" TargetMode="External"/><Relationship Id="rId1" Type="http://schemas.openxmlformats.org/officeDocument/2006/relationships/hyperlink" Target="mailto:clechmann@tandanor.com" TargetMode="External"/><Relationship Id="rId6" Type="http://schemas.openxmlformats.org/officeDocument/2006/relationships/hyperlink" Target="mailto:pstillman@tandanor.com" TargetMode="External"/><Relationship Id="rId5" Type="http://schemas.openxmlformats.org/officeDocument/2006/relationships/hyperlink" Target="mailto:canglas@tandanor.com" TargetMode="External"/><Relationship Id="rId4" Type="http://schemas.openxmlformats.org/officeDocument/2006/relationships/hyperlink" Target="mailto:agarcia@tandanor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7CE2-D80E-4F1C-A6F6-757D6C026CC6}">
  <dimension ref="A1:H20"/>
  <sheetViews>
    <sheetView topLeftCell="A6" workbookViewId="0">
      <selection activeCell="B15" sqref="B15"/>
    </sheetView>
  </sheetViews>
  <sheetFormatPr baseColWidth="10" defaultColWidth="9.109375" defaultRowHeight="14.4"/>
  <cols>
    <col min="1" max="1" width="36.109375" customWidth="1"/>
    <col min="2" max="2" width="36.5546875" style="7" bestFit="1" customWidth="1"/>
    <col min="3" max="3" width="14" style="7" customWidth="1"/>
    <col min="4" max="4" width="16" style="7" customWidth="1"/>
    <col min="5" max="8" width="14" customWidth="1"/>
  </cols>
  <sheetData>
    <row r="1" spans="1:8">
      <c r="A1" s="79" t="s">
        <v>0</v>
      </c>
      <c r="B1" s="80"/>
      <c r="C1" s="80"/>
      <c r="D1" s="80"/>
      <c r="E1" s="80"/>
      <c r="F1" s="80"/>
      <c r="G1" s="80"/>
      <c r="H1" s="80"/>
    </row>
    <row r="2" spans="1:8">
      <c r="A2" s="81" t="s">
        <v>1</v>
      </c>
      <c r="B2" s="80"/>
      <c r="C2" s="80"/>
      <c r="D2" s="80"/>
      <c r="E2" s="80"/>
      <c r="F2" s="80"/>
      <c r="G2" s="80"/>
      <c r="H2" s="80"/>
    </row>
    <row r="4" spans="1:8">
      <c r="A4" s="9" t="s">
        <v>2</v>
      </c>
      <c r="B4" s="82">
        <v>46076</v>
      </c>
      <c r="C4" s="82"/>
      <c r="D4" s="82"/>
    </row>
    <row r="5" spans="1:8">
      <c r="A5" s="9" t="s">
        <v>3</v>
      </c>
      <c r="B5" s="83" t="s">
        <v>4</v>
      </c>
      <c r="C5" s="83"/>
      <c r="D5" s="83"/>
    </row>
    <row r="7" spans="1:8">
      <c r="A7" s="10" t="s">
        <v>5</v>
      </c>
    </row>
    <row r="8" spans="1:8">
      <c r="A8" s="3" t="s">
        <v>6</v>
      </c>
      <c r="B8" s="3" t="s">
        <v>7</v>
      </c>
      <c r="C8" s="3" t="s">
        <v>8</v>
      </c>
      <c r="D8" s="3" t="s">
        <v>9</v>
      </c>
    </row>
    <row r="9" spans="1:8">
      <c r="A9" s="6" t="s">
        <v>10</v>
      </c>
      <c r="B9" s="51">
        <v>32</v>
      </c>
      <c r="C9" s="11">
        <v>0.95</v>
      </c>
      <c r="D9" s="4" t="str">
        <f>IF(B9="","",IF(B9&gt;=C9,"VERDE",IF(B9&gt;=C9*0.8,"AMARILLO","ROJO")))</f>
        <v>VERDE</v>
      </c>
    </row>
    <row r="10" spans="1:8">
      <c r="A10" s="6" t="s">
        <v>11</v>
      </c>
      <c r="B10" s="51">
        <v>3</v>
      </c>
      <c r="C10" s="11">
        <v>0.85</v>
      </c>
      <c r="D10" s="4" t="str">
        <f>IF(B10="","",IF(B10&gt;=0.95,"VERDE",IF(B10&gt;=0.8,"AMARILLO","ROJO")))</f>
        <v>VERDE</v>
      </c>
    </row>
    <row r="11" spans="1:8">
      <c r="A11" s="6" t="s">
        <v>12</v>
      </c>
      <c r="B11" s="51">
        <v>5</v>
      </c>
      <c r="C11" s="11">
        <v>0.8</v>
      </c>
      <c r="D11" s="4" t="str">
        <f>IF(B11="","",IF(B11&gt;=0.95,"VERDE",IF(B11&gt;=0.8,"AMARILLO","ROJO")))</f>
        <v>VERDE</v>
      </c>
    </row>
    <row r="12" spans="1:8">
      <c r="A12" s="6" t="s">
        <v>13</v>
      </c>
      <c r="B12" s="4">
        <v>30</v>
      </c>
      <c r="C12" s="12">
        <v>0</v>
      </c>
      <c r="D12" s="4" t="str">
        <f>IF(B12=0,"VERDE","AMARILLO")</f>
        <v>AMARILLO</v>
      </c>
    </row>
    <row r="13" spans="1:8">
      <c r="A13" s="6" t="s">
        <v>14</v>
      </c>
      <c r="B13" s="4">
        <v>5</v>
      </c>
      <c r="C13" s="4"/>
      <c r="D13" s="4" t="str">
        <f>IF(B13=0,"VERDE","ROJO")</f>
        <v>ROJO</v>
      </c>
    </row>
    <row r="14" spans="1:8">
      <c r="A14" s="6" t="s">
        <v>15</v>
      </c>
      <c r="B14" s="5">
        <v>1</v>
      </c>
      <c r="C14" s="12">
        <v>0</v>
      </c>
      <c r="D14" s="4" t="str">
        <f>IF(B13=0,"VERDE","ROJO")</f>
        <v>ROJO</v>
      </c>
    </row>
    <row r="15" spans="1:8">
      <c r="A15" s="6" t="s">
        <v>16</v>
      </c>
      <c r="B15" s="5">
        <v>100</v>
      </c>
      <c r="C15" s="4"/>
      <c r="D15" s="4" t="str">
        <f>IF(B15=0,"VERDE","AMARILLO")</f>
        <v>AMARILLO</v>
      </c>
    </row>
    <row r="16" spans="1:8">
      <c r="A16" s="6"/>
      <c r="B16" s="13"/>
      <c r="C16" s="12"/>
      <c r="D16" s="4"/>
    </row>
    <row r="17" spans="1:4">
      <c r="A17" s="6"/>
      <c r="B17" s="5"/>
      <c r="C17" s="5"/>
      <c r="D17" s="5"/>
    </row>
    <row r="18" spans="1:4">
      <c r="A18" s="6"/>
      <c r="B18" s="5"/>
      <c r="C18" s="5"/>
      <c r="D18" s="5"/>
    </row>
    <row r="19" spans="1:4">
      <c r="A19" s="6" t="s">
        <v>17</v>
      </c>
      <c r="B19" s="5">
        <v>50</v>
      </c>
      <c r="C19" s="5"/>
      <c r="D19" s="5"/>
    </row>
    <row r="20" spans="1:4">
      <c r="A20" s="14" t="s">
        <v>18</v>
      </c>
      <c r="B20" s="15"/>
      <c r="C20" s="5"/>
      <c r="D20" s="5" t="str">
        <f>IF(B20="","",IF(B20&gt;=0.95,"VERDE",IF(B20&gt;=0.8,"AMARILLO","ROJO")))</f>
        <v/>
      </c>
    </row>
  </sheetData>
  <mergeCells count="4">
    <mergeCell ref="A1:H1"/>
    <mergeCell ref="A2:H2"/>
    <mergeCell ref="B4:D4"/>
    <mergeCell ref="B5:D5"/>
  </mergeCells>
  <conditionalFormatting sqref="D9:D20">
    <cfRule type="cellIs" dxfId="2" priority="1" operator="equal">
      <formula>"ROJO"</formula>
    </cfRule>
    <cfRule type="cellIs" dxfId="1" priority="2" operator="equal">
      <formula>"AMARILLO"</formula>
    </cfRule>
    <cfRule type="cellIs" dxfId="0" priority="3" operator="equal">
      <formula>"VERDE"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9.109375" defaultRowHeight="14.4"/>
  <cols>
    <col min="1" max="11" width="18" customWidth="1"/>
    <col min="12" max="12" width="19" customWidth="1"/>
    <col min="13" max="13" width="18" customWidth="1"/>
  </cols>
  <sheetData>
    <row r="1" spans="1:13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9</v>
      </c>
      <c r="J1" s="2" t="s">
        <v>27</v>
      </c>
      <c r="K1" s="2" t="s">
        <v>28</v>
      </c>
      <c r="L1" s="2" t="s">
        <v>29</v>
      </c>
      <c r="M1" s="2" t="s">
        <v>30</v>
      </c>
    </row>
    <row r="2" spans="1:1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s="8">
        <v>46091</v>
      </c>
      <c r="K2" s="8">
        <v>46092</v>
      </c>
      <c r="L2" s="8">
        <v>46963</v>
      </c>
      <c r="M2" t="s">
        <v>40</v>
      </c>
    </row>
    <row r="3" spans="1:13">
      <c r="A3" t="s">
        <v>41</v>
      </c>
      <c r="B3" t="s">
        <v>32</v>
      </c>
      <c r="C3" t="s">
        <v>33</v>
      </c>
      <c r="D3" t="s">
        <v>42</v>
      </c>
      <c r="E3" t="s">
        <v>43</v>
      </c>
      <c r="F3" t="s">
        <v>44</v>
      </c>
      <c r="G3" t="s">
        <v>45</v>
      </c>
      <c r="H3" t="s">
        <v>38</v>
      </c>
      <c r="I3" t="s">
        <v>39</v>
      </c>
      <c r="J3" s="8">
        <v>46064</v>
      </c>
      <c r="K3" s="8">
        <v>46143</v>
      </c>
      <c r="L3" s="8">
        <v>47778</v>
      </c>
      <c r="M3" t="s">
        <v>40</v>
      </c>
    </row>
    <row r="4" spans="1:13">
      <c r="A4" t="s">
        <v>46</v>
      </c>
      <c r="B4" t="s">
        <v>32</v>
      </c>
      <c r="C4" t="s">
        <v>33</v>
      </c>
      <c r="D4" t="s">
        <v>34</v>
      </c>
      <c r="E4" t="s">
        <v>35</v>
      </c>
      <c r="F4" t="s">
        <v>47</v>
      </c>
      <c r="G4" t="s">
        <v>48</v>
      </c>
      <c r="H4" t="s">
        <v>38</v>
      </c>
      <c r="I4" t="s">
        <v>49</v>
      </c>
      <c r="J4" s="8">
        <v>45637</v>
      </c>
      <c r="K4" s="8">
        <v>46082</v>
      </c>
      <c r="L4" s="8">
        <v>45453</v>
      </c>
      <c r="M4" t="s">
        <v>50</v>
      </c>
    </row>
    <row r="5" spans="1:13">
      <c r="A5" t="s">
        <v>51</v>
      </c>
      <c r="B5" t="s">
        <v>32</v>
      </c>
      <c r="C5" t="s">
        <v>33</v>
      </c>
      <c r="D5" t="s">
        <v>42</v>
      </c>
      <c r="E5" t="s">
        <v>43</v>
      </c>
      <c r="F5" t="s">
        <v>52</v>
      </c>
      <c r="G5" t="s">
        <v>53</v>
      </c>
      <c r="H5" t="s">
        <v>38</v>
      </c>
      <c r="I5" t="s">
        <v>39</v>
      </c>
      <c r="J5" s="8">
        <v>46054</v>
      </c>
      <c r="K5" s="8">
        <v>46143</v>
      </c>
      <c r="L5" s="8">
        <v>46418</v>
      </c>
      <c r="M5" t="s">
        <v>40</v>
      </c>
    </row>
  </sheetData>
  <dataValidations count="1">
    <dataValidation type="list" allowBlank="1" sqref="I2:I502" xr:uid="{00000000-0002-0000-0100-000000000000}">
      <formula1>"Operativo,En reparación,Fuera de servicio"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9.109375" defaultRowHeight="14.4"/>
  <cols>
    <col min="1" max="1" width="25.33203125" bestFit="1" customWidth="1"/>
    <col min="2" max="2" width="18" customWidth="1"/>
  </cols>
  <sheetData>
    <row r="1" spans="1:2">
      <c r="A1" s="2" t="s">
        <v>6</v>
      </c>
      <c r="B1" s="2" t="s">
        <v>7</v>
      </c>
    </row>
    <row r="2" spans="1:2">
      <c r="A2" t="s">
        <v>54</v>
      </c>
      <c r="B2">
        <f>COUNTIF(Dea!I:I,"Operativo")</f>
        <v>3</v>
      </c>
    </row>
    <row r="3" spans="1:2">
      <c r="A3" t="s">
        <v>55</v>
      </c>
      <c r="B3">
        <f>COUNTIF(Dea!I:I,"En reparación")</f>
        <v>0</v>
      </c>
    </row>
    <row r="4" spans="1:2">
      <c r="A4" t="s">
        <v>56</v>
      </c>
      <c r="B4">
        <f>COUNTIF(Dea!I:I,"Fuera de servicio")</f>
        <v>1</v>
      </c>
    </row>
    <row r="5" spans="1:2">
      <c r="A5" t="s">
        <v>57</v>
      </c>
      <c r="B5">
        <f>COUNTA(#REF!)-1</f>
        <v>0</v>
      </c>
    </row>
    <row r="6" spans="1:2">
      <c r="A6" t="s">
        <v>58</v>
      </c>
      <c r="B6">
        <f>COUNTA(Capacitaciones!A:A)-1</f>
        <v>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D7AF-AA3A-4F14-8BDE-06AE24EB6530}">
  <dimension ref="A1:H37"/>
  <sheetViews>
    <sheetView topLeftCell="A20" workbookViewId="0">
      <selection activeCell="H37" sqref="H37"/>
    </sheetView>
  </sheetViews>
  <sheetFormatPr baseColWidth="10" defaultColWidth="9.109375" defaultRowHeight="14.4"/>
  <cols>
    <col min="2" max="2" width="30.5546875" bestFit="1" customWidth="1"/>
    <col min="3" max="3" width="9.88671875" customWidth="1"/>
    <col min="5" max="5" width="15.44140625" customWidth="1"/>
    <col min="6" max="6" width="10.44140625" bestFit="1" customWidth="1"/>
    <col min="7" max="7" width="12.88671875" customWidth="1"/>
    <col min="8" max="8" width="14.109375" bestFit="1" customWidth="1"/>
  </cols>
  <sheetData>
    <row r="1" spans="1:8" ht="28.8">
      <c r="A1" s="21"/>
      <c r="B1" s="22" t="s">
        <v>59</v>
      </c>
      <c r="C1" s="22" t="s">
        <v>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30</v>
      </c>
    </row>
    <row r="2" spans="1:8">
      <c r="A2" s="23" t="s">
        <v>64</v>
      </c>
      <c r="B2" s="24" t="s">
        <v>65</v>
      </c>
      <c r="C2" s="24" t="s">
        <v>66</v>
      </c>
      <c r="D2" s="25" t="s">
        <v>67</v>
      </c>
      <c r="E2" s="24" t="s">
        <v>68</v>
      </c>
      <c r="F2" s="26">
        <v>46157</v>
      </c>
      <c r="G2" s="24" t="s">
        <v>66</v>
      </c>
      <c r="H2" s="24" t="s">
        <v>69</v>
      </c>
    </row>
    <row r="3" spans="1:8">
      <c r="A3" s="23" t="s">
        <v>70</v>
      </c>
      <c r="B3" s="24" t="s">
        <v>71</v>
      </c>
      <c r="C3" s="24" t="s">
        <v>66</v>
      </c>
      <c r="D3" s="25" t="s">
        <v>67</v>
      </c>
      <c r="E3" s="24" t="s">
        <v>72</v>
      </c>
      <c r="F3" s="26">
        <v>46157</v>
      </c>
      <c r="G3" s="24" t="s">
        <v>66</v>
      </c>
      <c r="H3" s="24" t="s">
        <v>69</v>
      </c>
    </row>
    <row r="4" spans="1:8">
      <c r="A4" s="23" t="s">
        <v>73</v>
      </c>
      <c r="B4" s="24" t="s">
        <v>74</v>
      </c>
      <c r="C4" s="24" t="s">
        <v>66</v>
      </c>
      <c r="D4" s="25" t="s">
        <v>67</v>
      </c>
      <c r="E4" s="24" t="s">
        <v>72</v>
      </c>
      <c r="F4" s="26">
        <v>46157</v>
      </c>
      <c r="G4" s="24" t="s">
        <v>66</v>
      </c>
      <c r="H4" s="24" t="s">
        <v>69</v>
      </c>
    </row>
    <row r="5" spans="1:8">
      <c r="A5" s="23" t="s">
        <v>75</v>
      </c>
      <c r="B5" s="24" t="s">
        <v>76</v>
      </c>
      <c r="C5" s="24" t="s">
        <v>66</v>
      </c>
      <c r="D5" s="25" t="s">
        <v>67</v>
      </c>
      <c r="E5" s="24" t="s">
        <v>72</v>
      </c>
      <c r="F5" s="26">
        <v>46157</v>
      </c>
      <c r="G5" s="24" t="s">
        <v>66</v>
      </c>
      <c r="H5" s="24" t="s">
        <v>69</v>
      </c>
    </row>
    <row r="6" spans="1:8">
      <c r="A6" s="23" t="s">
        <v>77</v>
      </c>
      <c r="B6" s="24" t="s">
        <v>78</v>
      </c>
      <c r="C6" s="24" t="s">
        <v>79</v>
      </c>
      <c r="D6" s="25" t="s">
        <v>67</v>
      </c>
      <c r="E6" s="24" t="s">
        <v>72</v>
      </c>
      <c r="F6" s="26">
        <v>46157</v>
      </c>
      <c r="G6" s="24" t="s">
        <v>79</v>
      </c>
      <c r="H6" s="24" t="s">
        <v>80</v>
      </c>
    </row>
    <row r="7" spans="1:8">
      <c r="A7" s="23" t="s">
        <v>81</v>
      </c>
      <c r="B7" s="24" t="s">
        <v>82</v>
      </c>
      <c r="C7" s="24" t="s">
        <v>66</v>
      </c>
      <c r="D7" s="25" t="s">
        <v>67</v>
      </c>
      <c r="E7" s="24" t="s">
        <v>72</v>
      </c>
      <c r="F7" s="26">
        <v>46157</v>
      </c>
      <c r="G7" s="24" t="s">
        <v>66</v>
      </c>
      <c r="H7" s="24" t="s">
        <v>69</v>
      </c>
    </row>
    <row r="8" spans="1:8">
      <c r="A8" s="23" t="s">
        <v>83</v>
      </c>
      <c r="B8" s="24" t="s">
        <v>84</v>
      </c>
      <c r="C8" s="24" t="s">
        <v>66</v>
      </c>
      <c r="D8" s="25" t="s">
        <v>67</v>
      </c>
      <c r="E8" s="24" t="s">
        <v>85</v>
      </c>
      <c r="F8" s="26">
        <v>46169</v>
      </c>
      <c r="G8" s="24" t="s">
        <v>66</v>
      </c>
      <c r="H8" s="24" t="s">
        <v>69</v>
      </c>
    </row>
    <row r="9" spans="1:8">
      <c r="A9" s="23" t="s">
        <v>86</v>
      </c>
      <c r="B9" s="24" t="s">
        <v>87</v>
      </c>
      <c r="C9" s="24" t="s">
        <v>66</v>
      </c>
      <c r="D9" s="25" t="s">
        <v>67</v>
      </c>
      <c r="E9" s="24" t="s">
        <v>72</v>
      </c>
      <c r="F9" s="26">
        <v>46172</v>
      </c>
      <c r="G9" s="24" t="s">
        <v>66</v>
      </c>
      <c r="H9" s="24" t="s">
        <v>69</v>
      </c>
    </row>
    <row r="10" spans="1:8">
      <c r="A10" s="23" t="s">
        <v>88</v>
      </c>
      <c r="B10" s="24" t="s">
        <v>89</v>
      </c>
      <c r="C10" s="24" t="s">
        <v>66</v>
      </c>
      <c r="D10" s="25" t="s">
        <v>67</v>
      </c>
      <c r="E10" s="24" t="s">
        <v>72</v>
      </c>
      <c r="F10" s="26">
        <v>46172</v>
      </c>
      <c r="G10" s="24" t="s">
        <v>66</v>
      </c>
      <c r="H10" s="24" t="s">
        <v>69</v>
      </c>
    </row>
    <row r="11" spans="1:8">
      <c r="A11" s="23" t="s">
        <v>90</v>
      </c>
      <c r="B11" s="24" t="s">
        <v>91</v>
      </c>
      <c r="C11" s="24" t="s">
        <v>92</v>
      </c>
      <c r="D11" s="25" t="s">
        <v>67</v>
      </c>
      <c r="E11" s="24" t="s">
        <v>85</v>
      </c>
      <c r="F11" s="26">
        <v>46169</v>
      </c>
      <c r="G11" s="24" t="s">
        <v>93</v>
      </c>
      <c r="H11" s="24" t="s">
        <v>94</v>
      </c>
    </row>
    <row r="12" spans="1:8">
      <c r="A12" s="23" t="s">
        <v>95</v>
      </c>
      <c r="B12" s="24" t="s">
        <v>96</v>
      </c>
      <c r="C12" s="24" t="s">
        <v>66</v>
      </c>
      <c r="D12" s="25" t="s">
        <v>67</v>
      </c>
      <c r="E12" s="24" t="s">
        <v>72</v>
      </c>
      <c r="F12" s="26">
        <v>46172</v>
      </c>
      <c r="G12" s="24" t="s">
        <v>66</v>
      </c>
      <c r="H12" s="24" t="s">
        <v>69</v>
      </c>
    </row>
    <row r="13" spans="1:8">
      <c r="A13" s="23" t="s">
        <v>97</v>
      </c>
      <c r="B13" s="24" t="s">
        <v>98</v>
      </c>
      <c r="C13" s="24" t="s">
        <v>66</v>
      </c>
      <c r="D13" s="25" t="s">
        <v>67</v>
      </c>
      <c r="E13" s="24" t="s">
        <v>99</v>
      </c>
      <c r="F13" s="26">
        <v>46172</v>
      </c>
      <c r="G13" s="24" t="s">
        <v>66</v>
      </c>
      <c r="H13" s="24" t="s">
        <v>69</v>
      </c>
    </row>
    <row r="14" spans="1:8">
      <c r="A14" s="23" t="s">
        <v>100</v>
      </c>
      <c r="B14" s="24" t="s">
        <v>101</v>
      </c>
      <c r="C14" s="24" t="s">
        <v>66</v>
      </c>
      <c r="D14" s="25" t="s">
        <v>67</v>
      </c>
      <c r="E14" s="24" t="s">
        <v>85</v>
      </c>
      <c r="F14" s="26">
        <v>46169</v>
      </c>
      <c r="G14" s="24" t="s">
        <v>66</v>
      </c>
      <c r="H14" s="24" t="s">
        <v>69</v>
      </c>
    </row>
    <row r="15" spans="1:8">
      <c r="A15" s="23" t="s">
        <v>102</v>
      </c>
      <c r="B15" s="24" t="s">
        <v>103</v>
      </c>
      <c r="C15" s="24" t="s">
        <v>66</v>
      </c>
      <c r="D15" s="25" t="s">
        <v>67</v>
      </c>
      <c r="E15" s="24" t="s">
        <v>99</v>
      </c>
      <c r="F15" s="26">
        <v>46140</v>
      </c>
      <c r="G15" s="24" t="s">
        <v>66</v>
      </c>
      <c r="H15" s="24" t="s">
        <v>69</v>
      </c>
    </row>
    <row r="16" spans="1:8">
      <c r="A16" s="23" t="s">
        <v>104</v>
      </c>
      <c r="B16" s="24" t="s">
        <v>105</v>
      </c>
      <c r="C16" s="24" t="s">
        <v>66</v>
      </c>
      <c r="D16" s="25" t="s">
        <v>67</v>
      </c>
      <c r="E16" s="24" t="s">
        <v>99</v>
      </c>
      <c r="F16" s="26">
        <v>46177</v>
      </c>
      <c r="G16" s="24" t="s">
        <v>66</v>
      </c>
      <c r="H16" s="24" t="s">
        <v>69</v>
      </c>
    </row>
    <row r="17" spans="1:8">
      <c r="A17" s="23" t="s">
        <v>106</v>
      </c>
      <c r="B17" s="24" t="s">
        <v>107</v>
      </c>
      <c r="C17" s="24" t="s">
        <v>66</v>
      </c>
      <c r="D17" s="25" t="s">
        <v>67</v>
      </c>
      <c r="E17" s="24" t="s">
        <v>99</v>
      </c>
      <c r="F17" s="26">
        <v>46182</v>
      </c>
      <c r="G17" s="24" t="s">
        <v>66</v>
      </c>
      <c r="H17" s="24" t="s">
        <v>69</v>
      </c>
    </row>
    <row r="18" spans="1:8">
      <c r="A18" s="23" t="s">
        <v>108</v>
      </c>
      <c r="B18" s="24" t="s">
        <v>109</v>
      </c>
      <c r="C18" s="24" t="s">
        <v>66</v>
      </c>
      <c r="D18" s="25" t="s">
        <v>67</v>
      </c>
      <c r="E18" s="24" t="s">
        <v>85</v>
      </c>
      <c r="F18" s="26">
        <v>46171</v>
      </c>
      <c r="G18" s="24" t="s">
        <v>66</v>
      </c>
      <c r="H18" s="24" t="s">
        <v>69</v>
      </c>
    </row>
    <row r="19" spans="1:8">
      <c r="A19" s="23" t="s">
        <v>110</v>
      </c>
      <c r="B19" s="24" t="s">
        <v>111</v>
      </c>
      <c r="C19" s="24" t="s">
        <v>66</v>
      </c>
      <c r="D19" s="25" t="s">
        <v>67</v>
      </c>
      <c r="E19" s="24" t="s">
        <v>85</v>
      </c>
      <c r="F19" s="26">
        <v>46169</v>
      </c>
      <c r="G19" s="24" t="s">
        <v>66</v>
      </c>
      <c r="H19" s="24" t="s">
        <v>69</v>
      </c>
    </row>
    <row r="20" spans="1:8">
      <c r="A20" s="23" t="s">
        <v>112</v>
      </c>
      <c r="B20" s="24" t="s">
        <v>113</v>
      </c>
      <c r="C20" s="24" t="s">
        <v>66</v>
      </c>
      <c r="D20" s="25" t="s">
        <v>67</v>
      </c>
      <c r="E20" s="24" t="s">
        <v>99</v>
      </c>
      <c r="F20" s="26">
        <v>46175</v>
      </c>
      <c r="G20" s="24" t="s">
        <v>66</v>
      </c>
      <c r="H20" s="24" t="s">
        <v>69</v>
      </c>
    </row>
    <row r="21" spans="1:8">
      <c r="A21" s="23" t="s">
        <v>114</v>
      </c>
      <c r="B21" s="24" t="s">
        <v>115</v>
      </c>
      <c r="C21" s="24" t="s">
        <v>66</v>
      </c>
      <c r="D21" s="25" t="s">
        <v>67</v>
      </c>
      <c r="E21" s="24" t="s">
        <v>99</v>
      </c>
      <c r="F21" s="26">
        <v>46182</v>
      </c>
      <c r="G21" s="24" t="s">
        <v>66</v>
      </c>
      <c r="H21" s="24" t="s">
        <v>69</v>
      </c>
    </row>
    <row r="22" spans="1:8">
      <c r="A22" s="23" t="s">
        <v>116</v>
      </c>
      <c r="B22" s="24" t="s">
        <v>117</v>
      </c>
      <c r="C22" s="24" t="s">
        <v>66</v>
      </c>
      <c r="D22" s="25" t="s">
        <v>67</v>
      </c>
      <c r="E22" s="24" t="s">
        <v>99</v>
      </c>
      <c r="F22" s="26">
        <v>46175</v>
      </c>
      <c r="G22" s="24" t="s">
        <v>66</v>
      </c>
      <c r="H22" s="24" t="s">
        <v>69</v>
      </c>
    </row>
    <row r="23" spans="1:8">
      <c r="A23" s="23" t="s">
        <v>118</v>
      </c>
      <c r="B23" s="24" t="s">
        <v>119</v>
      </c>
      <c r="C23" s="24" t="s">
        <v>66</v>
      </c>
      <c r="D23" s="25" t="s">
        <v>67</v>
      </c>
      <c r="E23" s="24" t="s">
        <v>99</v>
      </c>
      <c r="F23" s="26">
        <v>46175</v>
      </c>
      <c r="G23" s="24" t="s">
        <v>66</v>
      </c>
      <c r="H23" s="24" t="s">
        <v>69</v>
      </c>
    </row>
    <row r="24" spans="1:8">
      <c r="A24" s="23" t="s">
        <v>120</v>
      </c>
      <c r="B24" s="24" t="s">
        <v>121</v>
      </c>
      <c r="C24" s="24" t="s">
        <v>66</v>
      </c>
      <c r="D24" s="25" t="s">
        <v>67</v>
      </c>
      <c r="E24" s="24" t="s">
        <v>99</v>
      </c>
      <c r="F24" s="26">
        <v>46162</v>
      </c>
      <c r="G24" s="24" t="s">
        <v>66</v>
      </c>
      <c r="H24" s="24" t="s">
        <v>69</v>
      </c>
    </row>
    <row r="25" spans="1:8">
      <c r="A25" s="23" t="s">
        <v>122</v>
      </c>
      <c r="B25" s="24" t="s">
        <v>123</v>
      </c>
      <c r="C25" s="24" t="s">
        <v>66</v>
      </c>
      <c r="D25" s="25" t="s">
        <v>67</v>
      </c>
      <c r="E25" s="24" t="s">
        <v>99</v>
      </c>
      <c r="F25" s="26">
        <v>46083</v>
      </c>
      <c r="G25" s="24" t="s">
        <v>66</v>
      </c>
      <c r="H25" s="24" t="s">
        <v>69</v>
      </c>
    </row>
    <row r="26" spans="1:8">
      <c r="A26" s="23" t="s">
        <v>124</v>
      </c>
      <c r="B26" s="24" t="s">
        <v>125</v>
      </c>
      <c r="C26" s="24" t="s">
        <v>66</v>
      </c>
      <c r="D26" s="25" t="s">
        <v>67</v>
      </c>
      <c r="E26" s="24" t="s">
        <v>99</v>
      </c>
      <c r="F26" s="26">
        <v>46175</v>
      </c>
      <c r="G26" s="24" t="s">
        <v>66</v>
      </c>
      <c r="H26" s="24" t="s">
        <v>69</v>
      </c>
    </row>
    <row r="27" spans="1:8">
      <c r="A27" s="23" t="s">
        <v>126</v>
      </c>
      <c r="B27" s="24" t="s">
        <v>127</v>
      </c>
      <c r="C27" s="24" t="s">
        <v>66</v>
      </c>
      <c r="D27" s="25" t="s">
        <v>67</v>
      </c>
      <c r="E27" s="24" t="s">
        <v>99</v>
      </c>
      <c r="F27" s="26">
        <v>46175</v>
      </c>
      <c r="G27" s="24" t="s">
        <v>66</v>
      </c>
      <c r="H27" s="24" t="s">
        <v>69</v>
      </c>
    </row>
    <row r="28" spans="1:8">
      <c r="A28" s="23" t="s">
        <v>128</v>
      </c>
      <c r="B28" s="24" t="s">
        <v>129</v>
      </c>
      <c r="C28" s="24" t="s">
        <v>66</v>
      </c>
      <c r="D28" s="25" t="s">
        <v>67</v>
      </c>
      <c r="E28" s="24" t="s">
        <v>99</v>
      </c>
      <c r="F28" s="26">
        <v>46156</v>
      </c>
      <c r="G28" s="24" t="s">
        <v>66</v>
      </c>
      <c r="H28" s="24" t="s">
        <v>69</v>
      </c>
    </row>
    <row r="29" spans="1:8">
      <c r="A29" s="23" t="s">
        <v>130</v>
      </c>
      <c r="B29" s="24" t="s">
        <v>131</v>
      </c>
      <c r="C29" s="24" t="s">
        <v>66</v>
      </c>
      <c r="D29" s="25" t="s">
        <v>67</v>
      </c>
      <c r="E29" s="24" t="s">
        <v>99</v>
      </c>
      <c r="F29" s="26">
        <v>46146</v>
      </c>
      <c r="G29" s="24" t="s">
        <v>66</v>
      </c>
      <c r="H29" s="24" t="s">
        <v>69</v>
      </c>
    </row>
    <row r="30" spans="1:8">
      <c r="A30" s="23" t="s">
        <v>132</v>
      </c>
      <c r="B30" s="24" t="s">
        <v>133</v>
      </c>
      <c r="C30" s="24" t="s">
        <v>66</v>
      </c>
      <c r="D30" s="25" t="s">
        <v>67</v>
      </c>
      <c r="E30" s="24" t="s">
        <v>99</v>
      </c>
      <c r="F30" s="26">
        <v>46183</v>
      </c>
      <c r="G30" s="24" t="s">
        <v>66</v>
      </c>
      <c r="H30" s="24" t="s">
        <v>69</v>
      </c>
    </row>
    <row r="31" spans="1:8">
      <c r="A31" s="23" t="s">
        <v>134</v>
      </c>
      <c r="B31" s="24" t="s">
        <v>135</v>
      </c>
      <c r="C31" s="24" t="s">
        <v>66</v>
      </c>
      <c r="D31" s="25" t="s">
        <v>67</v>
      </c>
      <c r="E31" s="24" t="s">
        <v>99</v>
      </c>
      <c r="F31" s="26">
        <v>46183</v>
      </c>
      <c r="G31" s="24" t="s">
        <v>66</v>
      </c>
      <c r="H31" s="24" t="s">
        <v>69</v>
      </c>
    </row>
    <row r="32" spans="1:8">
      <c r="A32" s="23" t="s">
        <v>136</v>
      </c>
      <c r="B32" s="24" t="s">
        <v>137</v>
      </c>
      <c r="C32" s="24" t="s">
        <v>66</v>
      </c>
      <c r="D32" s="25" t="s">
        <v>67</v>
      </c>
      <c r="E32" s="24" t="s">
        <v>99</v>
      </c>
      <c r="F32" s="26">
        <v>46179</v>
      </c>
      <c r="G32" s="24" t="s">
        <v>66</v>
      </c>
      <c r="H32" s="24" t="s">
        <v>69</v>
      </c>
    </row>
    <row r="33" spans="1:8">
      <c r="A33" s="23" t="s">
        <v>138</v>
      </c>
      <c r="B33" s="24" t="s">
        <v>139</v>
      </c>
      <c r="C33" s="24" t="s">
        <v>66</v>
      </c>
      <c r="D33" s="25" t="s">
        <v>67</v>
      </c>
      <c r="E33" s="24" t="s">
        <v>99</v>
      </c>
      <c r="F33" s="26">
        <v>46097</v>
      </c>
      <c r="G33" s="24" t="s">
        <v>66</v>
      </c>
      <c r="H33" s="24" t="s">
        <v>69</v>
      </c>
    </row>
    <row r="34" spans="1:8">
      <c r="A34" s="23" t="s">
        <v>140</v>
      </c>
      <c r="B34" s="24" t="s">
        <v>141</v>
      </c>
      <c r="C34" s="24" t="s">
        <v>66</v>
      </c>
      <c r="D34" s="25" t="s">
        <v>67</v>
      </c>
      <c r="E34" s="24" t="s">
        <v>99</v>
      </c>
      <c r="F34" s="26">
        <v>46149</v>
      </c>
      <c r="G34" s="24" t="s">
        <v>66</v>
      </c>
      <c r="H34" s="24" t="s">
        <v>69</v>
      </c>
    </row>
    <row r="35" spans="1:8">
      <c r="A35" s="23" t="s">
        <v>142</v>
      </c>
      <c r="B35" s="24" t="s">
        <v>143</v>
      </c>
      <c r="C35" s="24" t="s">
        <v>66</v>
      </c>
      <c r="D35" s="25" t="s">
        <v>67</v>
      </c>
      <c r="E35" s="24" t="s">
        <v>99</v>
      </c>
      <c r="F35" s="26">
        <v>46181</v>
      </c>
      <c r="G35" s="24" t="s">
        <v>66</v>
      </c>
      <c r="H35" s="24" t="s">
        <v>69</v>
      </c>
    </row>
    <row r="36" spans="1:8">
      <c r="A36" s="23" t="s">
        <v>144</v>
      </c>
      <c r="B36" s="24" t="s">
        <v>119</v>
      </c>
      <c r="C36" s="24" t="s">
        <v>66</v>
      </c>
      <c r="D36" s="25" t="s">
        <v>67</v>
      </c>
      <c r="E36" s="24" t="s">
        <v>99</v>
      </c>
      <c r="F36" s="26">
        <v>46182</v>
      </c>
      <c r="G36" s="24" t="s">
        <v>66</v>
      </c>
      <c r="H36" s="24" t="s">
        <v>69</v>
      </c>
    </row>
    <row r="37" spans="1:8">
      <c r="A37" s="23" t="s">
        <v>145</v>
      </c>
      <c r="B37" s="24" t="s">
        <v>146</v>
      </c>
      <c r="C37" s="24" t="s">
        <v>66</v>
      </c>
      <c r="D37" s="25" t="s">
        <v>67</v>
      </c>
      <c r="E37" s="24" t="s">
        <v>99</v>
      </c>
      <c r="F37" s="26">
        <v>46241</v>
      </c>
      <c r="G37" s="24" t="s">
        <v>66</v>
      </c>
      <c r="H37" s="24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E22" sqref="E22"/>
    </sheetView>
  </sheetViews>
  <sheetFormatPr baseColWidth="10" defaultColWidth="9.109375" defaultRowHeight="14.4"/>
  <cols>
    <col min="1" max="1" width="11.5546875" bestFit="1" customWidth="1"/>
  </cols>
  <sheetData>
    <row r="1" spans="1:8" ht="21">
      <c r="A1" s="61" t="s">
        <v>147</v>
      </c>
      <c r="B1" s="62"/>
      <c r="C1" s="62"/>
      <c r="D1" s="62"/>
      <c r="E1" s="62"/>
      <c r="F1" s="62"/>
      <c r="G1" s="62"/>
      <c r="H1" s="62"/>
    </row>
    <row r="3" spans="1:8">
      <c r="A3" t="s">
        <v>148</v>
      </c>
      <c r="B3" t="s">
        <v>149</v>
      </c>
    </row>
    <row r="6" spans="1:8">
      <c r="A6" s="1" t="s">
        <v>9</v>
      </c>
      <c r="B6" s="1" t="s">
        <v>150</v>
      </c>
    </row>
    <row r="7" spans="1:8">
      <c r="A7" t="s">
        <v>39</v>
      </c>
      <c r="B7">
        <v>30</v>
      </c>
    </row>
    <row r="8" spans="1:8">
      <c r="A8" t="s">
        <v>151</v>
      </c>
      <c r="B8">
        <v>1</v>
      </c>
    </row>
    <row r="9" spans="1:8">
      <c r="A9" t="s">
        <v>49</v>
      </c>
      <c r="B9">
        <v>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C1D0-62E4-40EF-B91C-F4006CE0D004}">
  <dimension ref="A1:I8"/>
  <sheetViews>
    <sheetView workbookViewId="0">
      <selection activeCell="H4" sqref="H4"/>
    </sheetView>
  </sheetViews>
  <sheetFormatPr baseColWidth="10" defaultColWidth="9.109375" defaultRowHeight="14.4"/>
  <cols>
    <col min="1" max="1" width="10" customWidth="1"/>
    <col min="2" max="3" width="18" customWidth="1"/>
    <col min="4" max="4" width="14" customWidth="1"/>
    <col min="5" max="5" width="16" customWidth="1"/>
    <col min="6" max="6" width="12" customWidth="1"/>
    <col min="7" max="7" width="20" customWidth="1"/>
    <col min="8" max="8" width="22" customWidth="1"/>
    <col min="9" max="9" width="30" customWidth="1"/>
  </cols>
  <sheetData>
    <row r="1" spans="1:9">
      <c r="A1" s="3" t="s">
        <v>152</v>
      </c>
      <c r="B1" s="3" t="s">
        <v>25</v>
      </c>
      <c r="C1" s="3" t="s">
        <v>153</v>
      </c>
      <c r="D1" s="3" t="s">
        <v>154</v>
      </c>
      <c r="E1" s="3" t="s">
        <v>24</v>
      </c>
      <c r="F1" s="3" t="s">
        <v>155</v>
      </c>
      <c r="G1" s="3" t="s">
        <v>22</v>
      </c>
      <c r="H1" s="3" t="s">
        <v>63</v>
      </c>
      <c r="I1" s="3" t="s">
        <v>30</v>
      </c>
    </row>
    <row r="2" spans="1:9">
      <c r="A2" s="4" t="s">
        <v>156</v>
      </c>
      <c r="B2" s="4" t="s">
        <v>157</v>
      </c>
      <c r="C2" s="4" t="s">
        <v>158</v>
      </c>
      <c r="D2" s="4" t="s">
        <v>159</v>
      </c>
      <c r="E2" s="4">
        <v>1037</v>
      </c>
      <c r="F2" s="27">
        <v>46887</v>
      </c>
      <c r="G2" s="4"/>
      <c r="H2" s="4" t="s">
        <v>66</v>
      </c>
      <c r="I2" s="6"/>
    </row>
    <row r="3" spans="1:9">
      <c r="A3" s="4" t="s">
        <v>160</v>
      </c>
      <c r="B3" s="4" t="s">
        <v>157</v>
      </c>
      <c r="C3" s="4" t="s">
        <v>158</v>
      </c>
      <c r="D3" s="4" t="s">
        <v>159</v>
      </c>
      <c r="E3" s="4">
        <v>252344</v>
      </c>
      <c r="F3" s="4"/>
      <c r="G3" s="4"/>
      <c r="H3" s="4" t="s">
        <v>161</v>
      </c>
      <c r="I3" s="6"/>
    </row>
    <row r="4" spans="1:9">
      <c r="A4" s="4" t="s">
        <v>162</v>
      </c>
      <c r="B4" s="4" t="s">
        <v>163</v>
      </c>
      <c r="C4" s="4" t="s">
        <v>158</v>
      </c>
      <c r="D4" s="4" t="s">
        <v>164</v>
      </c>
      <c r="E4" s="20" t="s">
        <v>165</v>
      </c>
      <c r="F4" s="27">
        <v>46939</v>
      </c>
      <c r="G4" s="4"/>
      <c r="H4" s="4" t="s">
        <v>66</v>
      </c>
      <c r="I4" s="6"/>
    </row>
    <row r="5" spans="1:9">
      <c r="A5" s="4" t="s">
        <v>166</v>
      </c>
      <c r="B5" s="4" t="s">
        <v>157</v>
      </c>
      <c r="C5" s="4" t="s">
        <v>158</v>
      </c>
      <c r="D5" s="4" t="s">
        <v>167</v>
      </c>
      <c r="E5" s="4" t="s">
        <v>168</v>
      </c>
      <c r="F5" s="27">
        <v>46655</v>
      </c>
      <c r="G5" s="4"/>
      <c r="H5" s="4" t="s">
        <v>66</v>
      </c>
      <c r="I5" s="6"/>
    </row>
    <row r="6" spans="1:9">
      <c r="A6" s="4" t="s">
        <v>169</v>
      </c>
      <c r="B6" s="4" t="s">
        <v>170</v>
      </c>
      <c r="C6" s="4" t="s">
        <v>158</v>
      </c>
      <c r="D6" s="4" t="s">
        <v>171</v>
      </c>
      <c r="E6" s="4" t="s">
        <v>172</v>
      </c>
      <c r="F6" s="4"/>
      <c r="G6" s="4"/>
      <c r="H6" s="4" t="s">
        <v>66</v>
      </c>
      <c r="I6" s="6"/>
    </row>
    <row r="7" spans="1:9">
      <c r="A7" s="4" t="s">
        <v>173</v>
      </c>
      <c r="B7" s="4" t="s">
        <v>170</v>
      </c>
      <c r="C7" s="4" t="s">
        <v>158</v>
      </c>
      <c r="D7" s="4" t="s">
        <v>171</v>
      </c>
      <c r="E7" s="4" t="s">
        <v>174</v>
      </c>
      <c r="F7" s="4"/>
      <c r="G7" s="4"/>
      <c r="H7" s="4" t="s">
        <v>66</v>
      </c>
      <c r="I7" s="6"/>
    </row>
    <row r="8" spans="1:9">
      <c r="A8" s="4" t="s">
        <v>175</v>
      </c>
      <c r="B8" s="4" t="s">
        <v>170</v>
      </c>
      <c r="C8" s="4" t="s">
        <v>158</v>
      </c>
      <c r="D8" s="4" t="s">
        <v>164</v>
      </c>
      <c r="E8" s="4" t="s">
        <v>176</v>
      </c>
      <c r="F8" s="27">
        <v>46591</v>
      </c>
      <c r="G8" s="4"/>
      <c r="H8" s="4" t="s">
        <v>66</v>
      </c>
      <c r="I8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"/>
  <sheetViews>
    <sheetView workbookViewId="0">
      <pane ySplit="1" topLeftCell="A8" activePane="bottomLeft" state="frozen"/>
      <selection pane="bottomLeft" activeCell="E46" sqref="E46"/>
    </sheetView>
  </sheetViews>
  <sheetFormatPr baseColWidth="10" defaultColWidth="9.109375" defaultRowHeight="14.4"/>
  <cols>
    <col min="1" max="8" width="18" customWidth="1"/>
    <col min="9" max="9" width="14.88671875" customWidth="1"/>
  </cols>
  <sheetData>
    <row r="1" spans="1:8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29</v>
      </c>
      <c r="G1" s="2" t="s">
        <v>9</v>
      </c>
      <c r="H1" s="2" t="s">
        <v>182</v>
      </c>
    </row>
    <row r="2" spans="1:8">
      <c r="A2" t="s">
        <v>183</v>
      </c>
      <c r="B2" t="s">
        <v>184</v>
      </c>
      <c r="C2" t="s">
        <v>185</v>
      </c>
      <c r="D2">
        <v>350</v>
      </c>
      <c r="E2">
        <v>50</v>
      </c>
      <c r="F2" s="8">
        <v>46722</v>
      </c>
      <c r="G2" t="s">
        <v>186</v>
      </c>
    </row>
    <row r="3" spans="1:8">
      <c r="A3" t="s">
        <v>187</v>
      </c>
      <c r="B3" t="s">
        <v>188</v>
      </c>
      <c r="C3" t="s">
        <v>185</v>
      </c>
      <c r="D3">
        <v>320</v>
      </c>
      <c r="E3">
        <v>50</v>
      </c>
      <c r="F3" s="8">
        <v>47058</v>
      </c>
      <c r="G3" t="s">
        <v>186</v>
      </c>
    </row>
    <row r="4" spans="1:8">
      <c r="A4" t="s">
        <v>189</v>
      </c>
      <c r="B4" t="s">
        <v>190</v>
      </c>
      <c r="C4" t="s">
        <v>185</v>
      </c>
      <c r="D4">
        <v>270</v>
      </c>
      <c r="E4">
        <v>50</v>
      </c>
      <c r="F4" s="8">
        <v>47818</v>
      </c>
      <c r="G4" t="s">
        <v>186</v>
      </c>
    </row>
    <row r="5" spans="1:8">
      <c r="A5" t="s">
        <v>191</v>
      </c>
      <c r="B5" t="s">
        <v>192</v>
      </c>
      <c r="C5" t="s">
        <v>185</v>
      </c>
      <c r="D5">
        <v>220</v>
      </c>
      <c r="E5">
        <v>50</v>
      </c>
      <c r="F5" s="8">
        <v>46722</v>
      </c>
      <c r="G5" t="s">
        <v>186</v>
      </c>
    </row>
    <row r="6" spans="1:8">
      <c r="A6" t="s">
        <v>193</v>
      </c>
      <c r="B6" t="s">
        <v>194</v>
      </c>
      <c r="C6" t="s">
        <v>185</v>
      </c>
      <c r="D6">
        <v>140</v>
      </c>
      <c r="E6">
        <v>50</v>
      </c>
      <c r="F6" s="8">
        <v>47088</v>
      </c>
      <c r="G6" t="s">
        <v>186</v>
      </c>
    </row>
    <row r="7" spans="1:8">
      <c r="A7" t="s">
        <v>195</v>
      </c>
      <c r="B7" t="s">
        <v>196</v>
      </c>
      <c r="C7" t="s">
        <v>185</v>
      </c>
      <c r="D7">
        <v>390</v>
      </c>
      <c r="E7">
        <v>50</v>
      </c>
      <c r="F7" s="8">
        <v>47089</v>
      </c>
      <c r="G7" t="s">
        <v>186</v>
      </c>
    </row>
    <row r="8" spans="1:8">
      <c r="A8" t="s">
        <v>197</v>
      </c>
      <c r="B8" t="s">
        <v>198</v>
      </c>
      <c r="C8" t="s">
        <v>185</v>
      </c>
      <c r="D8">
        <v>550</v>
      </c>
      <c r="E8">
        <v>50</v>
      </c>
      <c r="F8" s="8">
        <v>47090</v>
      </c>
      <c r="G8" t="s">
        <v>186</v>
      </c>
    </row>
    <row r="9" spans="1:8">
      <c r="A9" t="s">
        <v>199</v>
      </c>
      <c r="B9" t="s">
        <v>200</v>
      </c>
      <c r="C9" t="s">
        <v>185</v>
      </c>
      <c r="D9">
        <v>200</v>
      </c>
      <c r="E9">
        <v>50</v>
      </c>
      <c r="F9" s="8">
        <v>47091</v>
      </c>
      <c r="G9" t="s">
        <v>186</v>
      </c>
    </row>
    <row r="10" spans="1:8">
      <c r="A10" t="s">
        <v>201</v>
      </c>
      <c r="B10" t="s">
        <v>202</v>
      </c>
      <c r="C10" t="s">
        <v>185</v>
      </c>
      <c r="D10">
        <v>140</v>
      </c>
      <c r="E10">
        <v>50</v>
      </c>
      <c r="F10" s="8">
        <v>47818</v>
      </c>
      <c r="G10" t="s">
        <v>186</v>
      </c>
    </row>
    <row r="11" spans="1:8">
      <c r="A11" t="s">
        <v>203</v>
      </c>
      <c r="B11" t="s">
        <v>204</v>
      </c>
      <c r="C11" t="s">
        <v>185</v>
      </c>
      <c r="D11">
        <v>90</v>
      </c>
      <c r="E11">
        <v>50</v>
      </c>
      <c r="F11" s="8">
        <v>47088</v>
      </c>
      <c r="G11" t="s">
        <v>186</v>
      </c>
    </row>
    <row r="12" spans="1:8">
      <c r="A12" t="s">
        <v>205</v>
      </c>
      <c r="B12" t="s">
        <v>206</v>
      </c>
      <c r="C12" t="s">
        <v>185</v>
      </c>
      <c r="D12">
        <v>40</v>
      </c>
      <c r="E12">
        <v>20</v>
      </c>
      <c r="F12" s="8">
        <v>46722</v>
      </c>
      <c r="G12" t="s">
        <v>186</v>
      </c>
    </row>
    <row r="13" spans="1:8">
      <c r="A13" t="s">
        <v>207</v>
      </c>
      <c r="B13" t="s">
        <v>208</v>
      </c>
      <c r="C13" t="s">
        <v>185</v>
      </c>
      <c r="D13">
        <v>70</v>
      </c>
      <c r="E13">
        <v>20</v>
      </c>
      <c r="F13" s="8">
        <v>46722</v>
      </c>
      <c r="G13" t="s">
        <v>186</v>
      </c>
    </row>
    <row r="14" spans="1:8">
      <c r="A14" t="s">
        <v>209</v>
      </c>
      <c r="B14" t="s">
        <v>210</v>
      </c>
      <c r="C14" t="s">
        <v>185</v>
      </c>
      <c r="D14">
        <v>40</v>
      </c>
      <c r="E14">
        <v>20</v>
      </c>
      <c r="F14" s="8">
        <v>47088</v>
      </c>
      <c r="G14" t="s">
        <v>186</v>
      </c>
    </row>
    <row r="15" spans="1:8">
      <c r="A15" t="s">
        <v>211</v>
      </c>
      <c r="B15" t="s">
        <v>212</v>
      </c>
      <c r="C15" t="s">
        <v>185</v>
      </c>
      <c r="D15">
        <v>70</v>
      </c>
      <c r="E15">
        <v>20</v>
      </c>
      <c r="F15" s="8">
        <v>46722</v>
      </c>
      <c r="G15" t="s">
        <v>186</v>
      </c>
    </row>
    <row r="16" spans="1:8">
      <c r="A16" t="s">
        <v>213</v>
      </c>
      <c r="B16" t="s">
        <v>214</v>
      </c>
      <c r="C16" t="s">
        <v>185</v>
      </c>
      <c r="D16">
        <v>24</v>
      </c>
      <c r="E16">
        <v>20</v>
      </c>
      <c r="F16" s="8">
        <v>46722</v>
      </c>
      <c r="G16" t="s">
        <v>186</v>
      </c>
    </row>
    <row r="17" spans="1:7">
      <c r="A17" t="s">
        <v>215</v>
      </c>
      <c r="B17" t="s">
        <v>216</v>
      </c>
      <c r="C17" t="s">
        <v>185</v>
      </c>
      <c r="D17">
        <v>15</v>
      </c>
      <c r="E17">
        <v>20</v>
      </c>
      <c r="F17" s="8">
        <v>46722</v>
      </c>
      <c r="G17" t="s">
        <v>186</v>
      </c>
    </row>
    <row r="18" spans="1:7">
      <c r="A18" t="s">
        <v>217</v>
      </c>
      <c r="B18" t="s">
        <v>218</v>
      </c>
      <c r="C18" t="s">
        <v>185</v>
      </c>
      <c r="D18">
        <v>20</v>
      </c>
      <c r="E18">
        <v>20</v>
      </c>
      <c r="F18" s="8">
        <v>47088</v>
      </c>
      <c r="G18" t="s">
        <v>186</v>
      </c>
    </row>
    <row r="19" spans="1:7">
      <c r="A19" t="s">
        <v>219</v>
      </c>
      <c r="B19" t="s">
        <v>220</v>
      </c>
      <c r="C19" t="s">
        <v>185</v>
      </c>
      <c r="D19">
        <v>14</v>
      </c>
      <c r="E19">
        <v>20</v>
      </c>
      <c r="F19" s="8">
        <v>47088</v>
      </c>
      <c r="G19" t="s">
        <v>186</v>
      </c>
    </row>
    <row r="20" spans="1:7">
      <c r="A20" t="s">
        <v>221</v>
      </c>
      <c r="B20" t="s">
        <v>210</v>
      </c>
      <c r="C20" t="s">
        <v>222</v>
      </c>
      <c r="D20">
        <v>44</v>
      </c>
      <c r="E20">
        <v>20</v>
      </c>
      <c r="F20" s="8">
        <v>47088</v>
      </c>
      <c r="G20" t="s">
        <v>186</v>
      </c>
    </row>
    <row r="21" spans="1:7">
      <c r="A21" t="s">
        <v>223</v>
      </c>
      <c r="B21" t="s">
        <v>224</v>
      </c>
      <c r="C21" t="s">
        <v>222</v>
      </c>
      <c r="D21">
        <v>7</v>
      </c>
      <c r="E21">
        <v>5</v>
      </c>
      <c r="F21" s="8">
        <v>46722</v>
      </c>
      <c r="G21" t="s">
        <v>186</v>
      </c>
    </row>
    <row r="22" spans="1:7">
      <c r="A22" t="s">
        <v>225</v>
      </c>
      <c r="B22" t="s">
        <v>226</v>
      </c>
      <c r="C22" t="s">
        <v>222</v>
      </c>
      <c r="D22">
        <v>6</v>
      </c>
      <c r="E22">
        <v>5</v>
      </c>
      <c r="F22" s="8">
        <v>46722</v>
      </c>
      <c r="G22" t="s">
        <v>186</v>
      </c>
    </row>
    <row r="23" spans="1:7">
      <c r="A23" t="s">
        <v>227</v>
      </c>
      <c r="B23" t="s">
        <v>228</v>
      </c>
      <c r="C23" t="s">
        <v>222</v>
      </c>
      <c r="D23">
        <v>90</v>
      </c>
      <c r="E23">
        <v>50</v>
      </c>
      <c r="F23" s="8">
        <v>47453</v>
      </c>
      <c r="G23" t="s">
        <v>186</v>
      </c>
    </row>
    <row r="24" spans="1:7">
      <c r="A24" t="s">
        <v>229</v>
      </c>
      <c r="B24" t="s">
        <v>230</v>
      </c>
      <c r="C24" t="s">
        <v>222</v>
      </c>
      <c r="D24">
        <v>38</v>
      </c>
      <c r="E24">
        <v>20</v>
      </c>
      <c r="F24" s="8">
        <v>47088</v>
      </c>
      <c r="G24" t="s">
        <v>186</v>
      </c>
    </row>
    <row r="25" spans="1:7">
      <c r="A25" t="s">
        <v>231</v>
      </c>
      <c r="B25" t="s">
        <v>232</v>
      </c>
      <c r="C25" t="s">
        <v>222</v>
      </c>
      <c r="D25">
        <v>10</v>
      </c>
      <c r="E25">
        <v>10</v>
      </c>
      <c r="F25" s="8">
        <v>46722</v>
      </c>
      <c r="G25" t="s">
        <v>186</v>
      </c>
    </row>
    <row r="26" spans="1:7">
      <c r="A26" t="s">
        <v>233</v>
      </c>
      <c r="B26" t="s">
        <v>234</v>
      </c>
      <c r="C26" t="s">
        <v>222</v>
      </c>
      <c r="D26">
        <v>5</v>
      </c>
      <c r="E26">
        <v>5</v>
      </c>
      <c r="F26" s="8">
        <v>46722</v>
      </c>
      <c r="G26" t="s">
        <v>186</v>
      </c>
    </row>
    <row r="27" spans="1:7">
      <c r="A27" t="s">
        <v>235</v>
      </c>
      <c r="B27" t="s">
        <v>216</v>
      </c>
      <c r="C27" t="s">
        <v>222</v>
      </c>
      <c r="D27">
        <v>1</v>
      </c>
      <c r="E27">
        <v>1</v>
      </c>
      <c r="F27" s="8">
        <v>47088</v>
      </c>
      <c r="G27" t="s">
        <v>186</v>
      </c>
    </row>
    <row r="28" spans="1:7">
      <c r="A28" t="s">
        <v>236</v>
      </c>
      <c r="B28" t="s">
        <v>237</v>
      </c>
      <c r="C28" t="s">
        <v>222</v>
      </c>
      <c r="D28">
        <v>7</v>
      </c>
      <c r="E28">
        <v>5</v>
      </c>
      <c r="F28" s="8">
        <v>47088</v>
      </c>
      <c r="G28" t="s">
        <v>186</v>
      </c>
    </row>
    <row r="29" spans="1:7">
      <c r="A29" t="s">
        <v>238</v>
      </c>
      <c r="B29" t="s">
        <v>239</v>
      </c>
      <c r="C29" t="s">
        <v>222</v>
      </c>
      <c r="D29">
        <v>14</v>
      </c>
      <c r="E29">
        <v>10</v>
      </c>
      <c r="F29" s="8">
        <v>46722</v>
      </c>
      <c r="G29" t="s">
        <v>186</v>
      </c>
    </row>
    <row r="30" spans="1:7">
      <c r="A30" t="s">
        <v>240</v>
      </c>
      <c r="B30" t="s">
        <v>241</v>
      </c>
      <c r="C30" t="s">
        <v>222</v>
      </c>
      <c r="D30">
        <v>6</v>
      </c>
      <c r="E30">
        <v>5</v>
      </c>
      <c r="F30" s="8">
        <v>46357</v>
      </c>
      <c r="G30" t="s">
        <v>186</v>
      </c>
    </row>
    <row r="31" spans="1:7">
      <c r="A31" t="s">
        <v>242</v>
      </c>
      <c r="B31" t="s">
        <v>243</v>
      </c>
      <c r="C31" t="s">
        <v>222</v>
      </c>
      <c r="D31">
        <v>31</v>
      </c>
      <c r="E31">
        <v>10</v>
      </c>
      <c r="F31" s="8">
        <v>47088</v>
      </c>
      <c r="G31" t="s">
        <v>186</v>
      </c>
    </row>
    <row r="32" spans="1:7">
      <c r="A32" t="s">
        <v>244</v>
      </c>
      <c r="B32" t="s">
        <v>245</v>
      </c>
      <c r="C32" t="s">
        <v>222</v>
      </c>
      <c r="D32">
        <v>2</v>
      </c>
      <c r="E32">
        <v>1</v>
      </c>
      <c r="F32" s="8">
        <v>46722</v>
      </c>
      <c r="G32" t="s">
        <v>186</v>
      </c>
    </row>
    <row r="33" spans="1:7">
      <c r="A33" t="s">
        <v>246</v>
      </c>
      <c r="B33" t="s">
        <v>247</v>
      </c>
      <c r="C33" t="s">
        <v>222</v>
      </c>
      <c r="D33">
        <v>2</v>
      </c>
      <c r="E33">
        <v>1</v>
      </c>
      <c r="F33" s="8">
        <v>47088</v>
      </c>
      <c r="G33" t="s">
        <v>186</v>
      </c>
    </row>
    <row r="34" spans="1:7">
      <c r="A34" t="s">
        <v>248</v>
      </c>
      <c r="B34" t="s">
        <v>249</v>
      </c>
      <c r="C34" t="s">
        <v>222</v>
      </c>
      <c r="D34">
        <v>3</v>
      </c>
      <c r="E34">
        <v>2</v>
      </c>
      <c r="F34" s="8">
        <v>47453</v>
      </c>
      <c r="G34" t="s">
        <v>186</v>
      </c>
    </row>
    <row r="35" spans="1:7">
      <c r="A35" t="s">
        <v>250</v>
      </c>
      <c r="B35" t="s">
        <v>251</v>
      </c>
      <c r="C35" t="s">
        <v>222</v>
      </c>
      <c r="D35">
        <v>3</v>
      </c>
      <c r="E35">
        <v>2</v>
      </c>
      <c r="F35" s="8">
        <v>47088</v>
      </c>
      <c r="G35" t="s">
        <v>186</v>
      </c>
    </row>
    <row r="36" spans="1:7">
      <c r="A36" t="s">
        <v>252</v>
      </c>
      <c r="B36" t="s">
        <v>253</v>
      </c>
      <c r="C36" t="s">
        <v>222</v>
      </c>
      <c r="D36">
        <v>2</v>
      </c>
      <c r="E36">
        <v>2</v>
      </c>
      <c r="F36" s="8">
        <v>47453</v>
      </c>
      <c r="G36" t="s">
        <v>186</v>
      </c>
    </row>
    <row r="37" spans="1:7">
      <c r="A37" t="s">
        <v>254</v>
      </c>
      <c r="B37" t="s">
        <v>255</v>
      </c>
      <c r="C37" t="s">
        <v>222</v>
      </c>
      <c r="D37">
        <v>18</v>
      </c>
      <c r="E37">
        <v>10</v>
      </c>
      <c r="F37" s="8">
        <v>47088</v>
      </c>
      <c r="G37" t="s">
        <v>186</v>
      </c>
    </row>
    <row r="38" spans="1:7">
      <c r="A38" t="s">
        <v>256</v>
      </c>
      <c r="B38" t="s">
        <v>257</v>
      </c>
      <c r="C38" t="s">
        <v>222</v>
      </c>
      <c r="D38">
        <v>9</v>
      </c>
      <c r="E38">
        <v>5</v>
      </c>
      <c r="F38" s="8">
        <v>46357</v>
      </c>
      <c r="G38" t="s">
        <v>186</v>
      </c>
    </row>
    <row r="39" spans="1:7">
      <c r="A39" t="s">
        <v>258</v>
      </c>
      <c r="B39" t="s">
        <v>259</v>
      </c>
      <c r="C39" t="s">
        <v>260</v>
      </c>
      <c r="D39">
        <v>9</v>
      </c>
      <c r="E39">
        <v>5</v>
      </c>
      <c r="F39" s="8">
        <v>47088</v>
      </c>
      <c r="G39" t="s">
        <v>186</v>
      </c>
    </row>
    <row r="40" spans="1:7">
      <c r="A40" t="s">
        <v>261</v>
      </c>
      <c r="B40" t="s">
        <v>262</v>
      </c>
      <c r="C40" t="s">
        <v>260</v>
      </c>
      <c r="D40">
        <v>14</v>
      </c>
      <c r="E40">
        <v>5</v>
      </c>
      <c r="F40" s="8">
        <v>47088</v>
      </c>
      <c r="G40" t="s">
        <v>186</v>
      </c>
    </row>
    <row r="41" spans="1:7">
      <c r="A41" t="s">
        <v>263</v>
      </c>
      <c r="B41" t="s">
        <v>264</v>
      </c>
      <c r="C41" t="s">
        <v>265</v>
      </c>
      <c r="D41">
        <v>1</v>
      </c>
      <c r="E41">
        <v>1</v>
      </c>
      <c r="F41" s="8">
        <v>46357</v>
      </c>
      <c r="G41" t="s">
        <v>186</v>
      </c>
    </row>
    <row r="42" spans="1:7">
      <c r="A42" t="s">
        <v>266</v>
      </c>
      <c r="B42" t="s">
        <v>267</v>
      </c>
      <c r="C42" t="s">
        <v>265</v>
      </c>
      <c r="D42">
        <v>11</v>
      </c>
      <c r="E42">
        <v>10</v>
      </c>
      <c r="F42" s="8">
        <v>46722</v>
      </c>
      <c r="G42" t="s">
        <v>186</v>
      </c>
    </row>
    <row r="43" spans="1:7">
      <c r="A43" t="s">
        <v>268</v>
      </c>
      <c r="B43" t="s">
        <v>269</v>
      </c>
      <c r="C43" t="s">
        <v>265</v>
      </c>
      <c r="D43">
        <v>3</v>
      </c>
      <c r="E43">
        <v>2</v>
      </c>
      <c r="F43" s="8">
        <v>46722</v>
      </c>
      <c r="G43" t="s">
        <v>186</v>
      </c>
    </row>
    <row r="44" spans="1:7">
      <c r="A44" t="s">
        <v>270</v>
      </c>
      <c r="B44" t="s">
        <v>271</v>
      </c>
      <c r="C44" t="s">
        <v>265</v>
      </c>
      <c r="D44">
        <v>6</v>
      </c>
      <c r="E44">
        <v>2</v>
      </c>
      <c r="F44" s="8">
        <v>46722</v>
      </c>
      <c r="G44" t="s">
        <v>186</v>
      </c>
    </row>
    <row r="45" spans="1:7">
      <c r="A45" t="s">
        <v>272</v>
      </c>
      <c r="B45" t="s">
        <v>273</v>
      </c>
      <c r="C45" t="s">
        <v>274</v>
      </c>
      <c r="D45">
        <v>4</v>
      </c>
      <c r="E45">
        <v>2</v>
      </c>
      <c r="F45" s="8">
        <v>46357</v>
      </c>
      <c r="G45" t="s">
        <v>186</v>
      </c>
    </row>
    <row r="46" spans="1:7">
      <c r="A46" t="s">
        <v>275</v>
      </c>
    </row>
    <row r="47" spans="1:7">
      <c r="A47" t="s">
        <v>276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9590-B2FA-415F-BE69-D3C29C900457}">
  <dimension ref="A1:G28"/>
  <sheetViews>
    <sheetView workbookViewId="0">
      <pane ySplit="1" topLeftCell="A2" activePane="bottomLeft" state="frozen"/>
      <selection pane="bottomLeft" activeCell="E28" sqref="E28"/>
    </sheetView>
  </sheetViews>
  <sheetFormatPr baseColWidth="10" defaultColWidth="9.109375" defaultRowHeight="14.4"/>
  <cols>
    <col min="1" max="8" width="18" customWidth="1"/>
    <col min="9" max="9" width="14.88671875" customWidth="1"/>
  </cols>
  <sheetData>
    <row r="1" spans="1:7">
      <c r="A1" s="2" t="s">
        <v>177</v>
      </c>
      <c r="B1" s="2" t="s">
        <v>178</v>
      </c>
      <c r="C1" s="2" t="s">
        <v>179</v>
      </c>
      <c r="D1" s="2" t="s">
        <v>277</v>
      </c>
      <c r="E1" s="2" t="s">
        <v>278</v>
      </c>
      <c r="F1" s="2" t="s">
        <v>9</v>
      </c>
      <c r="G1" s="2" t="s">
        <v>182</v>
      </c>
    </row>
    <row r="2" spans="1:7">
      <c r="A2" t="s">
        <v>183</v>
      </c>
      <c r="B2" t="s">
        <v>184</v>
      </c>
      <c r="C2" t="s">
        <v>185</v>
      </c>
      <c r="D2">
        <v>32</v>
      </c>
      <c r="E2" t="s">
        <v>279</v>
      </c>
      <c r="F2" t="s">
        <v>186</v>
      </c>
    </row>
    <row r="3" spans="1:7">
      <c r="A3" t="s">
        <v>187</v>
      </c>
      <c r="B3" t="s">
        <v>280</v>
      </c>
      <c r="C3" t="s">
        <v>185</v>
      </c>
      <c r="D3">
        <v>17</v>
      </c>
      <c r="E3" t="s">
        <v>279</v>
      </c>
      <c r="F3" t="s">
        <v>186</v>
      </c>
    </row>
    <row r="4" spans="1:7">
      <c r="A4" t="s">
        <v>189</v>
      </c>
      <c r="B4" t="s">
        <v>192</v>
      </c>
      <c r="C4" t="s">
        <v>185</v>
      </c>
      <c r="D4">
        <v>11</v>
      </c>
      <c r="E4" t="s">
        <v>279</v>
      </c>
      <c r="F4" t="s">
        <v>186</v>
      </c>
    </row>
    <row r="5" spans="1:7">
      <c r="A5" t="s">
        <v>191</v>
      </c>
      <c r="B5" t="s">
        <v>212</v>
      </c>
      <c r="C5" t="s">
        <v>185</v>
      </c>
      <c r="D5">
        <v>20</v>
      </c>
      <c r="E5" t="s">
        <v>279</v>
      </c>
      <c r="F5" t="s">
        <v>186</v>
      </c>
    </row>
    <row r="6" spans="1:7">
      <c r="A6" t="s">
        <v>193</v>
      </c>
      <c r="B6" t="s">
        <v>281</v>
      </c>
      <c r="C6" t="s">
        <v>185</v>
      </c>
      <c r="D6">
        <v>21</v>
      </c>
      <c r="E6" t="s">
        <v>279</v>
      </c>
      <c r="F6" t="s">
        <v>186</v>
      </c>
    </row>
    <row r="7" spans="1:7">
      <c r="A7" t="s">
        <v>197</v>
      </c>
      <c r="B7" t="s">
        <v>282</v>
      </c>
      <c r="C7" t="s">
        <v>185</v>
      </c>
      <c r="D7">
        <v>10</v>
      </c>
      <c r="E7" t="s">
        <v>279</v>
      </c>
      <c r="F7" t="s">
        <v>186</v>
      </c>
    </row>
    <row r="8" spans="1:7">
      <c r="A8" t="s">
        <v>199</v>
      </c>
      <c r="B8" t="s">
        <v>283</v>
      </c>
      <c r="C8" t="s">
        <v>185</v>
      </c>
      <c r="D8">
        <v>14</v>
      </c>
      <c r="E8" t="s">
        <v>279</v>
      </c>
      <c r="F8" t="s">
        <v>186</v>
      </c>
    </row>
    <row r="9" spans="1:7">
      <c r="A9" t="s">
        <v>201</v>
      </c>
      <c r="B9" t="s">
        <v>284</v>
      </c>
      <c r="C9" t="s">
        <v>185</v>
      </c>
      <c r="D9">
        <v>60</v>
      </c>
      <c r="E9" t="s">
        <v>279</v>
      </c>
      <c r="F9" t="s">
        <v>186</v>
      </c>
    </row>
    <row r="10" spans="1:7">
      <c r="A10" t="s">
        <v>203</v>
      </c>
      <c r="B10" t="s">
        <v>228</v>
      </c>
      <c r="C10" t="s">
        <v>185</v>
      </c>
      <c r="D10">
        <v>11</v>
      </c>
      <c r="E10" t="s">
        <v>279</v>
      </c>
      <c r="F10" t="s">
        <v>186</v>
      </c>
    </row>
    <row r="11" spans="1:7">
      <c r="A11" t="s">
        <v>205</v>
      </c>
      <c r="B11" t="s">
        <v>285</v>
      </c>
      <c r="C11" t="s">
        <v>185</v>
      </c>
      <c r="D11">
        <v>10</v>
      </c>
      <c r="E11" t="s">
        <v>279</v>
      </c>
      <c r="F11" t="s">
        <v>186</v>
      </c>
    </row>
    <row r="12" spans="1:7">
      <c r="A12" t="s">
        <v>207</v>
      </c>
      <c r="B12" t="s">
        <v>286</v>
      </c>
      <c r="C12" t="s">
        <v>185</v>
      </c>
      <c r="D12">
        <v>2</v>
      </c>
      <c r="E12" t="s">
        <v>279</v>
      </c>
      <c r="F12" t="s">
        <v>186</v>
      </c>
    </row>
    <row r="13" spans="1:7">
      <c r="A13" t="s">
        <v>209</v>
      </c>
      <c r="B13" t="s">
        <v>287</v>
      </c>
      <c r="C13" t="s">
        <v>185</v>
      </c>
      <c r="D13">
        <v>14</v>
      </c>
      <c r="E13" t="s">
        <v>279</v>
      </c>
      <c r="F13" t="s">
        <v>186</v>
      </c>
    </row>
    <row r="14" spans="1:7">
      <c r="A14" t="s">
        <v>211</v>
      </c>
      <c r="B14" t="s">
        <v>288</v>
      </c>
      <c r="C14" t="s">
        <v>185</v>
      </c>
      <c r="D14">
        <v>3</v>
      </c>
      <c r="E14" t="s">
        <v>279</v>
      </c>
      <c r="F14" t="s">
        <v>186</v>
      </c>
    </row>
    <row r="15" spans="1:7">
      <c r="A15" t="s">
        <v>213</v>
      </c>
      <c r="B15" t="s">
        <v>289</v>
      </c>
      <c r="C15" t="s">
        <v>185</v>
      </c>
      <c r="D15">
        <v>15</v>
      </c>
      <c r="E15" t="s">
        <v>279</v>
      </c>
      <c r="F15" t="s">
        <v>186</v>
      </c>
    </row>
    <row r="16" spans="1:7">
      <c r="A16" t="s">
        <v>215</v>
      </c>
      <c r="B16" t="s">
        <v>290</v>
      </c>
      <c r="C16" t="s">
        <v>185</v>
      </c>
      <c r="D16">
        <v>1</v>
      </c>
      <c r="E16" t="s">
        <v>279</v>
      </c>
      <c r="F16" t="s">
        <v>186</v>
      </c>
    </row>
    <row r="17" spans="1:6">
      <c r="A17" t="s">
        <v>217</v>
      </c>
      <c r="B17" t="s">
        <v>291</v>
      </c>
      <c r="C17" t="s">
        <v>185</v>
      </c>
      <c r="D17">
        <v>3</v>
      </c>
      <c r="E17" t="s">
        <v>279</v>
      </c>
      <c r="F17" t="s">
        <v>186</v>
      </c>
    </row>
    <row r="18" spans="1:6">
      <c r="A18" t="s">
        <v>219</v>
      </c>
      <c r="B18" t="s">
        <v>292</v>
      </c>
      <c r="C18" t="s">
        <v>185</v>
      </c>
      <c r="D18">
        <v>2</v>
      </c>
      <c r="E18" t="s">
        <v>279</v>
      </c>
      <c r="F18" t="s">
        <v>186</v>
      </c>
    </row>
    <row r="19" spans="1:6">
      <c r="A19" t="s">
        <v>221</v>
      </c>
      <c r="B19" t="s">
        <v>293</v>
      </c>
      <c r="C19" t="s">
        <v>185</v>
      </c>
      <c r="D19">
        <v>5</v>
      </c>
      <c r="E19" t="s">
        <v>279</v>
      </c>
      <c r="F19" t="s">
        <v>186</v>
      </c>
    </row>
    <row r="20" spans="1:6">
      <c r="A20" t="s">
        <v>223</v>
      </c>
      <c r="B20" t="s">
        <v>253</v>
      </c>
      <c r="C20" t="s">
        <v>185</v>
      </c>
      <c r="D20">
        <v>1</v>
      </c>
      <c r="E20" t="s">
        <v>279</v>
      </c>
      <c r="F20" t="s">
        <v>186</v>
      </c>
    </row>
    <row r="21" spans="1:6">
      <c r="A21" t="s">
        <v>225</v>
      </c>
      <c r="B21" t="s">
        <v>294</v>
      </c>
      <c r="C21" t="s">
        <v>185</v>
      </c>
      <c r="D21">
        <v>2</v>
      </c>
      <c r="E21" t="s">
        <v>279</v>
      </c>
      <c r="F21" t="s">
        <v>186</v>
      </c>
    </row>
    <row r="22" spans="1:6">
      <c r="A22" t="s">
        <v>227</v>
      </c>
      <c r="B22" t="s">
        <v>295</v>
      </c>
      <c r="C22" t="s">
        <v>185</v>
      </c>
      <c r="D22">
        <v>2</v>
      </c>
      <c r="E22" t="s">
        <v>279</v>
      </c>
      <c r="F22" t="s">
        <v>186</v>
      </c>
    </row>
    <row r="23" spans="1:6">
      <c r="A23" t="s">
        <v>229</v>
      </c>
      <c r="B23" t="s">
        <v>296</v>
      </c>
      <c r="C23" t="s">
        <v>185</v>
      </c>
      <c r="D23">
        <v>2</v>
      </c>
      <c r="E23" t="s">
        <v>279</v>
      </c>
      <c r="F23" t="s">
        <v>186</v>
      </c>
    </row>
    <row r="24" spans="1:6">
      <c r="A24" t="s">
        <v>231</v>
      </c>
      <c r="B24" t="s">
        <v>297</v>
      </c>
      <c r="C24" t="s">
        <v>222</v>
      </c>
      <c r="D24">
        <v>2</v>
      </c>
      <c r="E24" t="s">
        <v>279</v>
      </c>
      <c r="F24" t="s">
        <v>186</v>
      </c>
    </row>
    <row r="25" spans="1:6">
      <c r="A25" t="s">
        <v>233</v>
      </c>
      <c r="B25" t="s">
        <v>295</v>
      </c>
      <c r="C25" t="s">
        <v>222</v>
      </c>
      <c r="D25">
        <v>7</v>
      </c>
      <c r="E25" t="s">
        <v>279</v>
      </c>
      <c r="F25" t="s">
        <v>186</v>
      </c>
    </row>
    <row r="26" spans="1:6">
      <c r="A26" t="s">
        <v>235</v>
      </c>
      <c r="B26" t="s">
        <v>298</v>
      </c>
      <c r="C26" t="s">
        <v>222</v>
      </c>
      <c r="D26">
        <v>6</v>
      </c>
      <c r="E26" t="s">
        <v>279</v>
      </c>
      <c r="F26" t="s">
        <v>186</v>
      </c>
    </row>
    <row r="27" spans="1:6">
      <c r="A27" t="s">
        <v>299</v>
      </c>
      <c r="B27" t="s">
        <v>300</v>
      </c>
      <c r="C27" t="s">
        <v>185</v>
      </c>
      <c r="D27">
        <v>258</v>
      </c>
      <c r="E27" t="s">
        <v>279</v>
      </c>
      <c r="F27" t="s">
        <v>186</v>
      </c>
    </row>
    <row r="28" spans="1:6">
      <c r="C28" t="s">
        <v>222</v>
      </c>
      <c r="D28">
        <v>15</v>
      </c>
      <c r="E28" t="s">
        <v>279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"/>
  <sheetViews>
    <sheetView workbookViewId="0">
      <pane ySplit="1" topLeftCell="A13" activePane="bottomLeft" state="frozen"/>
      <selection pane="bottomLeft" activeCell="C26" sqref="C26"/>
    </sheetView>
  </sheetViews>
  <sheetFormatPr baseColWidth="10" defaultColWidth="9.109375" defaultRowHeight="14.4"/>
  <cols>
    <col min="1" max="5" width="18" customWidth="1"/>
    <col min="6" max="6" width="19" customWidth="1"/>
    <col min="7" max="8" width="18" customWidth="1"/>
  </cols>
  <sheetData>
    <row r="1" spans="1:8">
      <c r="A1" s="2" t="s">
        <v>301</v>
      </c>
      <c r="B1" s="2" t="s">
        <v>302</v>
      </c>
      <c r="C1" s="2" t="s">
        <v>303</v>
      </c>
      <c r="D1" s="2" t="s">
        <v>304</v>
      </c>
      <c r="E1" s="2" t="s">
        <v>305</v>
      </c>
      <c r="F1" s="2" t="s">
        <v>306</v>
      </c>
      <c r="G1" s="2" t="s">
        <v>307</v>
      </c>
      <c r="H1" s="2" t="s">
        <v>30</v>
      </c>
    </row>
    <row r="2" spans="1:8">
      <c r="A2" t="s">
        <v>308</v>
      </c>
      <c r="B2" t="s">
        <v>309</v>
      </c>
      <c r="C2" s="8" t="s">
        <v>310</v>
      </c>
      <c r="E2" s="8">
        <v>45857</v>
      </c>
      <c r="F2" s="8">
        <v>46235</v>
      </c>
      <c r="G2" t="s">
        <v>311</v>
      </c>
      <c r="H2" t="s">
        <v>40</v>
      </c>
    </row>
    <row r="4" spans="1:8">
      <c r="A4" t="s">
        <v>312</v>
      </c>
      <c r="B4" t="s">
        <v>239</v>
      </c>
      <c r="C4">
        <v>5</v>
      </c>
      <c r="D4" s="29">
        <v>46266</v>
      </c>
      <c r="F4" t="s">
        <v>313</v>
      </c>
      <c r="G4" t="s">
        <v>314</v>
      </c>
    </row>
    <row r="5" spans="1:8">
      <c r="A5" t="s">
        <v>315</v>
      </c>
      <c r="B5" t="s">
        <v>245</v>
      </c>
      <c r="C5">
        <v>4</v>
      </c>
      <c r="D5" s="29">
        <v>46204</v>
      </c>
      <c r="G5" t="s">
        <v>295</v>
      </c>
    </row>
    <row r="6" spans="1:8">
      <c r="B6" t="s">
        <v>316</v>
      </c>
      <c r="C6">
        <v>2</v>
      </c>
      <c r="D6" s="29">
        <v>46966</v>
      </c>
      <c r="G6" t="s">
        <v>317</v>
      </c>
    </row>
    <row r="7" spans="1:8">
      <c r="B7" t="s">
        <v>298</v>
      </c>
      <c r="C7">
        <v>9</v>
      </c>
      <c r="D7" s="29">
        <v>46600</v>
      </c>
      <c r="G7" t="s">
        <v>318</v>
      </c>
    </row>
    <row r="8" spans="1:8">
      <c r="B8" t="s">
        <v>319</v>
      </c>
      <c r="C8">
        <v>4</v>
      </c>
      <c r="D8" s="29">
        <v>46357</v>
      </c>
      <c r="G8" t="s">
        <v>320</v>
      </c>
    </row>
    <row r="9" spans="1:8">
      <c r="B9" t="s">
        <v>321</v>
      </c>
      <c r="C9">
        <v>2</v>
      </c>
      <c r="D9" s="29">
        <v>46388</v>
      </c>
      <c r="G9" t="s">
        <v>322</v>
      </c>
    </row>
    <row r="10" spans="1:8">
      <c r="B10" t="s">
        <v>286</v>
      </c>
      <c r="C10">
        <v>2</v>
      </c>
      <c r="D10" s="29">
        <v>46874</v>
      </c>
      <c r="G10" t="s">
        <v>204</v>
      </c>
    </row>
    <row r="11" spans="1:8">
      <c r="B11" t="s">
        <v>323</v>
      </c>
      <c r="C11">
        <v>3</v>
      </c>
      <c r="D11" s="29">
        <v>46569</v>
      </c>
      <c r="G11" t="s">
        <v>324</v>
      </c>
    </row>
    <row r="12" spans="1:8">
      <c r="B12" t="s">
        <v>325</v>
      </c>
      <c r="C12">
        <v>2</v>
      </c>
      <c r="D12" s="29">
        <v>46235</v>
      </c>
      <c r="G12" t="s">
        <v>196</v>
      </c>
    </row>
    <row r="13" spans="1:8">
      <c r="B13" t="s">
        <v>326</v>
      </c>
      <c r="C13">
        <v>3</v>
      </c>
      <c r="D13" s="29">
        <v>46296</v>
      </c>
    </row>
    <row r="14" spans="1:8">
      <c r="B14" t="s">
        <v>327</v>
      </c>
      <c r="C14">
        <v>5</v>
      </c>
      <c r="D14" s="29">
        <v>46447</v>
      </c>
    </row>
    <row r="15" spans="1:8">
      <c r="B15" t="s">
        <v>328</v>
      </c>
      <c r="C15">
        <v>4</v>
      </c>
      <c r="D15" s="29">
        <v>46569</v>
      </c>
    </row>
    <row r="16" spans="1:8">
      <c r="B16" t="s">
        <v>329</v>
      </c>
      <c r="C16">
        <v>3</v>
      </c>
      <c r="D16" s="29">
        <v>46753</v>
      </c>
    </row>
    <row r="17" spans="1:8">
      <c r="B17" t="s">
        <v>330</v>
      </c>
      <c r="C17">
        <v>2</v>
      </c>
      <c r="D17" s="29">
        <v>46235</v>
      </c>
    </row>
    <row r="18" spans="1:8">
      <c r="B18" t="s">
        <v>331</v>
      </c>
      <c r="C18">
        <v>2</v>
      </c>
      <c r="D18" s="29">
        <v>46266</v>
      </c>
    </row>
    <row r="20" spans="1:8">
      <c r="A20" s="28" t="s">
        <v>332</v>
      </c>
      <c r="B20" s="28" t="s">
        <v>332</v>
      </c>
      <c r="C20" s="28" t="s">
        <v>333</v>
      </c>
      <c r="D20" s="28"/>
      <c r="E20" s="67">
        <v>45879</v>
      </c>
      <c r="F20" s="67">
        <v>46245</v>
      </c>
      <c r="G20" s="28"/>
      <c r="H20" s="28"/>
    </row>
    <row r="22" spans="1:8">
      <c r="A22" t="s">
        <v>312</v>
      </c>
      <c r="B22" t="s">
        <v>239</v>
      </c>
      <c r="C22">
        <v>4</v>
      </c>
      <c r="D22" s="29">
        <v>46266</v>
      </c>
      <c r="F22" t="s">
        <v>313</v>
      </c>
      <c r="G22" t="s">
        <v>314</v>
      </c>
    </row>
    <row r="23" spans="1:8">
      <c r="A23" t="s">
        <v>315</v>
      </c>
      <c r="B23" t="s">
        <v>245</v>
      </c>
      <c r="C23">
        <v>4</v>
      </c>
      <c r="D23" s="29">
        <v>46204</v>
      </c>
      <c r="G23" t="s">
        <v>295</v>
      </c>
    </row>
    <row r="24" spans="1:8">
      <c r="B24" t="s">
        <v>316</v>
      </c>
      <c r="C24">
        <v>2</v>
      </c>
      <c r="D24" s="29">
        <v>46966</v>
      </c>
      <c r="G24" t="s">
        <v>317</v>
      </c>
    </row>
    <row r="25" spans="1:8">
      <c r="B25" t="s">
        <v>298</v>
      </c>
      <c r="C25">
        <v>4</v>
      </c>
      <c r="D25" s="29">
        <v>46600</v>
      </c>
      <c r="G25" t="s">
        <v>318</v>
      </c>
    </row>
    <row r="26" spans="1:8">
      <c r="B26" t="s">
        <v>319</v>
      </c>
      <c r="C26">
        <v>4</v>
      </c>
      <c r="D26" s="29">
        <v>46357</v>
      </c>
      <c r="G26" t="s">
        <v>320</v>
      </c>
    </row>
    <row r="27" spans="1:8">
      <c r="B27" t="s">
        <v>321</v>
      </c>
      <c r="C27">
        <v>2</v>
      </c>
      <c r="D27" s="29">
        <v>46388</v>
      </c>
      <c r="G27" t="s">
        <v>322</v>
      </c>
    </row>
    <row r="28" spans="1:8">
      <c r="B28" t="s">
        <v>286</v>
      </c>
      <c r="C28">
        <v>2</v>
      </c>
      <c r="D28" s="29">
        <v>46874</v>
      </c>
      <c r="G28" t="s">
        <v>204</v>
      </c>
    </row>
    <row r="29" spans="1:8">
      <c r="B29" t="s">
        <v>323</v>
      </c>
      <c r="C29">
        <v>2</v>
      </c>
      <c r="D29" s="29">
        <v>46569</v>
      </c>
      <c r="G29" t="s">
        <v>324</v>
      </c>
    </row>
    <row r="30" spans="1:8">
      <c r="B30" t="s">
        <v>325</v>
      </c>
      <c r="C30">
        <v>2</v>
      </c>
      <c r="D30" s="29">
        <v>46235</v>
      </c>
      <c r="G30" t="s">
        <v>196</v>
      </c>
    </row>
    <row r="31" spans="1:8">
      <c r="B31" t="s">
        <v>326</v>
      </c>
      <c r="C31">
        <v>3</v>
      </c>
      <c r="D31" s="29">
        <v>46296</v>
      </c>
    </row>
    <row r="32" spans="1:8">
      <c r="B32" t="s">
        <v>327</v>
      </c>
      <c r="C32">
        <v>2</v>
      </c>
      <c r="D32" s="29">
        <v>46447</v>
      </c>
    </row>
    <row r="33" spans="1:8">
      <c r="B33" t="s">
        <v>328</v>
      </c>
      <c r="C33">
        <v>4</v>
      </c>
      <c r="D33" s="29">
        <v>46569</v>
      </c>
    </row>
    <row r="34" spans="1:8">
      <c r="B34" t="s">
        <v>329</v>
      </c>
      <c r="C34">
        <v>3</v>
      </c>
      <c r="D34" s="29">
        <v>46753</v>
      </c>
    </row>
    <row r="35" spans="1:8">
      <c r="B35" t="s">
        <v>330</v>
      </c>
      <c r="C35">
        <v>2</v>
      </c>
      <c r="D35" s="29">
        <v>46235</v>
      </c>
    </row>
    <row r="36" spans="1:8">
      <c r="B36" t="s">
        <v>331</v>
      </c>
      <c r="C36">
        <v>2</v>
      </c>
      <c r="D36" s="29">
        <v>46266</v>
      </c>
    </row>
    <row r="39" spans="1:8">
      <c r="A39" s="52" t="s">
        <v>334</v>
      </c>
      <c r="B39" s="28" t="s">
        <v>335</v>
      </c>
      <c r="C39" s="28"/>
      <c r="D39" s="28"/>
      <c r="E39" s="28"/>
      <c r="F39" s="28"/>
      <c r="G39" s="28"/>
      <c r="H39" s="28"/>
    </row>
    <row r="41" spans="1:8">
      <c r="A41" t="s">
        <v>312</v>
      </c>
      <c r="B41" t="s">
        <v>239</v>
      </c>
      <c r="C41">
        <v>8</v>
      </c>
      <c r="D41" s="29">
        <v>46905</v>
      </c>
    </row>
    <row r="42" spans="1:8">
      <c r="A42" t="s">
        <v>315</v>
      </c>
      <c r="B42" t="s">
        <v>245</v>
      </c>
      <c r="C42">
        <v>4</v>
      </c>
      <c r="D42" s="29">
        <v>46204</v>
      </c>
    </row>
    <row r="43" spans="1:8">
      <c r="B43" t="s">
        <v>316</v>
      </c>
      <c r="C43">
        <v>2</v>
      </c>
      <c r="D43" s="29">
        <v>46966</v>
      </c>
    </row>
    <row r="44" spans="1:8">
      <c r="B44" t="s">
        <v>298</v>
      </c>
      <c r="C44">
        <v>10</v>
      </c>
      <c r="D44" s="29">
        <v>46600</v>
      </c>
    </row>
    <row r="45" spans="1:8">
      <c r="B45" t="s">
        <v>319</v>
      </c>
      <c r="C45">
        <v>10</v>
      </c>
      <c r="D45" s="29">
        <v>46357</v>
      </c>
    </row>
    <row r="46" spans="1:8">
      <c r="B46" t="s">
        <v>321</v>
      </c>
      <c r="C46">
        <v>6</v>
      </c>
      <c r="D46" s="29">
        <v>46388</v>
      </c>
    </row>
    <row r="47" spans="1:8">
      <c r="B47" t="s">
        <v>286</v>
      </c>
      <c r="C47">
        <v>2</v>
      </c>
      <c r="D47" s="29">
        <v>46874</v>
      </c>
    </row>
    <row r="48" spans="1:8">
      <c r="B48" t="s">
        <v>323</v>
      </c>
      <c r="C48">
        <v>6</v>
      </c>
      <c r="D48" s="29">
        <v>46569</v>
      </c>
    </row>
    <row r="49" spans="2:4">
      <c r="B49" t="s">
        <v>325</v>
      </c>
      <c r="C49">
        <v>3</v>
      </c>
      <c r="D49" s="29">
        <v>46235</v>
      </c>
    </row>
    <row r="50" spans="2:4">
      <c r="B50" t="s">
        <v>326</v>
      </c>
      <c r="C50">
        <v>2</v>
      </c>
      <c r="D50" s="29">
        <v>46296</v>
      </c>
    </row>
    <row r="51" spans="2:4">
      <c r="B51" t="s">
        <v>327</v>
      </c>
      <c r="C51">
        <v>9</v>
      </c>
      <c r="D51" s="29">
        <v>46569</v>
      </c>
    </row>
    <row r="52" spans="2:4">
      <c r="B52" t="s">
        <v>328</v>
      </c>
      <c r="C52">
        <v>4</v>
      </c>
      <c r="D52" s="29">
        <v>46569</v>
      </c>
    </row>
    <row r="53" spans="2:4">
      <c r="B53" t="s">
        <v>329</v>
      </c>
      <c r="C53">
        <v>4</v>
      </c>
      <c r="D53" s="29">
        <v>46753</v>
      </c>
    </row>
    <row r="54" spans="2:4">
      <c r="B54" t="s">
        <v>330</v>
      </c>
      <c r="C54">
        <v>2</v>
      </c>
      <c r="D54" s="29">
        <v>46235</v>
      </c>
    </row>
    <row r="55" spans="2:4">
      <c r="B55" t="s">
        <v>331</v>
      </c>
      <c r="C55">
        <v>1</v>
      </c>
      <c r="D55" s="29">
        <v>46266</v>
      </c>
    </row>
    <row r="56" spans="2:4">
      <c r="B56" t="s">
        <v>336</v>
      </c>
      <c r="C56">
        <v>2</v>
      </c>
      <c r="D56" s="29">
        <v>46447</v>
      </c>
    </row>
    <row r="57" spans="2:4">
      <c r="B57" t="s">
        <v>237</v>
      </c>
      <c r="C57">
        <v>2</v>
      </c>
      <c r="D57" s="29">
        <v>46539</v>
      </c>
    </row>
    <row r="58" spans="2:4">
      <c r="B58" t="s">
        <v>337</v>
      </c>
      <c r="C58">
        <v>3</v>
      </c>
      <c r="D58" s="29">
        <v>46447</v>
      </c>
    </row>
    <row r="59" spans="2:4">
      <c r="B59" t="s">
        <v>257</v>
      </c>
      <c r="C59">
        <v>3</v>
      </c>
      <c r="D59" s="29">
        <v>46966</v>
      </c>
    </row>
    <row r="60" spans="2:4">
      <c r="B60" t="s">
        <v>338</v>
      </c>
      <c r="C60">
        <v>2</v>
      </c>
      <c r="D60" s="29">
        <v>46266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6544-4FE5-45B5-AD3C-1CB7CA8C8FDB}">
  <dimension ref="A1:O26"/>
  <sheetViews>
    <sheetView workbookViewId="0">
      <selection activeCell="L27" sqref="L27"/>
    </sheetView>
  </sheetViews>
  <sheetFormatPr baseColWidth="10" defaultColWidth="9.109375" defaultRowHeight="14.4"/>
  <cols>
    <col min="1" max="3" width="22" customWidth="1"/>
    <col min="4" max="4" width="25.44140625" customWidth="1"/>
    <col min="5" max="19" width="22" customWidth="1"/>
  </cols>
  <sheetData>
    <row r="1" spans="1:15">
      <c r="A1" s="17" t="s">
        <v>278</v>
      </c>
      <c r="B1" s="17" t="s">
        <v>339</v>
      </c>
      <c r="C1" s="17" t="s">
        <v>340</v>
      </c>
      <c r="D1" s="17" t="s">
        <v>341</v>
      </c>
      <c r="E1" s="17" t="s">
        <v>342</v>
      </c>
      <c r="F1" s="17" t="s">
        <v>343</v>
      </c>
      <c r="G1" s="17" t="s">
        <v>59</v>
      </c>
      <c r="H1" s="17" t="s">
        <v>344</v>
      </c>
      <c r="I1" s="17" t="s">
        <v>345</v>
      </c>
      <c r="J1" s="17" t="s">
        <v>346</v>
      </c>
      <c r="K1" s="17" t="s">
        <v>347</v>
      </c>
      <c r="L1" s="17" t="s">
        <v>348</v>
      </c>
      <c r="M1" s="17" t="s">
        <v>349</v>
      </c>
      <c r="N1" s="17" t="s">
        <v>350</v>
      </c>
      <c r="O1" s="17" t="s">
        <v>30</v>
      </c>
    </row>
    <row r="2" spans="1:15">
      <c r="A2" t="s">
        <v>351</v>
      </c>
      <c r="B2" s="8">
        <v>46031</v>
      </c>
      <c r="C2" s="53">
        <v>0.4236111111111111</v>
      </c>
      <c r="D2" t="s">
        <v>352</v>
      </c>
      <c r="E2" t="s">
        <v>353</v>
      </c>
      <c r="F2" t="s">
        <v>354</v>
      </c>
      <c r="G2" t="s">
        <v>353</v>
      </c>
      <c r="H2" t="s">
        <v>355</v>
      </c>
      <c r="I2" t="s">
        <v>356</v>
      </c>
      <c r="J2" t="s">
        <v>357</v>
      </c>
      <c r="K2" t="s">
        <v>358</v>
      </c>
      <c r="L2" t="s">
        <v>359</v>
      </c>
      <c r="N2" t="s">
        <v>360</v>
      </c>
    </row>
    <row r="3" spans="1:15">
      <c r="A3" t="s">
        <v>351</v>
      </c>
      <c r="B3" s="8">
        <v>46044</v>
      </c>
      <c r="C3" s="53">
        <v>0.45833333333333331</v>
      </c>
      <c r="D3" t="s">
        <v>361</v>
      </c>
      <c r="E3" t="s">
        <v>353</v>
      </c>
      <c r="F3" t="s">
        <v>362</v>
      </c>
      <c r="G3" t="s">
        <v>353</v>
      </c>
      <c r="H3" t="s">
        <v>355</v>
      </c>
      <c r="I3" t="s">
        <v>363</v>
      </c>
      <c r="J3" t="s">
        <v>364</v>
      </c>
      <c r="K3" t="s">
        <v>365</v>
      </c>
      <c r="L3" t="s">
        <v>158</v>
      </c>
    </row>
    <row r="4" spans="1:15">
      <c r="A4" t="s">
        <v>351</v>
      </c>
      <c r="B4" s="8">
        <v>46040</v>
      </c>
      <c r="C4" s="53">
        <v>0.41666666666666669</v>
      </c>
      <c r="D4" t="s">
        <v>366</v>
      </c>
      <c r="E4">
        <v>8763</v>
      </c>
      <c r="F4" t="s">
        <v>367</v>
      </c>
      <c r="G4" t="s">
        <v>368</v>
      </c>
      <c r="H4" t="s">
        <v>355</v>
      </c>
      <c r="I4" t="s">
        <v>363</v>
      </c>
      <c r="J4" t="s">
        <v>369</v>
      </c>
      <c r="K4" t="s">
        <v>370</v>
      </c>
      <c r="L4" t="s">
        <v>158</v>
      </c>
    </row>
    <row r="5" spans="1:15">
      <c r="A5" t="s">
        <v>371</v>
      </c>
      <c r="B5" s="8">
        <v>46060</v>
      </c>
      <c r="C5" s="53">
        <v>0.41666666666666669</v>
      </c>
      <c r="D5" t="s">
        <v>372</v>
      </c>
      <c r="E5">
        <v>8418</v>
      </c>
      <c r="F5" t="s">
        <v>367</v>
      </c>
      <c r="G5" t="s">
        <v>368</v>
      </c>
      <c r="H5" t="s">
        <v>373</v>
      </c>
      <c r="I5" t="s">
        <v>374</v>
      </c>
      <c r="J5" t="s">
        <v>375</v>
      </c>
      <c r="K5" t="s">
        <v>376</v>
      </c>
      <c r="L5" t="s">
        <v>158</v>
      </c>
      <c r="N5" t="s">
        <v>360</v>
      </c>
    </row>
    <row r="6" spans="1:15">
      <c r="A6" t="s">
        <v>377</v>
      </c>
      <c r="B6" s="8">
        <v>46085</v>
      </c>
      <c r="C6" s="53">
        <v>0.4513888888888889</v>
      </c>
      <c r="D6" t="s">
        <v>378</v>
      </c>
      <c r="E6" t="s">
        <v>379</v>
      </c>
      <c r="F6" t="s">
        <v>380</v>
      </c>
      <c r="G6" t="s">
        <v>381</v>
      </c>
      <c r="H6" t="s">
        <v>382</v>
      </c>
      <c r="I6" t="s">
        <v>383</v>
      </c>
      <c r="J6" t="s">
        <v>384</v>
      </c>
      <c r="K6" t="s">
        <v>385</v>
      </c>
      <c r="L6" t="s">
        <v>158</v>
      </c>
      <c r="N6" t="s">
        <v>158</v>
      </c>
    </row>
    <row r="7" spans="1:15">
      <c r="A7" t="s">
        <v>386</v>
      </c>
      <c r="B7" s="8">
        <v>46091</v>
      </c>
      <c r="C7" s="53">
        <v>0.69444444444444442</v>
      </c>
      <c r="D7" t="s">
        <v>387</v>
      </c>
      <c r="E7" t="s">
        <v>381</v>
      </c>
      <c r="F7" t="s">
        <v>388</v>
      </c>
      <c r="G7" t="s">
        <v>381</v>
      </c>
      <c r="H7" t="s">
        <v>389</v>
      </c>
      <c r="I7" t="s">
        <v>390</v>
      </c>
      <c r="J7" t="s">
        <v>391</v>
      </c>
      <c r="K7" t="s">
        <v>385</v>
      </c>
      <c r="L7" t="s">
        <v>158</v>
      </c>
    </row>
    <row r="8" spans="1:15">
      <c r="A8" t="s">
        <v>392</v>
      </c>
      <c r="B8" s="8">
        <v>46130</v>
      </c>
      <c r="C8" s="53">
        <v>0.34722222222222221</v>
      </c>
      <c r="D8" t="s">
        <v>393</v>
      </c>
      <c r="E8">
        <v>8859</v>
      </c>
      <c r="F8" t="s">
        <v>394</v>
      </c>
      <c r="G8" t="s">
        <v>395</v>
      </c>
      <c r="H8" t="s">
        <v>396</v>
      </c>
      <c r="I8" t="s">
        <v>397</v>
      </c>
      <c r="J8" t="s">
        <v>396</v>
      </c>
      <c r="K8" t="s">
        <v>398</v>
      </c>
      <c r="L8" t="s">
        <v>158</v>
      </c>
    </row>
    <row r="9" spans="1:15">
      <c r="A9" t="s">
        <v>399</v>
      </c>
      <c r="B9" s="8">
        <v>46129</v>
      </c>
      <c r="C9" s="53">
        <v>0.6875</v>
      </c>
      <c r="D9" t="s">
        <v>400</v>
      </c>
      <c r="E9" t="s">
        <v>353</v>
      </c>
      <c r="F9" t="s">
        <v>401</v>
      </c>
      <c r="G9" t="s">
        <v>353</v>
      </c>
      <c r="H9" t="s">
        <v>373</v>
      </c>
      <c r="I9" t="s">
        <v>383</v>
      </c>
      <c r="J9" t="s">
        <v>402</v>
      </c>
      <c r="K9" t="s">
        <v>385</v>
      </c>
      <c r="L9" t="s">
        <v>158</v>
      </c>
    </row>
    <row r="10" spans="1:15">
      <c r="A10" t="s">
        <v>399</v>
      </c>
      <c r="B10" s="8">
        <v>46133</v>
      </c>
      <c r="C10" s="53">
        <v>0.34722222222222221</v>
      </c>
      <c r="D10" t="s">
        <v>403</v>
      </c>
      <c r="E10">
        <v>8185</v>
      </c>
      <c r="F10" t="s">
        <v>367</v>
      </c>
      <c r="G10" t="s">
        <v>395</v>
      </c>
      <c r="H10" t="s">
        <v>404</v>
      </c>
      <c r="I10" t="s">
        <v>405</v>
      </c>
      <c r="J10" t="s">
        <v>406</v>
      </c>
      <c r="K10" t="s">
        <v>407</v>
      </c>
      <c r="L10" t="s">
        <v>359</v>
      </c>
    </row>
    <row r="11" spans="1:15">
      <c r="A11" t="s">
        <v>392</v>
      </c>
      <c r="B11" s="8">
        <v>46140</v>
      </c>
      <c r="C11" s="53">
        <v>0.51388888888888884</v>
      </c>
      <c r="D11" t="s">
        <v>408</v>
      </c>
      <c r="E11">
        <v>8282</v>
      </c>
      <c r="F11" t="s">
        <v>367</v>
      </c>
      <c r="G11" t="s">
        <v>409</v>
      </c>
      <c r="H11" t="s">
        <v>373</v>
      </c>
      <c r="I11" t="s">
        <v>383</v>
      </c>
      <c r="J11" t="s">
        <v>402</v>
      </c>
      <c r="K11" t="s">
        <v>410</v>
      </c>
      <c r="L11" t="s">
        <v>359</v>
      </c>
    </row>
    <row r="12" spans="1:15">
      <c r="A12" t="s">
        <v>392</v>
      </c>
      <c r="B12" s="8">
        <v>46140</v>
      </c>
      <c r="C12" s="53">
        <v>0.63541666666666663</v>
      </c>
      <c r="D12" t="s">
        <v>411</v>
      </c>
      <c r="E12">
        <v>8759</v>
      </c>
      <c r="F12" t="s">
        <v>367</v>
      </c>
      <c r="G12" t="s">
        <v>409</v>
      </c>
      <c r="H12" t="s">
        <v>373</v>
      </c>
      <c r="I12" t="s">
        <v>383</v>
      </c>
      <c r="J12" t="s">
        <v>402</v>
      </c>
      <c r="K12" t="s">
        <v>410</v>
      </c>
      <c r="L12" t="s">
        <v>359</v>
      </c>
    </row>
    <row r="13" spans="1:15">
      <c r="A13" t="s">
        <v>399</v>
      </c>
      <c r="B13" s="8">
        <v>46140</v>
      </c>
      <c r="C13" s="53">
        <v>0.5</v>
      </c>
      <c r="D13" t="s">
        <v>412</v>
      </c>
      <c r="E13">
        <v>8732</v>
      </c>
      <c r="F13" t="s">
        <v>367</v>
      </c>
      <c r="G13" t="s">
        <v>413</v>
      </c>
      <c r="H13" t="s">
        <v>355</v>
      </c>
      <c r="I13" t="s">
        <v>414</v>
      </c>
      <c r="J13" t="s">
        <v>415</v>
      </c>
      <c r="K13" t="s">
        <v>416</v>
      </c>
      <c r="L13" t="s">
        <v>158</v>
      </c>
    </row>
    <row r="14" spans="1:15">
      <c r="A14" t="s">
        <v>417</v>
      </c>
      <c r="B14" s="8">
        <v>46149</v>
      </c>
      <c r="C14" s="53">
        <v>0.4375</v>
      </c>
      <c r="D14" t="s">
        <v>418</v>
      </c>
      <c r="E14">
        <v>8739</v>
      </c>
      <c r="F14" t="s">
        <v>367</v>
      </c>
      <c r="G14" t="s">
        <v>395</v>
      </c>
      <c r="H14" t="s">
        <v>419</v>
      </c>
      <c r="I14" t="s">
        <v>420</v>
      </c>
      <c r="J14" t="s">
        <v>421</v>
      </c>
      <c r="K14" t="s">
        <v>422</v>
      </c>
      <c r="L14" t="s">
        <v>359</v>
      </c>
    </row>
    <row r="15" spans="1:15">
      <c r="A15" t="s">
        <v>417</v>
      </c>
      <c r="B15" s="8">
        <v>46156</v>
      </c>
      <c r="C15" s="53">
        <v>0.64583333333333337</v>
      </c>
      <c r="D15" t="s">
        <v>423</v>
      </c>
      <c r="E15">
        <v>8531</v>
      </c>
      <c r="F15" t="s">
        <v>367</v>
      </c>
      <c r="G15" t="s">
        <v>424</v>
      </c>
      <c r="H15" t="s">
        <v>355</v>
      </c>
      <c r="I15" t="s">
        <v>425</v>
      </c>
      <c r="J15" t="s">
        <v>415</v>
      </c>
      <c r="K15" t="s">
        <v>410</v>
      </c>
      <c r="L15" t="s">
        <v>359</v>
      </c>
      <c r="N15" t="s">
        <v>359</v>
      </c>
    </row>
    <row r="16" spans="1:15">
      <c r="A16" t="s">
        <v>279</v>
      </c>
      <c r="B16" s="8">
        <v>46153</v>
      </c>
      <c r="C16" s="53">
        <v>0.37152777777777779</v>
      </c>
      <c r="D16" t="s">
        <v>426</v>
      </c>
      <c r="E16" t="s">
        <v>353</v>
      </c>
      <c r="F16" t="s">
        <v>427</v>
      </c>
      <c r="G16" t="s">
        <v>353</v>
      </c>
      <c r="H16" t="s">
        <v>428</v>
      </c>
      <c r="I16" t="s">
        <v>429</v>
      </c>
      <c r="J16" t="s">
        <v>430</v>
      </c>
      <c r="K16" t="s">
        <v>410</v>
      </c>
      <c r="L16" t="s">
        <v>359</v>
      </c>
    </row>
    <row r="17" spans="1:12">
      <c r="A17" t="s">
        <v>417</v>
      </c>
      <c r="B17" s="8">
        <v>46160</v>
      </c>
      <c r="C17" s="53">
        <v>0.75</v>
      </c>
      <c r="D17" t="s">
        <v>431</v>
      </c>
      <c r="E17">
        <v>8083</v>
      </c>
      <c r="F17" t="s">
        <v>367</v>
      </c>
      <c r="G17" t="s">
        <v>432</v>
      </c>
      <c r="H17" t="s">
        <v>373</v>
      </c>
      <c r="I17" t="s">
        <v>425</v>
      </c>
      <c r="J17" t="s">
        <v>402</v>
      </c>
      <c r="K17" t="s">
        <v>410</v>
      </c>
      <c r="L17" t="s">
        <v>359</v>
      </c>
    </row>
    <row r="18" spans="1:12">
      <c r="A18" t="s">
        <v>279</v>
      </c>
      <c r="B18" s="8">
        <v>46168</v>
      </c>
      <c r="C18" s="53">
        <v>0.375</v>
      </c>
      <c r="D18" t="s">
        <v>433</v>
      </c>
      <c r="E18">
        <v>7822</v>
      </c>
      <c r="F18" t="s">
        <v>367</v>
      </c>
      <c r="G18" t="s">
        <v>434</v>
      </c>
      <c r="H18" t="s">
        <v>430</v>
      </c>
      <c r="I18" t="s">
        <v>435</v>
      </c>
      <c r="J18" t="s">
        <v>430</v>
      </c>
      <c r="K18" t="s">
        <v>436</v>
      </c>
      <c r="L18" t="s">
        <v>158</v>
      </c>
    </row>
    <row r="19" spans="1:12">
      <c r="A19" t="s">
        <v>279</v>
      </c>
      <c r="B19" s="8">
        <v>46170</v>
      </c>
      <c r="C19" s="53">
        <v>0.46527777777777779</v>
      </c>
      <c r="D19" t="s">
        <v>393</v>
      </c>
      <c r="E19">
        <v>8859</v>
      </c>
      <c r="F19" t="s">
        <v>367</v>
      </c>
      <c r="G19" t="s">
        <v>395</v>
      </c>
      <c r="H19" t="s">
        <v>355</v>
      </c>
      <c r="I19" t="s">
        <v>437</v>
      </c>
      <c r="J19" t="s">
        <v>438</v>
      </c>
      <c r="K19" t="s">
        <v>438</v>
      </c>
      <c r="L19" t="s">
        <v>158</v>
      </c>
    </row>
    <row r="20" spans="1:12">
      <c r="A20" t="s">
        <v>417</v>
      </c>
      <c r="B20" s="8">
        <v>46170</v>
      </c>
      <c r="C20" s="53">
        <v>0.875</v>
      </c>
      <c r="D20" t="s">
        <v>439</v>
      </c>
      <c r="E20">
        <v>8576</v>
      </c>
      <c r="F20" t="s">
        <v>367</v>
      </c>
      <c r="G20" t="s">
        <v>368</v>
      </c>
      <c r="H20" t="s">
        <v>440</v>
      </c>
      <c r="I20" t="s">
        <v>441</v>
      </c>
      <c r="J20" t="s">
        <v>402</v>
      </c>
      <c r="K20" t="s">
        <v>383</v>
      </c>
      <c r="L20" t="s">
        <v>158</v>
      </c>
    </row>
    <row r="21" spans="1:12">
      <c r="A21" t="s">
        <v>442</v>
      </c>
      <c r="B21" s="8">
        <v>46175</v>
      </c>
      <c r="C21" s="53">
        <v>0.4513888888888889</v>
      </c>
      <c r="D21" t="s">
        <v>443</v>
      </c>
      <c r="E21">
        <v>8576</v>
      </c>
      <c r="F21" t="s">
        <v>367</v>
      </c>
      <c r="G21" t="s">
        <v>444</v>
      </c>
      <c r="H21" t="s">
        <v>440</v>
      </c>
      <c r="I21" t="s">
        <v>441</v>
      </c>
      <c r="J21" t="s">
        <v>402</v>
      </c>
      <c r="K21" t="s">
        <v>445</v>
      </c>
      <c r="L21" t="s">
        <v>158</v>
      </c>
    </row>
    <row r="22" spans="1:12">
      <c r="A22" t="s">
        <v>442</v>
      </c>
      <c r="B22" s="8">
        <v>46176</v>
      </c>
      <c r="C22" s="53">
        <v>0.43055555555555558</v>
      </c>
      <c r="D22" t="s">
        <v>446</v>
      </c>
      <c r="E22" t="s">
        <v>353</v>
      </c>
      <c r="F22" t="s">
        <v>447</v>
      </c>
      <c r="G22" t="s">
        <v>353</v>
      </c>
      <c r="H22" t="s">
        <v>448</v>
      </c>
      <c r="I22" t="s">
        <v>449</v>
      </c>
      <c r="J22" t="s">
        <v>402</v>
      </c>
      <c r="K22" t="s">
        <v>450</v>
      </c>
      <c r="L22" t="s">
        <v>158</v>
      </c>
    </row>
    <row r="23" spans="1:12">
      <c r="A23" t="s">
        <v>442</v>
      </c>
      <c r="B23" s="8">
        <v>46190</v>
      </c>
      <c r="C23" s="53">
        <v>0.52083333333333337</v>
      </c>
      <c r="D23" t="s">
        <v>451</v>
      </c>
      <c r="E23" t="s">
        <v>353</v>
      </c>
      <c r="F23" t="s">
        <v>452</v>
      </c>
      <c r="G23" t="s">
        <v>353</v>
      </c>
      <c r="H23" t="s">
        <v>430</v>
      </c>
      <c r="I23" t="s">
        <v>441</v>
      </c>
      <c r="J23" t="s">
        <v>430</v>
      </c>
      <c r="K23" t="s">
        <v>410</v>
      </c>
      <c r="L23" t="s">
        <v>158</v>
      </c>
    </row>
    <row r="24" spans="1:12">
      <c r="A24" t="s">
        <v>442</v>
      </c>
      <c r="B24" s="8">
        <v>46197</v>
      </c>
      <c r="C24" s="53">
        <v>0.4513888888888889</v>
      </c>
      <c r="D24" t="s">
        <v>453</v>
      </c>
      <c r="E24">
        <v>8092</v>
      </c>
      <c r="F24" t="s">
        <v>394</v>
      </c>
      <c r="G24" t="s">
        <v>395</v>
      </c>
      <c r="H24" t="s">
        <v>454</v>
      </c>
      <c r="I24" t="s">
        <v>455</v>
      </c>
      <c r="J24" t="s">
        <v>391</v>
      </c>
      <c r="K24" t="s">
        <v>385</v>
      </c>
      <c r="L24" t="s">
        <v>158</v>
      </c>
    </row>
    <row r="25" spans="1:12">
      <c r="A25" t="s">
        <v>456</v>
      </c>
      <c r="B25" s="8">
        <v>46206</v>
      </c>
      <c r="C25" s="53">
        <v>0.29166666666666669</v>
      </c>
      <c r="D25" t="s">
        <v>457</v>
      </c>
      <c r="E25">
        <v>8198</v>
      </c>
      <c r="F25" t="s">
        <v>367</v>
      </c>
      <c r="G25" t="s">
        <v>458</v>
      </c>
      <c r="H25" t="s">
        <v>373</v>
      </c>
      <c r="I25" t="s">
        <v>459</v>
      </c>
      <c r="J25" t="s">
        <v>460</v>
      </c>
      <c r="K25" t="s">
        <v>461</v>
      </c>
      <c r="L25" t="s">
        <v>158</v>
      </c>
    </row>
    <row r="26" spans="1:12">
      <c r="A26" t="s">
        <v>456</v>
      </c>
      <c r="B26" s="8">
        <v>46220</v>
      </c>
      <c r="C26" s="53">
        <v>0.27083333333333331</v>
      </c>
      <c r="D26" t="s">
        <v>462</v>
      </c>
      <c r="E26">
        <v>8203</v>
      </c>
      <c r="F26" t="s">
        <v>367</v>
      </c>
      <c r="G26" t="s">
        <v>395</v>
      </c>
      <c r="H26" t="s">
        <v>463</v>
      </c>
      <c r="I26" t="s">
        <v>464</v>
      </c>
      <c r="J26" t="s">
        <v>465</v>
      </c>
      <c r="K26" t="s">
        <v>410</v>
      </c>
      <c r="L26" t="s">
        <v>158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6890-5919-4C30-B7F2-8CA8A6B642A4}">
  <dimension ref="B8:Q66"/>
  <sheetViews>
    <sheetView topLeftCell="E15" workbookViewId="0">
      <selection activeCell="P30" sqref="P30"/>
    </sheetView>
  </sheetViews>
  <sheetFormatPr baseColWidth="10" defaultColWidth="9.109375" defaultRowHeight="14.4"/>
  <cols>
    <col min="2" max="2" width="12.6640625" bestFit="1" customWidth="1"/>
    <col min="3" max="3" width="10.33203125" bestFit="1" customWidth="1"/>
    <col min="15" max="15" width="14.33203125" bestFit="1" customWidth="1"/>
    <col min="16" max="16" width="14.44140625" bestFit="1" customWidth="1"/>
    <col min="17" max="17" width="10.33203125" bestFit="1" customWidth="1"/>
  </cols>
  <sheetData>
    <row r="8" spans="2:17">
      <c r="B8" s="18" t="s">
        <v>278</v>
      </c>
      <c r="C8" s="18" t="s">
        <v>466</v>
      </c>
    </row>
    <row r="9" spans="2:17">
      <c r="B9" s="18" t="s">
        <v>351</v>
      </c>
      <c r="C9" s="18">
        <v>3</v>
      </c>
    </row>
    <row r="10" spans="2:17">
      <c r="B10" s="18" t="s">
        <v>371</v>
      </c>
      <c r="C10" s="18">
        <v>1</v>
      </c>
    </row>
    <row r="11" spans="2:17">
      <c r="B11" s="18" t="s">
        <v>377</v>
      </c>
      <c r="C11" s="18">
        <v>2</v>
      </c>
    </row>
    <row r="12" spans="2:17">
      <c r="B12" s="18" t="s">
        <v>392</v>
      </c>
      <c r="C12" s="18">
        <v>6</v>
      </c>
    </row>
    <row r="13" spans="2:17">
      <c r="B13" s="18" t="s">
        <v>279</v>
      </c>
      <c r="C13" s="18">
        <v>7</v>
      </c>
    </row>
    <row r="14" spans="2:17">
      <c r="B14" s="18" t="s">
        <v>467</v>
      </c>
      <c r="C14" s="18">
        <v>4</v>
      </c>
      <c r="P14" s="18" t="s">
        <v>59</v>
      </c>
      <c r="Q14" s="18" t="s">
        <v>466</v>
      </c>
    </row>
    <row r="15" spans="2:17">
      <c r="B15" s="18" t="s">
        <v>468</v>
      </c>
      <c r="C15" s="18">
        <v>0</v>
      </c>
      <c r="P15" s="18" t="s">
        <v>395</v>
      </c>
      <c r="Q15" s="18">
        <v>6</v>
      </c>
    </row>
    <row r="16" spans="2:17">
      <c r="B16" s="18" t="s">
        <v>469</v>
      </c>
      <c r="C16" s="18">
        <v>0</v>
      </c>
      <c r="P16" s="18" t="s">
        <v>470</v>
      </c>
      <c r="Q16" s="18">
        <v>3</v>
      </c>
    </row>
    <row r="17" spans="2:17">
      <c r="B17" s="18" t="s">
        <v>471</v>
      </c>
      <c r="C17" s="18">
        <v>0</v>
      </c>
      <c r="P17" s="18" t="s">
        <v>472</v>
      </c>
      <c r="Q17" s="18">
        <v>2</v>
      </c>
    </row>
    <row r="18" spans="2:17">
      <c r="B18" s="18" t="s">
        <v>473</v>
      </c>
      <c r="C18" s="18">
        <v>0</v>
      </c>
      <c r="P18" s="18" t="s">
        <v>444</v>
      </c>
      <c r="Q18" s="18">
        <v>2</v>
      </c>
    </row>
    <row r="19" spans="2:17">
      <c r="B19" s="18" t="s">
        <v>474</v>
      </c>
      <c r="C19" s="18">
        <v>0</v>
      </c>
      <c r="P19" s="18" t="s">
        <v>475</v>
      </c>
      <c r="Q19" s="18">
        <v>1</v>
      </c>
    </row>
    <row r="20" spans="2:17">
      <c r="B20" s="18" t="s">
        <v>476</v>
      </c>
      <c r="C20" s="18">
        <v>0</v>
      </c>
      <c r="P20" t="s">
        <v>477</v>
      </c>
      <c r="Q20">
        <v>1</v>
      </c>
    </row>
    <row r="21" spans="2:17">
      <c r="P21" t="s">
        <v>478</v>
      </c>
      <c r="Q21">
        <v>1</v>
      </c>
    </row>
    <row r="22" spans="2:17">
      <c r="P22" t="s">
        <v>381</v>
      </c>
      <c r="Q22">
        <v>2</v>
      </c>
    </row>
    <row r="23" spans="2:17">
      <c r="P23" t="s">
        <v>353</v>
      </c>
      <c r="Q23">
        <v>6</v>
      </c>
    </row>
    <row r="27" spans="2:17">
      <c r="O27" t="s">
        <v>479</v>
      </c>
    </row>
    <row r="28" spans="2:17">
      <c r="B28" t="s">
        <v>480</v>
      </c>
      <c r="O28" t="s">
        <v>481</v>
      </c>
      <c r="P28">
        <v>6</v>
      </c>
    </row>
    <row r="29" spans="2:17">
      <c r="B29" t="s">
        <v>482</v>
      </c>
      <c r="C29">
        <v>12</v>
      </c>
      <c r="O29" t="s">
        <v>483</v>
      </c>
      <c r="P29">
        <v>10</v>
      </c>
    </row>
    <row r="30" spans="2:17">
      <c r="B30" t="s">
        <v>484</v>
      </c>
      <c r="C30">
        <v>8</v>
      </c>
      <c r="O30" t="s">
        <v>485</v>
      </c>
      <c r="P30">
        <v>3</v>
      </c>
    </row>
    <row r="31" spans="2:17">
      <c r="O31" t="s">
        <v>486</v>
      </c>
      <c r="P31">
        <v>2</v>
      </c>
    </row>
    <row r="32" spans="2:17">
      <c r="O32" t="s">
        <v>487</v>
      </c>
      <c r="P32">
        <v>1</v>
      </c>
    </row>
    <row r="42" spans="2:3">
      <c r="B42" t="s">
        <v>488</v>
      </c>
    </row>
    <row r="43" spans="2:3">
      <c r="B43" t="s">
        <v>489</v>
      </c>
      <c r="C43">
        <v>8</v>
      </c>
    </row>
    <row r="44" spans="2:3">
      <c r="B44" t="s">
        <v>490</v>
      </c>
      <c r="C44">
        <v>4</v>
      </c>
    </row>
    <row r="66" spans="2:2">
      <c r="B66" t="s">
        <v>491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pane ySplit="1" topLeftCell="A2" activePane="bottomLeft" state="frozen"/>
      <selection pane="bottomLeft" activeCell="F10" sqref="F10"/>
    </sheetView>
  </sheetViews>
  <sheetFormatPr baseColWidth="10" defaultColWidth="9.109375" defaultRowHeight="14.4"/>
  <cols>
    <col min="1" max="4" width="18" customWidth="1"/>
    <col min="5" max="5" width="24.5546875" bestFit="1" customWidth="1"/>
    <col min="6" max="6" width="25" customWidth="1"/>
    <col min="7" max="7" width="20" customWidth="1"/>
    <col min="8" max="8" width="18" customWidth="1"/>
  </cols>
  <sheetData>
    <row r="1" spans="1:7">
      <c r="A1" s="2" t="s">
        <v>342</v>
      </c>
      <c r="B1" s="2" t="s">
        <v>492</v>
      </c>
      <c r="C1" s="2" t="s">
        <v>493</v>
      </c>
      <c r="D1" s="2" t="s">
        <v>494</v>
      </c>
      <c r="E1" s="2" t="s">
        <v>495</v>
      </c>
      <c r="F1" s="2" t="s">
        <v>496</v>
      </c>
      <c r="G1" s="78" t="s">
        <v>497</v>
      </c>
    </row>
    <row r="2" spans="1:7">
      <c r="A2" t="s">
        <v>183</v>
      </c>
      <c r="B2" t="s">
        <v>498</v>
      </c>
      <c r="C2" t="s">
        <v>499</v>
      </c>
      <c r="D2" t="s">
        <v>500</v>
      </c>
      <c r="E2" s="77" t="s">
        <v>501</v>
      </c>
      <c r="F2" t="s">
        <v>502</v>
      </c>
      <c r="G2" t="s">
        <v>503</v>
      </c>
    </row>
    <row r="3" spans="1:7">
      <c r="A3" t="s">
        <v>187</v>
      </c>
      <c r="B3" t="s">
        <v>504</v>
      </c>
      <c r="C3" t="s">
        <v>505</v>
      </c>
      <c r="D3" t="s">
        <v>506</v>
      </c>
      <c r="E3" s="77" t="s">
        <v>507</v>
      </c>
      <c r="F3" t="s">
        <v>508</v>
      </c>
      <c r="G3" t="s">
        <v>503</v>
      </c>
    </row>
    <row r="4" spans="1:7">
      <c r="A4" t="s">
        <v>509</v>
      </c>
      <c r="B4" t="s">
        <v>510</v>
      </c>
      <c r="C4" t="s">
        <v>511</v>
      </c>
      <c r="D4" t="s">
        <v>500</v>
      </c>
      <c r="E4" s="77" t="s">
        <v>512</v>
      </c>
      <c r="F4" t="s">
        <v>508</v>
      </c>
    </row>
    <row r="5" spans="1:7">
      <c r="A5" t="s">
        <v>513</v>
      </c>
      <c r="B5" t="s">
        <v>514</v>
      </c>
      <c r="C5" t="s">
        <v>515</v>
      </c>
      <c r="D5" t="s">
        <v>506</v>
      </c>
      <c r="E5" s="77" t="s">
        <v>516</v>
      </c>
      <c r="F5" t="s">
        <v>508</v>
      </c>
    </row>
    <row r="6" spans="1:7">
      <c r="A6" t="s">
        <v>517</v>
      </c>
      <c r="B6" t="s">
        <v>518</v>
      </c>
      <c r="C6" t="s">
        <v>515</v>
      </c>
      <c r="D6" t="s">
        <v>519</v>
      </c>
      <c r="E6" s="77" t="s">
        <v>520</v>
      </c>
      <c r="F6" t="s">
        <v>508</v>
      </c>
    </row>
    <row r="7" spans="1:7">
      <c r="A7" t="s">
        <v>521</v>
      </c>
      <c r="B7" t="s">
        <v>522</v>
      </c>
      <c r="C7" t="s">
        <v>523</v>
      </c>
      <c r="D7" t="s">
        <v>500</v>
      </c>
      <c r="E7" s="77" t="s">
        <v>524</v>
      </c>
    </row>
  </sheetData>
  <hyperlinks>
    <hyperlink ref="E2" r:id="rId1" xr:uid="{CFC88122-C9E6-45FF-AA5F-FEBEB8EC0863}"/>
    <hyperlink ref="E3" r:id="rId2" xr:uid="{F05DA666-9286-4B60-914E-CB46C85F3422}"/>
    <hyperlink ref="E4" r:id="rId3" xr:uid="{ABEF6F7F-1F43-4416-9C75-2AD1180B2953}"/>
    <hyperlink ref="E5" r:id="rId4" xr:uid="{5A3E73C7-858D-4427-821A-DC78CC837357}"/>
    <hyperlink ref="E6" r:id="rId5" xr:uid="{2034AF8A-DEDC-4B9D-8D93-D18CA88D8149}"/>
    <hyperlink ref="E7" r:id="rId6" xr:uid="{DB96A1FE-D541-4273-83F0-349DFEE783CF}"/>
  </hyperlinks>
  <pageMargins left="0.75" right="0.75" top="1" bottom="1" header="0.5" footer="0.5"/>
  <tableParts count="1"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CF4C-8A6F-47D0-84BA-77DEFFE8407A}">
  <dimension ref="A1:M1002"/>
  <sheetViews>
    <sheetView workbookViewId="0">
      <selection activeCell="C11" sqref="C11"/>
    </sheetView>
  </sheetViews>
  <sheetFormatPr baseColWidth="10" defaultColWidth="9.109375" defaultRowHeight="14.4"/>
  <cols>
    <col min="1" max="1" width="10" bestFit="1" customWidth="1"/>
    <col min="2" max="2" width="30.5546875" bestFit="1" customWidth="1"/>
    <col min="3" max="3" width="35" bestFit="1" customWidth="1"/>
    <col min="4" max="4" width="21.6640625" bestFit="1" customWidth="1"/>
  </cols>
  <sheetData>
    <row r="1" spans="1:13">
      <c r="A1" s="63" t="s">
        <v>525</v>
      </c>
      <c r="B1" s="64" t="s">
        <v>526</v>
      </c>
      <c r="C1" s="65" t="s">
        <v>527</v>
      </c>
      <c r="D1" s="66" t="s">
        <v>528</v>
      </c>
      <c r="E1" s="30"/>
      <c r="F1" s="30"/>
      <c r="G1" s="30"/>
      <c r="H1" s="30"/>
      <c r="I1" s="30"/>
      <c r="J1" s="30"/>
      <c r="K1" s="30"/>
      <c r="L1" s="30"/>
      <c r="M1" s="31"/>
    </row>
    <row r="2" spans="1:13">
      <c r="A2" s="43">
        <v>67</v>
      </c>
      <c r="B2" s="32" t="s">
        <v>529</v>
      </c>
      <c r="C2" s="32" t="s">
        <v>530</v>
      </c>
      <c r="D2" s="32" t="s">
        <v>482</v>
      </c>
      <c r="E2" s="33"/>
      <c r="F2" s="33"/>
      <c r="G2" s="33"/>
      <c r="H2" s="33"/>
      <c r="I2" s="33"/>
      <c r="J2" s="33"/>
      <c r="K2" s="33"/>
      <c r="L2" s="33"/>
      <c r="M2" s="34"/>
    </row>
    <row r="3" spans="1:13">
      <c r="A3" s="43">
        <v>190</v>
      </c>
      <c r="B3" s="32" t="s">
        <v>531</v>
      </c>
      <c r="C3" s="32" t="s">
        <v>532</v>
      </c>
      <c r="D3" s="32" t="s">
        <v>482</v>
      </c>
      <c r="E3" s="33"/>
      <c r="F3" s="33"/>
      <c r="G3" s="33"/>
      <c r="H3" s="33"/>
      <c r="I3" s="33"/>
      <c r="J3" s="33"/>
      <c r="K3" s="33"/>
      <c r="L3" s="33"/>
      <c r="M3" s="34"/>
    </row>
    <row r="4" spans="1:13">
      <c r="A4" s="43">
        <v>446</v>
      </c>
      <c r="B4" s="32" t="s">
        <v>533</v>
      </c>
      <c r="C4" s="32" t="s">
        <v>534</v>
      </c>
      <c r="D4" s="32" t="s">
        <v>484</v>
      </c>
      <c r="E4" s="33"/>
      <c r="F4" s="33"/>
      <c r="G4" s="33"/>
      <c r="H4" s="33"/>
      <c r="I4" s="33"/>
      <c r="J4" s="33"/>
      <c r="K4" s="33"/>
      <c r="L4" s="33"/>
      <c r="M4" s="34"/>
    </row>
    <row r="5" spans="1:13">
      <c r="A5" s="43">
        <v>457</v>
      </c>
      <c r="B5" s="32" t="s">
        <v>535</v>
      </c>
      <c r="C5" s="32" t="s">
        <v>536</v>
      </c>
      <c r="D5" s="32" t="s">
        <v>482</v>
      </c>
      <c r="E5" s="33"/>
      <c r="F5" s="33"/>
      <c r="G5" s="33"/>
      <c r="H5" s="33"/>
      <c r="I5" s="33"/>
      <c r="J5" s="33"/>
      <c r="K5" s="33"/>
      <c r="L5" s="33"/>
      <c r="M5" s="34"/>
    </row>
    <row r="6" spans="1:13">
      <c r="A6" s="43">
        <v>460</v>
      </c>
      <c r="B6" s="32" t="s">
        <v>537</v>
      </c>
      <c r="C6" s="32" t="s">
        <v>538</v>
      </c>
      <c r="D6" s="32" t="s">
        <v>484</v>
      </c>
      <c r="E6" s="33"/>
      <c r="F6" s="33"/>
      <c r="G6" s="33"/>
      <c r="H6" s="33"/>
      <c r="I6" s="33"/>
      <c r="J6" s="33"/>
      <c r="K6" s="33"/>
      <c r="L6" s="33"/>
      <c r="M6" s="34"/>
    </row>
    <row r="7" spans="1:13">
      <c r="A7" s="43">
        <v>481</v>
      </c>
      <c r="B7" s="32" t="s">
        <v>539</v>
      </c>
      <c r="C7" s="32" t="s">
        <v>534</v>
      </c>
      <c r="D7" s="32" t="s">
        <v>484</v>
      </c>
      <c r="E7" s="33"/>
      <c r="F7" s="33"/>
      <c r="G7" s="33"/>
      <c r="H7" s="33"/>
      <c r="I7" s="33"/>
      <c r="J7" s="33"/>
      <c r="K7" s="33"/>
      <c r="L7" s="33"/>
      <c r="M7" s="34"/>
    </row>
    <row r="8" spans="1:13">
      <c r="A8" s="43">
        <v>4644</v>
      </c>
      <c r="B8" s="32" t="s">
        <v>540</v>
      </c>
      <c r="C8" s="32" t="s">
        <v>541</v>
      </c>
      <c r="D8" s="32" t="s">
        <v>482</v>
      </c>
      <c r="E8" s="33"/>
      <c r="F8" s="33"/>
      <c r="G8" s="33"/>
      <c r="H8" s="33"/>
      <c r="I8" s="33"/>
      <c r="J8" s="33"/>
      <c r="K8" s="33"/>
      <c r="L8" s="33"/>
      <c r="M8" s="34"/>
    </row>
    <row r="9" spans="1:13">
      <c r="A9" s="43">
        <v>5006</v>
      </c>
      <c r="B9" s="32" t="s">
        <v>542</v>
      </c>
      <c r="C9" s="32" t="s">
        <v>534</v>
      </c>
      <c r="D9" s="32" t="s">
        <v>484</v>
      </c>
      <c r="E9" s="33"/>
      <c r="F9" s="33"/>
      <c r="G9" s="33"/>
      <c r="H9" s="33"/>
      <c r="I9" s="33"/>
      <c r="J9" s="33"/>
      <c r="K9" s="33"/>
      <c r="L9" s="33"/>
      <c r="M9" s="34"/>
    </row>
    <row r="10" spans="1:13">
      <c r="A10" s="43">
        <v>5438</v>
      </c>
      <c r="B10" s="32" t="s">
        <v>543</v>
      </c>
      <c r="C10" s="32" t="s">
        <v>534</v>
      </c>
      <c r="D10" s="32" t="s">
        <v>484</v>
      </c>
      <c r="E10" s="33"/>
      <c r="F10" s="33"/>
      <c r="G10" s="33"/>
      <c r="H10" s="33"/>
      <c r="I10" s="33"/>
      <c r="J10" s="33"/>
      <c r="K10" s="33"/>
      <c r="L10" s="33"/>
      <c r="M10" s="34"/>
    </row>
    <row r="11" spans="1:13">
      <c r="A11" s="43">
        <v>5439</v>
      </c>
      <c r="B11" s="32" t="s">
        <v>544</v>
      </c>
      <c r="C11" s="32" t="s">
        <v>534</v>
      </c>
      <c r="D11" s="32" t="s">
        <v>484</v>
      </c>
      <c r="E11" s="33"/>
      <c r="F11" s="33"/>
      <c r="G11" s="33"/>
      <c r="H11" s="33"/>
      <c r="I11" s="33"/>
      <c r="J11" s="33"/>
      <c r="K11" s="33"/>
      <c r="L11" s="33"/>
      <c r="M11" s="34"/>
    </row>
    <row r="12" spans="1:13">
      <c r="A12" s="43">
        <v>5441</v>
      </c>
      <c r="B12" s="32" t="s">
        <v>545</v>
      </c>
      <c r="C12" s="32" t="s">
        <v>538</v>
      </c>
      <c r="D12" s="32" t="s">
        <v>484</v>
      </c>
      <c r="E12" s="33"/>
      <c r="F12" s="33"/>
      <c r="G12" s="33"/>
      <c r="H12" s="33"/>
      <c r="I12" s="33"/>
      <c r="J12" s="33"/>
      <c r="K12" s="33"/>
      <c r="L12" s="33"/>
      <c r="M12" s="34"/>
    </row>
    <row r="13" spans="1:13">
      <c r="A13" s="43">
        <v>5444</v>
      </c>
      <c r="B13" s="32" t="s">
        <v>546</v>
      </c>
      <c r="C13" s="32" t="s">
        <v>534</v>
      </c>
      <c r="D13" s="32" t="s">
        <v>482</v>
      </c>
      <c r="E13" s="33"/>
      <c r="F13" s="33"/>
      <c r="G13" s="33"/>
      <c r="H13" s="33"/>
      <c r="I13" s="33"/>
      <c r="J13" s="33"/>
      <c r="K13" s="33"/>
      <c r="L13" s="33"/>
      <c r="M13" s="34"/>
    </row>
    <row r="14" spans="1:13">
      <c r="A14" s="43">
        <v>6057</v>
      </c>
      <c r="B14" s="32" t="s">
        <v>547</v>
      </c>
      <c r="C14" s="32" t="s">
        <v>532</v>
      </c>
      <c r="D14" s="32" t="s">
        <v>482</v>
      </c>
      <c r="E14" s="33"/>
      <c r="F14" s="33"/>
      <c r="G14" s="33"/>
      <c r="H14" s="33"/>
      <c r="I14" s="33"/>
      <c r="J14" s="33"/>
      <c r="K14" s="33"/>
      <c r="L14" s="33"/>
      <c r="M14" s="34"/>
    </row>
    <row r="15" spans="1:13">
      <c r="A15" s="43">
        <v>6703</v>
      </c>
      <c r="B15" s="32" t="s">
        <v>548</v>
      </c>
      <c r="C15" s="32" t="s">
        <v>549</v>
      </c>
      <c r="D15" s="32" t="s">
        <v>482</v>
      </c>
      <c r="E15" s="33"/>
      <c r="F15" s="33"/>
      <c r="G15" s="33"/>
      <c r="H15" s="33"/>
      <c r="I15" s="33"/>
      <c r="J15" s="33"/>
      <c r="K15" s="33"/>
      <c r="L15" s="33"/>
      <c r="M15" s="34"/>
    </row>
    <row r="16" spans="1:13">
      <c r="A16" s="43">
        <v>6708</v>
      </c>
      <c r="B16" s="32" t="s">
        <v>550</v>
      </c>
      <c r="C16" s="35"/>
      <c r="D16" s="32" t="s">
        <v>482</v>
      </c>
      <c r="E16" s="33"/>
      <c r="F16" s="33"/>
      <c r="G16" s="33"/>
      <c r="H16" s="33"/>
      <c r="I16" s="33"/>
      <c r="J16" s="33"/>
      <c r="K16" s="33"/>
      <c r="L16" s="33"/>
      <c r="M16" s="34"/>
    </row>
    <row r="17" spans="1:13">
      <c r="A17" s="43">
        <v>7073</v>
      </c>
      <c r="B17" s="32" t="s">
        <v>551</v>
      </c>
      <c r="C17" s="32" t="s">
        <v>552</v>
      </c>
      <c r="D17" s="32" t="s">
        <v>484</v>
      </c>
      <c r="E17" s="33"/>
      <c r="F17" s="33"/>
      <c r="G17" s="33"/>
      <c r="H17" s="33"/>
      <c r="I17" s="33"/>
      <c r="J17" s="33"/>
      <c r="K17" s="33"/>
      <c r="L17" s="33"/>
      <c r="M17" s="34"/>
    </row>
    <row r="18" spans="1:13">
      <c r="A18" s="43">
        <v>7469</v>
      </c>
      <c r="B18" s="32" t="s">
        <v>553</v>
      </c>
      <c r="C18" s="32" t="s">
        <v>554</v>
      </c>
      <c r="D18" s="32" t="s">
        <v>482</v>
      </c>
      <c r="E18" s="33"/>
      <c r="F18" s="33"/>
      <c r="G18" s="33"/>
      <c r="H18" s="33"/>
      <c r="I18" s="33"/>
      <c r="J18" s="33"/>
      <c r="K18" s="33"/>
      <c r="L18" s="33"/>
      <c r="M18" s="34"/>
    </row>
    <row r="19" spans="1:13">
      <c r="A19" s="43">
        <v>7544</v>
      </c>
      <c r="B19" s="32" t="s">
        <v>555</v>
      </c>
      <c r="C19" s="32" t="s">
        <v>556</v>
      </c>
      <c r="D19" s="32" t="s">
        <v>482</v>
      </c>
      <c r="E19" s="33"/>
      <c r="F19" s="33"/>
      <c r="G19" s="33"/>
      <c r="H19" s="33"/>
      <c r="I19" s="33"/>
      <c r="J19" s="33"/>
      <c r="K19" s="33"/>
      <c r="L19" s="33"/>
      <c r="M19" s="34"/>
    </row>
    <row r="20" spans="1:13">
      <c r="A20" s="43">
        <v>7554</v>
      </c>
      <c r="B20" s="32" t="s">
        <v>557</v>
      </c>
      <c r="C20" s="32" t="s">
        <v>552</v>
      </c>
      <c r="D20" s="32" t="s">
        <v>482</v>
      </c>
      <c r="E20" s="33"/>
      <c r="F20" s="33"/>
      <c r="G20" s="33"/>
      <c r="H20" s="33"/>
      <c r="I20" s="33"/>
      <c r="J20" s="33"/>
      <c r="K20" s="33"/>
      <c r="L20" s="33"/>
      <c r="M20" s="34"/>
    </row>
    <row r="21" spans="1:13">
      <c r="A21" s="43">
        <v>7564</v>
      </c>
      <c r="B21" s="32" t="s">
        <v>558</v>
      </c>
      <c r="C21" s="32" t="s">
        <v>552</v>
      </c>
      <c r="D21" s="32" t="s">
        <v>484</v>
      </c>
      <c r="E21" s="33"/>
      <c r="F21" s="33"/>
      <c r="G21" s="33"/>
      <c r="H21" s="33"/>
      <c r="I21" s="33"/>
      <c r="J21" s="33"/>
      <c r="K21" s="33"/>
      <c r="L21" s="33"/>
      <c r="M21" s="34"/>
    </row>
    <row r="22" spans="1:13">
      <c r="A22" s="43">
        <v>7566</v>
      </c>
      <c r="B22" s="32" t="s">
        <v>559</v>
      </c>
      <c r="C22" s="32" t="s">
        <v>552</v>
      </c>
      <c r="D22" s="32" t="s">
        <v>482</v>
      </c>
      <c r="E22" s="33"/>
      <c r="F22" s="33"/>
      <c r="G22" s="33"/>
      <c r="H22" s="33"/>
      <c r="I22" s="33"/>
      <c r="J22" s="33"/>
      <c r="K22" s="33"/>
      <c r="L22" s="33"/>
      <c r="M22" s="34"/>
    </row>
    <row r="23" spans="1:13">
      <c r="A23" s="43">
        <v>7623</v>
      </c>
      <c r="B23" s="32" t="s">
        <v>560</v>
      </c>
      <c r="C23" s="32" t="s">
        <v>554</v>
      </c>
      <c r="D23" s="32" t="s">
        <v>482</v>
      </c>
      <c r="E23" s="33"/>
      <c r="F23" s="33"/>
      <c r="G23" s="33"/>
      <c r="H23" s="33"/>
      <c r="I23" s="33"/>
      <c r="J23" s="33"/>
      <c r="K23" s="33"/>
      <c r="L23" s="33"/>
      <c r="M23" s="34"/>
    </row>
    <row r="24" spans="1:13">
      <c r="A24" s="43">
        <v>7706</v>
      </c>
      <c r="B24" s="32" t="s">
        <v>561</v>
      </c>
      <c r="C24" s="32" t="s">
        <v>552</v>
      </c>
      <c r="D24" s="32" t="s">
        <v>484</v>
      </c>
      <c r="E24" s="33"/>
      <c r="F24" s="33"/>
      <c r="G24" s="33"/>
      <c r="H24" s="33"/>
      <c r="I24" s="33"/>
      <c r="J24" s="33"/>
      <c r="K24" s="33"/>
      <c r="L24" s="33"/>
      <c r="M24" s="34"/>
    </row>
    <row r="25" spans="1:13">
      <c r="A25" s="43">
        <v>7764</v>
      </c>
      <c r="B25" s="32" t="s">
        <v>562</v>
      </c>
      <c r="C25" s="32" t="s">
        <v>556</v>
      </c>
      <c r="D25" s="32" t="s">
        <v>484</v>
      </c>
      <c r="E25" s="33"/>
      <c r="F25" s="33"/>
      <c r="G25" s="33"/>
      <c r="H25" s="33"/>
      <c r="I25" s="33"/>
      <c r="J25" s="33"/>
      <c r="K25" s="33"/>
      <c r="L25" s="33"/>
      <c r="M25" s="34"/>
    </row>
    <row r="26" spans="1:13">
      <c r="A26" s="43">
        <v>7767</v>
      </c>
      <c r="B26" s="32" t="s">
        <v>563</v>
      </c>
      <c r="C26" s="32" t="s">
        <v>532</v>
      </c>
      <c r="D26" s="32" t="s">
        <v>484</v>
      </c>
      <c r="E26" s="33"/>
      <c r="F26" s="33"/>
      <c r="G26" s="33"/>
      <c r="H26" s="33"/>
      <c r="I26" s="33"/>
      <c r="J26" s="33"/>
      <c r="K26" s="33"/>
      <c r="L26" s="33"/>
      <c r="M26" s="34"/>
    </row>
    <row r="27" spans="1:13">
      <c r="A27" s="43">
        <v>7780</v>
      </c>
      <c r="B27" s="32" t="s">
        <v>564</v>
      </c>
      <c r="C27" s="32" t="s">
        <v>534</v>
      </c>
      <c r="D27" s="32" t="s">
        <v>484</v>
      </c>
      <c r="E27" s="33"/>
      <c r="F27" s="33"/>
      <c r="G27" s="33"/>
      <c r="H27" s="33"/>
      <c r="I27" s="33"/>
      <c r="J27" s="33"/>
      <c r="K27" s="33"/>
      <c r="L27" s="33"/>
      <c r="M27" s="34"/>
    </row>
    <row r="28" spans="1:13">
      <c r="A28" s="43">
        <v>7784</v>
      </c>
      <c r="B28" s="32" t="s">
        <v>565</v>
      </c>
      <c r="C28" s="35"/>
      <c r="D28" s="32" t="s">
        <v>482</v>
      </c>
      <c r="E28" s="33"/>
      <c r="F28" s="33"/>
      <c r="G28" s="33"/>
      <c r="H28" s="33"/>
      <c r="I28" s="33"/>
      <c r="J28" s="33"/>
      <c r="K28" s="33"/>
      <c r="L28" s="33"/>
      <c r="M28" s="34"/>
    </row>
    <row r="29" spans="1:13">
      <c r="A29" s="43">
        <v>7785</v>
      </c>
      <c r="B29" s="32" t="s">
        <v>566</v>
      </c>
      <c r="C29" s="32" t="s">
        <v>567</v>
      </c>
      <c r="D29" s="32" t="s">
        <v>484</v>
      </c>
      <c r="E29" s="33"/>
      <c r="F29" s="33"/>
      <c r="G29" s="33"/>
      <c r="H29" s="33"/>
      <c r="I29" s="33"/>
      <c r="J29" s="33"/>
      <c r="K29" s="33"/>
      <c r="L29" s="33"/>
      <c r="M29" s="34"/>
    </row>
    <row r="30" spans="1:13">
      <c r="A30" s="43">
        <v>7819</v>
      </c>
      <c r="B30" s="32" t="s">
        <v>568</v>
      </c>
      <c r="C30" s="32" t="s">
        <v>556</v>
      </c>
      <c r="D30" s="32" t="s">
        <v>484</v>
      </c>
      <c r="E30" s="33"/>
      <c r="F30" s="33"/>
      <c r="G30" s="33"/>
      <c r="H30" s="33"/>
      <c r="I30" s="33"/>
      <c r="J30" s="33"/>
      <c r="K30" s="33"/>
      <c r="L30" s="33"/>
      <c r="M30" s="34"/>
    </row>
    <row r="31" spans="1:13">
      <c r="A31" s="43">
        <v>7820</v>
      </c>
      <c r="B31" s="32" t="s">
        <v>569</v>
      </c>
      <c r="C31" s="32" t="s">
        <v>570</v>
      </c>
      <c r="D31" s="32" t="s">
        <v>482</v>
      </c>
      <c r="E31" s="33"/>
      <c r="F31" s="33"/>
      <c r="G31" s="33"/>
      <c r="H31" s="33"/>
      <c r="I31" s="33"/>
      <c r="J31" s="33"/>
      <c r="K31" s="33"/>
      <c r="L31" s="33"/>
      <c r="M31" s="34"/>
    </row>
    <row r="32" spans="1:13">
      <c r="A32" s="43">
        <v>7822</v>
      </c>
      <c r="B32" s="32" t="s">
        <v>571</v>
      </c>
      <c r="C32" s="32" t="s">
        <v>536</v>
      </c>
      <c r="D32" s="32" t="s">
        <v>482</v>
      </c>
      <c r="E32" s="33"/>
      <c r="F32" s="33"/>
      <c r="G32" s="33"/>
      <c r="H32" s="33"/>
      <c r="I32" s="33"/>
      <c r="J32" s="33"/>
      <c r="K32" s="33"/>
      <c r="L32" s="33"/>
      <c r="M32" s="34"/>
    </row>
    <row r="33" spans="1:13">
      <c r="A33" s="43">
        <v>7825</v>
      </c>
      <c r="B33" s="32" t="s">
        <v>572</v>
      </c>
      <c r="C33" s="32" t="s">
        <v>541</v>
      </c>
      <c r="D33" s="32" t="s">
        <v>484</v>
      </c>
      <c r="E33" s="33"/>
      <c r="F33" s="33"/>
      <c r="G33" s="33"/>
      <c r="H33" s="33"/>
      <c r="I33" s="33"/>
      <c r="J33" s="33"/>
      <c r="K33" s="33"/>
      <c r="L33" s="33"/>
      <c r="M33" s="34"/>
    </row>
    <row r="34" spans="1:13">
      <c r="A34" s="43">
        <v>7828</v>
      </c>
      <c r="B34" s="32" t="s">
        <v>573</v>
      </c>
      <c r="C34" s="32" t="s">
        <v>530</v>
      </c>
      <c r="D34" s="32" t="s">
        <v>482</v>
      </c>
      <c r="E34" s="33"/>
      <c r="F34" s="33"/>
      <c r="G34" s="33"/>
      <c r="H34" s="33"/>
      <c r="I34" s="33"/>
      <c r="J34" s="33"/>
      <c r="K34" s="33"/>
      <c r="L34" s="33"/>
      <c r="M34" s="34"/>
    </row>
    <row r="35" spans="1:13">
      <c r="A35" s="43">
        <v>7831</v>
      </c>
      <c r="B35" s="32" t="s">
        <v>574</v>
      </c>
      <c r="C35" s="32" t="s">
        <v>570</v>
      </c>
      <c r="D35" s="32" t="s">
        <v>482</v>
      </c>
      <c r="E35" s="33"/>
      <c r="F35" s="33"/>
      <c r="G35" s="33"/>
      <c r="H35" s="33"/>
      <c r="I35" s="33"/>
      <c r="J35" s="33"/>
      <c r="K35" s="33"/>
      <c r="L35" s="33"/>
      <c r="M35" s="34"/>
    </row>
    <row r="36" spans="1:13">
      <c r="A36" s="43">
        <v>7838</v>
      </c>
      <c r="B36" s="32" t="s">
        <v>575</v>
      </c>
      <c r="C36" s="32" t="s">
        <v>570</v>
      </c>
      <c r="D36" s="32" t="s">
        <v>482</v>
      </c>
      <c r="E36" s="33"/>
      <c r="F36" s="33"/>
      <c r="G36" s="33"/>
      <c r="H36" s="33"/>
      <c r="I36" s="33"/>
      <c r="J36" s="33"/>
      <c r="K36" s="33"/>
      <c r="L36" s="33"/>
      <c r="M36" s="34"/>
    </row>
    <row r="37" spans="1:13">
      <c r="A37" s="43">
        <v>7840</v>
      </c>
      <c r="B37" s="32" t="s">
        <v>576</v>
      </c>
      <c r="C37" s="32" t="s">
        <v>577</v>
      </c>
      <c r="D37" s="32" t="s">
        <v>484</v>
      </c>
      <c r="E37" s="33"/>
      <c r="F37" s="33"/>
      <c r="G37" s="33"/>
      <c r="H37" s="33"/>
      <c r="I37" s="33"/>
      <c r="J37" s="33"/>
      <c r="K37" s="33"/>
      <c r="L37" s="33"/>
      <c r="M37" s="34"/>
    </row>
    <row r="38" spans="1:13">
      <c r="A38" s="43">
        <v>7850</v>
      </c>
      <c r="B38" s="32" t="s">
        <v>578</v>
      </c>
      <c r="C38" s="32" t="s">
        <v>532</v>
      </c>
      <c r="D38" s="32" t="s">
        <v>484</v>
      </c>
      <c r="E38" s="33"/>
      <c r="F38" s="33"/>
      <c r="G38" s="33"/>
      <c r="H38" s="33"/>
      <c r="I38" s="33"/>
      <c r="J38" s="33"/>
      <c r="K38" s="33"/>
      <c r="L38" s="33"/>
      <c r="M38" s="34"/>
    </row>
    <row r="39" spans="1:13">
      <c r="A39" s="43">
        <v>7851</v>
      </c>
      <c r="B39" s="32" t="s">
        <v>579</v>
      </c>
      <c r="C39" s="32" t="s">
        <v>570</v>
      </c>
      <c r="D39" s="32" t="s">
        <v>482</v>
      </c>
      <c r="E39" s="33"/>
      <c r="F39" s="33"/>
      <c r="G39" s="33"/>
      <c r="H39" s="33"/>
      <c r="I39" s="33"/>
      <c r="J39" s="33"/>
      <c r="K39" s="33"/>
      <c r="L39" s="33"/>
      <c r="M39" s="34"/>
    </row>
    <row r="40" spans="1:13">
      <c r="A40" s="43">
        <v>7852</v>
      </c>
      <c r="B40" s="32" t="s">
        <v>580</v>
      </c>
      <c r="C40" s="32" t="s">
        <v>541</v>
      </c>
      <c r="D40" s="32" t="s">
        <v>484</v>
      </c>
      <c r="E40" s="33"/>
      <c r="F40" s="33"/>
      <c r="G40" s="33"/>
      <c r="H40" s="33"/>
      <c r="I40" s="33"/>
      <c r="J40" s="33"/>
      <c r="K40" s="33"/>
      <c r="L40" s="33"/>
      <c r="M40" s="34"/>
    </row>
    <row r="41" spans="1:13">
      <c r="A41" s="43">
        <v>7856</v>
      </c>
      <c r="B41" s="32" t="s">
        <v>581</v>
      </c>
      <c r="C41" s="32" t="s">
        <v>538</v>
      </c>
      <c r="D41" s="32" t="s">
        <v>484</v>
      </c>
      <c r="E41" s="33"/>
      <c r="F41" s="33"/>
      <c r="G41" s="33"/>
      <c r="H41" s="33"/>
      <c r="I41" s="33"/>
      <c r="J41" s="33"/>
      <c r="K41" s="33"/>
      <c r="L41" s="33"/>
      <c r="M41" s="34"/>
    </row>
    <row r="42" spans="1:13">
      <c r="A42" s="43">
        <v>7857</v>
      </c>
      <c r="B42" s="32" t="s">
        <v>582</v>
      </c>
      <c r="C42" s="32" t="s">
        <v>530</v>
      </c>
      <c r="D42" s="32" t="s">
        <v>482</v>
      </c>
      <c r="E42" s="33"/>
      <c r="F42" s="33"/>
      <c r="G42" s="33"/>
      <c r="H42" s="33"/>
      <c r="I42" s="33"/>
      <c r="J42" s="33"/>
      <c r="K42" s="33"/>
      <c r="L42" s="33"/>
      <c r="M42" s="34"/>
    </row>
    <row r="43" spans="1:13">
      <c r="A43" s="43">
        <v>7867</v>
      </c>
      <c r="B43" s="32" t="s">
        <v>583</v>
      </c>
      <c r="C43" s="32" t="s">
        <v>538</v>
      </c>
      <c r="D43" s="32" t="s">
        <v>484</v>
      </c>
      <c r="E43" s="33"/>
      <c r="F43" s="33"/>
      <c r="G43" s="33"/>
      <c r="H43" s="33"/>
      <c r="I43" s="33"/>
      <c r="J43" s="33"/>
      <c r="K43" s="33"/>
      <c r="L43" s="33"/>
      <c r="M43" s="34"/>
    </row>
    <row r="44" spans="1:13">
      <c r="A44" s="43">
        <v>7871</v>
      </c>
      <c r="B44" s="32" t="s">
        <v>584</v>
      </c>
      <c r="C44" s="32" t="s">
        <v>536</v>
      </c>
      <c r="D44" s="32" t="s">
        <v>484</v>
      </c>
      <c r="E44" s="33"/>
      <c r="F44" s="33"/>
      <c r="G44" s="33"/>
      <c r="H44" s="33"/>
      <c r="I44" s="33"/>
      <c r="J44" s="33"/>
      <c r="K44" s="33"/>
      <c r="L44" s="33"/>
      <c r="M44" s="34"/>
    </row>
    <row r="45" spans="1:13">
      <c r="A45" s="43">
        <v>7872</v>
      </c>
      <c r="B45" s="32" t="s">
        <v>585</v>
      </c>
      <c r="C45" s="35"/>
      <c r="D45" s="32" t="s">
        <v>482</v>
      </c>
      <c r="E45" s="33"/>
      <c r="F45" s="33"/>
      <c r="G45" s="33"/>
      <c r="H45" s="33"/>
      <c r="I45" s="33"/>
      <c r="J45" s="33"/>
      <c r="K45" s="33"/>
      <c r="L45" s="33"/>
      <c r="M45" s="34"/>
    </row>
    <row r="46" spans="1:13">
      <c r="A46" s="43">
        <v>7873</v>
      </c>
      <c r="B46" s="32" t="s">
        <v>586</v>
      </c>
      <c r="C46" s="32" t="s">
        <v>538</v>
      </c>
      <c r="D46" s="32" t="s">
        <v>482</v>
      </c>
      <c r="E46" s="33"/>
      <c r="F46" s="33"/>
      <c r="G46" s="33"/>
      <c r="H46" s="33"/>
      <c r="I46" s="33"/>
      <c r="J46" s="33"/>
      <c r="K46" s="33"/>
      <c r="L46" s="33"/>
      <c r="M46" s="34"/>
    </row>
    <row r="47" spans="1:13">
      <c r="A47" s="43">
        <v>7874</v>
      </c>
      <c r="B47" s="32" t="s">
        <v>587</v>
      </c>
      <c r="C47" s="32" t="s">
        <v>577</v>
      </c>
      <c r="D47" s="32" t="s">
        <v>484</v>
      </c>
      <c r="E47" s="33"/>
      <c r="F47" s="33"/>
      <c r="G47" s="33"/>
      <c r="H47" s="33"/>
      <c r="I47" s="33"/>
      <c r="J47" s="33"/>
      <c r="K47" s="33"/>
      <c r="L47" s="33"/>
      <c r="M47" s="34"/>
    </row>
    <row r="48" spans="1:13">
      <c r="A48" s="43">
        <v>7876</v>
      </c>
      <c r="B48" s="32" t="s">
        <v>588</v>
      </c>
      <c r="C48" s="32" t="s">
        <v>589</v>
      </c>
      <c r="D48" s="32" t="s">
        <v>482</v>
      </c>
      <c r="E48" s="33"/>
      <c r="F48" s="33"/>
      <c r="G48" s="33"/>
      <c r="H48" s="33"/>
      <c r="I48" s="33"/>
      <c r="J48" s="33"/>
      <c r="K48" s="33"/>
      <c r="L48" s="33"/>
      <c r="M48" s="34"/>
    </row>
    <row r="49" spans="1:13">
      <c r="A49" s="43">
        <v>7878</v>
      </c>
      <c r="B49" s="32" t="s">
        <v>590</v>
      </c>
      <c r="C49" s="32" t="s">
        <v>541</v>
      </c>
      <c r="D49" s="32" t="s">
        <v>484</v>
      </c>
      <c r="E49" s="33"/>
      <c r="F49" s="33"/>
      <c r="G49" s="33"/>
      <c r="H49" s="33"/>
      <c r="I49" s="33"/>
      <c r="J49" s="33"/>
      <c r="K49" s="33"/>
      <c r="L49" s="33"/>
      <c r="M49" s="34"/>
    </row>
    <row r="50" spans="1:13">
      <c r="A50" s="43">
        <v>7883</v>
      </c>
      <c r="B50" s="32" t="s">
        <v>591</v>
      </c>
      <c r="C50" s="32" t="s">
        <v>554</v>
      </c>
      <c r="D50" s="32" t="s">
        <v>484</v>
      </c>
      <c r="E50" s="33"/>
      <c r="F50" s="33"/>
      <c r="G50" s="33"/>
      <c r="H50" s="33"/>
      <c r="I50" s="33"/>
      <c r="J50" s="33"/>
      <c r="K50" s="33"/>
      <c r="L50" s="33"/>
      <c r="M50" s="34"/>
    </row>
    <row r="51" spans="1:13">
      <c r="A51" s="43">
        <v>7884</v>
      </c>
      <c r="B51" s="32" t="s">
        <v>592</v>
      </c>
      <c r="C51" s="32" t="s">
        <v>541</v>
      </c>
      <c r="D51" s="32" t="s">
        <v>484</v>
      </c>
      <c r="E51" s="33"/>
      <c r="F51" s="33"/>
      <c r="G51" s="33"/>
      <c r="H51" s="33"/>
      <c r="I51" s="33"/>
      <c r="J51" s="33"/>
      <c r="K51" s="33"/>
      <c r="L51" s="33"/>
      <c r="M51" s="34"/>
    </row>
    <row r="52" spans="1:13">
      <c r="A52" s="43">
        <v>7885</v>
      </c>
      <c r="B52" s="32" t="s">
        <v>593</v>
      </c>
      <c r="C52" s="32" t="s">
        <v>541</v>
      </c>
      <c r="D52" s="32" t="s">
        <v>482</v>
      </c>
      <c r="E52" s="33"/>
      <c r="F52" s="33"/>
      <c r="G52" s="33"/>
      <c r="H52" s="33"/>
      <c r="I52" s="33"/>
      <c r="J52" s="33"/>
      <c r="K52" s="33"/>
      <c r="L52" s="33"/>
      <c r="M52" s="34"/>
    </row>
    <row r="53" spans="1:13">
      <c r="A53" s="43">
        <v>7889</v>
      </c>
      <c r="B53" s="32" t="s">
        <v>594</v>
      </c>
      <c r="C53" s="32" t="s">
        <v>552</v>
      </c>
      <c r="D53" s="32" t="s">
        <v>484</v>
      </c>
      <c r="E53" s="33"/>
      <c r="F53" s="33"/>
      <c r="G53" s="33"/>
      <c r="H53" s="33"/>
      <c r="I53" s="33"/>
      <c r="J53" s="33"/>
      <c r="K53" s="33"/>
      <c r="L53" s="33"/>
      <c r="M53" s="34"/>
    </row>
    <row r="54" spans="1:13">
      <c r="A54" s="43">
        <v>7892</v>
      </c>
      <c r="B54" s="32" t="s">
        <v>595</v>
      </c>
      <c r="C54" s="32" t="s">
        <v>552</v>
      </c>
      <c r="D54" s="32" t="s">
        <v>484</v>
      </c>
      <c r="E54" s="33"/>
      <c r="F54" s="33"/>
      <c r="G54" s="33"/>
      <c r="H54" s="33"/>
      <c r="I54" s="33"/>
      <c r="J54" s="33"/>
      <c r="K54" s="33"/>
      <c r="L54" s="33"/>
      <c r="M54" s="34"/>
    </row>
    <row r="55" spans="1:13">
      <c r="A55" s="43">
        <v>7893</v>
      </c>
      <c r="B55" s="32" t="s">
        <v>596</v>
      </c>
      <c r="C55" s="32" t="s">
        <v>552</v>
      </c>
      <c r="D55" s="32" t="s">
        <v>484</v>
      </c>
      <c r="E55" s="33"/>
      <c r="F55" s="33"/>
      <c r="G55" s="33"/>
      <c r="H55" s="33"/>
      <c r="I55" s="33"/>
      <c r="J55" s="33"/>
      <c r="K55" s="33"/>
      <c r="L55" s="33"/>
      <c r="M55" s="34"/>
    </row>
    <row r="56" spans="1:13">
      <c r="A56" s="43">
        <v>7894</v>
      </c>
      <c r="B56" s="32" t="s">
        <v>597</v>
      </c>
      <c r="C56" s="32" t="s">
        <v>532</v>
      </c>
      <c r="D56" s="32" t="s">
        <v>484</v>
      </c>
      <c r="E56" s="33"/>
      <c r="F56" s="33"/>
      <c r="G56" s="33"/>
      <c r="H56" s="33"/>
      <c r="I56" s="33"/>
      <c r="J56" s="33"/>
      <c r="K56" s="33"/>
      <c r="L56" s="33"/>
      <c r="M56" s="34"/>
    </row>
    <row r="57" spans="1:13">
      <c r="A57" s="43">
        <v>7895</v>
      </c>
      <c r="B57" s="32" t="s">
        <v>598</v>
      </c>
      <c r="C57" s="32" t="s">
        <v>536</v>
      </c>
      <c r="D57" s="32" t="s">
        <v>482</v>
      </c>
      <c r="E57" s="33"/>
      <c r="F57" s="33"/>
      <c r="G57" s="33"/>
      <c r="H57" s="33"/>
      <c r="I57" s="33"/>
      <c r="J57" s="33"/>
      <c r="K57" s="33"/>
      <c r="L57" s="33"/>
      <c r="M57" s="34"/>
    </row>
    <row r="58" spans="1:13">
      <c r="A58" s="43">
        <v>7898</v>
      </c>
      <c r="B58" s="32" t="s">
        <v>599</v>
      </c>
      <c r="C58" s="35"/>
      <c r="D58" s="32" t="s">
        <v>482</v>
      </c>
      <c r="E58" s="33"/>
      <c r="F58" s="33"/>
      <c r="G58" s="33"/>
      <c r="H58" s="33"/>
      <c r="I58" s="33"/>
      <c r="J58" s="33"/>
      <c r="K58" s="33"/>
      <c r="L58" s="33"/>
      <c r="M58" s="34"/>
    </row>
    <row r="59" spans="1:13">
      <c r="A59" s="43">
        <v>7899</v>
      </c>
      <c r="B59" s="32" t="s">
        <v>600</v>
      </c>
      <c r="C59" s="32" t="s">
        <v>534</v>
      </c>
      <c r="D59" s="32" t="s">
        <v>484</v>
      </c>
      <c r="E59" s="33"/>
      <c r="F59" s="33"/>
      <c r="G59" s="33"/>
      <c r="H59" s="33"/>
      <c r="I59" s="33"/>
      <c r="J59" s="33"/>
      <c r="K59" s="33"/>
      <c r="L59" s="33"/>
      <c r="M59" s="34"/>
    </row>
    <row r="60" spans="1:13">
      <c r="A60" s="43">
        <v>7902</v>
      </c>
      <c r="B60" s="32" t="s">
        <v>601</v>
      </c>
      <c r="C60" s="32" t="s">
        <v>552</v>
      </c>
      <c r="D60" s="32" t="s">
        <v>482</v>
      </c>
      <c r="E60" s="33"/>
      <c r="F60" s="33"/>
      <c r="G60" s="33"/>
      <c r="H60" s="33"/>
      <c r="I60" s="33"/>
      <c r="J60" s="33"/>
      <c r="K60" s="33"/>
      <c r="L60" s="33"/>
      <c r="M60" s="34"/>
    </row>
    <row r="61" spans="1:13">
      <c r="A61" s="43">
        <v>7910</v>
      </c>
      <c r="B61" s="32" t="s">
        <v>602</v>
      </c>
      <c r="C61" s="32" t="s">
        <v>556</v>
      </c>
      <c r="D61" s="32" t="s">
        <v>484</v>
      </c>
      <c r="E61" s="33"/>
      <c r="F61" s="33"/>
      <c r="G61" s="33"/>
      <c r="H61" s="33"/>
      <c r="I61" s="33"/>
      <c r="J61" s="33"/>
      <c r="K61" s="33"/>
      <c r="L61" s="33"/>
      <c r="M61" s="34"/>
    </row>
    <row r="62" spans="1:13">
      <c r="A62" s="43">
        <v>7912</v>
      </c>
      <c r="B62" s="32" t="s">
        <v>603</v>
      </c>
      <c r="C62" s="32" t="s">
        <v>604</v>
      </c>
      <c r="D62" s="32" t="s">
        <v>482</v>
      </c>
      <c r="E62" s="33"/>
      <c r="F62" s="33"/>
      <c r="G62" s="33"/>
      <c r="H62" s="33"/>
      <c r="I62" s="33"/>
      <c r="J62" s="33"/>
      <c r="K62" s="33"/>
      <c r="L62" s="33"/>
      <c r="M62" s="34"/>
    </row>
    <row r="63" spans="1:13">
      <c r="A63" s="43">
        <v>7916</v>
      </c>
      <c r="B63" s="32" t="s">
        <v>605</v>
      </c>
      <c r="C63" s="32" t="s">
        <v>556</v>
      </c>
      <c r="D63" s="32" t="s">
        <v>482</v>
      </c>
      <c r="E63" s="33"/>
      <c r="F63" s="33"/>
      <c r="G63" s="33"/>
      <c r="H63" s="33"/>
      <c r="I63" s="33"/>
      <c r="J63" s="33"/>
      <c r="K63" s="33"/>
      <c r="L63" s="33"/>
      <c r="M63" s="34"/>
    </row>
    <row r="64" spans="1:13">
      <c r="A64" s="43">
        <v>7931</v>
      </c>
      <c r="B64" s="32" t="s">
        <v>606</v>
      </c>
      <c r="C64" s="32" t="s">
        <v>541</v>
      </c>
      <c r="D64" s="32" t="s">
        <v>482</v>
      </c>
      <c r="E64" s="33"/>
      <c r="F64" s="33"/>
      <c r="G64" s="33"/>
      <c r="H64" s="33"/>
      <c r="I64" s="33"/>
      <c r="J64" s="33"/>
      <c r="K64" s="33"/>
      <c r="L64" s="33"/>
      <c r="M64" s="34"/>
    </row>
    <row r="65" spans="1:13">
      <c r="A65" s="43">
        <v>7932</v>
      </c>
      <c r="B65" s="32" t="s">
        <v>607</v>
      </c>
      <c r="C65" s="32" t="s">
        <v>534</v>
      </c>
      <c r="D65" s="32" t="s">
        <v>484</v>
      </c>
      <c r="E65" s="33"/>
      <c r="F65" s="33"/>
      <c r="G65" s="33"/>
      <c r="H65" s="33"/>
      <c r="I65" s="33"/>
      <c r="J65" s="33"/>
      <c r="K65" s="33"/>
      <c r="L65" s="33"/>
      <c r="M65" s="34"/>
    </row>
    <row r="66" spans="1:13">
      <c r="A66" s="43">
        <v>7935</v>
      </c>
      <c r="B66" s="32" t="s">
        <v>608</v>
      </c>
      <c r="C66" s="32" t="s">
        <v>541</v>
      </c>
      <c r="D66" s="32" t="s">
        <v>482</v>
      </c>
      <c r="E66" s="33"/>
      <c r="F66" s="33"/>
      <c r="G66" s="33"/>
      <c r="H66" s="33"/>
      <c r="I66" s="33"/>
      <c r="J66" s="33"/>
      <c r="K66" s="33"/>
      <c r="L66" s="33"/>
      <c r="M66" s="34"/>
    </row>
    <row r="67" spans="1:13">
      <c r="A67" s="43">
        <v>7937</v>
      </c>
      <c r="B67" s="32" t="s">
        <v>609</v>
      </c>
      <c r="C67" s="32" t="s">
        <v>541</v>
      </c>
      <c r="D67" s="32" t="s">
        <v>482</v>
      </c>
      <c r="E67" s="33"/>
      <c r="F67" s="33"/>
      <c r="G67" s="33"/>
      <c r="H67" s="33"/>
      <c r="I67" s="33"/>
      <c r="J67" s="33"/>
      <c r="K67" s="33"/>
      <c r="L67" s="33"/>
      <c r="M67" s="34"/>
    </row>
    <row r="68" spans="1:13">
      <c r="A68" s="43">
        <v>7938</v>
      </c>
      <c r="B68" s="32" t="s">
        <v>610</v>
      </c>
      <c r="C68" s="32" t="s">
        <v>534</v>
      </c>
      <c r="D68" s="32" t="s">
        <v>482</v>
      </c>
      <c r="E68" s="33"/>
      <c r="F68" s="33"/>
      <c r="G68" s="33"/>
      <c r="H68" s="33"/>
      <c r="I68" s="33"/>
      <c r="J68" s="33"/>
      <c r="K68" s="33"/>
      <c r="L68" s="33"/>
      <c r="M68" s="34"/>
    </row>
    <row r="69" spans="1:13">
      <c r="A69" s="43">
        <v>7939</v>
      </c>
      <c r="B69" s="32" t="s">
        <v>611</v>
      </c>
      <c r="C69" s="35"/>
      <c r="D69" s="32" t="s">
        <v>482</v>
      </c>
      <c r="E69" s="33"/>
      <c r="F69" s="33"/>
      <c r="G69" s="33"/>
      <c r="H69" s="33"/>
      <c r="I69" s="33"/>
      <c r="J69" s="33"/>
      <c r="K69" s="33"/>
      <c r="L69" s="33"/>
      <c r="M69" s="34"/>
    </row>
    <row r="70" spans="1:13">
      <c r="A70" s="43">
        <v>7941</v>
      </c>
      <c r="B70" s="32" t="s">
        <v>612</v>
      </c>
      <c r="C70" s="32" t="s">
        <v>541</v>
      </c>
      <c r="D70" s="32" t="s">
        <v>484</v>
      </c>
      <c r="E70" s="33"/>
      <c r="F70" s="33"/>
      <c r="G70" s="33"/>
      <c r="H70" s="33"/>
      <c r="I70" s="33"/>
      <c r="J70" s="33"/>
      <c r="K70" s="33"/>
      <c r="L70" s="33"/>
      <c r="M70" s="34"/>
    </row>
    <row r="71" spans="1:13">
      <c r="A71" s="43">
        <v>7948</v>
      </c>
      <c r="B71" s="32" t="s">
        <v>613</v>
      </c>
      <c r="C71" s="32" t="s">
        <v>541</v>
      </c>
      <c r="D71" s="32" t="s">
        <v>482</v>
      </c>
      <c r="E71" s="33"/>
      <c r="F71" s="33"/>
      <c r="G71" s="33"/>
      <c r="H71" s="33"/>
      <c r="I71" s="33"/>
      <c r="J71" s="33"/>
      <c r="K71" s="33"/>
      <c r="L71" s="33"/>
      <c r="M71" s="34"/>
    </row>
    <row r="72" spans="1:13">
      <c r="A72" s="43">
        <v>7957</v>
      </c>
      <c r="B72" s="32" t="s">
        <v>614</v>
      </c>
      <c r="C72" s="35"/>
      <c r="D72" s="32" t="s">
        <v>482</v>
      </c>
      <c r="E72" s="33"/>
      <c r="F72" s="33"/>
      <c r="G72" s="33"/>
      <c r="H72" s="33"/>
      <c r="I72" s="33"/>
      <c r="J72" s="33"/>
      <c r="K72" s="33"/>
      <c r="L72" s="33"/>
      <c r="M72" s="34"/>
    </row>
    <row r="73" spans="1:13">
      <c r="A73" s="43">
        <v>7959</v>
      </c>
      <c r="B73" s="32" t="s">
        <v>615</v>
      </c>
      <c r="C73" s="35"/>
      <c r="D73" s="32" t="s">
        <v>484</v>
      </c>
      <c r="E73" s="33"/>
      <c r="F73" s="33"/>
      <c r="G73" s="33"/>
      <c r="H73" s="33"/>
      <c r="I73" s="33"/>
      <c r="J73" s="33"/>
      <c r="K73" s="33"/>
      <c r="L73" s="33"/>
      <c r="M73" s="34"/>
    </row>
    <row r="74" spans="1:13">
      <c r="A74" s="43">
        <v>7960</v>
      </c>
      <c r="B74" s="32" t="s">
        <v>616</v>
      </c>
      <c r="C74" s="32" t="s">
        <v>554</v>
      </c>
      <c r="D74" s="32" t="s">
        <v>482</v>
      </c>
      <c r="E74" s="33"/>
      <c r="F74" s="33"/>
      <c r="G74" s="33"/>
      <c r="H74" s="33"/>
      <c r="I74" s="33"/>
      <c r="J74" s="33"/>
      <c r="K74" s="33"/>
      <c r="L74" s="33"/>
      <c r="M74" s="34"/>
    </row>
    <row r="75" spans="1:13">
      <c r="A75" s="43">
        <v>7961</v>
      </c>
      <c r="B75" s="32" t="s">
        <v>617</v>
      </c>
      <c r="C75" s="32" t="s">
        <v>534</v>
      </c>
      <c r="D75" s="32" t="s">
        <v>482</v>
      </c>
      <c r="E75" s="33"/>
      <c r="F75" s="33"/>
      <c r="G75" s="33"/>
      <c r="H75" s="33"/>
      <c r="I75" s="33"/>
      <c r="J75" s="33"/>
      <c r="K75" s="33"/>
      <c r="L75" s="33"/>
      <c r="M75" s="34"/>
    </row>
    <row r="76" spans="1:13">
      <c r="A76" s="43">
        <v>7962</v>
      </c>
      <c r="B76" s="32" t="s">
        <v>618</v>
      </c>
      <c r="C76" s="32" t="s">
        <v>554</v>
      </c>
      <c r="D76" s="32" t="s">
        <v>482</v>
      </c>
      <c r="E76" s="33"/>
      <c r="F76" s="33"/>
      <c r="G76" s="33"/>
      <c r="H76" s="33"/>
      <c r="I76" s="33"/>
      <c r="J76" s="33"/>
      <c r="K76" s="33"/>
      <c r="L76" s="33"/>
      <c r="M76" s="34"/>
    </row>
    <row r="77" spans="1:13">
      <c r="A77" s="43">
        <v>7963</v>
      </c>
      <c r="B77" s="32" t="s">
        <v>619</v>
      </c>
      <c r="C77" s="32" t="s">
        <v>532</v>
      </c>
      <c r="D77" s="32" t="s">
        <v>484</v>
      </c>
      <c r="E77" s="33"/>
      <c r="F77" s="33"/>
      <c r="G77" s="33"/>
      <c r="H77" s="33"/>
      <c r="I77" s="33"/>
      <c r="J77" s="33"/>
      <c r="K77" s="33"/>
      <c r="L77" s="33"/>
      <c r="M77" s="34"/>
    </row>
    <row r="78" spans="1:13">
      <c r="A78" s="43">
        <v>7965</v>
      </c>
      <c r="B78" s="32" t="s">
        <v>620</v>
      </c>
      <c r="C78" s="35"/>
      <c r="D78" s="35" t="s">
        <v>482</v>
      </c>
      <c r="E78" s="33"/>
      <c r="F78" s="33"/>
      <c r="G78" s="33"/>
      <c r="H78" s="33"/>
      <c r="I78" s="33"/>
      <c r="J78" s="33"/>
      <c r="K78" s="33"/>
      <c r="L78" s="33"/>
      <c r="M78" s="34"/>
    </row>
    <row r="79" spans="1:13">
      <c r="A79" s="43">
        <v>7972</v>
      </c>
      <c r="B79" s="32" t="s">
        <v>621</v>
      </c>
      <c r="C79" s="32" t="s">
        <v>570</v>
      </c>
      <c r="D79" s="32" t="s">
        <v>482</v>
      </c>
      <c r="E79" s="33"/>
      <c r="F79" s="33"/>
      <c r="G79" s="33"/>
      <c r="H79" s="33"/>
      <c r="I79" s="33"/>
      <c r="J79" s="33"/>
      <c r="K79" s="33"/>
      <c r="L79" s="33"/>
      <c r="M79" s="34"/>
    </row>
    <row r="80" spans="1:13">
      <c r="A80" s="43">
        <v>7977</v>
      </c>
      <c r="B80" s="32" t="s">
        <v>622</v>
      </c>
      <c r="C80" s="32" t="s">
        <v>532</v>
      </c>
      <c r="D80" s="32" t="s">
        <v>484</v>
      </c>
      <c r="E80" s="33"/>
      <c r="F80" s="33"/>
      <c r="G80" s="33"/>
      <c r="H80" s="33"/>
      <c r="I80" s="33"/>
      <c r="J80" s="33"/>
      <c r="K80" s="33"/>
      <c r="L80" s="33"/>
      <c r="M80" s="34"/>
    </row>
    <row r="81" spans="1:13">
      <c r="A81" s="43">
        <v>7983</v>
      </c>
      <c r="B81" s="32" t="s">
        <v>623</v>
      </c>
      <c r="C81" s="32" t="s">
        <v>538</v>
      </c>
      <c r="D81" s="32" t="s">
        <v>484</v>
      </c>
      <c r="E81" s="33"/>
      <c r="F81" s="33"/>
      <c r="G81" s="33"/>
      <c r="H81" s="33"/>
      <c r="I81" s="33"/>
      <c r="J81" s="33"/>
      <c r="K81" s="33"/>
      <c r="L81" s="33"/>
      <c r="M81" s="34"/>
    </row>
    <row r="82" spans="1:13">
      <c r="A82" s="43">
        <v>7984</v>
      </c>
      <c r="B82" s="32" t="s">
        <v>624</v>
      </c>
      <c r="C82" s="32" t="s">
        <v>536</v>
      </c>
      <c r="D82" s="32" t="s">
        <v>482</v>
      </c>
      <c r="E82" s="33"/>
      <c r="F82" s="33"/>
      <c r="G82" s="33"/>
      <c r="H82" s="33"/>
      <c r="I82" s="33"/>
      <c r="J82" s="33"/>
      <c r="K82" s="33"/>
      <c r="L82" s="33"/>
      <c r="M82" s="34"/>
    </row>
    <row r="83" spans="1:13">
      <c r="A83" s="43">
        <v>7997</v>
      </c>
      <c r="B83" s="32" t="s">
        <v>625</v>
      </c>
      <c r="C83" s="32" t="s">
        <v>534</v>
      </c>
      <c r="D83" s="32" t="s">
        <v>484</v>
      </c>
      <c r="E83" s="33"/>
      <c r="F83" s="33"/>
      <c r="G83" s="33"/>
      <c r="H83" s="33"/>
      <c r="I83" s="33"/>
      <c r="J83" s="33"/>
      <c r="K83" s="33"/>
      <c r="L83" s="33"/>
      <c r="M83" s="34"/>
    </row>
    <row r="84" spans="1:13">
      <c r="A84" s="43">
        <v>7999</v>
      </c>
      <c r="B84" s="32" t="s">
        <v>626</v>
      </c>
      <c r="C84" s="32" t="s">
        <v>536</v>
      </c>
      <c r="D84" s="32" t="s">
        <v>484</v>
      </c>
      <c r="E84" s="33"/>
      <c r="F84" s="33"/>
      <c r="G84" s="33"/>
      <c r="H84" s="33"/>
      <c r="I84" s="33"/>
      <c r="J84" s="33"/>
      <c r="K84" s="33"/>
      <c r="L84" s="33"/>
      <c r="M84" s="34"/>
    </row>
    <row r="85" spans="1:13">
      <c r="A85" s="43">
        <v>8002</v>
      </c>
      <c r="B85" s="32" t="s">
        <v>627</v>
      </c>
      <c r="C85" s="32" t="s">
        <v>534</v>
      </c>
      <c r="D85" s="32" t="s">
        <v>484</v>
      </c>
      <c r="E85" s="33"/>
      <c r="F85" s="33"/>
      <c r="G85" s="33"/>
      <c r="H85" s="33"/>
      <c r="I85" s="33"/>
      <c r="J85" s="33"/>
      <c r="K85" s="33"/>
      <c r="L85" s="33"/>
      <c r="M85" s="34"/>
    </row>
    <row r="86" spans="1:13">
      <c r="A86" s="43">
        <v>8003</v>
      </c>
      <c r="B86" s="32" t="s">
        <v>628</v>
      </c>
      <c r="C86" s="32" t="s">
        <v>556</v>
      </c>
      <c r="D86" s="32" t="s">
        <v>482</v>
      </c>
      <c r="E86" s="33"/>
      <c r="F86" s="33"/>
      <c r="G86" s="33"/>
      <c r="H86" s="33"/>
      <c r="I86" s="33"/>
      <c r="J86" s="33"/>
      <c r="K86" s="33"/>
      <c r="L86" s="33"/>
      <c r="M86" s="34"/>
    </row>
    <row r="87" spans="1:13">
      <c r="A87" s="43">
        <v>8009</v>
      </c>
      <c r="B87" s="32" t="s">
        <v>629</v>
      </c>
      <c r="C87" s="32" t="s">
        <v>536</v>
      </c>
      <c r="D87" s="32" t="s">
        <v>482</v>
      </c>
      <c r="E87" s="33"/>
      <c r="F87" s="33"/>
      <c r="G87" s="33"/>
      <c r="H87" s="33"/>
      <c r="I87" s="33"/>
      <c r="J87" s="33"/>
      <c r="K87" s="33"/>
      <c r="L87" s="33"/>
      <c r="M87" s="34"/>
    </row>
    <row r="88" spans="1:13">
      <c r="A88" s="43">
        <v>8010</v>
      </c>
      <c r="B88" s="32" t="s">
        <v>630</v>
      </c>
      <c r="C88" s="32" t="s">
        <v>541</v>
      </c>
      <c r="D88" s="32" t="s">
        <v>484</v>
      </c>
      <c r="E88" s="33"/>
      <c r="F88" s="33"/>
      <c r="G88" s="33"/>
      <c r="H88" s="33"/>
      <c r="I88" s="33"/>
      <c r="J88" s="33"/>
      <c r="K88" s="33"/>
      <c r="L88" s="33"/>
      <c r="M88" s="34"/>
    </row>
    <row r="89" spans="1:13">
      <c r="A89" s="43">
        <v>8015</v>
      </c>
      <c r="B89" s="32" t="s">
        <v>631</v>
      </c>
      <c r="C89" s="32" t="s">
        <v>541</v>
      </c>
      <c r="D89" s="32" t="s">
        <v>484</v>
      </c>
      <c r="E89" s="33"/>
      <c r="F89" s="33"/>
      <c r="G89" s="33"/>
      <c r="H89" s="33"/>
      <c r="I89" s="33"/>
      <c r="J89" s="33"/>
      <c r="K89" s="33"/>
      <c r="L89" s="33"/>
      <c r="M89" s="34"/>
    </row>
    <row r="90" spans="1:13">
      <c r="A90" s="43">
        <v>8016</v>
      </c>
      <c r="B90" s="32" t="s">
        <v>632</v>
      </c>
      <c r="C90" s="32" t="s">
        <v>554</v>
      </c>
      <c r="D90" s="32" t="s">
        <v>484</v>
      </c>
      <c r="E90" s="33"/>
      <c r="F90" s="33"/>
      <c r="G90" s="33"/>
      <c r="H90" s="33"/>
      <c r="I90" s="33"/>
      <c r="J90" s="33"/>
      <c r="K90" s="33"/>
      <c r="L90" s="33"/>
      <c r="M90" s="34"/>
    </row>
    <row r="91" spans="1:13">
      <c r="A91" s="43">
        <v>8021</v>
      </c>
      <c r="B91" s="32" t="s">
        <v>633</v>
      </c>
      <c r="C91" s="32" t="s">
        <v>541</v>
      </c>
      <c r="D91" s="32" t="s">
        <v>482</v>
      </c>
      <c r="E91" s="33"/>
      <c r="F91" s="33"/>
      <c r="G91" s="33"/>
      <c r="H91" s="33"/>
      <c r="I91" s="33"/>
      <c r="J91" s="33"/>
      <c r="K91" s="33"/>
      <c r="L91" s="33"/>
      <c r="M91" s="34"/>
    </row>
    <row r="92" spans="1:13">
      <c r="A92" s="43">
        <v>8023</v>
      </c>
      <c r="B92" s="32" t="s">
        <v>634</v>
      </c>
      <c r="C92" s="32" t="s">
        <v>577</v>
      </c>
      <c r="D92" s="32" t="s">
        <v>482</v>
      </c>
      <c r="E92" s="33"/>
      <c r="F92" s="33"/>
      <c r="G92" s="33"/>
      <c r="H92" s="33"/>
      <c r="I92" s="33"/>
      <c r="J92" s="33"/>
      <c r="K92" s="33"/>
      <c r="L92" s="33"/>
      <c r="M92" s="34"/>
    </row>
    <row r="93" spans="1:13">
      <c r="A93" s="43">
        <v>8024</v>
      </c>
      <c r="B93" s="32" t="s">
        <v>635</v>
      </c>
      <c r="C93" s="32" t="s">
        <v>552</v>
      </c>
      <c r="D93" s="32" t="s">
        <v>484</v>
      </c>
      <c r="E93" s="33"/>
      <c r="F93" s="33"/>
      <c r="G93" s="33"/>
      <c r="H93" s="33"/>
      <c r="I93" s="33"/>
      <c r="J93" s="33"/>
      <c r="K93" s="33"/>
      <c r="L93" s="33"/>
      <c r="M93" s="34"/>
    </row>
    <row r="94" spans="1:13">
      <c r="A94" s="45">
        <v>8038</v>
      </c>
      <c r="B94" s="37" t="s">
        <v>636</v>
      </c>
      <c r="C94" s="32" t="s">
        <v>534</v>
      </c>
      <c r="D94" s="32" t="s">
        <v>484</v>
      </c>
      <c r="E94" s="33"/>
      <c r="F94" s="33"/>
      <c r="G94" s="33"/>
      <c r="H94" s="33"/>
      <c r="I94" s="33"/>
      <c r="J94" s="33"/>
      <c r="K94" s="33"/>
      <c r="L94" s="33"/>
      <c r="M94" s="34"/>
    </row>
    <row r="95" spans="1:13">
      <c r="A95" s="43">
        <v>8047</v>
      </c>
      <c r="B95" s="32" t="s">
        <v>637</v>
      </c>
      <c r="C95" s="32" t="s">
        <v>541</v>
      </c>
      <c r="D95" s="32" t="s">
        <v>484</v>
      </c>
      <c r="E95" s="33"/>
      <c r="F95" s="33"/>
      <c r="G95" s="33"/>
      <c r="H95" s="33"/>
      <c r="I95" s="33"/>
      <c r="J95" s="33"/>
      <c r="K95" s="33"/>
      <c r="L95" s="33"/>
      <c r="M95" s="34"/>
    </row>
    <row r="96" spans="1:13">
      <c r="A96" s="43">
        <v>8049</v>
      </c>
      <c r="B96" s="32" t="s">
        <v>638</v>
      </c>
      <c r="C96" s="32" t="s">
        <v>541</v>
      </c>
      <c r="D96" s="32" t="s">
        <v>484</v>
      </c>
      <c r="E96" s="33"/>
      <c r="F96" s="33"/>
      <c r="G96" s="33"/>
      <c r="H96" s="33"/>
      <c r="I96" s="33"/>
      <c r="J96" s="33"/>
      <c r="K96" s="33"/>
      <c r="L96" s="33"/>
      <c r="M96" s="34"/>
    </row>
    <row r="97" spans="1:13">
      <c r="A97" s="43">
        <v>8050</v>
      </c>
      <c r="B97" s="32" t="s">
        <v>639</v>
      </c>
      <c r="C97" s="32" t="s">
        <v>541</v>
      </c>
      <c r="D97" s="32" t="s">
        <v>484</v>
      </c>
      <c r="E97" s="33"/>
      <c r="F97" s="33"/>
      <c r="G97" s="33"/>
      <c r="H97" s="33"/>
      <c r="I97" s="33"/>
      <c r="J97" s="33"/>
      <c r="K97" s="33"/>
      <c r="L97" s="33"/>
      <c r="M97" s="34"/>
    </row>
    <row r="98" spans="1:13">
      <c r="A98" s="43">
        <v>8051</v>
      </c>
      <c r="B98" s="32" t="s">
        <v>640</v>
      </c>
      <c r="C98" s="35"/>
      <c r="D98" s="32" t="s">
        <v>482</v>
      </c>
      <c r="E98" s="33"/>
      <c r="F98" s="33"/>
      <c r="G98" s="33"/>
      <c r="H98" s="33"/>
      <c r="I98" s="33"/>
      <c r="J98" s="33"/>
      <c r="K98" s="33"/>
      <c r="L98" s="33"/>
      <c r="M98" s="34"/>
    </row>
    <row r="99" spans="1:13">
      <c r="A99" s="43">
        <v>8054</v>
      </c>
      <c r="B99" s="32" t="s">
        <v>641</v>
      </c>
      <c r="C99" s="32" t="s">
        <v>538</v>
      </c>
      <c r="D99" s="32" t="s">
        <v>484</v>
      </c>
      <c r="E99" s="33"/>
      <c r="F99" s="33"/>
      <c r="G99" s="33"/>
      <c r="H99" s="33"/>
      <c r="I99" s="33"/>
      <c r="J99" s="33"/>
      <c r="K99" s="33"/>
      <c r="L99" s="33"/>
      <c r="M99" s="34"/>
    </row>
    <row r="100" spans="1:13">
      <c r="A100" s="43">
        <v>8058</v>
      </c>
      <c r="B100" s="32" t="s">
        <v>642</v>
      </c>
      <c r="C100" s="32" t="s">
        <v>643</v>
      </c>
      <c r="D100" s="32" t="s">
        <v>482</v>
      </c>
      <c r="E100" s="33"/>
      <c r="F100" s="33"/>
      <c r="G100" s="33"/>
      <c r="H100" s="33"/>
      <c r="I100" s="33"/>
      <c r="J100" s="33"/>
      <c r="K100" s="33"/>
      <c r="L100" s="33"/>
      <c r="M100" s="34"/>
    </row>
    <row r="101" spans="1:13">
      <c r="A101" s="43">
        <v>8059</v>
      </c>
      <c r="B101" s="32" t="s">
        <v>644</v>
      </c>
      <c r="C101" s="32" t="s">
        <v>570</v>
      </c>
      <c r="D101" s="32" t="s">
        <v>482</v>
      </c>
      <c r="E101" s="33"/>
      <c r="F101" s="33"/>
      <c r="G101" s="33"/>
      <c r="H101" s="33"/>
      <c r="I101" s="33"/>
      <c r="J101" s="33"/>
      <c r="K101" s="33"/>
      <c r="L101" s="33"/>
      <c r="M101" s="34"/>
    </row>
    <row r="102" spans="1:13">
      <c r="A102" s="43">
        <v>8069</v>
      </c>
      <c r="B102" s="32" t="s">
        <v>645</v>
      </c>
      <c r="C102" s="32" t="s">
        <v>570</v>
      </c>
      <c r="D102" s="32" t="s">
        <v>484</v>
      </c>
      <c r="E102" s="33"/>
      <c r="F102" s="33"/>
      <c r="G102" s="33"/>
      <c r="H102" s="33"/>
      <c r="I102" s="33"/>
      <c r="J102" s="33"/>
      <c r="K102" s="33"/>
      <c r="L102" s="33"/>
      <c r="M102" s="34"/>
    </row>
    <row r="103" spans="1:13">
      <c r="A103" s="43">
        <v>8072</v>
      </c>
      <c r="B103" s="32" t="s">
        <v>646</v>
      </c>
      <c r="C103" s="32" t="s">
        <v>556</v>
      </c>
      <c r="D103" s="32" t="s">
        <v>484</v>
      </c>
      <c r="E103" s="33"/>
      <c r="F103" s="33"/>
      <c r="G103" s="33"/>
      <c r="H103" s="33"/>
      <c r="I103" s="33"/>
      <c r="J103" s="33"/>
      <c r="K103" s="33"/>
      <c r="L103" s="33"/>
      <c r="M103" s="34"/>
    </row>
    <row r="104" spans="1:13">
      <c r="A104" s="43">
        <v>8073</v>
      </c>
      <c r="B104" s="32" t="s">
        <v>647</v>
      </c>
      <c r="C104" s="32" t="s">
        <v>556</v>
      </c>
      <c r="D104" s="32" t="s">
        <v>484</v>
      </c>
      <c r="E104" s="33"/>
      <c r="F104" s="33"/>
      <c r="G104" s="33"/>
      <c r="H104" s="33"/>
      <c r="I104" s="33"/>
      <c r="J104" s="33"/>
      <c r="K104" s="33"/>
      <c r="L104" s="33"/>
      <c r="M104" s="34"/>
    </row>
    <row r="105" spans="1:13">
      <c r="A105" s="43">
        <v>8078</v>
      </c>
      <c r="B105" s="32" t="s">
        <v>648</v>
      </c>
      <c r="C105" s="24" t="s">
        <v>554</v>
      </c>
      <c r="D105" s="32" t="s">
        <v>482</v>
      </c>
      <c r="E105" s="33"/>
      <c r="F105" s="33"/>
      <c r="G105" s="33"/>
      <c r="H105" s="33"/>
      <c r="I105" s="33"/>
      <c r="J105" s="33"/>
      <c r="K105" s="33"/>
      <c r="L105" s="33"/>
      <c r="M105" s="34"/>
    </row>
    <row r="106" spans="1:13">
      <c r="A106" s="43">
        <v>8081</v>
      </c>
      <c r="B106" s="32" t="s">
        <v>649</v>
      </c>
      <c r="C106" s="32" t="s">
        <v>650</v>
      </c>
      <c r="D106" s="32" t="s">
        <v>482</v>
      </c>
      <c r="E106" s="33"/>
      <c r="F106" s="33"/>
      <c r="G106" s="33"/>
      <c r="H106" s="33"/>
      <c r="I106" s="33"/>
      <c r="J106" s="33"/>
      <c r="K106" s="33"/>
      <c r="L106" s="33"/>
      <c r="M106" s="34"/>
    </row>
    <row r="107" spans="1:13">
      <c r="A107" s="43">
        <v>8083</v>
      </c>
      <c r="B107" s="32" t="s">
        <v>651</v>
      </c>
      <c r="C107" s="32" t="s">
        <v>530</v>
      </c>
      <c r="D107" s="32" t="s">
        <v>482</v>
      </c>
      <c r="E107" s="33"/>
      <c r="F107" s="33"/>
      <c r="G107" s="33"/>
      <c r="H107" s="33"/>
      <c r="I107" s="33"/>
      <c r="J107" s="33"/>
      <c r="K107" s="33"/>
      <c r="L107" s="33"/>
      <c r="M107" s="34"/>
    </row>
    <row r="108" spans="1:13">
      <c r="A108" s="43">
        <v>8085</v>
      </c>
      <c r="B108" s="32" t="s">
        <v>652</v>
      </c>
      <c r="C108" s="32" t="s">
        <v>554</v>
      </c>
      <c r="D108" s="32" t="s">
        <v>482</v>
      </c>
      <c r="E108" s="33"/>
      <c r="F108" s="33"/>
      <c r="G108" s="33"/>
      <c r="H108" s="33"/>
      <c r="I108" s="33"/>
      <c r="J108" s="33"/>
      <c r="K108" s="33"/>
      <c r="L108" s="33"/>
      <c r="M108" s="34"/>
    </row>
    <row r="109" spans="1:13">
      <c r="A109" s="43">
        <v>8089</v>
      </c>
      <c r="B109" s="32" t="s">
        <v>653</v>
      </c>
      <c r="C109" s="32" t="s">
        <v>654</v>
      </c>
      <c r="D109" s="32" t="s">
        <v>484</v>
      </c>
      <c r="E109" s="33"/>
      <c r="F109" s="33"/>
      <c r="G109" s="33"/>
      <c r="H109" s="33"/>
      <c r="I109" s="33"/>
      <c r="J109" s="33"/>
      <c r="K109" s="33"/>
      <c r="L109" s="33"/>
      <c r="M109" s="34"/>
    </row>
    <row r="110" spans="1:13">
      <c r="A110" s="43">
        <v>8090</v>
      </c>
      <c r="B110" s="32" t="s">
        <v>655</v>
      </c>
      <c r="C110" s="32" t="s">
        <v>536</v>
      </c>
      <c r="D110" s="32" t="s">
        <v>484</v>
      </c>
      <c r="E110" s="33"/>
      <c r="F110" s="33"/>
      <c r="G110" s="33"/>
      <c r="H110" s="33"/>
      <c r="I110" s="33"/>
      <c r="J110" s="33"/>
      <c r="K110" s="33"/>
      <c r="L110" s="33"/>
      <c r="M110" s="34"/>
    </row>
    <row r="111" spans="1:13">
      <c r="A111" s="43">
        <v>8092</v>
      </c>
      <c r="B111" s="32" t="s">
        <v>656</v>
      </c>
      <c r="C111" s="32" t="s">
        <v>541</v>
      </c>
      <c r="D111" s="32" t="s">
        <v>482</v>
      </c>
      <c r="E111" s="33"/>
      <c r="F111" s="33"/>
      <c r="G111" s="33"/>
      <c r="H111" s="33"/>
      <c r="I111" s="33"/>
      <c r="J111" s="33"/>
      <c r="K111" s="33"/>
      <c r="L111" s="33"/>
      <c r="M111" s="34"/>
    </row>
    <row r="112" spans="1:13">
      <c r="A112" s="43">
        <v>8095</v>
      </c>
      <c r="B112" s="32" t="s">
        <v>657</v>
      </c>
      <c r="C112" s="32" t="s">
        <v>556</v>
      </c>
      <c r="D112" s="32" t="s">
        <v>484</v>
      </c>
      <c r="E112" s="33"/>
      <c r="F112" s="33"/>
      <c r="G112" s="33"/>
      <c r="H112" s="33"/>
      <c r="I112" s="33"/>
      <c r="J112" s="33"/>
      <c r="K112" s="33"/>
      <c r="L112" s="33"/>
      <c r="M112" s="34"/>
    </row>
    <row r="113" spans="1:13">
      <c r="A113" s="43">
        <v>8097</v>
      </c>
      <c r="B113" s="32" t="s">
        <v>658</v>
      </c>
      <c r="C113" s="32" t="s">
        <v>556</v>
      </c>
      <c r="D113" s="32" t="s">
        <v>484</v>
      </c>
      <c r="E113" s="33"/>
      <c r="F113" s="33"/>
      <c r="G113" s="33"/>
      <c r="H113" s="33"/>
      <c r="I113" s="33"/>
      <c r="J113" s="33"/>
      <c r="K113" s="33"/>
      <c r="L113" s="33"/>
      <c r="M113" s="34"/>
    </row>
    <row r="114" spans="1:13">
      <c r="A114" s="43">
        <v>8122</v>
      </c>
      <c r="B114" s="32" t="s">
        <v>659</v>
      </c>
      <c r="C114" s="32" t="s">
        <v>552</v>
      </c>
      <c r="D114" s="32" t="s">
        <v>484</v>
      </c>
      <c r="E114" s="33"/>
      <c r="F114" s="33"/>
      <c r="G114" s="33"/>
      <c r="H114" s="33"/>
      <c r="I114" s="33"/>
      <c r="J114" s="33"/>
      <c r="K114" s="33"/>
      <c r="L114" s="33"/>
      <c r="M114" s="34"/>
    </row>
    <row r="115" spans="1:13">
      <c r="A115" s="43">
        <v>8123</v>
      </c>
      <c r="B115" s="32" t="s">
        <v>660</v>
      </c>
      <c r="C115" s="32" t="s">
        <v>552</v>
      </c>
      <c r="D115" s="32" t="s">
        <v>484</v>
      </c>
      <c r="E115" s="33"/>
      <c r="F115" s="33"/>
      <c r="G115" s="33"/>
      <c r="H115" s="33"/>
      <c r="I115" s="33"/>
      <c r="J115" s="33"/>
      <c r="K115" s="33"/>
      <c r="L115" s="33"/>
      <c r="M115" s="34"/>
    </row>
    <row r="116" spans="1:13">
      <c r="A116" s="43">
        <v>8127</v>
      </c>
      <c r="B116" s="32" t="s">
        <v>661</v>
      </c>
      <c r="C116" s="32" t="s">
        <v>552</v>
      </c>
      <c r="D116" s="32" t="s">
        <v>484</v>
      </c>
      <c r="E116" s="33"/>
      <c r="F116" s="33"/>
      <c r="G116" s="33"/>
      <c r="H116" s="33"/>
      <c r="I116" s="33"/>
      <c r="J116" s="33"/>
      <c r="K116" s="33"/>
      <c r="L116" s="33"/>
      <c r="M116" s="34"/>
    </row>
    <row r="117" spans="1:13">
      <c r="A117" s="43">
        <v>8128</v>
      </c>
      <c r="B117" s="32" t="s">
        <v>662</v>
      </c>
      <c r="C117" s="32" t="s">
        <v>577</v>
      </c>
      <c r="D117" s="32" t="s">
        <v>482</v>
      </c>
      <c r="E117" s="33"/>
      <c r="F117" s="33"/>
      <c r="G117" s="33"/>
      <c r="H117" s="33"/>
      <c r="I117" s="33"/>
      <c r="J117" s="33"/>
      <c r="K117" s="33"/>
      <c r="L117" s="33"/>
      <c r="M117" s="34"/>
    </row>
    <row r="118" spans="1:13">
      <c r="A118" s="43">
        <v>8131</v>
      </c>
      <c r="B118" s="32" t="s">
        <v>663</v>
      </c>
      <c r="C118" s="32" t="s">
        <v>532</v>
      </c>
      <c r="D118" s="32" t="s">
        <v>484</v>
      </c>
      <c r="E118" s="33"/>
      <c r="F118" s="33"/>
      <c r="G118" s="33"/>
      <c r="H118" s="33"/>
      <c r="I118" s="33"/>
      <c r="J118" s="33"/>
      <c r="K118" s="33"/>
      <c r="L118" s="33"/>
      <c r="M118" s="34"/>
    </row>
    <row r="119" spans="1:13">
      <c r="A119" s="43">
        <v>8135</v>
      </c>
      <c r="B119" s="32" t="s">
        <v>664</v>
      </c>
      <c r="C119" s="32" t="s">
        <v>570</v>
      </c>
      <c r="D119" s="32" t="s">
        <v>484</v>
      </c>
      <c r="E119" s="33"/>
      <c r="F119" s="33"/>
      <c r="G119" s="33"/>
      <c r="H119" s="33"/>
      <c r="I119" s="33"/>
      <c r="J119" s="33"/>
      <c r="K119" s="33"/>
      <c r="L119" s="33"/>
      <c r="M119" s="34"/>
    </row>
    <row r="120" spans="1:13">
      <c r="A120" s="43">
        <v>8136</v>
      </c>
      <c r="B120" s="32" t="s">
        <v>665</v>
      </c>
      <c r="C120" s="32" t="s">
        <v>552</v>
      </c>
      <c r="D120" s="32" t="s">
        <v>484</v>
      </c>
      <c r="E120" s="33"/>
      <c r="F120" s="33"/>
      <c r="G120" s="33"/>
      <c r="H120" s="33"/>
      <c r="I120" s="33"/>
      <c r="J120" s="33"/>
      <c r="K120" s="33"/>
      <c r="L120" s="33"/>
      <c r="M120" s="34"/>
    </row>
    <row r="121" spans="1:13">
      <c r="A121" s="43">
        <v>8140</v>
      </c>
      <c r="B121" s="24" t="s">
        <v>666</v>
      </c>
      <c r="C121" s="35"/>
      <c r="D121" s="32" t="s">
        <v>482</v>
      </c>
      <c r="E121" s="33"/>
      <c r="F121" s="33"/>
      <c r="G121" s="33"/>
      <c r="H121" s="33"/>
      <c r="I121" s="33"/>
      <c r="J121" s="33"/>
      <c r="K121" s="33"/>
      <c r="L121" s="33"/>
      <c r="M121" s="34"/>
    </row>
    <row r="122" spans="1:13">
      <c r="A122" s="43">
        <v>8141</v>
      </c>
      <c r="B122" s="32" t="s">
        <v>667</v>
      </c>
      <c r="C122" s="32" t="s">
        <v>541</v>
      </c>
      <c r="D122" s="32" t="s">
        <v>484</v>
      </c>
      <c r="E122" s="33"/>
      <c r="F122" s="33"/>
      <c r="G122" s="33"/>
      <c r="H122" s="33"/>
      <c r="I122" s="33"/>
      <c r="J122" s="33"/>
      <c r="K122" s="33"/>
      <c r="L122" s="33"/>
      <c r="M122" s="34"/>
    </row>
    <row r="123" spans="1:13">
      <c r="A123" s="43">
        <v>8142</v>
      </c>
      <c r="B123" s="32" t="s">
        <v>668</v>
      </c>
      <c r="C123" s="32" t="s">
        <v>552</v>
      </c>
      <c r="D123" s="32" t="s">
        <v>484</v>
      </c>
      <c r="E123" s="33"/>
      <c r="F123" s="33"/>
      <c r="G123" s="33"/>
      <c r="H123" s="33"/>
      <c r="I123" s="33"/>
      <c r="J123" s="33"/>
      <c r="K123" s="33"/>
      <c r="L123" s="33"/>
      <c r="M123" s="34"/>
    </row>
    <row r="124" spans="1:13">
      <c r="A124" s="43">
        <v>8146</v>
      </c>
      <c r="B124" s="32" t="s">
        <v>669</v>
      </c>
      <c r="C124" s="32" t="s">
        <v>541</v>
      </c>
      <c r="D124" s="32" t="s">
        <v>484</v>
      </c>
      <c r="E124" s="33"/>
      <c r="F124" s="33"/>
      <c r="G124" s="33"/>
      <c r="H124" s="33"/>
      <c r="I124" s="33"/>
      <c r="J124" s="33"/>
      <c r="K124" s="33"/>
      <c r="L124" s="33"/>
      <c r="M124" s="34"/>
    </row>
    <row r="125" spans="1:13">
      <c r="A125" s="43">
        <v>8147</v>
      </c>
      <c r="B125" s="32" t="s">
        <v>670</v>
      </c>
      <c r="C125" s="32" t="s">
        <v>541</v>
      </c>
      <c r="D125" s="32" t="s">
        <v>484</v>
      </c>
      <c r="E125" s="33"/>
      <c r="F125" s="33"/>
      <c r="G125" s="33"/>
      <c r="H125" s="33"/>
      <c r="I125" s="33"/>
      <c r="J125" s="33"/>
      <c r="K125" s="33"/>
      <c r="L125" s="33"/>
      <c r="M125" s="34"/>
    </row>
    <row r="126" spans="1:13">
      <c r="A126" s="43">
        <v>8155</v>
      </c>
      <c r="B126" s="32" t="s">
        <v>671</v>
      </c>
      <c r="C126" s="32" t="s">
        <v>570</v>
      </c>
      <c r="D126" s="32" t="s">
        <v>484</v>
      </c>
      <c r="E126" s="33"/>
      <c r="F126" s="33"/>
      <c r="G126" s="33"/>
      <c r="H126" s="33"/>
      <c r="I126" s="33"/>
      <c r="J126" s="33"/>
      <c r="K126" s="33"/>
      <c r="L126" s="33"/>
      <c r="M126" s="34"/>
    </row>
    <row r="127" spans="1:13">
      <c r="A127" s="43">
        <v>8161</v>
      </c>
      <c r="B127" s="32" t="s">
        <v>672</v>
      </c>
      <c r="C127" s="32" t="s">
        <v>570</v>
      </c>
      <c r="D127" s="32" t="s">
        <v>484</v>
      </c>
      <c r="E127" s="33"/>
      <c r="F127" s="33"/>
      <c r="G127" s="33"/>
      <c r="H127" s="33"/>
      <c r="I127" s="33"/>
      <c r="J127" s="33"/>
      <c r="K127" s="33"/>
      <c r="L127" s="33"/>
      <c r="M127" s="34"/>
    </row>
    <row r="128" spans="1:13">
      <c r="A128" s="43">
        <v>8164</v>
      </c>
      <c r="B128" s="32" t="s">
        <v>673</v>
      </c>
      <c r="C128" s="32" t="s">
        <v>577</v>
      </c>
      <c r="D128" s="32" t="s">
        <v>484</v>
      </c>
      <c r="E128" s="33"/>
      <c r="F128" s="33"/>
      <c r="G128" s="33"/>
      <c r="H128" s="33"/>
      <c r="I128" s="33"/>
      <c r="J128" s="33"/>
      <c r="K128" s="33"/>
      <c r="L128" s="33"/>
      <c r="M128" s="34"/>
    </row>
    <row r="129" spans="1:13">
      <c r="A129" s="43">
        <v>8166</v>
      </c>
      <c r="B129" s="32" t="s">
        <v>674</v>
      </c>
      <c r="C129" s="32" t="s">
        <v>541</v>
      </c>
      <c r="D129" s="32" t="s">
        <v>482</v>
      </c>
      <c r="E129" s="33"/>
      <c r="F129" s="33"/>
      <c r="G129" s="33"/>
      <c r="H129" s="33"/>
      <c r="I129" s="33"/>
      <c r="J129" s="33"/>
      <c r="K129" s="33"/>
      <c r="L129" s="33"/>
      <c r="M129" s="34"/>
    </row>
    <row r="130" spans="1:13">
      <c r="A130" s="43">
        <v>8175</v>
      </c>
      <c r="B130" s="32" t="s">
        <v>675</v>
      </c>
      <c r="C130" s="32" t="s">
        <v>541</v>
      </c>
      <c r="D130" s="32" t="s">
        <v>484</v>
      </c>
      <c r="E130" s="33"/>
      <c r="F130" s="33"/>
      <c r="G130" s="33"/>
      <c r="H130" s="33"/>
      <c r="I130" s="33"/>
      <c r="J130" s="33"/>
      <c r="K130" s="33"/>
      <c r="L130" s="33"/>
      <c r="M130" s="34"/>
    </row>
    <row r="131" spans="1:13">
      <c r="A131" s="43">
        <v>8182</v>
      </c>
      <c r="B131" s="32" t="s">
        <v>676</v>
      </c>
      <c r="C131" s="32" t="s">
        <v>604</v>
      </c>
      <c r="D131" s="32" t="s">
        <v>484</v>
      </c>
      <c r="E131" s="33"/>
      <c r="F131" s="33"/>
      <c r="G131" s="33"/>
      <c r="H131" s="33"/>
      <c r="I131" s="33"/>
      <c r="J131" s="33"/>
      <c r="K131" s="33"/>
      <c r="L131" s="33"/>
      <c r="M131" s="34"/>
    </row>
    <row r="132" spans="1:13">
      <c r="A132" s="43">
        <v>8183</v>
      </c>
      <c r="B132" s="32" t="s">
        <v>677</v>
      </c>
      <c r="C132" s="32" t="s">
        <v>654</v>
      </c>
      <c r="D132" s="32" t="s">
        <v>484</v>
      </c>
      <c r="E132" s="33"/>
      <c r="F132" s="33"/>
      <c r="G132" s="33"/>
      <c r="H132" s="33"/>
      <c r="I132" s="33"/>
      <c r="J132" s="33"/>
      <c r="K132" s="33"/>
      <c r="L132" s="33"/>
      <c r="M132" s="34"/>
    </row>
    <row r="133" spans="1:13">
      <c r="A133" s="43">
        <v>8185</v>
      </c>
      <c r="B133" s="32" t="s">
        <v>678</v>
      </c>
      <c r="C133" s="32" t="s">
        <v>541</v>
      </c>
      <c r="D133" s="32" t="s">
        <v>484</v>
      </c>
      <c r="E133" s="33"/>
      <c r="F133" s="33"/>
      <c r="G133" s="33"/>
      <c r="H133" s="33"/>
      <c r="I133" s="33"/>
      <c r="J133" s="33"/>
      <c r="K133" s="33"/>
      <c r="L133" s="33"/>
      <c r="M133" s="34"/>
    </row>
    <row r="134" spans="1:13">
      <c r="A134" s="43">
        <v>8186</v>
      </c>
      <c r="B134" s="32" t="s">
        <v>679</v>
      </c>
      <c r="C134" s="32" t="s">
        <v>534</v>
      </c>
      <c r="D134" s="32" t="s">
        <v>482</v>
      </c>
      <c r="E134" s="33"/>
      <c r="F134" s="33"/>
      <c r="G134" s="33"/>
      <c r="H134" s="33"/>
      <c r="I134" s="33"/>
      <c r="J134" s="33"/>
      <c r="K134" s="33"/>
      <c r="L134" s="33"/>
      <c r="M134" s="34"/>
    </row>
    <row r="135" spans="1:13">
      <c r="A135" s="43">
        <v>8189</v>
      </c>
      <c r="B135" s="32" t="s">
        <v>680</v>
      </c>
      <c r="C135" s="32" t="s">
        <v>577</v>
      </c>
      <c r="D135" s="32" t="s">
        <v>482</v>
      </c>
      <c r="E135" s="33"/>
      <c r="F135" s="33"/>
      <c r="G135" s="33"/>
      <c r="H135" s="33"/>
      <c r="I135" s="33"/>
      <c r="J135" s="33"/>
      <c r="K135" s="33"/>
      <c r="L135" s="33"/>
      <c r="M135" s="34"/>
    </row>
    <row r="136" spans="1:13">
      <c r="A136" s="43">
        <v>8196</v>
      </c>
      <c r="B136" s="32" t="s">
        <v>681</v>
      </c>
      <c r="C136" s="32" t="s">
        <v>556</v>
      </c>
      <c r="D136" s="32" t="s">
        <v>484</v>
      </c>
      <c r="E136" s="33"/>
      <c r="F136" s="33"/>
      <c r="G136" s="33"/>
      <c r="H136" s="33"/>
      <c r="I136" s="33"/>
      <c r="J136" s="33"/>
      <c r="K136" s="33"/>
      <c r="L136" s="33"/>
      <c r="M136" s="34"/>
    </row>
    <row r="137" spans="1:13">
      <c r="A137" s="43">
        <v>8198</v>
      </c>
      <c r="B137" s="32" t="s">
        <v>682</v>
      </c>
      <c r="C137" s="32" t="s">
        <v>556</v>
      </c>
      <c r="D137" s="32" t="s">
        <v>484</v>
      </c>
      <c r="E137" s="33"/>
      <c r="F137" s="33"/>
      <c r="G137" s="33"/>
      <c r="H137" s="33"/>
      <c r="I137" s="33"/>
      <c r="J137" s="33"/>
      <c r="K137" s="33"/>
      <c r="L137" s="33"/>
      <c r="M137" s="34"/>
    </row>
    <row r="138" spans="1:13">
      <c r="A138" s="43">
        <v>8199</v>
      </c>
      <c r="B138" s="32" t="s">
        <v>683</v>
      </c>
      <c r="C138" s="32" t="s">
        <v>534</v>
      </c>
      <c r="D138" s="32" t="s">
        <v>484</v>
      </c>
      <c r="E138" s="33"/>
      <c r="F138" s="33"/>
      <c r="G138" s="33"/>
      <c r="H138" s="33"/>
      <c r="I138" s="33"/>
      <c r="J138" s="33"/>
      <c r="K138" s="33"/>
      <c r="L138" s="33"/>
      <c r="M138" s="34"/>
    </row>
    <row r="139" spans="1:13">
      <c r="A139" s="43">
        <v>8201</v>
      </c>
      <c r="B139" s="32" t="s">
        <v>684</v>
      </c>
      <c r="C139" s="35"/>
      <c r="D139" s="32" t="s">
        <v>482</v>
      </c>
      <c r="E139" s="33"/>
      <c r="F139" s="33"/>
      <c r="G139" s="33"/>
      <c r="H139" s="33"/>
      <c r="I139" s="33"/>
      <c r="J139" s="33"/>
      <c r="K139" s="33"/>
      <c r="L139" s="33"/>
      <c r="M139" s="34"/>
    </row>
    <row r="140" spans="1:13">
      <c r="A140" s="43">
        <v>8203</v>
      </c>
      <c r="B140" s="32" t="s">
        <v>685</v>
      </c>
      <c r="C140" s="32" t="s">
        <v>541</v>
      </c>
      <c r="D140" s="32" t="s">
        <v>484</v>
      </c>
      <c r="E140" s="33"/>
      <c r="F140" s="33"/>
      <c r="G140" s="33"/>
      <c r="H140" s="33"/>
      <c r="I140" s="33"/>
      <c r="J140" s="33"/>
      <c r="K140" s="33"/>
      <c r="L140" s="33"/>
      <c r="M140" s="34"/>
    </row>
    <row r="141" spans="1:13">
      <c r="A141" s="43">
        <v>8205</v>
      </c>
      <c r="B141" s="32" t="s">
        <v>686</v>
      </c>
      <c r="C141" s="32" t="s">
        <v>541</v>
      </c>
      <c r="D141" s="32" t="s">
        <v>482</v>
      </c>
      <c r="E141" s="33"/>
      <c r="F141" s="33"/>
      <c r="G141" s="33"/>
      <c r="H141" s="33"/>
      <c r="I141" s="33"/>
      <c r="J141" s="33"/>
      <c r="K141" s="33"/>
      <c r="L141" s="33"/>
      <c r="M141" s="34"/>
    </row>
    <row r="142" spans="1:13">
      <c r="A142" s="43">
        <v>8207</v>
      </c>
      <c r="B142" s="32" t="s">
        <v>687</v>
      </c>
      <c r="C142" s="32" t="s">
        <v>534</v>
      </c>
      <c r="D142" s="32" t="s">
        <v>484</v>
      </c>
      <c r="E142" s="33"/>
      <c r="F142" s="33"/>
      <c r="G142" s="33"/>
      <c r="H142" s="33"/>
      <c r="I142" s="33"/>
      <c r="J142" s="33"/>
      <c r="K142" s="33"/>
      <c r="L142" s="33"/>
      <c r="M142" s="34"/>
    </row>
    <row r="143" spans="1:13">
      <c r="A143" s="43">
        <v>8210</v>
      </c>
      <c r="B143" s="32" t="s">
        <v>688</v>
      </c>
      <c r="C143" s="32" t="s">
        <v>530</v>
      </c>
      <c r="D143" s="32" t="s">
        <v>482</v>
      </c>
      <c r="E143" s="33"/>
      <c r="F143" s="33"/>
      <c r="G143" s="33"/>
      <c r="H143" s="33"/>
      <c r="I143" s="33"/>
      <c r="J143" s="33"/>
      <c r="K143" s="33"/>
      <c r="L143" s="33"/>
      <c r="M143" s="34"/>
    </row>
    <row r="144" spans="1:13">
      <c r="A144" s="43">
        <v>8211</v>
      </c>
      <c r="B144" s="32" t="s">
        <v>689</v>
      </c>
      <c r="C144" s="32" t="s">
        <v>690</v>
      </c>
      <c r="D144" s="32" t="s">
        <v>482</v>
      </c>
      <c r="E144" s="33"/>
      <c r="F144" s="33"/>
      <c r="G144" s="33"/>
      <c r="H144" s="33"/>
      <c r="I144" s="33"/>
      <c r="J144" s="33"/>
      <c r="K144" s="33"/>
      <c r="L144" s="33"/>
      <c r="M144" s="34"/>
    </row>
    <row r="145" spans="1:13">
      <c r="A145" s="43">
        <v>8215</v>
      </c>
      <c r="B145" s="32" t="s">
        <v>691</v>
      </c>
      <c r="C145" s="32" t="s">
        <v>534</v>
      </c>
      <c r="D145" s="32" t="s">
        <v>484</v>
      </c>
      <c r="E145" s="33"/>
      <c r="F145" s="33"/>
      <c r="G145" s="33"/>
      <c r="H145" s="33"/>
      <c r="I145" s="33"/>
      <c r="J145" s="33"/>
      <c r="K145" s="33"/>
      <c r="L145" s="33"/>
      <c r="M145" s="34"/>
    </row>
    <row r="146" spans="1:13">
      <c r="A146" s="43">
        <v>8219</v>
      </c>
      <c r="B146" s="32" t="s">
        <v>692</v>
      </c>
      <c r="C146" s="32" t="s">
        <v>570</v>
      </c>
      <c r="D146" s="32" t="s">
        <v>482</v>
      </c>
      <c r="E146" s="33"/>
      <c r="F146" s="33"/>
      <c r="G146" s="33"/>
      <c r="H146" s="33"/>
      <c r="I146" s="33"/>
      <c r="J146" s="33"/>
      <c r="K146" s="33"/>
      <c r="L146" s="33"/>
      <c r="M146" s="34"/>
    </row>
    <row r="147" spans="1:13">
      <c r="A147" s="43">
        <v>8223</v>
      </c>
      <c r="B147" s="32" t="s">
        <v>693</v>
      </c>
      <c r="C147" s="32" t="s">
        <v>534</v>
      </c>
      <c r="D147" s="32" t="s">
        <v>482</v>
      </c>
      <c r="E147" s="33"/>
      <c r="F147" s="33"/>
      <c r="G147" s="33"/>
      <c r="H147" s="33"/>
      <c r="I147" s="33"/>
      <c r="J147" s="33"/>
      <c r="K147" s="33"/>
      <c r="L147" s="33"/>
      <c r="M147" s="34"/>
    </row>
    <row r="148" spans="1:13">
      <c r="A148" s="43">
        <v>8225</v>
      </c>
      <c r="B148" s="32" t="s">
        <v>694</v>
      </c>
      <c r="C148" s="32" t="s">
        <v>554</v>
      </c>
      <c r="D148" s="32" t="s">
        <v>482</v>
      </c>
      <c r="E148" s="33"/>
      <c r="F148" s="33"/>
      <c r="G148" s="33"/>
      <c r="H148" s="33"/>
      <c r="I148" s="33"/>
      <c r="J148" s="33"/>
      <c r="K148" s="33"/>
      <c r="L148" s="33"/>
      <c r="M148" s="34"/>
    </row>
    <row r="149" spans="1:13">
      <c r="A149" s="43">
        <v>8236</v>
      </c>
      <c r="B149" s="32" t="s">
        <v>695</v>
      </c>
      <c r="C149" s="32" t="s">
        <v>570</v>
      </c>
      <c r="D149" s="32" t="s">
        <v>484</v>
      </c>
      <c r="E149" s="33"/>
      <c r="F149" s="33"/>
      <c r="G149" s="33"/>
      <c r="H149" s="33"/>
      <c r="I149" s="33"/>
      <c r="J149" s="33"/>
      <c r="K149" s="33"/>
      <c r="L149" s="33"/>
      <c r="M149" s="34"/>
    </row>
    <row r="150" spans="1:13">
      <c r="A150" s="43">
        <v>8239</v>
      </c>
      <c r="B150" s="32" t="s">
        <v>696</v>
      </c>
      <c r="C150" s="32" t="s">
        <v>532</v>
      </c>
      <c r="D150" s="32" t="s">
        <v>484</v>
      </c>
      <c r="E150" s="33"/>
      <c r="F150" s="33"/>
      <c r="G150" s="33"/>
      <c r="H150" s="33"/>
      <c r="I150" s="33"/>
      <c r="J150" s="33"/>
      <c r="K150" s="33"/>
      <c r="L150" s="33"/>
      <c r="M150" s="34"/>
    </row>
    <row r="151" spans="1:13">
      <c r="A151" s="43">
        <v>8241</v>
      </c>
      <c r="B151" s="32" t="s">
        <v>697</v>
      </c>
      <c r="C151" s="32" t="s">
        <v>552</v>
      </c>
      <c r="D151" s="32" t="s">
        <v>482</v>
      </c>
      <c r="E151" s="33"/>
      <c r="F151" s="33"/>
      <c r="G151" s="33"/>
      <c r="H151" s="33"/>
      <c r="I151" s="33"/>
      <c r="J151" s="33"/>
      <c r="K151" s="33"/>
      <c r="L151" s="33"/>
      <c r="M151" s="34"/>
    </row>
    <row r="152" spans="1:13">
      <c r="A152" s="43">
        <v>8242</v>
      </c>
      <c r="B152" s="32" t="s">
        <v>698</v>
      </c>
      <c r="C152" s="32" t="s">
        <v>570</v>
      </c>
      <c r="D152" s="32" t="s">
        <v>482</v>
      </c>
      <c r="E152" s="33"/>
      <c r="F152" s="33"/>
      <c r="G152" s="33"/>
      <c r="H152" s="33"/>
      <c r="I152" s="33"/>
      <c r="J152" s="33"/>
      <c r="K152" s="33"/>
      <c r="L152" s="33"/>
      <c r="M152" s="34"/>
    </row>
    <row r="153" spans="1:13">
      <c r="A153" s="43">
        <v>8252</v>
      </c>
      <c r="B153" s="32" t="s">
        <v>699</v>
      </c>
      <c r="C153" s="32" t="s">
        <v>577</v>
      </c>
      <c r="D153" s="32" t="s">
        <v>484</v>
      </c>
      <c r="E153" s="33"/>
      <c r="F153" s="33"/>
      <c r="G153" s="33"/>
      <c r="H153" s="33"/>
      <c r="I153" s="33"/>
      <c r="J153" s="33"/>
      <c r="K153" s="33"/>
      <c r="L153" s="33"/>
      <c r="M153" s="34"/>
    </row>
    <row r="154" spans="1:13">
      <c r="A154" s="43">
        <v>8254</v>
      </c>
      <c r="B154" s="32" t="s">
        <v>700</v>
      </c>
      <c r="C154" s="32" t="s">
        <v>532</v>
      </c>
      <c r="D154" s="32" t="s">
        <v>482</v>
      </c>
      <c r="E154" s="33"/>
      <c r="F154" s="33"/>
      <c r="G154" s="33"/>
      <c r="H154" s="33"/>
      <c r="I154" s="33"/>
      <c r="J154" s="33"/>
      <c r="K154" s="33"/>
      <c r="L154" s="33"/>
      <c r="M154" s="34"/>
    </row>
    <row r="155" spans="1:13">
      <c r="A155" s="43">
        <v>8255</v>
      </c>
      <c r="B155" s="32" t="s">
        <v>701</v>
      </c>
      <c r="C155" s="32" t="s">
        <v>541</v>
      </c>
      <c r="D155" s="32" t="s">
        <v>484</v>
      </c>
      <c r="E155" s="33"/>
      <c r="F155" s="33"/>
      <c r="G155" s="33"/>
      <c r="H155" s="33"/>
      <c r="I155" s="33"/>
      <c r="J155" s="33"/>
      <c r="K155" s="33"/>
      <c r="L155" s="33"/>
      <c r="M155" s="34"/>
    </row>
    <row r="156" spans="1:13">
      <c r="A156" s="43">
        <v>8258</v>
      </c>
      <c r="B156" s="32" t="s">
        <v>702</v>
      </c>
      <c r="C156" s="32" t="s">
        <v>554</v>
      </c>
      <c r="D156" s="32" t="s">
        <v>484</v>
      </c>
      <c r="E156" s="33"/>
      <c r="F156" s="33"/>
      <c r="G156" s="33"/>
      <c r="H156" s="33"/>
      <c r="I156" s="33"/>
      <c r="J156" s="33"/>
      <c r="K156" s="33"/>
      <c r="L156" s="33"/>
      <c r="M156" s="34"/>
    </row>
    <row r="157" spans="1:13">
      <c r="A157" s="43">
        <v>8259</v>
      </c>
      <c r="B157" s="32" t="s">
        <v>703</v>
      </c>
      <c r="C157" s="32" t="s">
        <v>532</v>
      </c>
      <c r="D157" s="32" t="s">
        <v>482</v>
      </c>
      <c r="E157" s="33"/>
      <c r="F157" s="33"/>
      <c r="G157" s="33"/>
      <c r="H157" s="33"/>
      <c r="I157" s="33"/>
      <c r="J157" s="33"/>
      <c r="K157" s="33"/>
      <c r="L157" s="33"/>
      <c r="M157" s="34"/>
    </row>
    <row r="158" spans="1:13">
      <c r="A158" s="43">
        <v>8265</v>
      </c>
      <c r="B158" s="32" t="s">
        <v>704</v>
      </c>
      <c r="C158" s="32" t="s">
        <v>541</v>
      </c>
      <c r="D158" s="32" t="s">
        <v>484</v>
      </c>
      <c r="E158" s="33"/>
      <c r="F158" s="33"/>
      <c r="G158" s="33"/>
      <c r="H158" s="33"/>
      <c r="I158" s="33"/>
      <c r="J158" s="33"/>
      <c r="K158" s="33"/>
      <c r="L158" s="33"/>
      <c r="M158" s="34"/>
    </row>
    <row r="159" spans="1:13">
      <c r="A159" s="43">
        <v>8267</v>
      </c>
      <c r="B159" s="32" t="s">
        <v>705</v>
      </c>
      <c r="C159" s="32" t="s">
        <v>541</v>
      </c>
      <c r="D159" s="32" t="s">
        <v>484</v>
      </c>
      <c r="E159" s="33"/>
      <c r="F159" s="33"/>
      <c r="G159" s="33"/>
      <c r="H159" s="33"/>
      <c r="I159" s="33"/>
      <c r="J159" s="33"/>
      <c r="K159" s="33"/>
      <c r="L159" s="33"/>
      <c r="M159" s="34"/>
    </row>
    <row r="160" spans="1:13">
      <c r="A160" s="43">
        <v>8271</v>
      </c>
      <c r="B160" s="32" t="s">
        <v>706</v>
      </c>
      <c r="C160" s="32" t="s">
        <v>654</v>
      </c>
      <c r="D160" s="32" t="s">
        <v>482</v>
      </c>
      <c r="E160" s="33"/>
      <c r="F160" s="33"/>
      <c r="G160" s="33"/>
      <c r="H160" s="33"/>
      <c r="I160" s="33"/>
      <c r="J160" s="33"/>
      <c r="K160" s="33"/>
      <c r="L160" s="33"/>
      <c r="M160" s="34"/>
    </row>
    <row r="161" spans="1:13">
      <c r="A161" s="43">
        <v>8272</v>
      </c>
      <c r="B161" s="32" t="s">
        <v>707</v>
      </c>
      <c r="C161" s="32" t="s">
        <v>604</v>
      </c>
      <c r="D161" s="32" t="s">
        <v>482</v>
      </c>
      <c r="E161" s="33"/>
      <c r="F161" s="33"/>
      <c r="G161" s="33"/>
      <c r="H161" s="33"/>
      <c r="I161" s="33"/>
      <c r="J161" s="33"/>
      <c r="K161" s="33"/>
      <c r="L161" s="33"/>
      <c r="M161" s="34"/>
    </row>
    <row r="162" spans="1:13">
      <c r="A162" s="43">
        <v>8273</v>
      </c>
      <c r="B162" s="32" t="s">
        <v>708</v>
      </c>
      <c r="C162" s="32" t="s">
        <v>554</v>
      </c>
      <c r="D162" s="32" t="s">
        <v>482</v>
      </c>
      <c r="E162" s="33"/>
      <c r="F162" s="33"/>
      <c r="G162" s="33"/>
      <c r="H162" s="33"/>
      <c r="I162" s="33"/>
      <c r="J162" s="33"/>
      <c r="K162" s="33"/>
      <c r="L162" s="33"/>
      <c r="M162" s="34"/>
    </row>
    <row r="163" spans="1:13">
      <c r="A163" s="43">
        <v>8274</v>
      </c>
      <c r="B163" s="32" t="s">
        <v>709</v>
      </c>
      <c r="C163" s="32" t="s">
        <v>554</v>
      </c>
      <c r="D163" s="32" t="s">
        <v>484</v>
      </c>
      <c r="E163" s="33"/>
      <c r="F163" s="33"/>
      <c r="G163" s="33"/>
      <c r="H163" s="33"/>
      <c r="I163" s="33"/>
      <c r="J163" s="33"/>
      <c r="K163" s="33"/>
      <c r="L163" s="33"/>
      <c r="M163" s="34"/>
    </row>
    <row r="164" spans="1:13">
      <c r="A164" s="43">
        <v>8275</v>
      </c>
      <c r="B164" s="32" t="s">
        <v>710</v>
      </c>
      <c r="C164" s="32" t="s">
        <v>554</v>
      </c>
      <c r="D164" s="32" t="s">
        <v>482</v>
      </c>
      <c r="E164" s="33"/>
      <c r="F164" s="33"/>
      <c r="G164" s="33"/>
      <c r="H164" s="33"/>
      <c r="I164" s="33"/>
      <c r="J164" s="33"/>
      <c r="K164" s="33"/>
      <c r="L164" s="33"/>
      <c r="M164" s="34"/>
    </row>
    <row r="165" spans="1:13">
      <c r="A165" s="43">
        <v>8276</v>
      </c>
      <c r="B165" s="32" t="s">
        <v>711</v>
      </c>
      <c r="C165" s="32" t="s">
        <v>554</v>
      </c>
      <c r="D165" s="32" t="s">
        <v>482</v>
      </c>
      <c r="E165" s="33"/>
      <c r="F165" s="33"/>
      <c r="G165" s="33"/>
      <c r="H165" s="33"/>
      <c r="I165" s="33"/>
      <c r="J165" s="33"/>
      <c r="K165" s="33"/>
      <c r="L165" s="33"/>
      <c r="M165" s="34"/>
    </row>
    <row r="166" spans="1:13">
      <c r="A166" s="43">
        <v>8281</v>
      </c>
      <c r="B166" s="32" t="s">
        <v>712</v>
      </c>
      <c r="C166" s="32" t="s">
        <v>554</v>
      </c>
      <c r="D166" s="32" t="s">
        <v>482</v>
      </c>
      <c r="E166" s="33"/>
      <c r="F166" s="33"/>
      <c r="G166" s="33"/>
      <c r="H166" s="33"/>
      <c r="I166" s="33"/>
      <c r="J166" s="33"/>
      <c r="K166" s="33"/>
      <c r="L166" s="33"/>
      <c r="M166" s="34"/>
    </row>
    <row r="167" spans="1:13">
      <c r="A167" s="43">
        <v>8282</v>
      </c>
      <c r="B167" s="32" t="s">
        <v>713</v>
      </c>
      <c r="C167" s="32" t="s">
        <v>554</v>
      </c>
      <c r="D167" s="32" t="s">
        <v>482</v>
      </c>
      <c r="E167" s="33"/>
      <c r="F167" s="33"/>
      <c r="G167" s="33"/>
      <c r="H167" s="33"/>
      <c r="I167" s="33"/>
      <c r="J167" s="33"/>
      <c r="K167" s="33"/>
      <c r="L167" s="33"/>
      <c r="M167" s="34"/>
    </row>
    <row r="168" spans="1:13">
      <c r="A168" s="43">
        <v>8293</v>
      </c>
      <c r="B168" s="32" t="s">
        <v>714</v>
      </c>
      <c r="C168" s="35"/>
      <c r="D168" s="32" t="s">
        <v>484</v>
      </c>
      <c r="E168" s="33"/>
      <c r="F168" s="33"/>
      <c r="G168" s="33"/>
      <c r="H168" s="33"/>
      <c r="I168" s="33"/>
      <c r="J168" s="33"/>
      <c r="K168" s="33"/>
      <c r="L168" s="33"/>
      <c r="M168" s="34"/>
    </row>
    <row r="169" spans="1:13">
      <c r="A169" s="43">
        <v>8295</v>
      </c>
      <c r="B169" s="32" t="s">
        <v>715</v>
      </c>
      <c r="C169" s="32" t="s">
        <v>654</v>
      </c>
      <c r="D169" s="32" t="s">
        <v>484</v>
      </c>
      <c r="E169" s="33"/>
      <c r="F169" s="33"/>
      <c r="G169" s="33"/>
      <c r="H169" s="33"/>
      <c r="I169" s="33"/>
      <c r="J169" s="33"/>
      <c r="K169" s="33"/>
      <c r="L169" s="33"/>
      <c r="M169" s="34"/>
    </row>
    <row r="170" spans="1:13">
      <c r="A170" s="43">
        <v>8304</v>
      </c>
      <c r="B170" s="32" t="s">
        <v>716</v>
      </c>
      <c r="C170" s="35"/>
      <c r="D170" s="32" t="s">
        <v>482</v>
      </c>
      <c r="E170" s="33"/>
      <c r="F170" s="33"/>
      <c r="G170" s="33"/>
      <c r="H170" s="33"/>
      <c r="I170" s="33"/>
      <c r="J170" s="33"/>
      <c r="K170" s="33"/>
      <c r="L170" s="33"/>
      <c r="M170" s="34"/>
    </row>
    <row r="171" spans="1:13">
      <c r="A171" s="43">
        <v>8305</v>
      </c>
      <c r="B171" s="32" t="s">
        <v>717</v>
      </c>
      <c r="C171" s="32" t="s">
        <v>718</v>
      </c>
      <c r="D171" s="32" t="s">
        <v>484</v>
      </c>
      <c r="E171" s="33"/>
      <c r="F171" s="33"/>
      <c r="G171" s="33"/>
      <c r="H171" s="33"/>
      <c r="I171" s="33"/>
      <c r="J171" s="33"/>
      <c r="K171" s="33"/>
      <c r="L171" s="33"/>
      <c r="M171" s="34"/>
    </row>
    <row r="172" spans="1:13">
      <c r="A172" s="43">
        <v>8307</v>
      </c>
      <c r="B172" s="32" t="s">
        <v>719</v>
      </c>
      <c r="C172" s="32" t="s">
        <v>556</v>
      </c>
      <c r="D172" s="32" t="s">
        <v>484</v>
      </c>
      <c r="E172" s="33"/>
      <c r="F172" s="33"/>
      <c r="G172" s="33"/>
      <c r="H172" s="33"/>
      <c r="I172" s="33"/>
      <c r="J172" s="33"/>
      <c r="K172" s="33"/>
      <c r="L172" s="33"/>
      <c r="M172" s="34"/>
    </row>
    <row r="173" spans="1:13">
      <c r="A173" s="43">
        <v>8309</v>
      </c>
      <c r="B173" s="32" t="s">
        <v>720</v>
      </c>
      <c r="C173" s="32" t="s">
        <v>556</v>
      </c>
      <c r="D173" s="32" t="s">
        <v>484</v>
      </c>
      <c r="E173" s="33"/>
      <c r="F173" s="33"/>
      <c r="G173" s="33"/>
      <c r="H173" s="33"/>
      <c r="I173" s="33"/>
      <c r="J173" s="33"/>
      <c r="K173" s="33"/>
      <c r="L173" s="33"/>
      <c r="M173" s="34"/>
    </row>
    <row r="174" spans="1:13">
      <c r="A174" s="43">
        <v>8322</v>
      </c>
      <c r="B174" s="32" t="s">
        <v>721</v>
      </c>
      <c r="C174" s="32" t="s">
        <v>718</v>
      </c>
      <c r="D174" s="32" t="s">
        <v>484</v>
      </c>
      <c r="E174" s="33"/>
      <c r="F174" s="33"/>
      <c r="G174" s="33"/>
      <c r="H174" s="33"/>
      <c r="I174" s="33"/>
      <c r="J174" s="33"/>
      <c r="K174" s="33"/>
      <c r="L174" s="33"/>
      <c r="M174" s="34"/>
    </row>
    <row r="175" spans="1:13">
      <c r="A175" s="43">
        <v>8332</v>
      </c>
      <c r="B175" s="32" t="s">
        <v>722</v>
      </c>
      <c r="C175" s="32" t="s">
        <v>552</v>
      </c>
      <c r="D175" s="32" t="s">
        <v>482</v>
      </c>
      <c r="E175" s="33"/>
      <c r="F175" s="33"/>
      <c r="G175" s="33"/>
      <c r="H175" s="33"/>
      <c r="I175" s="33"/>
      <c r="J175" s="33"/>
      <c r="K175" s="33"/>
      <c r="L175" s="33"/>
      <c r="M175" s="34"/>
    </row>
    <row r="176" spans="1:13">
      <c r="A176" s="43">
        <v>8336</v>
      </c>
      <c r="B176" s="32" t="s">
        <v>723</v>
      </c>
      <c r="C176" s="32" t="s">
        <v>534</v>
      </c>
      <c r="D176" s="32" t="s">
        <v>484</v>
      </c>
      <c r="E176" s="33"/>
      <c r="F176" s="33"/>
      <c r="G176" s="33"/>
      <c r="H176" s="33"/>
      <c r="I176" s="33"/>
      <c r="J176" s="33"/>
      <c r="K176" s="33"/>
      <c r="L176" s="33"/>
      <c r="M176" s="34"/>
    </row>
    <row r="177" spans="1:13">
      <c r="A177" s="43">
        <v>8338</v>
      </c>
      <c r="B177" s="32" t="s">
        <v>724</v>
      </c>
      <c r="C177" s="32" t="s">
        <v>541</v>
      </c>
      <c r="D177" s="32" t="s">
        <v>484</v>
      </c>
      <c r="E177" s="33"/>
      <c r="F177" s="33"/>
      <c r="G177" s="33"/>
      <c r="H177" s="33"/>
      <c r="I177" s="33"/>
      <c r="J177" s="33"/>
      <c r="K177" s="33"/>
      <c r="L177" s="33"/>
      <c r="M177" s="34"/>
    </row>
    <row r="178" spans="1:13">
      <c r="A178" s="43">
        <v>8343</v>
      </c>
      <c r="B178" s="32" t="s">
        <v>725</v>
      </c>
      <c r="C178" s="32" t="s">
        <v>554</v>
      </c>
      <c r="D178" s="32" t="s">
        <v>484</v>
      </c>
      <c r="E178" s="33"/>
      <c r="F178" s="33"/>
      <c r="G178" s="33"/>
      <c r="H178" s="33"/>
      <c r="I178" s="33"/>
      <c r="J178" s="33"/>
      <c r="K178" s="33"/>
      <c r="L178" s="33"/>
      <c r="M178" s="34"/>
    </row>
    <row r="179" spans="1:13">
      <c r="A179" s="43">
        <v>8355</v>
      </c>
      <c r="B179" s="32" t="s">
        <v>726</v>
      </c>
      <c r="C179" s="32" t="s">
        <v>534</v>
      </c>
      <c r="D179" s="32" t="s">
        <v>484</v>
      </c>
      <c r="E179" s="33"/>
      <c r="F179" s="33"/>
      <c r="G179" s="33"/>
      <c r="H179" s="33"/>
      <c r="I179" s="33"/>
      <c r="J179" s="33"/>
      <c r="K179" s="33"/>
      <c r="L179" s="33"/>
      <c r="M179" s="34"/>
    </row>
    <row r="180" spans="1:13">
      <c r="A180" s="43">
        <v>8357</v>
      </c>
      <c r="B180" s="32" t="s">
        <v>727</v>
      </c>
      <c r="C180" s="32" t="s">
        <v>541</v>
      </c>
      <c r="D180" s="32" t="s">
        <v>482</v>
      </c>
      <c r="E180" s="33"/>
      <c r="F180" s="33"/>
      <c r="G180" s="33"/>
      <c r="H180" s="33"/>
      <c r="I180" s="33"/>
      <c r="J180" s="33"/>
      <c r="K180" s="33"/>
      <c r="L180" s="33"/>
      <c r="M180" s="34"/>
    </row>
    <row r="181" spans="1:13">
      <c r="A181" s="43">
        <v>8359</v>
      </c>
      <c r="B181" s="32" t="s">
        <v>728</v>
      </c>
      <c r="C181" s="32" t="s">
        <v>541</v>
      </c>
      <c r="D181" s="32" t="s">
        <v>484</v>
      </c>
      <c r="E181" s="33"/>
      <c r="F181" s="33"/>
      <c r="G181" s="33"/>
      <c r="H181" s="33"/>
      <c r="I181" s="33"/>
      <c r="J181" s="33"/>
      <c r="K181" s="33"/>
      <c r="L181" s="33"/>
      <c r="M181" s="34"/>
    </row>
    <row r="182" spans="1:13">
      <c r="A182" s="43">
        <v>8363</v>
      </c>
      <c r="B182" s="32" t="s">
        <v>729</v>
      </c>
      <c r="C182" s="32" t="s">
        <v>541</v>
      </c>
      <c r="D182" s="32" t="s">
        <v>484</v>
      </c>
      <c r="E182" s="33"/>
      <c r="F182" s="33"/>
      <c r="G182" s="33"/>
      <c r="H182" s="33"/>
      <c r="I182" s="33"/>
      <c r="J182" s="33"/>
      <c r="K182" s="33"/>
      <c r="L182" s="33"/>
      <c r="M182" s="34"/>
    </row>
    <row r="183" spans="1:13">
      <c r="A183" s="43">
        <v>8375</v>
      </c>
      <c r="B183" s="32" t="s">
        <v>730</v>
      </c>
      <c r="C183" s="32" t="s">
        <v>541</v>
      </c>
      <c r="D183" s="32" t="s">
        <v>484</v>
      </c>
      <c r="E183" s="33"/>
      <c r="F183" s="33"/>
      <c r="G183" s="33"/>
      <c r="H183" s="33"/>
      <c r="I183" s="33"/>
      <c r="J183" s="33"/>
      <c r="K183" s="33"/>
      <c r="L183" s="33"/>
      <c r="M183" s="34"/>
    </row>
    <row r="184" spans="1:13">
      <c r="A184" s="43">
        <v>8378</v>
      </c>
      <c r="B184" s="32" t="s">
        <v>731</v>
      </c>
      <c r="C184" s="32" t="s">
        <v>538</v>
      </c>
      <c r="D184" s="32" t="s">
        <v>484</v>
      </c>
      <c r="E184" s="33"/>
      <c r="F184" s="33"/>
      <c r="G184" s="33"/>
      <c r="H184" s="33"/>
      <c r="I184" s="33"/>
      <c r="J184" s="33"/>
      <c r="K184" s="33"/>
      <c r="L184" s="33"/>
      <c r="M184" s="34"/>
    </row>
    <row r="185" spans="1:13">
      <c r="A185" s="43">
        <v>8379</v>
      </c>
      <c r="B185" s="32" t="s">
        <v>732</v>
      </c>
      <c r="C185" s="32" t="s">
        <v>577</v>
      </c>
      <c r="D185" s="32" t="s">
        <v>482</v>
      </c>
      <c r="E185" s="33"/>
      <c r="F185" s="33"/>
      <c r="G185" s="33"/>
      <c r="H185" s="33"/>
      <c r="I185" s="33"/>
      <c r="J185" s="33"/>
      <c r="K185" s="33"/>
      <c r="L185" s="33"/>
      <c r="M185" s="34"/>
    </row>
    <row r="186" spans="1:13">
      <c r="A186" s="43">
        <v>8380</v>
      </c>
      <c r="B186" s="32" t="s">
        <v>733</v>
      </c>
      <c r="C186" s="32" t="s">
        <v>538</v>
      </c>
      <c r="D186" s="32" t="s">
        <v>484</v>
      </c>
      <c r="E186" s="33"/>
      <c r="F186" s="33"/>
      <c r="G186" s="33"/>
      <c r="H186" s="33"/>
      <c r="I186" s="33"/>
      <c r="J186" s="33"/>
      <c r="K186" s="33"/>
      <c r="L186" s="33"/>
      <c r="M186" s="34"/>
    </row>
    <row r="187" spans="1:13">
      <c r="A187" s="43">
        <v>8381</v>
      </c>
      <c r="B187" s="32" t="s">
        <v>734</v>
      </c>
      <c r="C187" s="32" t="s">
        <v>577</v>
      </c>
      <c r="D187" s="32" t="s">
        <v>482</v>
      </c>
      <c r="E187" s="33"/>
      <c r="F187" s="33"/>
      <c r="G187" s="33"/>
      <c r="H187" s="33"/>
      <c r="I187" s="33"/>
      <c r="J187" s="33"/>
      <c r="K187" s="33"/>
      <c r="L187" s="33"/>
      <c r="M187" s="34"/>
    </row>
    <row r="188" spans="1:13">
      <c r="A188" s="43">
        <v>8387</v>
      </c>
      <c r="B188" s="32" t="s">
        <v>735</v>
      </c>
      <c r="C188" s="32" t="s">
        <v>541</v>
      </c>
      <c r="D188" s="32" t="s">
        <v>484</v>
      </c>
      <c r="E188" s="33"/>
      <c r="F188" s="33"/>
      <c r="G188" s="33"/>
      <c r="H188" s="33"/>
      <c r="I188" s="33"/>
      <c r="J188" s="33"/>
      <c r="K188" s="33"/>
      <c r="L188" s="33"/>
      <c r="M188" s="34"/>
    </row>
    <row r="189" spans="1:13">
      <c r="A189" s="43">
        <v>8390</v>
      </c>
      <c r="B189" s="32" t="s">
        <v>736</v>
      </c>
      <c r="C189" s="32" t="s">
        <v>536</v>
      </c>
      <c r="D189" s="32" t="s">
        <v>484</v>
      </c>
      <c r="E189" s="33"/>
      <c r="F189" s="33"/>
      <c r="G189" s="33"/>
      <c r="H189" s="33"/>
      <c r="I189" s="33"/>
      <c r="J189" s="33"/>
      <c r="K189" s="33"/>
      <c r="L189" s="33"/>
      <c r="M189" s="34"/>
    </row>
    <row r="190" spans="1:13">
      <c r="A190" s="43">
        <v>8397</v>
      </c>
      <c r="B190" s="32" t="s">
        <v>737</v>
      </c>
      <c r="C190" s="32" t="s">
        <v>534</v>
      </c>
      <c r="D190" s="32" t="s">
        <v>482</v>
      </c>
      <c r="E190" s="33"/>
      <c r="F190" s="33"/>
      <c r="G190" s="33"/>
      <c r="H190" s="33"/>
      <c r="I190" s="33"/>
      <c r="J190" s="33"/>
      <c r="K190" s="33"/>
      <c r="L190" s="33"/>
      <c r="M190" s="34"/>
    </row>
    <row r="191" spans="1:13">
      <c r="A191" s="43">
        <v>8399</v>
      </c>
      <c r="B191" s="32" t="s">
        <v>738</v>
      </c>
      <c r="C191" s="32" t="s">
        <v>604</v>
      </c>
      <c r="D191" s="32" t="s">
        <v>484</v>
      </c>
      <c r="E191" s="33"/>
      <c r="F191" s="33"/>
      <c r="G191" s="33"/>
      <c r="H191" s="33"/>
      <c r="I191" s="33"/>
      <c r="J191" s="33"/>
      <c r="K191" s="33"/>
      <c r="L191" s="33"/>
      <c r="M191" s="34"/>
    </row>
    <row r="192" spans="1:13">
      <c r="A192" s="43">
        <v>8400</v>
      </c>
      <c r="B192" s="32" t="s">
        <v>739</v>
      </c>
      <c r="C192" s="32" t="s">
        <v>740</v>
      </c>
      <c r="D192" s="32" t="s">
        <v>482</v>
      </c>
      <c r="E192" s="33"/>
      <c r="F192" s="33"/>
      <c r="G192" s="33"/>
      <c r="H192" s="33"/>
      <c r="I192" s="33"/>
      <c r="J192" s="33"/>
      <c r="K192" s="33"/>
      <c r="L192" s="33"/>
      <c r="M192" s="34"/>
    </row>
    <row r="193" spans="1:13">
      <c r="A193" s="43">
        <v>8402</v>
      </c>
      <c r="B193" s="32" t="s">
        <v>741</v>
      </c>
      <c r="C193" s="32" t="s">
        <v>534</v>
      </c>
      <c r="D193" s="32" t="s">
        <v>484</v>
      </c>
      <c r="E193" s="33"/>
      <c r="F193" s="33"/>
      <c r="G193" s="33"/>
      <c r="H193" s="33"/>
      <c r="I193" s="33"/>
      <c r="J193" s="33"/>
      <c r="K193" s="33"/>
      <c r="L193" s="33"/>
      <c r="M193" s="34"/>
    </row>
    <row r="194" spans="1:13">
      <c r="A194" s="43">
        <v>8403</v>
      </c>
      <c r="B194" s="32" t="s">
        <v>742</v>
      </c>
      <c r="C194" s="32" t="s">
        <v>538</v>
      </c>
      <c r="D194" s="32" t="s">
        <v>482</v>
      </c>
      <c r="E194" s="33"/>
      <c r="F194" s="33"/>
      <c r="G194" s="33"/>
      <c r="H194" s="33"/>
      <c r="I194" s="33"/>
      <c r="J194" s="33"/>
      <c r="K194" s="33"/>
      <c r="L194" s="33"/>
      <c r="M194" s="34"/>
    </row>
    <row r="195" spans="1:13">
      <c r="A195" s="43">
        <v>8404</v>
      </c>
      <c r="B195" s="32" t="s">
        <v>743</v>
      </c>
      <c r="C195" s="32" t="s">
        <v>570</v>
      </c>
      <c r="D195" s="32" t="s">
        <v>482</v>
      </c>
      <c r="E195" s="33"/>
      <c r="F195" s="33"/>
      <c r="G195" s="33"/>
      <c r="H195" s="33"/>
      <c r="I195" s="33"/>
      <c r="J195" s="33"/>
      <c r="K195" s="33"/>
      <c r="L195" s="33"/>
      <c r="M195" s="34"/>
    </row>
    <row r="196" spans="1:13">
      <c r="A196" s="43">
        <v>8407</v>
      </c>
      <c r="B196" s="32" t="s">
        <v>744</v>
      </c>
      <c r="C196" s="32" t="s">
        <v>570</v>
      </c>
      <c r="D196" s="32" t="s">
        <v>482</v>
      </c>
      <c r="E196" s="33"/>
      <c r="F196" s="33"/>
      <c r="G196" s="33"/>
      <c r="H196" s="33"/>
      <c r="I196" s="33"/>
      <c r="J196" s="33"/>
      <c r="K196" s="33"/>
      <c r="L196" s="33"/>
      <c r="M196" s="34"/>
    </row>
    <row r="197" spans="1:13">
      <c r="A197" s="43">
        <v>8408</v>
      </c>
      <c r="B197" s="32" t="s">
        <v>745</v>
      </c>
      <c r="C197" s="32" t="s">
        <v>746</v>
      </c>
      <c r="D197" s="32" t="s">
        <v>482</v>
      </c>
      <c r="E197" s="33"/>
      <c r="F197" s="33"/>
      <c r="G197" s="33"/>
      <c r="H197" s="33"/>
      <c r="I197" s="33"/>
      <c r="J197" s="33"/>
      <c r="K197" s="33"/>
      <c r="L197" s="33"/>
      <c r="M197" s="34"/>
    </row>
    <row r="198" spans="1:13">
      <c r="A198" s="43">
        <v>8410</v>
      </c>
      <c r="B198" s="32" t="s">
        <v>747</v>
      </c>
      <c r="C198" s="32" t="s">
        <v>570</v>
      </c>
      <c r="D198" s="32" t="s">
        <v>482</v>
      </c>
      <c r="E198" s="33"/>
      <c r="F198" s="33"/>
      <c r="G198" s="33"/>
      <c r="H198" s="33"/>
      <c r="I198" s="33"/>
      <c r="J198" s="33"/>
      <c r="K198" s="33"/>
      <c r="L198" s="33"/>
      <c r="M198" s="34"/>
    </row>
    <row r="199" spans="1:13">
      <c r="A199" s="43">
        <v>8414</v>
      </c>
      <c r="B199" s="32" t="s">
        <v>748</v>
      </c>
      <c r="C199" s="32" t="s">
        <v>556</v>
      </c>
      <c r="D199" s="32" t="s">
        <v>484</v>
      </c>
      <c r="E199" s="33"/>
      <c r="F199" s="33"/>
      <c r="G199" s="33"/>
      <c r="H199" s="33"/>
      <c r="I199" s="33"/>
      <c r="J199" s="33"/>
      <c r="K199" s="33"/>
      <c r="L199" s="33"/>
      <c r="M199" s="34"/>
    </row>
    <row r="200" spans="1:13">
      <c r="A200" s="43">
        <v>8416</v>
      </c>
      <c r="B200" s="32" t="s">
        <v>749</v>
      </c>
      <c r="C200" s="32" t="s">
        <v>589</v>
      </c>
      <c r="D200" s="32" t="s">
        <v>482</v>
      </c>
      <c r="E200" s="33"/>
      <c r="F200" s="33"/>
      <c r="G200" s="33"/>
      <c r="H200" s="33"/>
      <c r="I200" s="33"/>
      <c r="J200" s="33"/>
      <c r="K200" s="33"/>
      <c r="L200" s="33"/>
      <c r="M200" s="34"/>
    </row>
    <row r="201" spans="1:13">
      <c r="A201" s="43">
        <v>8418</v>
      </c>
      <c r="B201" s="32" t="s">
        <v>750</v>
      </c>
      <c r="C201" s="32" t="s">
        <v>534</v>
      </c>
      <c r="D201" s="32" t="s">
        <v>482</v>
      </c>
      <c r="E201" s="33"/>
      <c r="F201" s="33"/>
      <c r="G201" s="33"/>
      <c r="H201" s="33"/>
      <c r="I201" s="33"/>
      <c r="J201" s="33"/>
      <c r="K201" s="33"/>
      <c r="L201" s="33"/>
      <c r="M201" s="34"/>
    </row>
    <row r="202" spans="1:13">
      <c r="A202" s="43">
        <v>8419</v>
      </c>
      <c r="B202" s="32" t="s">
        <v>751</v>
      </c>
      <c r="C202" s="32" t="s">
        <v>534</v>
      </c>
      <c r="D202" s="32" t="s">
        <v>484</v>
      </c>
      <c r="E202" s="33"/>
      <c r="F202" s="33"/>
      <c r="G202" s="33"/>
      <c r="H202" s="33"/>
      <c r="I202" s="33"/>
      <c r="J202" s="33"/>
      <c r="K202" s="33"/>
      <c r="L202" s="33"/>
      <c r="M202" s="34"/>
    </row>
    <row r="203" spans="1:13">
      <c r="A203" s="43">
        <v>8420</v>
      </c>
      <c r="B203" s="32" t="s">
        <v>752</v>
      </c>
      <c r="C203" s="32" t="s">
        <v>534</v>
      </c>
      <c r="D203" s="32" t="s">
        <v>482</v>
      </c>
      <c r="E203" s="33"/>
      <c r="F203" s="33"/>
      <c r="G203" s="33"/>
      <c r="H203" s="33"/>
      <c r="I203" s="33"/>
      <c r="J203" s="33"/>
      <c r="K203" s="33"/>
      <c r="L203" s="33"/>
      <c r="M203" s="34"/>
    </row>
    <row r="204" spans="1:13">
      <c r="A204" s="43">
        <v>8423</v>
      </c>
      <c r="B204" s="32" t="s">
        <v>753</v>
      </c>
      <c r="C204" s="32" t="s">
        <v>530</v>
      </c>
      <c r="D204" s="32" t="s">
        <v>482</v>
      </c>
      <c r="E204" s="33"/>
      <c r="F204" s="33"/>
      <c r="G204" s="33"/>
      <c r="H204" s="33"/>
      <c r="I204" s="33"/>
      <c r="J204" s="33"/>
      <c r="K204" s="33"/>
      <c r="L204" s="33"/>
      <c r="M204" s="34"/>
    </row>
    <row r="205" spans="1:13">
      <c r="A205" s="43">
        <v>8426</v>
      </c>
      <c r="B205" s="32" t="s">
        <v>754</v>
      </c>
      <c r="C205" s="32" t="s">
        <v>541</v>
      </c>
      <c r="D205" s="32" t="s">
        <v>484</v>
      </c>
      <c r="E205" s="33"/>
      <c r="F205" s="33"/>
      <c r="G205" s="33"/>
      <c r="H205" s="33"/>
      <c r="I205" s="33"/>
      <c r="J205" s="33"/>
      <c r="K205" s="33"/>
      <c r="L205" s="33"/>
      <c r="M205" s="34"/>
    </row>
    <row r="206" spans="1:13">
      <c r="A206" s="43">
        <v>8428</v>
      </c>
      <c r="B206" s="32" t="s">
        <v>755</v>
      </c>
      <c r="C206" s="32" t="s">
        <v>534</v>
      </c>
      <c r="D206" s="32" t="s">
        <v>482</v>
      </c>
      <c r="E206" s="33"/>
      <c r="F206" s="33"/>
      <c r="G206" s="33"/>
      <c r="H206" s="33"/>
      <c r="I206" s="33"/>
      <c r="J206" s="33"/>
      <c r="K206" s="33"/>
      <c r="L206" s="33"/>
      <c r="M206" s="34"/>
    </row>
    <row r="207" spans="1:13">
      <c r="A207" s="43">
        <v>8431</v>
      </c>
      <c r="B207" s="32" t="s">
        <v>756</v>
      </c>
      <c r="C207" s="32" t="s">
        <v>541</v>
      </c>
      <c r="D207" s="32" t="s">
        <v>482</v>
      </c>
      <c r="E207" s="33"/>
      <c r="F207" s="33"/>
      <c r="G207" s="33"/>
      <c r="H207" s="33"/>
      <c r="I207" s="33"/>
      <c r="J207" s="33"/>
      <c r="K207" s="33"/>
      <c r="L207" s="33"/>
      <c r="M207" s="34"/>
    </row>
    <row r="208" spans="1:13">
      <c r="A208" s="43">
        <v>8434</v>
      </c>
      <c r="B208" s="32" t="s">
        <v>757</v>
      </c>
      <c r="C208" s="35"/>
      <c r="D208" s="32" t="s">
        <v>482</v>
      </c>
      <c r="E208" s="33"/>
      <c r="F208" s="33"/>
      <c r="G208" s="33"/>
      <c r="H208" s="33"/>
      <c r="I208" s="33"/>
      <c r="J208" s="33"/>
      <c r="K208" s="33"/>
      <c r="L208" s="33"/>
      <c r="M208" s="34"/>
    </row>
    <row r="209" spans="1:13">
      <c r="A209" s="43">
        <v>8435</v>
      </c>
      <c r="B209" s="32" t="s">
        <v>758</v>
      </c>
      <c r="C209" s="32" t="s">
        <v>541</v>
      </c>
      <c r="D209" s="32" t="s">
        <v>482</v>
      </c>
      <c r="E209" s="33"/>
      <c r="F209" s="33"/>
      <c r="G209" s="33"/>
      <c r="H209" s="33"/>
      <c r="I209" s="33"/>
      <c r="J209" s="33"/>
      <c r="K209" s="33"/>
      <c r="L209" s="33"/>
      <c r="M209" s="34"/>
    </row>
    <row r="210" spans="1:13">
      <c r="A210" s="43">
        <v>8436</v>
      </c>
      <c r="B210" s="32" t="s">
        <v>759</v>
      </c>
      <c r="C210" s="32" t="s">
        <v>541</v>
      </c>
      <c r="D210" s="32" t="s">
        <v>484</v>
      </c>
      <c r="E210" s="33"/>
      <c r="F210" s="33"/>
      <c r="G210" s="33"/>
      <c r="H210" s="33"/>
      <c r="I210" s="33"/>
      <c r="J210" s="33"/>
      <c r="K210" s="33"/>
      <c r="L210" s="33"/>
      <c r="M210" s="34"/>
    </row>
    <row r="211" spans="1:13">
      <c r="A211" s="43">
        <v>8437</v>
      </c>
      <c r="B211" s="32" t="s">
        <v>760</v>
      </c>
      <c r="C211" s="32" t="s">
        <v>541</v>
      </c>
      <c r="D211" s="32" t="s">
        <v>482</v>
      </c>
      <c r="E211" s="33"/>
      <c r="F211" s="33"/>
      <c r="G211" s="33"/>
      <c r="H211" s="33"/>
      <c r="I211" s="33"/>
      <c r="J211" s="33"/>
      <c r="K211" s="33"/>
      <c r="L211" s="33"/>
      <c r="M211" s="34"/>
    </row>
    <row r="212" spans="1:13">
      <c r="A212" s="43">
        <v>8447</v>
      </c>
      <c r="B212" s="32" t="s">
        <v>761</v>
      </c>
      <c r="C212" s="35"/>
      <c r="D212" s="32" t="s">
        <v>484</v>
      </c>
      <c r="E212" s="33"/>
      <c r="F212" s="33"/>
      <c r="G212" s="33"/>
      <c r="H212" s="33"/>
      <c r="I212" s="33"/>
      <c r="J212" s="33"/>
      <c r="K212" s="33"/>
      <c r="L212" s="33"/>
      <c r="M212" s="34"/>
    </row>
    <row r="213" spans="1:13">
      <c r="A213" s="43">
        <v>8451</v>
      </c>
      <c r="B213" s="32" t="s">
        <v>762</v>
      </c>
      <c r="C213" s="35"/>
      <c r="D213" s="32" t="s">
        <v>484</v>
      </c>
      <c r="E213" s="33"/>
      <c r="F213" s="33"/>
      <c r="G213" s="33"/>
      <c r="H213" s="33"/>
      <c r="I213" s="33"/>
      <c r="J213" s="33"/>
      <c r="K213" s="33"/>
      <c r="L213" s="33"/>
      <c r="M213" s="34"/>
    </row>
    <row r="214" spans="1:13">
      <c r="A214" s="43">
        <v>8456</v>
      </c>
      <c r="B214" s="32" t="s">
        <v>763</v>
      </c>
      <c r="C214" s="32" t="s">
        <v>764</v>
      </c>
      <c r="D214" s="32" t="s">
        <v>484</v>
      </c>
      <c r="E214" s="33"/>
      <c r="F214" s="33"/>
      <c r="G214" s="33"/>
      <c r="H214" s="33"/>
      <c r="I214" s="33"/>
      <c r="J214" s="33"/>
      <c r="K214" s="33"/>
      <c r="L214" s="33"/>
      <c r="M214" s="34"/>
    </row>
    <row r="215" spans="1:13">
      <c r="A215" s="43">
        <v>8457</v>
      </c>
      <c r="B215" s="32" t="s">
        <v>765</v>
      </c>
      <c r="C215" s="32" t="s">
        <v>534</v>
      </c>
      <c r="D215" s="32" t="s">
        <v>484</v>
      </c>
      <c r="E215" s="33"/>
      <c r="F215" s="33"/>
      <c r="G215" s="33"/>
      <c r="H215" s="33"/>
      <c r="I215" s="33"/>
      <c r="J215" s="33"/>
      <c r="K215" s="33"/>
      <c r="L215" s="33"/>
      <c r="M215" s="34"/>
    </row>
    <row r="216" spans="1:13">
      <c r="A216" s="43">
        <v>8459</v>
      </c>
      <c r="B216" s="32" t="s">
        <v>766</v>
      </c>
      <c r="C216" s="32" t="s">
        <v>534</v>
      </c>
      <c r="D216" s="32" t="s">
        <v>482</v>
      </c>
      <c r="E216" s="33"/>
      <c r="F216" s="33"/>
      <c r="G216" s="33"/>
      <c r="H216" s="33"/>
      <c r="I216" s="33"/>
      <c r="J216" s="33"/>
      <c r="K216" s="33"/>
      <c r="L216" s="33"/>
      <c r="M216" s="34"/>
    </row>
    <row r="217" spans="1:13">
      <c r="A217" s="43">
        <v>8463</v>
      </c>
      <c r="B217" s="32" t="s">
        <v>767</v>
      </c>
      <c r="C217" s="32" t="s">
        <v>541</v>
      </c>
      <c r="D217" s="32" t="s">
        <v>482</v>
      </c>
      <c r="E217" s="33"/>
      <c r="F217" s="33"/>
      <c r="G217" s="33"/>
      <c r="H217" s="33"/>
      <c r="I217" s="33"/>
      <c r="J217" s="33"/>
      <c r="K217" s="33"/>
      <c r="L217" s="33"/>
      <c r="M217" s="34"/>
    </row>
    <row r="218" spans="1:13">
      <c r="A218" s="43">
        <v>8465</v>
      </c>
      <c r="B218" s="32" t="s">
        <v>768</v>
      </c>
      <c r="C218" s="32" t="s">
        <v>541</v>
      </c>
      <c r="D218" s="32" t="s">
        <v>482</v>
      </c>
      <c r="E218" s="33"/>
      <c r="F218" s="33"/>
      <c r="G218" s="33"/>
      <c r="H218" s="33"/>
      <c r="I218" s="33"/>
      <c r="J218" s="33"/>
      <c r="K218" s="33"/>
      <c r="L218" s="33"/>
      <c r="M218" s="34"/>
    </row>
    <row r="219" spans="1:13">
      <c r="A219" s="43">
        <v>8466</v>
      </c>
      <c r="B219" s="32" t="s">
        <v>769</v>
      </c>
      <c r="C219" s="32" t="s">
        <v>534</v>
      </c>
      <c r="D219" s="32" t="s">
        <v>482</v>
      </c>
      <c r="E219" s="33"/>
      <c r="F219" s="33"/>
      <c r="G219" s="33"/>
      <c r="H219" s="33"/>
      <c r="I219" s="33"/>
      <c r="J219" s="33"/>
      <c r="K219" s="33"/>
      <c r="L219" s="33"/>
      <c r="M219" s="34"/>
    </row>
    <row r="220" spans="1:13">
      <c r="A220" s="43">
        <v>8468</v>
      </c>
      <c r="B220" s="32" t="s">
        <v>770</v>
      </c>
      <c r="C220" s="32" t="s">
        <v>718</v>
      </c>
      <c r="D220" s="32" t="s">
        <v>482</v>
      </c>
      <c r="E220" s="33"/>
      <c r="F220" s="33"/>
      <c r="G220" s="33"/>
      <c r="H220" s="33"/>
      <c r="I220" s="33"/>
      <c r="J220" s="33"/>
      <c r="K220" s="33"/>
      <c r="L220" s="33"/>
      <c r="M220" s="34"/>
    </row>
    <row r="221" spans="1:13">
      <c r="A221" s="43">
        <v>8471</v>
      </c>
      <c r="B221" s="32" t="s">
        <v>771</v>
      </c>
      <c r="C221" s="32" t="s">
        <v>541</v>
      </c>
      <c r="D221" s="32" t="s">
        <v>482</v>
      </c>
      <c r="E221" s="33"/>
      <c r="F221" s="33"/>
      <c r="G221" s="33"/>
      <c r="H221" s="33"/>
      <c r="I221" s="33"/>
      <c r="J221" s="33"/>
      <c r="K221" s="33"/>
      <c r="L221" s="33"/>
      <c r="M221" s="34"/>
    </row>
    <row r="222" spans="1:13">
      <c r="A222" s="43">
        <v>8472</v>
      </c>
      <c r="B222" s="32" t="s">
        <v>772</v>
      </c>
      <c r="C222" s="32" t="s">
        <v>541</v>
      </c>
      <c r="D222" s="32" t="s">
        <v>484</v>
      </c>
      <c r="E222" s="33"/>
      <c r="F222" s="33"/>
      <c r="G222" s="33"/>
      <c r="H222" s="33"/>
      <c r="I222" s="33"/>
      <c r="J222" s="33"/>
      <c r="K222" s="33"/>
      <c r="L222" s="33"/>
      <c r="M222" s="34"/>
    </row>
    <row r="223" spans="1:13">
      <c r="A223" s="43">
        <v>8475</v>
      </c>
      <c r="B223" s="32" t="s">
        <v>773</v>
      </c>
      <c r="C223" s="32" t="s">
        <v>530</v>
      </c>
      <c r="D223" s="32" t="s">
        <v>484</v>
      </c>
      <c r="E223" s="33"/>
      <c r="F223" s="33"/>
      <c r="G223" s="33"/>
      <c r="H223" s="33"/>
      <c r="I223" s="33"/>
      <c r="J223" s="33"/>
      <c r="K223" s="33"/>
      <c r="L223" s="33"/>
      <c r="M223" s="34"/>
    </row>
    <row r="224" spans="1:13">
      <c r="A224" s="43">
        <v>8479</v>
      </c>
      <c r="B224" s="32" t="s">
        <v>774</v>
      </c>
      <c r="C224" s="32" t="s">
        <v>577</v>
      </c>
      <c r="D224" s="32" t="s">
        <v>482</v>
      </c>
      <c r="E224" s="33"/>
      <c r="F224" s="33"/>
      <c r="G224" s="33"/>
      <c r="H224" s="33"/>
      <c r="I224" s="33"/>
      <c r="J224" s="33"/>
      <c r="K224" s="33"/>
      <c r="L224" s="33"/>
      <c r="M224" s="34"/>
    </row>
    <row r="225" spans="1:13">
      <c r="A225" s="43">
        <v>8490</v>
      </c>
      <c r="B225" s="32" t="s">
        <v>775</v>
      </c>
      <c r="C225" s="35"/>
      <c r="D225" s="32" t="s">
        <v>482</v>
      </c>
      <c r="E225" s="33"/>
      <c r="F225" s="33"/>
      <c r="G225" s="33"/>
      <c r="H225" s="33"/>
      <c r="I225" s="33"/>
      <c r="J225" s="33"/>
      <c r="K225" s="33"/>
      <c r="L225" s="33"/>
      <c r="M225" s="34"/>
    </row>
    <row r="226" spans="1:13">
      <c r="A226" s="43">
        <v>8493</v>
      </c>
      <c r="B226" s="32" t="s">
        <v>776</v>
      </c>
      <c r="C226" s="32" t="s">
        <v>777</v>
      </c>
      <c r="D226" s="32" t="s">
        <v>484</v>
      </c>
      <c r="E226" s="33"/>
      <c r="F226" s="33"/>
      <c r="G226" s="33"/>
      <c r="H226" s="33"/>
      <c r="I226" s="33"/>
      <c r="J226" s="33"/>
      <c r="K226" s="33"/>
      <c r="L226" s="33"/>
      <c r="M226" s="34"/>
    </row>
    <row r="227" spans="1:13">
      <c r="A227" s="43">
        <v>8497</v>
      </c>
      <c r="B227" s="32" t="s">
        <v>778</v>
      </c>
      <c r="C227" s="32" t="s">
        <v>541</v>
      </c>
      <c r="D227" s="32" t="s">
        <v>482</v>
      </c>
      <c r="E227" s="33"/>
      <c r="F227" s="33"/>
      <c r="G227" s="33"/>
      <c r="H227" s="33"/>
      <c r="I227" s="33"/>
      <c r="J227" s="33"/>
      <c r="K227" s="33"/>
      <c r="L227" s="33"/>
      <c r="M227" s="34"/>
    </row>
    <row r="228" spans="1:13">
      <c r="A228" s="43">
        <v>8498</v>
      </c>
      <c r="B228" s="32" t="s">
        <v>779</v>
      </c>
      <c r="C228" s="32" t="s">
        <v>554</v>
      </c>
      <c r="D228" s="32" t="s">
        <v>482</v>
      </c>
      <c r="E228" s="33"/>
      <c r="F228" s="33"/>
      <c r="G228" s="33"/>
      <c r="H228" s="33"/>
      <c r="I228" s="33"/>
      <c r="J228" s="33"/>
      <c r="K228" s="33"/>
      <c r="L228" s="33"/>
      <c r="M228" s="34"/>
    </row>
    <row r="229" spans="1:13">
      <c r="A229" s="43">
        <v>8502</v>
      </c>
      <c r="B229" s="32" t="s">
        <v>780</v>
      </c>
      <c r="C229" s="32" t="s">
        <v>781</v>
      </c>
      <c r="D229" s="32" t="s">
        <v>482</v>
      </c>
      <c r="E229" s="33"/>
      <c r="F229" s="33"/>
      <c r="G229" s="33"/>
      <c r="H229" s="33"/>
      <c r="I229" s="33"/>
      <c r="J229" s="33"/>
      <c r="K229" s="33"/>
      <c r="L229" s="33"/>
      <c r="M229" s="34"/>
    </row>
    <row r="230" spans="1:13">
      <c r="A230" s="43">
        <v>8513</v>
      </c>
      <c r="B230" s="32" t="s">
        <v>782</v>
      </c>
      <c r="C230" s="35"/>
      <c r="D230" s="32" t="s">
        <v>484</v>
      </c>
      <c r="E230" s="33"/>
      <c r="F230" s="33"/>
      <c r="G230" s="33"/>
      <c r="H230" s="33"/>
      <c r="I230" s="33"/>
      <c r="J230" s="33"/>
      <c r="K230" s="33"/>
      <c r="L230" s="33"/>
      <c r="M230" s="34"/>
    </row>
    <row r="231" spans="1:13">
      <c r="A231" s="43">
        <v>8525</v>
      </c>
      <c r="B231" s="32" t="s">
        <v>783</v>
      </c>
      <c r="C231" s="35"/>
      <c r="D231" s="32" t="s">
        <v>482</v>
      </c>
      <c r="E231" s="33"/>
      <c r="F231" s="33"/>
      <c r="G231" s="33"/>
      <c r="H231" s="33"/>
      <c r="I231" s="33"/>
      <c r="J231" s="33"/>
      <c r="K231" s="33"/>
      <c r="L231" s="33"/>
      <c r="M231" s="34"/>
    </row>
    <row r="232" spans="1:13">
      <c r="A232" s="43">
        <v>8526</v>
      </c>
      <c r="B232" s="32" t="s">
        <v>784</v>
      </c>
      <c r="C232" s="32" t="s">
        <v>589</v>
      </c>
      <c r="D232" s="32" t="s">
        <v>482</v>
      </c>
      <c r="E232" s="33"/>
      <c r="F232" s="33"/>
      <c r="G232" s="33"/>
      <c r="H232" s="33"/>
      <c r="I232" s="33"/>
      <c r="J232" s="33"/>
      <c r="K232" s="33"/>
      <c r="L232" s="33"/>
      <c r="M232" s="34"/>
    </row>
    <row r="233" spans="1:13">
      <c r="A233" s="43">
        <v>8531</v>
      </c>
      <c r="B233" s="32" t="s">
        <v>785</v>
      </c>
      <c r="C233" s="32" t="s">
        <v>532</v>
      </c>
      <c r="D233" s="32" t="s">
        <v>482</v>
      </c>
      <c r="E233" s="33"/>
      <c r="F233" s="33"/>
      <c r="G233" s="33"/>
      <c r="H233" s="33"/>
      <c r="I233" s="33"/>
      <c r="J233" s="33"/>
      <c r="K233" s="33"/>
      <c r="L233" s="33"/>
      <c r="M233" s="34"/>
    </row>
    <row r="234" spans="1:13">
      <c r="A234" s="43">
        <v>8534</v>
      </c>
      <c r="B234" s="32" t="s">
        <v>786</v>
      </c>
      <c r="C234" s="32" t="s">
        <v>536</v>
      </c>
      <c r="D234" s="32" t="s">
        <v>484</v>
      </c>
      <c r="E234" s="33"/>
      <c r="F234" s="33"/>
      <c r="G234" s="33"/>
      <c r="H234" s="33"/>
      <c r="I234" s="33"/>
      <c r="J234" s="33"/>
      <c r="K234" s="33"/>
      <c r="L234" s="33"/>
      <c r="M234" s="34"/>
    </row>
    <row r="235" spans="1:13">
      <c r="A235" s="43">
        <v>8536</v>
      </c>
      <c r="B235" s="32" t="s">
        <v>787</v>
      </c>
      <c r="C235" s="32" t="s">
        <v>532</v>
      </c>
      <c r="D235" s="32" t="s">
        <v>482</v>
      </c>
      <c r="E235" s="33"/>
      <c r="F235" s="33"/>
      <c r="G235" s="33"/>
      <c r="H235" s="33"/>
      <c r="I235" s="33"/>
      <c r="J235" s="33"/>
      <c r="K235" s="33"/>
      <c r="L235" s="33"/>
      <c r="M235" s="34"/>
    </row>
    <row r="236" spans="1:13">
      <c r="A236" s="43">
        <v>8537</v>
      </c>
      <c r="B236" s="32" t="s">
        <v>788</v>
      </c>
      <c r="C236" s="32" t="s">
        <v>536</v>
      </c>
      <c r="D236" s="32" t="s">
        <v>482</v>
      </c>
      <c r="E236" s="33"/>
      <c r="F236" s="33"/>
      <c r="G236" s="33"/>
      <c r="H236" s="33"/>
      <c r="I236" s="33"/>
      <c r="J236" s="33"/>
      <c r="K236" s="33"/>
      <c r="L236" s="33"/>
      <c r="M236" s="34"/>
    </row>
    <row r="237" spans="1:13">
      <c r="A237" s="43">
        <v>8540</v>
      </c>
      <c r="B237" s="32" t="s">
        <v>789</v>
      </c>
      <c r="C237" s="32" t="s">
        <v>536</v>
      </c>
      <c r="D237" s="32" t="s">
        <v>484</v>
      </c>
      <c r="E237" s="33"/>
      <c r="F237" s="33"/>
      <c r="G237" s="33"/>
      <c r="H237" s="33"/>
      <c r="I237" s="33"/>
      <c r="J237" s="33"/>
      <c r="K237" s="33"/>
      <c r="L237" s="33"/>
      <c r="M237" s="34"/>
    </row>
    <row r="238" spans="1:13">
      <c r="A238" s="43">
        <v>8541</v>
      </c>
      <c r="B238" s="32" t="s">
        <v>790</v>
      </c>
      <c r="C238" s="32" t="s">
        <v>536</v>
      </c>
      <c r="D238" s="32" t="s">
        <v>484</v>
      </c>
      <c r="E238" s="33"/>
      <c r="F238" s="33"/>
      <c r="G238" s="33"/>
      <c r="H238" s="33"/>
      <c r="I238" s="33"/>
      <c r="J238" s="33"/>
      <c r="K238" s="33"/>
      <c r="L238" s="33"/>
      <c r="M238" s="34"/>
    </row>
    <row r="239" spans="1:13">
      <c r="A239" s="43">
        <v>8542</v>
      </c>
      <c r="B239" s="32" t="s">
        <v>791</v>
      </c>
      <c r="C239" s="32" t="s">
        <v>536</v>
      </c>
      <c r="D239" s="32" t="s">
        <v>484</v>
      </c>
      <c r="E239" s="33"/>
      <c r="F239" s="33"/>
      <c r="G239" s="33"/>
      <c r="H239" s="33"/>
      <c r="I239" s="33"/>
      <c r="J239" s="33"/>
      <c r="K239" s="33"/>
      <c r="L239" s="33"/>
      <c r="M239" s="34"/>
    </row>
    <row r="240" spans="1:13">
      <c r="A240" s="43">
        <v>8544</v>
      </c>
      <c r="B240" s="32" t="s">
        <v>792</v>
      </c>
      <c r="C240" s="32" t="s">
        <v>536</v>
      </c>
      <c r="D240" s="32" t="s">
        <v>482</v>
      </c>
      <c r="E240" s="33"/>
      <c r="F240" s="33"/>
      <c r="G240" s="33"/>
      <c r="H240" s="33"/>
      <c r="I240" s="33"/>
      <c r="J240" s="33"/>
      <c r="K240" s="33"/>
      <c r="L240" s="33"/>
      <c r="M240" s="34"/>
    </row>
    <row r="241" spans="1:13">
      <c r="A241" s="43">
        <v>8545</v>
      </c>
      <c r="B241" s="32" t="s">
        <v>793</v>
      </c>
      <c r="C241" s="32" t="s">
        <v>536</v>
      </c>
      <c r="D241" s="32" t="s">
        <v>484</v>
      </c>
      <c r="E241" s="33"/>
      <c r="F241" s="33"/>
      <c r="G241" s="33"/>
      <c r="H241" s="33"/>
      <c r="I241" s="33"/>
      <c r="J241" s="33"/>
      <c r="K241" s="33"/>
      <c r="L241" s="33"/>
      <c r="M241" s="34"/>
    </row>
    <row r="242" spans="1:13">
      <c r="A242" s="43">
        <v>8551</v>
      </c>
      <c r="B242" s="32" t="s">
        <v>794</v>
      </c>
      <c r="C242" s="32" t="s">
        <v>781</v>
      </c>
      <c r="D242" s="32" t="s">
        <v>484</v>
      </c>
      <c r="E242" s="33"/>
      <c r="F242" s="33"/>
      <c r="G242" s="33"/>
      <c r="H242" s="33"/>
      <c r="I242" s="33"/>
      <c r="J242" s="33"/>
      <c r="K242" s="33"/>
      <c r="L242" s="33"/>
      <c r="M242" s="34"/>
    </row>
    <row r="243" spans="1:13">
      <c r="A243" s="43">
        <v>8556</v>
      </c>
      <c r="B243" s="32" t="s">
        <v>795</v>
      </c>
      <c r="C243" s="32" t="s">
        <v>530</v>
      </c>
      <c r="D243" s="32" t="s">
        <v>482</v>
      </c>
      <c r="E243" s="33"/>
      <c r="F243" s="33"/>
      <c r="G243" s="33"/>
      <c r="H243" s="33"/>
      <c r="I243" s="33"/>
      <c r="J243" s="33"/>
      <c r="K243" s="33"/>
      <c r="L243" s="33"/>
      <c r="M243" s="34"/>
    </row>
    <row r="244" spans="1:13">
      <c r="A244" s="43">
        <v>8562</v>
      </c>
      <c r="B244" s="32" t="s">
        <v>796</v>
      </c>
      <c r="C244" s="32" t="s">
        <v>556</v>
      </c>
      <c r="D244" s="32" t="s">
        <v>484</v>
      </c>
      <c r="E244" s="33"/>
      <c r="F244" s="33"/>
      <c r="G244" s="33"/>
      <c r="H244" s="33"/>
      <c r="I244" s="33"/>
      <c r="J244" s="33"/>
      <c r="K244" s="33"/>
      <c r="L244" s="33"/>
      <c r="M244" s="34"/>
    </row>
    <row r="245" spans="1:13">
      <c r="A245" s="43">
        <v>8568</v>
      </c>
      <c r="B245" s="32" t="s">
        <v>797</v>
      </c>
      <c r="C245" s="32" t="s">
        <v>534</v>
      </c>
      <c r="D245" s="32" t="s">
        <v>484</v>
      </c>
      <c r="E245" s="33"/>
      <c r="F245" s="33"/>
      <c r="G245" s="33"/>
      <c r="H245" s="33"/>
      <c r="I245" s="33"/>
      <c r="J245" s="33"/>
      <c r="K245" s="33"/>
      <c r="L245" s="33"/>
      <c r="M245" s="34"/>
    </row>
    <row r="246" spans="1:13">
      <c r="A246" s="43">
        <v>8571</v>
      </c>
      <c r="B246" s="32" t="s">
        <v>798</v>
      </c>
      <c r="C246" s="32" t="s">
        <v>554</v>
      </c>
      <c r="D246" s="32" t="s">
        <v>484</v>
      </c>
      <c r="E246" s="33"/>
      <c r="F246" s="33"/>
      <c r="G246" s="33"/>
      <c r="H246" s="33"/>
      <c r="I246" s="33"/>
      <c r="J246" s="33"/>
      <c r="K246" s="33"/>
      <c r="L246" s="33"/>
      <c r="M246" s="34"/>
    </row>
    <row r="247" spans="1:13">
      <c r="A247" s="43">
        <v>8573</v>
      </c>
      <c r="B247" s="32" t="s">
        <v>799</v>
      </c>
      <c r="C247" s="32" t="s">
        <v>554</v>
      </c>
      <c r="D247" s="32" t="s">
        <v>484</v>
      </c>
      <c r="E247" s="33"/>
      <c r="F247" s="33"/>
      <c r="G247" s="33"/>
      <c r="H247" s="33"/>
      <c r="I247" s="33"/>
      <c r="J247" s="33"/>
      <c r="K247" s="33"/>
      <c r="L247" s="33"/>
      <c r="M247" s="34"/>
    </row>
    <row r="248" spans="1:13">
      <c r="A248" s="43">
        <v>8576</v>
      </c>
      <c r="B248" s="32" t="s">
        <v>800</v>
      </c>
      <c r="C248" s="32" t="s">
        <v>577</v>
      </c>
      <c r="D248" s="32" t="s">
        <v>482</v>
      </c>
      <c r="E248" s="33"/>
      <c r="F248" s="33"/>
      <c r="G248" s="33"/>
      <c r="H248" s="33"/>
      <c r="I248" s="33"/>
      <c r="J248" s="33"/>
      <c r="K248" s="33"/>
      <c r="L248" s="33"/>
      <c r="M248" s="34"/>
    </row>
    <row r="249" spans="1:13">
      <c r="A249" s="43">
        <v>8577</v>
      </c>
      <c r="B249" s="32" t="s">
        <v>801</v>
      </c>
      <c r="C249" s="32" t="s">
        <v>570</v>
      </c>
      <c r="D249" s="32" t="s">
        <v>484</v>
      </c>
      <c r="E249" s="33"/>
      <c r="F249" s="33"/>
      <c r="G249" s="33"/>
      <c r="H249" s="33"/>
      <c r="I249" s="33"/>
      <c r="J249" s="33"/>
      <c r="K249" s="33"/>
      <c r="L249" s="33"/>
      <c r="M249" s="34"/>
    </row>
    <row r="250" spans="1:13">
      <c r="A250" s="43">
        <v>8578</v>
      </c>
      <c r="B250" s="32" t="s">
        <v>802</v>
      </c>
      <c r="C250" s="32" t="s">
        <v>554</v>
      </c>
      <c r="D250" s="32" t="s">
        <v>484</v>
      </c>
      <c r="E250" s="33"/>
      <c r="F250" s="33"/>
      <c r="G250" s="33"/>
      <c r="H250" s="33"/>
      <c r="I250" s="33"/>
      <c r="J250" s="33"/>
      <c r="K250" s="33"/>
      <c r="L250" s="33"/>
      <c r="M250" s="34"/>
    </row>
    <row r="251" spans="1:13">
      <c r="A251" s="43">
        <v>8581</v>
      </c>
      <c r="B251" s="32" t="s">
        <v>803</v>
      </c>
      <c r="C251" s="32" t="s">
        <v>654</v>
      </c>
      <c r="D251" s="32" t="s">
        <v>484</v>
      </c>
      <c r="E251" s="33"/>
      <c r="F251" s="33"/>
      <c r="G251" s="33"/>
      <c r="H251" s="33"/>
      <c r="I251" s="33"/>
      <c r="J251" s="33"/>
      <c r="K251" s="33"/>
      <c r="L251" s="33"/>
      <c r="M251" s="34"/>
    </row>
    <row r="252" spans="1:13">
      <c r="A252" s="43">
        <v>8582</v>
      </c>
      <c r="B252" s="32" t="s">
        <v>804</v>
      </c>
      <c r="C252" s="32" t="s">
        <v>654</v>
      </c>
      <c r="D252" s="32" t="s">
        <v>482</v>
      </c>
      <c r="E252" s="33"/>
      <c r="F252" s="33"/>
      <c r="G252" s="33"/>
      <c r="H252" s="33"/>
      <c r="I252" s="33"/>
      <c r="J252" s="33"/>
      <c r="K252" s="33"/>
      <c r="L252" s="33"/>
      <c r="M252" s="34"/>
    </row>
    <row r="253" spans="1:13">
      <c r="A253" s="43">
        <v>8583</v>
      </c>
      <c r="B253" s="32" t="s">
        <v>805</v>
      </c>
      <c r="C253" s="32" t="s">
        <v>577</v>
      </c>
      <c r="D253" s="32" t="s">
        <v>484</v>
      </c>
      <c r="E253" s="33"/>
      <c r="F253" s="33"/>
      <c r="G253" s="33"/>
      <c r="H253" s="33"/>
      <c r="I253" s="33"/>
      <c r="J253" s="33"/>
      <c r="K253" s="33"/>
      <c r="L253" s="33"/>
      <c r="M253" s="34"/>
    </row>
    <row r="254" spans="1:13">
      <c r="A254" s="43">
        <v>8585</v>
      </c>
      <c r="B254" s="32" t="s">
        <v>806</v>
      </c>
      <c r="C254" s="32" t="s">
        <v>554</v>
      </c>
      <c r="D254" s="32" t="s">
        <v>484</v>
      </c>
      <c r="E254" s="33"/>
      <c r="F254" s="33"/>
      <c r="G254" s="33"/>
      <c r="H254" s="33"/>
      <c r="I254" s="33"/>
      <c r="J254" s="33"/>
      <c r="K254" s="33"/>
      <c r="L254" s="33"/>
      <c r="M254" s="34"/>
    </row>
    <row r="255" spans="1:13">
      <c r="A255" s="43">
        <v>8587</v>
      </c>
      <c r="B255" s="32" t="s">
        <v>807</v>
      </c>
      <c r="C255" s="32" t="s">
        <v>541</v>
      </c>
      <c r="D255" s="32" t="s">
        <v>484</v>
      </c>
      <c r="E255" s="33"/>
      <c r="F255" s="33"/>
      <c r="G255" s="33"/>
      <c r="H255" s="33"/>
      <c r="I255" s="33"/>
      <c r="J255" s="33"/>
      <c r="K255" s="33"/>
      <c r="L255" s="33"/>
      <c r="M255" s="34"/>
    </row>
    <row r="256" spans="1:13">
      <c r="A256" s="43">
        <v>8588</v>
      </c>
      <c r="B256" s="32" t="s">
        <v>808</v>
      </c>
      <c r="C256" s="32" t="s">
        <v>536</v>
      </c>
      <c r="D256" s="32" t="s">
        <v>484</v>
      </c>
      <c r="E256" s="33"/>
      <c r="F256" s="33"/>
      <c r="G256" s="33"/>
      <c r="H256" s="33"/>
      <c r="I256" s="33"/>
      <c r="J256" s="33"/>
      <c r="K256" s="33"/>
      <c r="L256" s="33"/>
      <c r="M256" s="34"/>
    </row>
    <row r="257" spans="1:13">
      <c r="A257" s="43">
        <v>8589</v>
      </c>
      <c r="B257" s="32" t="s">
        <v>809</v>
      </c>
      <c r="C257" s="35"/>
      <c r="D257" s="32" t="s">
        <v>484</v>
      </c>
      <c r="E257" s="33"/>
      <c r="F257" s="33"/>
      <c r="G257" s="33"/>
      <c r="H257" s="33"/>
      <c r="I257" s="33"/>
      <c r="J257" s="33"/>
      <c r="K257" s="33"/>
      <c r="L257" s="33"/>
      <c r="M257" s="34"/>
    </row>
    <row r="258" spans="1:13">
      <c r="A258" s="43">
        <v>8591</v>
      </c>
      <c r="B258" s="32" t="s">
        <v>810</v>
      </c>
      <c r="C258" s="32" t="s">
        <v>541</v>
      </c>
      <c r="D258" s="32" t="s">
        <v>484</v>
      </c>
      <c r="E258" s="33"/>
      <c r="F258" s="33"/>
      <c r="G258" s="33"/>
      <c r="H258" s="33"/>
      <c r="I258" s="33"/>
      <c r="J258" s="33"/>
      <c r="K258" s="33"/>
      <c r="L258" s="33"/>
      <c r="M258" s="34"/>
    </row>
    <row r="259" spans="1:13">
      <c r="A259" s="43">
        <v>8594</v>
      </c>
      <c r="B259" s="32" t="s">
        <v>811</v>
      </c>
      <c r="C259" s="32" t="s">
        <v>554</v>
      </c>
      <c r="D259" s="32" t="s">
        <v>484</v>
      </c>
      <c r="E259" s="33"/>
      <c r="F259" s="33"/>
      <c r="G259" s="33"/>
      <c r="H259" s="33"/>
      <c r="I259" s="33"/>
      <c r="J259" s="33"/>
      <c r="K259" s="33"/>
      <c r="L259" s="33"/>
      <c r="M259" s="34"/>
    </row>
    <row r="260" spans="1:13">
      <c r="A260" s="43">
        <v>8597</v>
      </c>
      <c r="B260" s="32" t="s">
        <v>812</v>
      </c>
      <c r="C260" s="32" t="s">
        <v>536</v>
      </c>
      <c r="D260" s="32" t="s">
        <v>482</v>
      </c>
      <c r="E260" s="33"/>
      <c r="F260" s="33"/>
      <c r="G260" s="33"/>
      <c r="H260" s="33"/>
      <c r="I260" s="33"/>
      <c r="J260" s="33"/>
      <c r="K260" s="33"/>
      <c r="L260" s="33"/>
      <c r="M260" s="34"/>
    </row>
    <row r="261" spans="1:13">
      <c r="A261" s="43">
        <v>8601</v>
      </c>
      <c r="B261" s="32" t="s">
        <v>813</v>
      </c>
      <c r="C261" s="32" t="s">
        <v>534</v>
      </c>
      <c r="D261" s="32" t="s">
        <v>484</v>
      </c>
      <c r="E261" s="33"/>
      <c r="F261" s="33"/>
      <c r="G261" s="33"/>
      <c r="H261" s="33"/>
      <c r="I261" s="33"/>
      <c r="J261" s="33"/>
      <c r="K261" s="33"/>
      <c r="L261" s="33"/>
      <c r="M261" s="34"/>
    </row>
    <row r="262" spans="1:13">
      <c r="A262" s="43">
        <v>8602</v>
      </c>
      <c r="B262" s="32" t="s">
        <v>814</v>
      </c>
      <c r="C262" s="32" t="s">
        <v>534</v>
      </c>
      <c r="D262" s="32" t="s">
        <v>484</v>
      </c>
      <c r="E262" s="33"/>
      <c r="F262" s="33"/>
      <c r="G262" s="33"/>
      <c r="H262" s="33"/>
      <c r="I262" s="33"/>
      <c r="J262" s="33"/>
      <c r="K262" s="33"/>
      <c r="L262" s="33"/>
      <c r="M262" s="34"/>
    </row>
    <row r="263" spans="1:13">
      <c r="A263" s="43">
        <v>8605</v>
      </c>
      <c r="B263" s="32" t="s">
        <v>815</v>
      </c>
      <c r="C263" s="32" t="s">
        <v>530</v>
      </c>
      <c r="D263" s="32" t="s">
        <v>482</v>
      </c>
      <c r="E263" s="33"/>
      <c r="F263" s="33"/>
      <c r="G263" s="33"/>
      <c r="H263" s="33"/>
      <c r="I263" s="33"/>
      <c r="J263" s="33"/>
      <c r="K263" s="33"/>
      <c r="L263" s="33"/>
      <c r="M263" s="34"/>
    </row>
    <row r="264" spans="1:13">
      <c r="A264" s="43">
        <v>8610</v>
      </c>
      <c r="B264" s="32" t="s">
        <v>816</v>
      </c>
      <c r="C264" s="32" t="s">
        <v>541</v>
      </c>
      <c r="D264" s="32" t="s">
        <v>484</v>
      </c>
      <c r="E264" s="33"/>
      <c r="F264" s="33"/>
      <c r="G264" s="33"/>
      <c r="H264" s="33"/>
      <c r="I264" s="33"/>
      <c r="J264" s="33"/>
      <c r="K264" s="33"/>
      <c r="L264" s="33"/>
      <c r="M264" s="34"/>
    </row>
    <row r="265" spans="1:13">
      <c r="A265" s="44">
        <v>8616</v>
      </c>
      <c r="B265" s="36" t="s">
        <v>817</v>
      </c>
      <c r="C265" s="32" t="s">
        <v>577</v>
      </c>
      <c r="D265" s="32" t="s">
        <v>484</v>
      </c>
      <c r="E265" s="33"/>
      <c r="F265" s="33"/>
      <c r="G265" s="33"/>
      <c r="H265" s="33"/>
      <c r="I265" s="33"/>
      <c r="J265" s="33"/>
      <c r="K265" s="33"/>
      <c r="L265" s="33"/>
      <c r="M265" s="34"/>
    </row>
    <row r="266" spans="1:13">
      <c r="A266" s="44">
        <v>8618</v>
      </c>
      <c r="B266" s="36" t="s">
        <v>818</v>
      </c>
      <c r="C266" s="32" t="s">
        <v>554</v>
      </c>
      <c r="D266" s="32" t="s">
        <v>484</v>
      </c>
      <c r="E266" s="33"/>
      <c r="F266" s="33"/>
      <c r="G266" s="33"/>
      <c r="H266" s="33"/>
      <c r="I266" s="33"/>
      <c r="J266" s="33"/>
      <c r="K266" s="33"/>
      <c r="L266" s="33"/>
      <c r="M266" s="34"/>
    </row>
    <row r="267" spans="1:13">
      <c r="A267" s="44">
        <v>8622</v>
      </c>
      <c r="B267" s="36" t="s">
        <v>819</v>
      </c>
      <c r="C267" s="32" t="s">
        <v>541</v>
      </c>
      <c r="D267" s="32" t="s">
        <v>482</v>
      </c>
      <c r="E267" s="33"/>
      <c r="F267" s="33"/>
      <c r="G267" s="33"/>
      <c r="H267" s="33"/>
      <c r="I267" s="33"/>
      <c r="J267" s="33"/>
      <c r="K267" s="33"/>
      <c r="L267" s="33"/>
      <c r="M267" s="34"/>
    </row>
    <row r="268" spans="1:13">
      <c r="A268" s="44">
        <v>8623</v>
      </c>
      <c r="B268" s="36" t="s">
        <v>820</v>
      </c>
      <c r="C268" s="32" t="s">
        <v>541</v>
      </c>
      <c r="D268" s="32" t="s">
        <v>484</v>
      </c>
      <c r="E268" s="33"/>
      <c r="F268" s="33"/>
      <c r="G268" s="33"/>
      <c r="H268" s="33"/>
      <c r="I268" s="33"/>
      <c r="J268" s="33"/>
      <c r="K268" s="33"/>
      <c r="L268" s="33"/>
      <c r="M268" s="34"/>
    </row>
    <row r="269" spans="1:13">
      <c r="A269" s="43">
        <v>8628</v>
      </c>
      <c r="B269" s="32" t="s">
        <v>821</v>
      </c>
      <c r="C269" s="32" t="s">
        <v>554</v>
      </c>
      <c r="D269" s="32" t="s">
        <v>484</v>
      </c>
      <c r="E269" s="33"/>
      <c r="F269" s="33"/>
      <c r="G269" s="33"/>
      <c r="H269" s="33"/>
      <c r="I269" s="33"/>
      <c r="J269" s="33"/>
      <c r="K269" s="33"/>
      <c r="L269" s="33"/>
      <c r="M269" s="34"/>
    </row>
    <row r="270" spans="1:13">
      <c r="A270" s="43">
        <v>8630</v>
      </c>
      <c r="B270" s="32" t="s">
        <v>822</v>
      </c>
      <c r="C270" s="32" t="s">
        <v>534</v>
      </c>
      <c r="D270" s="32" t="s">
        <v>484</v>
      </c>
      <c r="E270" s="33"/>
      <c r="F270" s="33"/>
      <c r="G270" s="33"/>
      <c r="H270" s="33"/>
      <c r="I270" s="33"/>
      <c r="J270" s="33"/>
      <c r="K270" s="33"/>
      <c r="L270" s="33"/>
      <c r="M270" s="34"/>
    </row>
    <row r="271" spans="1:13">
      <c r="A271" s="43">
        <v>8632</v>
      </c>
      <c r="B271" s="32" t="s">
        <v>823</v>
      </c>
      <c r="C271" s="32" t="s">
        <v>554</v>
      </c>
      <c r="D271" s="32" t="s">
        <v>482</v>
      </c>
      <c r="E271" s="33"/>
      <c r="F271" s="33"/>
      <c r="G271" s="33"/>
      <c r="H271" s="33"/>
      <c r="I271" s="33"/>
      <c r="J271" s="33"/>
      <c r="K271" s="33"/>
      <c r="L271" s="33"/>
      <c r="M271" s="34"/>
    </row>
    <row r="272" spans="1:13">
      <c r="A272" s="43">
        <v>8639</v>
      </c>
      <c r="B272" s="32" t="s">
        <v>824</v>
      </c>
      <c r="C272" s="32" t="s">
        <v>577</v>
      </c>
      <c r="D272" s="32" t="s">
        <v>484</v>
      </c>
      <c r="E272" s="33"/>
      <c r="F272" s="33"/>
      <c r="G272" s="33"/>
      <c r="H272" s="33"/>
      <c r="I272" s="33"/>
      <c r="J272" s="33"/>
      <c r="K272" s="33"/>
      <c r="L272" s="33"/>
      <c r="M272" s="34"/>
    </row>
    <row r="273" spans="1:13">
      <c r="A273" s="43">
        <v>8640</v>
      </c>
      <c r="B273" s="32" t="s">
        <v>825</v>
      </c>
      <c r="C273" s="32" t="s">
        <v>552</v>
      </c>
      <c r="D273" s="32" t="s">
        <v>484</v>
      </c>
      <c r="E273" s="33"/>
      <c r="F273" s="33"/>
      <c r="G273" s="33"/>
      <c r="H273" s="33"/>
      <c r="I273" s="33"/>
      <c r="J273" s="33"/>
      <c r="K273" s="33"/>
      <c r="L273" s="33"/>
      <c r="M273" s="34"/>
    </row>
    <row r="274" spans="1:13">
      <c r="A274" s="43">
        <v>8643</v>
      </c>
      <c r="B274" s="32" t="s">
        <v>826</v>
      </c>
      <c r="C274" s="32" t="s">
        <v>534</v>
      </c>
      <c r="D274" s="32" t="s">
        <v>482</v>
      </c>
      <c r="E274" s="33"/>
      <c r="F274" s="33"/>
      <c r="G274" s="33"/>
      <c r="H274" s="33"/>
      <c r="I274" s="33"/>
      <c r="J274" s="33"/>
      <c r="K274" s="33"/>
      <c r="L274" s="33"/>
      <c r="M274" s="34"/>
    </row>
    <row r="275" spans="1:13">
      <c r="A275" s="43">
        <v>8644</v>
      </c>
      <c r="B275" s="32" t="s">
        <v>827</v>
      </c>
      <c r="C275" s="32" t="s">
        <v>552</v>
      </c>
      <c r="D275" s="32" t="s">
        <v>484</v>
      </c>
      <c r="E275" s="33"/>
      <c r="F275" s="33"/>
      <c r="G275" s="33"/>
      <c r="H275" s="33"/>
      <c r="I275" s="33"/>
      <c r="J275" s="33"/>
      <c r="K275" s="33"/>
      <c r="L275" s="33"/>
      <c r="M275" s="34"/>
    </row>
    <row r="276" spans="1:13">
      <c r="A276" s="43">
        <v>8647</v>
      </c>
      <c r="B276" s="32" t="s">
        <v>828</v>
      </c>
      <c r="C276" s="32" t="s">
        <v>829</v>
      </c>
      <c r="D276" s="32" t="s">
        <v>482</v>
      </c>
      <c r="E276" s="33"/>
      <c r="F276" s="33"/>
      <c r="G276" s="33"/>
      <c r="H276" s="33"/>
      <c r="I276" s="33"/>
      <c r="J276" s="33"/>
      <c r="K276" s="33"/>
      <c r="L276" s="33"/>
      <c r="M276" s="34"/>
    </row>
    <row r="277" spans="1:13">
      <c r="A277" s="43">
        <v>8648</v>
      </c>
      <c r="B277" s="32" t="s">
        <v>830</v>
      </c>
      <c r="C277" s="35"/>
      <c r="D277" s="32" t="s">
        <v>484</v>
      </c>
      <c r="E277" s="33"/>
      <c r="F277" s="33"/>
      <c r="G277" s="33"/>
      <c r="H277" s="33"/>
      <c r="I277" s="33"/>
      <c r="J277" s="33"/>
      <c r="K277" s="33"/>
      <c r="L277" s="33"/>
      <c r="M277" s="34"/>
    </row>
    <row r="278" spans="1:13">
      <c r="A278" s="43">
        <v>8651</v>
      </c>
      <c r="B278" s="32" t="s">
        <v>831</v>
      </c>
      <c r="C278" s="32" t="s">
        <v>538</v>
      </c>
      <c r="D278" s="32" t="s">
        <v>482</v>
      </c>
      <c r="E278" s="33"/>
      <c r="F278" s="33"/>
      <c r="G278" s="33"/>
      <c r="H278" s="33"/>
      <c r="I278" s="33"/>
      <c r="J278" s="33"/>
      <c r="K278" s="33"/>
      <c r="L278" s="33"/>
      <c r="M278" s="34"/>
    </row>
    <row r="279" spans="1:13">
      <c r="A279" s="43">
        <v>8652</v>
      </c>
      <c r="B279" s="32" t="s">
        <v>832</v>
      </c>
      <c r="C279" s="32" t="s">
        <v>541</v>
      </c>
      <c r="D279" s="32" t="s">
        <v>484</v>
      </c>
      <c r="E279" s="33"/>
      <c r="F279" s="33"/>
      <c r="G279" s="33"/>
      <c r="H279" s="33"/>
      <c r="I279" s="33"/>
      <c r="J279" s="33"/>
      <c r="K279" s="33"/>
      <c r="L279" s="33"/>
      <c r="M279" s="34"/>
    </row>
    <row r="280" spans="1:13">
      <c r="A280" s="43">
        <v>8656</v>
      </c>
      <c r="B280" s="32" t="s">
        <v>833</v>
      </c>
      <c r="C280" s="32" t="s">
        <v>746</v>
      </c>
      <c r="D280" s="32" t="s">
        <v>482</v>
      </c>
      <c r="E280" s="33"/>
      <c r="F280" s="33"/>
      <c r="G280" s="33"/>
      <c r="H280" s="33"/>
      <c r="I280" s="33"/>
      <c r="J280" s="33"/>
      <c r="K280" s="33"/>
      <c r="L280" s="33"/>
      <c r="M280" s="34"/>
    </row>
    <row r="281" spans="1:13">
      <c r="A281" s="43">
        <v>8661</v>
      </c>
      <c r="B281" s="32" t="s">
        <v>834</v>
      </c>
      <c r="C281" s="32" t="s">
        <v>534</v>
      </c>
      <c r="D281" s="32" t="s">
        <v>482</v>
      </c>
      <c r="E281" s="33"/>
      <c r="F281" s="33"/>
      <c r="G281" s="33"/>
      <c r="H281" s="33"/>
      <c r="I281" s="33"/>
      <c r="J281" s="33"/>
      <c r="K281" s="33"/>
      <c r="L281" s="33"/>
      <c r="M281" s="34"/>
    </row>
    <row r="282" spans="1:13">
      <c r="A282" s="43">
        <v>8662</v>
      </c>
      <c r="B282" s="32" t="s">
        <v>835</v>
      </c>
      <c r="C282" s="32" t="s">
        <v>577</v>
      </c>
      <c r="D282" s="32" t="s">
        <v>482</v>
      </c>
      <c r="E282" s="33"/>
      <c r="F282" s="33"/>
      <c r="G282" s="33"/>
      <c r="H282" s="33"/>
      <c r="I282" s="33"/>
      <c r="J282" s="33"/>
      <c r="K282" s="33"/>
      <c r="L282" s="33"/>
      <c r="M282" s="34"/>
    </row>
    <row r="283" spans="1:13">
      <c r="A283" s="43">
        <v>8664</v>
      </c>
      <c r="B283" s="32" t="s">
        <v>836</v>
      </c>
      <c r="C283" s="32" t="s">
        <v>552</v>
      </c>
      <c r="D283" s="32" t="s">
        <v>482</v>
      </c>
      <c r="E283" s="33"/>
      <c r="F283" s="33"/>
      <c r="G283" s="33"/>
      <c r="H283" s="33"/>
      <c r="I283" s="33"/>
      <c r="J283" s="33"/>
      <c r="K283" s="33"/>
      <c r="L283" s="33"/>
      <c r="M283" s="34"/>
    </row>
    <row r="284" spans="1:13">
      <c r="A284" s="43">
        <v>8666</v>
      </c>
      <c r="B284" s="32" t="s">
        <v>837</v>
      </c>
      <c r="C284" s="32" t="s">
        <v>838</v>
      </c>
      <c r="D284" s="32" t="s">
        <v>482</v>
      </c>
      <c r="E284" s="33"/>
      <c r="F284" s="33"/>
      <c r="G284" s="33"/>
      <c r="H284" s="33"/>
      <c r="I284" s="33"/>
      <c r="J284" s="33"/>
      <c r="K284" s="33"/>
      <c r="L284" s="33"/>
      <c r="M284" s="34"/>
    </row>
    <row r="285" spans="1:13">
      <c r="A285" s="43">
        <v>8673</v>
      </c>
      <c r="B285" s="32" t="s">
        <v>839</v>
      </c>
      <c r="C285" s="32" t="s">
        <v>838</v>
      </c>
      <c r="D285" s="32" t="s">
        <v>482</v>
      </c>
      <c r="E285" s="33"/>
      <c r="F285" s="33"/>
      <c r="G285" s="33"/>
      <c r="H285" s="33"/>
      <c r="I285" s="33"/>
      <c r="J285" s="33"/>
      <c r="K285" s="33"/>
      <c r="L285" s="33"/>
      <c r="M285" s="34"/>
    </row>
    <row r="286" spans="1:13">
      <c r="A286" s="43">
        <v>8676</v>
      </c>
      <c r="B286" s="32" t="s">
        <v>840</v>
      </c>
      <c r="C286" s="32" t="s">
        <v>604</v>
      </c>
      <c r="D286" s="32" t="s">
        <v>482</v>
      </c>
      <c r="E286" s="33"/>
      <c r="F286" s="33"/>
      <c r="G286" s="33"/>
      <c r="H286" s="33"/>
      <c r="I286" s="33"/>
      <c r="J286" s="33"/>
      <c r="K286" s="33"/>
      <c r="L286" s="33"/>
      <c r="M286" s="34"/>
    </row>
    <row r="287" spans="1:13">
      <c r="A287" s="43">
        <v>8677</v>
      </c>
      <c r="B287" s="32" t="s">
        <v>841</v>
      </c>
      <c r="C287" s="32" t="s">
        <v>842</v>
      </c>
      <c r="D287" s="32" t="s">
        <v>482</v>
      </c>
      <c r="E287" s="33"/>
      <c r="F287" s="33"/>
      <c r="G287" s="33"/>
      <c r="H287" s="33"/>
      <c r="I287" s="33"/>
      <c r="J287" s="33"/>
      <c r="K287" s="33"/>
      <c r="L287" s="33"/>
      <c r="M287" s="34"/>
    </row>
    <row r="288" spans="1:13">
      <c r="A288" s="43">
        <v>8678</v>
      </c>
      <c r="B288" s="32" t="s">
        <v>843</v>
      </c>
      <c r="C288" s="35"/>
      <c r="D288" s="32" t="s">
        <v>484</v>
      </c>
      <c r="E288" s="33"/>
      <c r="F288" s="33"/>
      <c r="G288" s="33"/>
      <c r="H288" s="33"/>
      <c r="I288" s="33"/>
      <c r="J288" s="33"/>
      <c r="K288" s="33"/>
      <c r="L288" s="33"/>
      <c r="M288" s="34"/>
    </row>
    <row r="289" spans="1:13">
      <c r="A289" s="43">
        <v>8682</v>
      </c>
      <c r="B289" s="32" t="s">
        <v>844</v>
      </c>
      <c r="C289" s="32" t="s">
        <v>577</v>
      </c>
      <c r="D289" s="32" t="s">
        <v>482</v>
      </c>
      <c r="E289" s="33"/>
      <c r="F289" s="33"/>
      <c r="G289" s="33"/>
      <c r="H289" s="33"/>
      <c r="I289" s="33"/>
      <c r="J289" s="33"/>
      <c r="K289" s="33"/>
      <c r="L289" s="33"/>
      <c r="M289" s="34"/>
    </row>
    <row r="290" spans="1:13">
      <c r="A290" s="43">
        <v>8683</v>
      </c>
      <c r="B290" s="32" t="s">
        <v>845</v>
      </c>
      <c r="C290" s="32" t="s">
        <v>534</v>
      </c>
      <c r="D290" s="32" t="s">
        <v>482</v>
      </c>
      <c r="E290" s="33"/>
      <c r="F290" s="33"/>
      <c r="G290" s="33"/>
      <c r="H290" s="33"/>
      <c r="I290" s="33"/>
      <c r="J290" s="33"/>
      <c r="K290" s="33"/>
      <c r="L290" s="33"/>
      <c r="M290" s="34"/>
    </row>
    <row r="291" spans="1:13">
      <c r="A291" s="43">
        <v>8684</v>
      </c>
      <c r="B291" s="32" t="s">
        <v>846</v>
      </c>
      <c r="C291" s="32" t="s">
        <v>541</v>
      </c>
      <c r="D291" s="32" t="s">
        <v>484</v>
      </c>
      <c r="E291" s="33"/>
      <c r="F291" s="33"/>
      <c r="G291" s="33"/>
      <c r="H291" s="33"/>
      <c r="I291" s="33"/>
      <c r="J291" s="33"/>
      <c r="K291" s="33"/>
      <c r="L291" s="33"/>
      <c r="M291" s="34"/>
    </row>
    <row r="292" spans="1:13">
      <c r="A292" s="43">
        <v>8685</v>
      </c>
      <c r="B292" s="32" t="s">
        <v>847</v>
      </c>
      <c r="C292" s="32" t="s">
        <v>541</v>
      </c>
      <c r="D292" s="32" t="s">
        <v>482</v>
      </c>
      <c r="E292" s="33"/>
      <c r="F292" s="33"/>
      <c r="G292" s="33"/>
      <c r="H292" s="33"/>
      <c r="I292" s="33"/>
      <c r="J292" s="33"/>
      <c r="K292" s="33"/>
      <c r="L292" s="33"/>
      <c r="M292" s="34"/>
    </row>
    <row r="293" spans="1:13">
      <c r="A293" s="43">
        <v>8687</v>
      </c>
      <c r="B293" s="32" t="s">
        <v>848</v>
      </c>
      <c r="C293" s="32" t="s">
        <v>541</v>
      </c>
      <c r="D293" s="32" t="s">
        <v>484</v>
      </c>
      <c r="E293" s="33"/>
      <c r="F293" s="33"/>
      <c r="G293" s="33"/>
      <c r="H293" s="33"/>
      <c r="I293" s="33"/>
      <c r="J293" s="33"/>
      <c r="K293" s="33"/>
      <c r="L293" s="33"/>
      <c r="M293" s="34"/>
    </row>
    <row r="294" spans="1:13">
      <c r="A294" s="43">
        <v>8689</v>
      </c>
      <c r="B294" s="32" t="s">
        <v>849</v>
      </c>
      <c r="C294" s="32" t="s">
        <v>534</v>
      </c>
      <c r="D294" s="32" t="s">
        <v>484</v>
      </c>
      <c r="E294" s="33"/>
      <c r="F294" s="33"/>
      <c r="G294" s="33"/>
      <c r="H294" s="33"/>
      <c r="I294" s="33"/>
      <c r="J294" s="33"/>
      <c r="K294" s="33"/>
      <c r="L294" s="33"/>
      <c r="M294" s="34"/>
    </row>
    <row r="295" spans="1:13">
      <c r="A295" s="43">
        <v>8691</v>
      </c>
      <c r="B295" s="32" t="s">
        <v>850</v>
      </c>
      <c r="C295" s="32" t="s">
        <v>577</v>
      </c>
      <c r="D295" s="32" t="s">
        <v>484</v>
      </c>
      <c r="E295" s="33"/>
      <c r="F295" s="33"/>
      <c r="G295" s="33"/>
      <c r="H295" s="33"/>
      <c r="I295" s="33"/>
      <c r="J295" s="33"/>
      <c r="K295" s="33"/>
      <c r="L295" s="33"/>
      <c r="M295" s="34"/>
    </row>
    <row r="296" spans="1:13">
      <c r="A296" s="43">
        <v>8692</v>
      </c>
      <c r="B296" s="32" t="s">
        <v>851</v>
      </c>
      <c r="C296" s="32" t="s">
        <v>541</v>
      </c>
      <c r="D296" s="32" t="s">
        <v>482</v>
      </c>
      <c r="E296" s="33"/>
      <c r="F296" s="33"/>
      <c r="G296" s="33"/>
      <c r="H296" s="33"/>
      <c r="I296" s="33"/>
      <c r="J296" s="33"/>
      <c r="K296" s="33"/>
      <c r="L296" s="33"/>
      <c r="M296" s="34"/>
    </row>
    <row r="297" spans="1:13">
      <c r="A297" s="43">
        <v>8693</v>
      </c>
      <c r="B297" s="32" t="s">
        <v>852</v>
      </c>
      <c r="C297" s="32" t="s">
        <v>654</v>
      </c>
      <c r="D297" s="32" t="s">
        <v>484</v>
      </c>
      <c r="E297" s="33"/>
      <c r="F297" s="33"/>
      <c r="G297" s="33"/>
      <c r="H297" s="33"/>
      <c r="I297" s="33"/>
      <c r="J297" s="33"/>
      <c r="K297" s="33"/>
      <c r="L297" s="33"/>
      <c r="M297" s="34"/>
    </row>
    <row r="298" spans="1:13">
      <c r="A298" s="43">
        <v>8694</v>
      </c>
      <c r="B298" s="32" t="s">
        <v>853</v>
      </c>
      <c r="C298" s="32" t="s">
        <v>552</v>
      </c>
      <c r="D298" s="32" t="s">
        <v>484</v>
      </c>
      <c r="E298" s="33"/>
      <c r="F298" s="33"/>
      <c r="G298" s="33"/>
      <c r="H298" s="33"/>
      <c r="I298" s="33"/>
      <c r="J298" s="33"/>
      <c r="K298" s="33"/>
      <c r="L298" s="33"/>
      <c r="M298" s="34"/>
    </row>
    <row r="299" spans="1:13">
      <c r="A299" s="43">
        <v>8695</v>
      </c>
      <c r="B299" s="32" t="s">
        <v>854</v>
      </c>
      <c r="C299" s="32" t="s">
        <v>534</v>
      </c>
      <c r="D299" s="32" t="s">
        <v>482</v>
      </c>
      <c r="E299" s="33"/>
      <c r="F299" s="33"/>
      <c r="G299" s="33"/>
      <c r="H299" s="33"/>
      <c r="I299" s="33"/>
      <c r="J299" s="33"/>
      <c r="K299" s="33"/>
      <c r="L299" s="33"/>
      <c r="M299" s="34"/>
    </row>
    <row r="300" spans="1:13">
      <c r="A300" s="43">
        <v>8697</v>
      </c>
      <c r="B300" s="32" t="s">
        <v>855</v>
      </c>
      <c r="C300" s="32" t="s">
        <v>532</v>
      </c>
      <c r="D300" s="32" t="s">
        <v>484</v>
      </c>
      <c r="E300" s="33"/>
      <c r="F300" s="33"/>
      <c r="G300" s="33"/>
      <c r="H300" s="33"/>
      <c r="I300" s="33"/>
      <c r="J300" s="33"/>
      <c r="K300" s="33"/>
      <c r="L300" s="33"/>
      <c r="M300" s="34"/>
    </row>
    <row r="301" spans="1:13">
      <c r="A301" s="43">
        <v>8700</v>
      </c>
      <c r="B301" s="32" t="s">
        <v>856</v>
      </c>
      <c r="C301" s="32" t="s">
        <v>534</v>
      </c>
      <c r="D301" s="32" t="s">
        <v>482</v>
      </c>
      <c r="E301" s="33"/>
      <c r="F301" s="33"/>
      <c r="G301" s="33"/>
      <c r="H301" s="33"/>
      <c r="I301" s="33"/>
      <c r="J301" s="33"/>
      <c r="K301" s="33"/>
      <c r="L301" s="33"/>
      <c r="M301" s="34"/>
    </row>
    <row r="302" spans="1:13">
      <c r="A302" s="43">
        <v>8701</v>
      </c>
      <c r="B302" s="32" t="s">
        <v>857</v>
      </c>
      <c r="C302" s="32" t="s">
        <v>534</v>
      </c>
      <c r="D302" s="32" t="s">
        <v>484</v>
      </c>
      <c r="E302" s="33"/>
      <c r="F302" s="33"/>
      <c r="G302" s="33"/>
      <c r="H302" s="33"/>
      <c r="I302" s="33"/>
      <c r="J302" s="33"/>
      <c r="K302" s="33"/>
      <c r="L302" s="33"/>
      <c r="M302" s="34"/>
    </row>
    <row r="303" spans="1:13">
      <c r="A303" s="43">
        <v>8703</v>
      </c>
      <c r="B303" s="32" t="s">
        <v>858</v>
      </c>
      <c r="C303" s="32" t="s">
        <v>534</v>
      </c>
      <c r="D303" s="32" t="s">
        <v>482</v>
      </c>
      <c r="E303" s="33"/>
      <c r="F303" s="33"/>
      <c r="G303" s="33"/>
      <c r="H303" s="33"/>
      <c r="I303" s="33"/>
      <c r="J303" s="33"/>
      <c r="K303" s="33"/>
      <c r="L303" s="33"/>
      <c r="M303" s="34"/>
    </row>
    <row r="304" spans="1:13">
      <c r="A304" s="43">
        <v>8705</v>
      </c>
      <c r="B304" s="32" t="s">
        <v>859</v>
      </c>
      <c r="C304" s="32" t="s">
        <v>570</v>
      </c>
      <c r="D304" s="32" t="s">
        <v>482</v>
      </c>
      <c r="E304" s="33"/>
      <c r="F304" s="33"/>
      <c r="G304" s="33"/>
      <c r="H304" s="33"/>
      <c r="I304" s="33"/>
      <c r="J304" s="33"/>
      <c r="K304" s="33"/>
      <c r="L304" s="33"/>
      <c r="M304" s="34"/>
    </row>
    <row r="305" spans="1:13">
      <c r="A305" s="43">
        <v>8706</v>
      </c>
      <c r="B305" s="32" t="s">
        <v>860</v>
      </c>
      <c r="C305" s="32" t="s">
        <v>604</v>
      </c>
      <c r="D305" s="32" t="s">
        <v>484</v>
      </c>
      <c r="E305" s="33"/>
      <c r="F305" s="33"/>
      <c r="G305" s="33"/>
      <c r="H305" s="33"/>
      <c r="I305" s="33"/>
      <c r="J305" s="33"/>
      <c r="K305" s="33"/>
      <c r="L305" s="33"/>
      <c r="M305" s="34"/>
    </row>
    <row r="306" spans="1:13">
      <c r="A306" s="43">
        <v>8707</v>
      </c>
      <c r="B306" s="32" t="s">
        <v>861</v>
      </c>
      <c r="C306" s="32" t="s">
        <v>556</v>
      </c>
      <c r="D306" s="32" t="s">
        <v>482</v>
      </c>
      <c r="E306" s="33"/>
      <c r="F306" s="33"/>
      <c r="G306" s="33"/>
      <c r="H306" s="33"/>
      <c r="I306" s="33"/>
      <c r="J306" s="33"/>
      <c r="K306" s="33"/>
      <c r="L306" s="33"/>
      <c r="M306" s="34"/>
    </row>
    <row r="307" spans="1:13">
      <c r="A307" s="43">
        <v>8714</v>
      </c>
      <c r="B307" s="32" t="s">
        <v>862</v>
      </c>
      <c r="C307" s="32" t="s">
        <v>604</v>
      </c>
      <c r="D307" s="32" t="s">
        <v>484</v>
      </c>
      <c r="E307" s="33"/>
      <c r="F307" s="33"/>
      <c r="G307" s="33"/>
      <c r="H307" s="33"/>
      <c r="I307" s="33"/>
      <c r="J307" s="33"/>
      <c r="K307" s="33"/>
      <c r="L307" s="33"/>
      <c r="M307" s="34"/>
    </row>
    <row r="308" spans="1:13">
      <c r="A308" s="43">
        <v>8717</v>
      </c>
      <c r="B308" s="32" t="s">
        <v>863</v>
      </c>
      <c r="C308" s="32" t="s">
        <v>534</v>
      </c>
      <c r="D308" s="32" t="s">
        <v>482</v>
      </c>
      <c r="E308" s="33"/>
      <c r="F308" s="33"/>
      <c r="G308" s="33"/>
      <c r="H308" s="33"/>
      <c r="I308" s="33"/>
      <c r="J308" s="33"/>
      <c r="K308" s="33"/>
      <c r="L308" s="33"/>
      <c r="M308" s="34"/>
    </row>
    <row r="309" spans="1:13">
      <c r="A309" s="43">
        <v>8719</v>
      </c>
      <c r="B309" s="32" t="s">
        <v>864</v>
      </c>
      <c r="C309" s="32" t="s">
        <v>589</v>
      </c>
      <c r="D309" s="32" t="s">
        <v>482</v>
      </c>
      <c r="E309" s="33"/>
      <c r="F309" s="33"/>
      <c r="G309" s="33"/>
      <c r="H309" s="33"/>
      <c r="I309" s="33"/>
      <c r="J309" s="33"/>
      <c r="K309" s="33"/>
      <c r="L309" s="33"/>
      <c r="M309" s="34"/>
    </row>
    <row r="310" spans="1:13">
      <c r="A310" s="43">
        <v>8720</v>
      </c>
      <c r="B310" s="32" t="s">
        <v>865</v>
      </c>
      <c r="C310" s="32" t="s">
        <v>556</v>
      </c>
      <c r="D310" s="32" t="s">
        <v>484</v>
      </c>
      <c r="E310" s="33"/>
      <c r="F310" s="33"/>
      <c r="G310" s="33"/>
      <c r="H310" s="33"/>
      <c r="I310" s="33"/>
      <c r="J310" s="33"/>
      <c r="K310" s="33"/>
      <c r="L310" s="33"/>
      <c r="M310" s="34"/>
    </row>
    <row r="311" spans="1:13">
      <c r="A311" s="43">
        <v>8721</v>
      </c>
      <c r="B311" s="32" t="s">
        <v>866</v>
      </c>
      <c r="C311" s="32" t="s">
        <v>552</v>
      </c>
      <c r="D311" s="32" t="s">
        <v>484</v>
      </c>
      <c r="E311" s="33"/>
      <c r="F311" s="33"/>
      <c r="G311" s="33"/>
      <c r="H311" s="33"/>
      <c r="I311" s="33"/>
      <c r="J311" s="33"/>
      <c r="K311" s="33"/>
      <c r="L311" s="33"/>
      <c r="M311" s="34"/>
    </row>
    <row r="312" spans="1:13">
      <c r="A312" s="43">
        <v>8722</v>
      </c>
      <c r="B312" s="32" t="s">
        <v>867</v>
      </c>
      <c r="C312" s="32" t="s">
        <v>577</v>
      </c>
      <c r="D312" s="32" t="s">
        <v>482</v>
      </c>
      <c r="E312" s="33"/>
      <c r="F312" s="33"/>
      <c r="G312" s="33"/>
      <c r="H312" s="33"/>
      <c r="I312" s="33"/>
      <c r="J312" s="33"/>
      <c r="K312" s="33"/>
      <c r="L312" s="33"/>
      <c r="M312" s="34"/>
    </row>
    <row r="313" spans="1:13">
      <c r="A313" s="43">
        <v>8723</v>
      </c>
      <c r="B313" s="32" t="s">
        <v>868</v>
      </c>
      <c r="C313" s="32" t="s">
        <v>556</v>
      </c>
      <c r="D313" s="32" t="s">
        <v>482</v>
      </c>
      <c r="E313" s="33"/>
      <c r="F313" s="33"/>
      <c r="G313" s="33"/>
      <c r="H313" s="33"/>
      <c r="I313" s="33"/>
      <c r="J313" s="33"/>
      <c r="K313" s="33"/>
      <c r="L313" s="33"/>
      <c r="M313" s="34"/>
    </row>
    <row r="314" spans="1:13">
      <c r="A314" s="43">
        <v>8724</v>
      </c>
      <c r="B314" s="32" t="s">
        <v>869</v>
      </c>
      <c r="C314" s="32" t="s">
        <v>532</v>
      </c>
      <c r="D314" s="32" t="s">
        <v>482</v>
      </c>
      <c r="E314" s="33"/>
      <c r="F314" s="33"/>
      <c r="G314" s="33"/>
      <c r="H314" s="33"/>
      <c r="I314" s="33"/>
      <c r="J314" s="33"/>
      <c r="K314" s="33"/>
      <c r="L314" s="33"/>
      <c r="M314" s="34"/>
    </row>
    <row r="315" spans="1:13">
      <c r="A315" s="43">
        <v>8726</v>
      </c>
      <c r="B315" s="32" t="s">
        <v>870</v>
      </c>
      <c r="C315" s="35"/>
      <c r="D315" s="32" t="s">
        <v>484</v>
      </c>
      <c r="E315" s="33"/>
      <c r="F315" s="33"/>
      <c r="G315" s="33"/>
      <c r="H315" s="33"/>
      <c r="I315" s="33"/>
      <c r="J315" s="33"/>
      <c r="K315" s="33"/>
      <c r="L315" s="33"/>
      <c r="M315" s="34"/>
    </row>
    <row r="316" spans="1:13">
      <c r="A316" s="43">
        <v>8728</v>
      </c>
      <c r="B316" s="32" t="s">
        <v>871</v>
      </c>
      <c r="C316" s="32" t="s">
        <v>554</v>
      </c>
      <c r="D316" s="32" t="s">
        <v>482</v>
      </c>
      <c r="E316" s="33"/>
      <c r="F316" s="33"/>
      <c r="G316" s="33"/>
      <c r="H316" s="33"/>
      <c r="I316" s="33"/>
      <c r="J316" s="33"/>
      <c r="K316" s="33"/>
      <c r="L316" s="33"/>
      <c r="M316" s="34"/>
    </row>
    <row r="317" spans="1:13">
      <c r="A317" s="43">
        <v>8729</v>
      </c>
      <c r="B317" s="32" t="s">
        <v>872</v>
      </c>
      <c r="C317" s="32" t="s">
        <v>541</v>
      </c>
      <c r="D317" s="32" t="s">
        <v>482</v>
      </c>
      <c r="E317" s="33"/>
      <c r="F317" s="33"/>
      <c r="G317" s="33"/>
      <c r="H317" s="33"/>
      <c r="I317" s="33"/>
      <c r="J317" s="33"/>
      <c r="K317" s="33"/>
      <c r="L317" s="33"/>
      <c r="M317" s="34"/>
    </row>
    <row r="318" spans="1:13">
      <c r="A318" s="43">
        <v>8730</v>
      </c>
      <c r="B318" s="32" t="s">
        <v>873</v>
      </c>
      <c r="C318" s="35"/>
      <c r="D318" s="32" t="s">
        <v>482</v>
      </c>
      <c r="E318" s="33"/>
      <c r="F318" s="33"/>
      <c r="G318" s="33"/>
      <c r="H318" s="33"/>
      <c r="I318" s="33"/>
      <c r="J318" s="33"/>
      <c r="K318" s="33"/>
      <c r="L318" s="33"/>
      <c r="M318" s="34"/>
    </row>
    <row r="319" spans="1:13">
      <c r="A319" s="43">
        <v>8732</v>
      </c>
      <c r="B319" s="32" t="s">
        <v>874</v>
      </c>
      <c r="C319" s="32" t="s">
        <v>570</v>
      </c>
      <c r="D319" s="32" t="s">
        <v>482</v>
      </c>
      <c r="E319" s="33"/>
      <c r="F319" s="33"/>
      <c r="G319" s="33"/>
      <c r="H319" s="33"/>
      <c r="I319" s="33"/>
      <c r="J319" s="33"/>
      <c r="K319" s="33"/>
      <c r="L319" s="33"/>
      <c r="M319" s="34"/>
    </row>
    <row r="320" spans="1:13">
      <c r="A320" s="43">
        <v>8737</v>
      </c>
      <c r="B320" s="32" t="s">
        <v>875</v>
      </c>
      <c r="C320" s="32" t="s">
        <v>530</v>
      </c>
      <c r="D320" s="32" t="s">
        <v>484</v>
      </c>
      <c r="E320" s="33"/>
      <c r="F320" s="33"/>
      <c r="G320" s="33"/>
      <c r="H320" s="33"/>
      <c r="I320" s="33"/>
      <c r="J320" s="33"/>
      <c r="K320" s="33"/>
      <c r="L320" s="33"/>
      <c r="M320" s="34"/>
    </row>
    <row r="321" spans="1:13">
      <c r="A321" s="43">
        <v>8738</v>
      </c>
      <c r="B321" s="32" t="s">
        <v>876</v>
      </c>
      <c r="C321" s="32" t="s">
        <v>541</v>
      </c>
      <c r="D321" s="32" t="s">
        <v>484</v>
      </c>
      <c r="E321" s="33"/>
      <c r="F321" s="33"/>
      <c r="G321" s="33"/>
      <c r="H321" s="33"/>
      <c r="I321" s="33"/>
      <c r="J321" s="33"/>
      <c r="K321" s="33"/>
      <c r="L321" s="33"/>
      <c r="M321" s="34"/>
    </row>
    <row r="322" spans="1:13">
      <c r="A322" s="43">
        <v>8739</v>
      </c>
      <c r="B322" s="32" t="s">
        <v>877</v>
      </c>
      <c r="C322" s="32" t="s">
        <v>541</v>
      </c>
      <c r="D322" s="32" t="s">
        <v>484</v>
      </c>
      <c r="E322" s="33"/>
      <c r="F322" s="33"/>
      <c r="G322" s="33"/>
      <c r="H322" s="33"/>
      <c r="I322" s="33"/>
      <c r="J322" s="33"/>
      <c r="K322" s="33"/>
      <c r="L322" s="33"/>
      <c r="M322" s="34"/>
    </row>
    <row r="323" spans="1:13">
      <c r="A323" s="43">
        <v>8742</v>
      </c>
      <c r="B323" s="32" t="s">
        <v>878</v>
      </c>
      <c r="C323" s="32" t="s">
        <v>532</v>
      </c>
      <c r="D323" s="32" t="s">
        <v>484</v>
      </c>
      <c r="E323" s="33"/>
      <c r="F323" s="33"/>
      <c r="G323" s="33"/>
      <c r="H323" s="33"/>
      <c r="I323" s="33"/>
      <c r="J323" s="33"/>
      <c r="K323" s="33"/>
      <c r="L323" s="33"/>
      <c r="M323" s="34"/>
    </row>
    <row r="324" spans="1:13">
      <c r="A324" s="43">
        <v>8743</v>
      </c>
      <c r="B324" s="32" t="s">
        <v>879</v>
      </c>
      <c r="C324" s="32" t="s">
        <v>536</v>
      </c>
      <c r="D324" s="32" t="s">
        <v>484</v>
      </c>
      <c r="E324" s="33"/>
      <c r="F324" s="33"/>
      <c r="G324" s="33"/>
      <c r="H324" s="33"/>
      <c r="I324" s="33"/>
      <c r="J324" s="33"/>
      <c r="K324" s="33"/>
      <c r="L324" s="33"/>
      <c r="M324" s="34"/>
    </row>
    <row r="325" spans="1:13">
      <c r="A325" s="43">
        <v>8744</v>
      </c>
      <c r="B325" s="32" t="s">
        <v>880</v>
      </c>
      <c r="C325" s="32" t="s">
        <v>589</v>
      </c>
      <c r="D325" s="32" t="s">
        <v>482</v>
      </c>
      <c r="E325" s="33"/>
      <c r="F325" s="33"/>
      <c r="G325" s="33"/>
      <c r="H325" s="33"/>
      <c r="I325" s="33"/>
      <c r="J325" s="33"/>
      <c r="K325" s="33"/>
      <c r="L325" s="33"/>
      <c r="M325" s="34"/>
    </row>
    <row r="326" spans="1:13">
      <c r="A326" s="43">
        <v>8745</v>
      </c>
      <c r="B326" s="32" t="s">
        <v>881</v>
      </c>
      <c r="C326" s="32" t="s">
        <v>882</v>
      </c>
      <c r="D326" s="32" t="s">
        <v>484</v>
      </c>
      <c r="E326" s="33"/>
      <c r="F326" s="33"/>
      <c r="G326" s="33"/>
      <c r="H326" s="33"/>
      <c r="I326" s="33"/>
      <c r="J326" s="33"/>
      <c r="K326" s="33"/>
      <c r="L326" s="33"/>
      <c r="M326" s="34"/>
    </row>
    <row r="327" spans="1:13">
      <c r="A327" s="43">
        <v>8753</v>
      </c>
      <c r="B327" s="32" t="s">
        <v>883</v>
      </c>
      <c r="C327" s="32" t="s">
        <v>556</v>
      </c>
      <c r="D327" s="32" t="s">
        <v>482</v>
      </c>
      <c r="E327" s="33"/>
      <c r="F327" s="33"/>
      <c r="G327" s="33"/>
      <c r="H327" s="33"/>
      <c r="I327" s="33"/>
      <c r="J327" s="33"/>
      <c r="K327" s="33"/>
      <c r="L327" s="33"/>
      <c r="M327" s="34"/>
    </row>
    <row r="328" spans="1:13">
      <c r="A328" s="43">
        <v>8756</v>
      </c>
      <c r="B328" s="32" t="s">
        <v>884</v>
      </c>
      <c r="C328" s="32" t="s">
        <v>541</v>
      </c>
      <c r="D328" s="32" t="s">
        <v>482</v>
      </c>
      <c r="E328" s="33"/>
      <c r="F328" s="33"/>
      <c r="G328" s="33"/>
      <c r="H328" s="33"/>
      <c r="I328" s="33"/>
      <c r="J328" s="33"/>
      <c r="K328" s="33"/>
      <c r="L328" s="33"/>
      <c r="M328" s="34"/>
    </row>
    <row r="329" spans="1:13">
      <c r="A329" s="43">
        <v>8759</v>
      </c>
      <c r="B329" s="32" t="s">
        <v>885</v>
      </c>
      <c r="C329" s="32" t="s">
        <v>577</v>
      </c>
      <c r="D329" s="32" t="s">
        <v>484</v>
      </c>
      <c r="E329" s="33"/>
      <c r="F329" s="33"/>
      <c r="G329" s="33"/>
      <c r="H329" s="33"/>
      <c r="I329" s="33"/>
      <c r="J329" s="33"/>
      <c r="K329" s="33"/>
      <c r="L329" s="33"/>
      <c r="M329" s="34"/>
    </row>
    <row r="330" spans="1:13">
      <c r="A330" s="43">
        <v>8760</v>
      </c>
      <c r="B330" s="32" t="s">
        <v>886</v>
      </c>
      <c r="C330" s="32" t="s">
        <v>577</v>
      </c>
      <c r="D330" s="32" t="s">
        <v>484</v>
      </c>
      <c r="E330" s="33"/>
      <c r="F330" s="33"/>
      <c r="G330" s="33"/>
      <c r="H330" s="33"/>
      <c r="I330" s="33"/>
      <c r="J330" s="33"/>
      <c r="K330" s="33"/>
      <c r="L330" s="33"/>
      <c r="M330" s="34"/>
    </row>
    <row r="331" spans="1:13">
      <c r="A331" s="43">
        <v>8761</v>
      </c>
      <c r="B331" s="32" t="s">
        <v>887</v>
      </c>
      <c r="C331" s="32" t="s">
        <v>532</v>
      </c>
      <c r="D331" s="32" t="s">
        <v>484</v>
      </c>
      <c r="E331" s="33"/>
      <c r="F331" s="33"/>
      <c r="G331" s="33"/>
      <c r="H331" s="33"/>
      <c r="I331" s="33"/>
      <c r="J331" s="33"/>
      <c r="K331" s="33"/>
      <c r="L331" s="33"/>
      <c r="M331" s="34"/>
    </row>
    <row r="332" spans="1:13">
      <c r="A332" s="43">
        <v>8763</v>
      </c>
      <c r="B332" s="32" t="s">
        <v>888</v>
      </c>
      <c r="C332" s="32" t="s">
        <v>534</v>
      </c>
      <c r="D332" s="32" t="s">
        <v>484</v>
      </c>
      <c r="E332" s="33"/>
      <c r="F332" s="33"/>
      <c r="G332" s="33"/>
      <c r="H332" s="33"/>
      <c r="I332" s="33"/>
      <c r="J332" s="33"/>
      <c r="K332" s="33"/>
      <c r="L332" s="33"/>
      <c r="M332" s="34"/>
    </row>
    <row r="333" spans="1:13">
      <c r="A333" s="43">
        <v>8764</v>
      </c>
      <c r="B333" s="32" t="s">
        <v>585</v>
      </c>
      <c r="C333" s="32" t="s">
        <v>534</v>
      </c>
      <c r="D333" s="32" t="s">
        <v>484</v>
      </c>
      <c r="E333" s="33"/>
      <c r="F333" s="33"/>
      <c r="G333" s="33"/>
      <c r="H333" s="33"/>
      <c r="I333" s="33"/>
      <c r="J333" s="33"/>
      <c r="K333" s="33"/>
      <c r="L333" s="33"/>
      <c r="M333" s="34"/>
    </row>
    <row r="334" spans="1:13">
      <c r="A334" s="43">
        <v>8765</v>
      </c>
      <c r="B334" s="32" t="s">
        <v>889</v>
      </c>
      <c r="C334" s="32" t="s">
        <v>532</v>
      </c>
      <c r="D334" s="32" t="s">
        <v>484</v>
      </c>
      <c r="E334" s="33"/>
      <c r="F334" s="33"/>
      <c r="G334" s="33"/>
      <c r="H334" s="33"/>
      <c r="I334" s="33"/>
      <c r="J334" s="33"/>
      <c r="K334" s="33"/>
      <c r="L334" s="33"/>
      <c r="M334" s="34"/>
    </row>
    <row r="335" spans="1:13">
      <c r="A335" s="43">
        <v>8766</v>
      </c>
      <c r="B335" s="32" t="s">
        <v>890</v>
      </c>
      <c r="C335" s="32" t="s">
        <v>554</v>
      </c>
      <c r="D335" s="32" t="s">
        <v>482</v>
      </c>
      <c r="E335" s="33"/>
      <c r="F335" s="33"/>
      <c r="G335" s="33"/>
      <c r="H335" s="33"/>
      <c r="I335" s="33"/>
      <c r="J335" s="33"/>
      <c r="K335" s="33"/>
      <c r="L335" s="33"/>
      <c r="M335" s="34"/>
    </row>
    <row r="336" spans="1:13">
      <c r="A336" s="43">
        <v>8771</v>
      </c>
      <c r="B336" s="32" t="s">
        <v>891</v>
      </c>
      <c r="C336" s="32" t="s">
        <v>534</v>
      </c>
      <c r="D336" s="32" t="s">
        <v>482</v>
      </c>
      <c r="E336" s="33"/>
      <c r="F336" s="33"/>
      <c r="G336" s="33"/>
      <c r="H336" s="33"/>
      <c r="I336" s="33"/>
      <c r="J336" s="33"/>
      <c r="K336" s="33"/>
      <c r="L336" s="33"/>
      <c r="M336" s="34"/>
    </row>
    <row r="337" spans="1:13">
      <c r="A337" s="43">
        <v>8772</v>
      </c>
      <c r="B337" s="32" t="s">
        <v>892</v>
      </c>
      <c r="C337" s="35"/>
      <c r="D337" s="32" t="s">
        <v>482</v>
      </c>
      <c r="E337" s="33"/>
      <c r="F337" s="33"/>
      <c r="G337" s="33"/>
      <c r="H337" s="33"/>
      <c r="I337" s="33"/>
      <c r="J337" s="33"/>
      <c r="K337" s="33"/>
      <c r="L337" s="33"/>
      <c r="M337" s="34"/>
    </row>
    <row r="338" spans="1:13">
      <c r="A338" s="43">
        <v>8776</v>
      </c>
      <c r="B338" s="32" t="s">
        <v>893</v>
      </c>
      <c r="C338" s="32" t="s">
        <v>894</v>
      </c>
      <c r="D338" s="32" t="s">
        <v>484</v>
      </c>
      <c r="E338" s="33"/>
      <c r="F338" s="33"/>
      <c r="G338" s="33"/>
      <c r="H338" s="33"/>
      <c r="I338" s="33"/>
      <c r="J338" s="33"/>
      <c r="K338" s="33"/>
      <c r="L338" s="33"/>
      <c r="M338" s="34"/>
    </row>
    <row r="339" spans="1:13">
      <c r="A339" s="43">
        <v>8783</v>
      </c>
      <c r="B339" s="32" t="s">
        <v>895</v>
      </c>
      <c r="C339" s="32" t="s">
        <v>777</v>
      </c>
      <c r="D339" s="32" t="s">
        <v>484</v>
      </c>
      <c r="E339" s="33"/>
      <c r="F339" s="33"/>
      <c r="G339" s="33"/>
      <c r="H339" s="33"/>
      <c r="I339" s="33"/>
      <c r="J339" s="33"/>
      <c r="K339" s="33"/>
      <c r="L339" s="33"/>
      <c r="M339" s="34"/>
    </row>
    <row r="340" spans="1:13">
      <c r="A340" s="43">
        <v>8787</v>
      </c>
      <c r="B340" s="32" t="s">
        <v>896</v>
      </c>
      <c r="C340" s="32" t="s">
        <v>897</v>
      </c>
      <c r="D340" s="32" t="s">
        <v>484</v>
      </c>
      <c r="E340" s="33"/>
      <c r="F340" s="33"/>
      <c r="G340" s="33"/>
      <c r="H340" s="33"/>
      <c r="I340" s="33"/>
      <c r="J340" s="33"/>
      <c r="K340" s="33"/>
      <c r="L340" s="33"/>
      <c r="M340" s="34"/>
    </row>
    <row r="341" spans="1:13">
      <c r="A341" s="43">
        <v>8792</v>
      </c>
      <c r="B341" s="32" t="s">
        <v>898</v>
      </c>
      <c r="C341" s="32" t="s">
        <v>538</v>
      </c>
      <c r="D341" s="32" t="s">
        <v>484</v>
      </c>
      <c r="E341" s="33"/>
      <c r="F341" s="33"/>
      <c r="G341" s="33"/>
      <c r="H341" s="33"/>
      <c r="I341" s="33"/>
      <c r="J341" s="33"/>
      <c r="K341" s="33"/>
      <c r="L341" s="33"/>
      <c r="M341" s="34"/>
    </row>
    <row r="342" spans="1:13">
      <c r="A342" s="43">
        <v>8794</v>
      </c>
      <c r="B342" s="32" t="s">
        <v>899</v>
      </c>
      <c r="C342" s="32" t="s">
        <v>538</v>
      </c>
      <c r="D342" s="32" t="s">
        <v>484</v>
      </c>
      <c r="E342" s="33"/>
      <c r="F342" s="33"/>
      <c r="G342" s="33"/>
      <c r="H342" s="33"/>
      <c r="I342" s="33"/>
      <c r="J342" s="33"/>
      <c r="K342" s="33"/>
      <c r="L342" s="33"/>
      <c r="M342" s="34"/>
    </row>
    <row r="343" spans="1:13">
      <c r="A343" s="43">
        <v>8795</v>
      </c>
      <c r="B343" s="32" t="s">
        <v>900</v>
      </c>
      <c r="C343" s="32" t="s">
        <v>538</v>
      </c>
      <c r="D343" s="32" t="s">
        <v>484</v>
      </c>
      <c r="E343" s="33"/>
      <c r="F343" s="33"/>
      <c r="G343" s="33"/>
      <c r="H343" s="33"/>
      <c r="I343" s="33"/>
      <c r="J343" s="33"/>
      <c r="K343" s="33"/>
      <c r="L343" s="33"/>
      <c r="M343" s="34"/>
    </row>
    <row r="344" spans="1:13">
      <c r="A344" s="43">
        <v>8798</v>
      </c>
      <c r="B344" s="32" t="s">
        <v>901</v>
      </c>
      <c r="C344" s="32" t="s">
        <v>570</v>
      </c>
      <c r="D344" s="32" t="s">
        <v>484</v>
      </c>
      <c r="E344" s="33"/>
      <c r="F344" s="33"/>
      <c r="G344" s="33"/>
      <c r="H344" s="33"/>
      <c r="I344" s="33"/>
      <c r="J344" s="33"/>
      <c r="K344" s="33"/>
      <c r="L344" s="33"/>
      <c r="M344" s="34"/>
    </row>
    <row r="345" spans="1:13">
      <c r="A345" s="43">
        <v>8802</v>
      </c>
      <c r="B345" s="32" t="s">
        <v>902</v>
      </c>
      <c r="C345" s="32" t="s">
        <v>532</v>
      </c>
      <c r="D345" s="32" t="s">
        <v>484</v>
      </c>
      <c r="E345" s="33"/>
      <c r="F345" s="33"/>
      <c r="G345" s="33"/>
      <c r="H345" s="33"/>
      <c r="I345" s="33"/>
      <c r="J345" s="33"/>
      <c r="K345" s="33"/>
      <c r="L345" s="33"/>
      <c r="M345" s="34"/>
    </row>
    <row r="346" spans="1:13">
      <c r="A346" s="43">
        <v>8805</v>
      </c>
      <c r="B346" s="32" t="s">
        <v>903</v>
      </c>
      <c r="C346" s="32" t="s">
        <v>838</v>
      </c>
      <c r="D346" s="32" t="s">
        <v>484</v>
      </c>
      <c r="E346" s="33"/>
      <c r="F346" s="33"/>
      <c r="G346" s="33"/>
      <c r="H346" s="33"/>
      <c r="I346" s="33"/>
      <c r="J346" s="33"/>
      <c r="K346" s="33"/>
      <c r="L346" s="33"/>
      <c r="M346" s="34"/>
    </row>
    <row r="347" spans="1:13">
      <c r="A347" s="43">
        <v>8808</v>
      </c>
      <c r="B347" s="32" t="s">
        <v>904</v>
      </c>
      <c r="C347" s="32" t="s">
        <v>536</v>
      </c>
      <c r="D347" s="32" t="s">
        <v>484</v>
      </c>
      <c r="E347" s="33"/>
      <c r="F347" s="33"/>
      <c r="G347" s="33"/>
      <c r="H347" s="33"/>
      <c r="I347" s="33"/>
      <c r="J347" s="33"/>
      <c r="K347" s="33"/>
      <c r="L347" s="33"/>
      <c r="M347" s="34"/>
    </row>
    <row r="348" spans="1:13">
      <c r="A348" s="43">
        <v>8810</v>
      </c>
      <c r="B348" s="32" t="s">
        <v>905</v>
      </c>
      <c r="C348" s="32" t="s">
        <v>541</v>
      </c>
      <c r="D348" s="32" t="s">
        <v>482</v>
      </c>
      <c r="E348" s="33"/>
      <c r="F348" s="33"/>
      <c r="G348" s="33"/>
      <c r="H348" s="33"/>
      <c r="I348" s="33"/>
      <c r="J348" s="33"/>
      <c r="K348" s="33"/>
      <c r="L348" s="33"/>
      <c r="M348" s="34"/>
    </row>
    <row r="349" spans="1:13">
      <c r="A349" s="43">
        <v>8814</v>
      </c>
      <c r="B349" s="32" t="s">
        <v>906</v>
      </c>
      <c r="C349" s="32" t="s">
        <v>541</v>
      </c>
      <c r="D349" s="32" t="s">
        <v>482</v>
      </c>
      <c r="E349" s="33"/>
      <c r="F349" s="33"/>
      <c r="G349" s="33"/>
      <c r="H349" s="33"/>
      <c r="I349" s="33"/>
      <c r="J349" s="33"/>
      <c r="K349" s="33"/>
      <c r="L349" s="33"/>
      <c r="M349" s="34"/>
    </row>
    <row r="350" spans="1:13">
      <c r="A350" s="43">
        <v>8816</v>
      </c>
      <c r="B350" s="32" t="s">
        <v>907</v>
      </c>
      <c r="C350" s="32" t="s">
        <v>577</v>
      </c>
      <c r="D350" s="32" t="s">
        <v>482</v>
      </c>
      <c r="E350" s="33"/>
      <c r="F350" s="33"/>
      <c r="G350" s="33"/>
      <c r="H350" s="33"/>
      <c r="I350" s="33"/>
      <c r="J350" s="33"/>
      <c r="K350" s="33"/>
      <c r="L350" s="33"/>
      <c r="M350" s="34"/>
    </row>
    <row r="351" spans="1:13">
      <c r="A351" s="43">
        <v>8823</v>
      </c>
      <c r="B351" s="32" t="s">
        <v>908</v>
      </c>
      <c r="C351" s="32" t="s">
        <v>577</v>
      </c>
      <c r="D351" s="32" t="s">
        <v>482</v>
      </c>
      <c r="E351" s="33"/>
      <c r="F351" s="33"/>
      <c r="G351" s="33"/>
      <c r="H351" s="33"/>
      <c r="I351" s="33"/>
      <c r="J351" s="33"/>
      <c r="K351" s="33"/>
      <c r="L351" s="33"/>
      <c r="M351" s="34"/>
    </row>
    <row r="352" spans="1:13">
      <c r="A352" s="43">
        <v>8824</v>
      </c>
      <c r="B352" s="32" t="s">
        <v>909</v>
      </c>
      <c r="C352" s="32" t="s">
        <v>604</v>
      </c>
      <c r="D352" s="32" t="s">
        <v>482</v>
      </c>
      <c r="E352" s="33"/>
      <c r="F352" s="33"/>
      <c r="G352" s="33"/>
      <c r="H352" s="33"/>
      <c r="I352" s="33"/>
      <c r="J352" s="33"/>
      <c r="K352" s="33"/>
      <c r="L352" s="33"/>
      <c r="M352" s="34"/>
    </row>
    <row r="353" spans="1:13">
      <c r="A353" s="43">
        <v>8825</v>
      </c>
      <c r="B353" s="32" t="s">
        <v>910</v>
      </c>
      <c r="C353" s="32" t="s">
        <v>577</v>
      </c>
      <c r="D353" s="32" t="s">
        <v>484</v>
      </c>
      <c r="E353" s="33"/>
      <c r="F353" s="33"/>
      <c r="G353" s="33"/>
      <c r="H353" s="33"/>
      <c r="I353" s="33"/>
      <c r="J353" s="33"/>
      <c r="K353" s="33"/>
      <c r="L353" s="33"/>
      <c r="M353" s="34"/>
    </row>
    <row r="354" spans="1:13">
      <c r="A354" s="43">
        <v>8826</v>
      </c>
      <c r="B354" s="32" t="s">
        <v>911</v>
      </c>
      <c r="C354" s="32" t="s">
        <v>554</v>
      </c>
      <c r="D354" s="32" t="s">
        <v>482</v>
      </c>
      <c r="E354" s="33"/>
      <c r="F354" s="33"/>
      <c r="G354" s="33"/>
      <c r="H354" s="33"/>
      <c r="I354" s="33"/>
      <c r="J354" s="33"/>
      <c r="K354" s="33"/>
      <c r="L354" s="33"/>
      <c r="M354" s="34"/>
    </row>
    <row r="355" spans="1:13">
      <c r="A355" s="43">
        <v>8827</v>
      </c>
      <c r="B355" s="32" t="s">
        <v>912</v>
      </c>
      <c r="C355" s="32" t="s">
        <v>534</v>
      </c>
      <c r="D355" s="32" t="s">
        <v>484</v>
      </c>
      <c r="E355" s="33"/>
      <c r="F355" s="33"/>
      <c r="G355" s="33"/>
      <c r="H355" s="33"/>
      <c r="I355" s="33"/>
      <c r="J355" s="33"/>
      <c r="K355" s="33"/>
      <c r="L355" s="33"/>
      <c r="M355" s="34"/>
    </row>
    <row r="356" spans="1:13">
      <c r="A356" s="43">
        <v>8829</v>
      </c>
      <c r="B356" s="32" t="s">
        <v>913</v>
      </c>
      <c r="C356" s="32" t="s">
        <v>530</v>
      </c>
      <c r="D356" s="32" t="s">
        <v>484</v>
      </c>
      <c r="E356" s="33"/>
      <c r="F356" s="33"/>
      <c r="G356" s="33"/>
      <c r="H356" s="33"/>
      <c r="I356" s="33"/>
      <c r="J356" s="33"/>
      <c r="K356" s="33"/>
      <c r="L356" s="33"/>
      <c r="M356" s="34"/>
    </row>
    <row r="357" spans="1:13">
      <c r="A357" s="43">
        <v>8830</v>
      </c>
      <c r="B357" s="32" t="s">
        <v>914</v>
      </c>
      <c r="C357" s="32" t="s">
        <v>538</v>
      </c>
      <c r="D357" s="32" t="s">
        <v>484</v>
      </c>
      <c r="E357" s="33"/>
      <c r="F357" s="33"/>
      <c r="G357" s="33"/>
      <c r="H357" s="33"/>
      <c r="I357" s="33"/>
      <c r="J357" s="33"/>
      <c r="K357" s="33"/>
      <c r="L357" s="33"/>
      <c r="M357" s="34"/>
    </row>
    <row r="358" spans="1:13">
      <c r="A358" s="43">
        <v>8831</v>
      </c>
      <c r="B358" s="32" t="s">
        <v>915</v>
      </c>
      <c r="C358" s="32" t="s">
        <v>654</v>
      </c>
      <c r="D358" s="32" t="s">
        <v>484</v>
      </c>
      <c r="E358" s="33"/>
      <c r="F358" s="33"/>
      <c r="G358" s="33"/>
      <c r="H358" s="33"/>
      <c r="I358" s="33"/>
      <c r="J358" s="33"/>
      <c r="K358" s="33"/>
      <c r="L358" s="33"/>
      <c r="M358" s="34"/>
    </row>
    <row r="359" spans="1:13">
      <c r="A359" s="43">
        <v>8832</v>
      </c>
      <c r="B359" s="32" t="s">
        <v>916</v>
      </c>
      <c r="C359" s="32" t="s">
        <v>556</v>
      </c>
      <c r="D359" s="32" t="s">
        <v>482</v>
      </c>
      <c r="E359" s="33"/>
      <c r="F359" s="33"/>
      <c r="G359" s="33"/>
      <c r="H359" s="33"/>
      <c r="I359" s="33"/>
      <c r="J359" s="33"/>
      <c r="K359" s="33"/>
      <c r="L359" s="33"/>
      <c r="M359" s="34"/>
    </row>
    <row r="360" spans="1:13">
      <c r="A360" s="43">
        <v>8833</v>
      </c>
      <c r="B360" s="32" t="s">
        <v>917</v>
      </c>
      <c r="C360" s="32" t="s">
        <v>534</v>
      </c>
      <c r="D360" s="32" t="s">
        <v>484</v>
      </c>
      <c r="E360" s="33"/>
      <c r="F360" s="33"/>
      <c r="G360" s="33"/>
      <c r="H360" s="33"/>
      <c r="I360" s="33"/>
      <c r="J360" s="33"/>
      <c r="K360" s="33"/>
      <c r="L360" s="33"/>
      <c r="M360" s="34"/>
    </row>
    <row r="361" spans="1:13">
      <c r="A361" s="43">
        <v>8834</v>
      </c>
      <c r="B361" s="32" t="s">
        <v>918</v>
      </c>
      <c r="C361" s="32" t="s">
        <v>554</v>
      </c>
      <c r="D361" s="32" t="s">
        <v>482</v>
      </c>
      <c r="E361" s="33"/>
      <c r="F361" s="33"/>
      <c r="G361" s="33"/>
      <c r="H361" s="33"/>
      <c r="I361" s="33"/>
      <c r="J361" s="33"/>
      <c r="K361" s="33"/>
      <c r="L361" s="33"/>
      <c r="M361" s="34"/>
    </row>
    <row r="362" spans="1:13">
      <c r="A362" s="43">
        <v>8841</v>
      </c>
      <c r="B362" s="32" t="s">
        <v>919</v>
      </c>
      <c r="C362" s="35"/>
      <c r="D362" s="32" t="s">
        <v>482</v>
      </c>
      <c r="E362" s="33"/>
      <c r="F362" s="33"/>
      <c r="G362" s="33"/>
      <c r="H362" s="33"/>
      <c r="I362" s="33"/>
      <c r="J362" s="33"/>
      <c r="K362" s="33"/>
      <c r="L362" s="33"/>
      <c r="M362" s="34"/>
    </row>
    <row r="363" spans="1:13">
      <c r="A363" s="43">
        <v>8842</v>
      </c>
      <c r="B363" s="32" t="s">
        <v>920</v>
      </c>
      <c r="C363" s="32" t="s">
        <v>534</v>
      </c>
      <c r="D363" s="32" t="s">
        <v>482</v>
      </c>
      <c r="E363" s="33"/>
      <c r="F363" s="33"/>
      <c r="G363" s="33"/>
      <c r="H363" s="33"/>
      <c r="I363" s="33"/>
      <c r="J363" s="33"/>
      <c r="K363" s="33"/>
      <c r="L363" s="33"/>
      <c r="M363" s="34"/>
    </row>
    <row r="364" spans="1:13">
      <c r="A364" s="43">
        <v>8843</v>
      </c>
      <c r="B364" s="32" t="s">
        <v>921</v>
      </c>
      <c r="C364" s="32" t="s">
        <v>534</v>
      </c>
      <c r="D364" s="32" t="s">
        <v>484</v>
      </c>
      <c r="E364" s="33"/>
      <c r="F364" s="33"/>
      <c r="G364" s="33"/>
      <c r="H364" s="33"/>
      <c r="I364" s="33"/>
      <c r="J364" s="33"/>
      <c r="K364" s="33"/>
      <c r="L364" s="33"/>
      <c r="M364" s="34"/>
    </row>
    <row r="365" spans="1:13">
      <c r="A365" s="43">
        <v>8847</v>
      </c>
      <c r="B365" s="32" t="s">
        <v>922</v>
      </c>
      <c r="C365" s="32" t="s">
        <v>552</v>
      </c>
      <c r="D365" s="32" t="s">
        <v>484</v>
      </c>
      <c r="E365" s="33"/>
      <c r="F365" s="33"/>
      <c r="G365" s="33"/>
      <c r="H365" s="33"/>
      <c r="I365" s="33"/>
      <c r="J365" s="33"/>
      <c r="K365" s="33"/>
      <c r="L365" s="33"/>
      <c r="M365" s="34"/>
    </row>
    <row r="366" spans="1:13">
      <c r="A366" s="43">
        <v>8848</v>
      </c>
      <c r="B366" s="32" t="s">
        <v>923</v>
      </c>
      <c r="C366" s="32" t="s">
        <v>541</v>
      </c>
      <c r="D366" s="32" t="s">
        <v>484</v>
      </c>
      <c r="E366" s="33"/>
      <c r="F366" s="33"/>
      <c r="G366" s="33"/>
      <c r="H366" s="33"/>
      <c r="I366" s="33"/>
      <c r="J366" s="33"/>
      <c r="K366" s="33"/>
      <c r="L366" s="33"/>
      <c r="M366" s="34"/>
    </row>
    <row r="367" spans="1:13">
      <c r="A367" s="43">
        <v>8849</v>
      </c>
      <c r="B367" s="32" t="s">
        <v>924</v>
      </c>
      <c r="C367" s="32" t="s">
        <v>577</v>
      </c>
      <c r="D367" s="32" t="s">
        <v>484</v>
      </c>
      <c r="E367" s="33"/>
      <c r="F367" s="33"/>
      <c r="G367" s="33"/>
      <c r="H367" s="33"/>
      <c r="I367" s="33"/>
      <c r="J367" s="33"/>
      <c r="K367" s="33"/>
      <c r="L367" s="33"/>
      <c r="M367" s="34"/>
    </row>
    <row r="368" spans="1:13">
      <c r="A368" s="43">
        <v>8852</v>
      </c>
      <c r="B368" s="32" t="s">
        <v>925</v>
      </c>
      <c r="C368" s="32" t="s">
        <v>654</v>
      </c>
      <c r="D368" s="32" t="s">
        <v>482</v>
      </c>
      <c r="E368" s="33"/>
      <c r="F368" s="33"/>
      <c r="G368" s="33"/>
      <c r="H368" s="33"/>
      <c r="I368" s="33"/>
      <c r="J368" s="33"/>
      <c r="K368" s="33"/>
      <c r="L368" s="33"/>
      <c r="M368" s="34"/>
    </row>
    <row r="369" spans="1:13">
      <c r="A369" s="43">
        <v>8853</v>
      </c>
      <c r="B369" s="32" t="s">
        <v>926</v>
      </c>
      <c r="C369" s="32" t="s">
        <v>577</v>
      </c>
      <c r="D369" s="32" t="s">
        <v>484</v>
      </c>
      <c r="E369" s="33"/>
      <c r="F369" s="33"/>
      <c r="G369" s="33"/>
      <c r="H369" s="33"/>
      <c r="I369" s="33"/>
      <c r="J369" s="33"/>
      <c r="K369" s="33"/>
      <c r="L369" s="33"/>
      <c r="M369" s="34"/>
    </row>
    <row r="370" spans="1:13">
      <c r="A370" s="43">
        <v>8854</v>
      </c>
      <c r="B370" s="32" t="s">
        <v>927</v>
      </c>
      <c r="C370" s="32" t="s">
        <v>556</v>
      </c>
      <c r="D370" s="32" t="s">
        <v>484</v>
      </c>
      <c r="E370" s="33"/>
      <c r="F370" s="33"/>
      <c r="G370" s="33"/>
      <c r="H370" s="33"/>
      <c r="I370" s="33"/>
      <c r="J370" s="33"/>
      <c r="K370" s="33"/>
      <c r="L370" s="33"/>
      <c r="M370" s="34"/>
    </row>
    <row r="371" spans="1:13">
      <c r="A371" s="43">
        <v>8855</v>
      </c>
      <c r="B371" s="32" t="s">
        <v>928</v>
      </c>
      <c r="C371" s="32" t="s">
        <v>577</v>
      </c>
      <c r="D371" s="32" t="s">
        <v>484</v>
      </c>
      <c r="E371" s="33"/>
      <c r="F371" s="33"/>
      <c r="G371" s="33"/>
      <c r="H371" s="33"/>
      <c r="I371" s="33"/>
      <c r="J371" s="33"/>
      <c r="K371" s="33"/>
      <c r="L371" s="33"/>
      <c r="M371" s="34"/>
    </row>
    <row r="372" spans="1:13">
      <c r="A372" s="43">
        <v>8856</v>
      </c>
      <c r="B372" s="32" t="s">
        <v>929</v>
      </c>
      <c r="C372" s="32" t="s">
        <v>534</v>
      </c>
      <c r="D372" s="32" t="s">
        <v>484</v>
      </c>
      <c r="E372" s="33"/>
      <c r="F372" s="33"/>
      <c r="G372" s="33"/>
      <c r="H372" s="33"/>
      <c r="I372" s="33"/>
      <c r="J372" s="33"/>
      <c r="K372" s="33"/>
      <c r="L372" s="33"/>
      <c r="M372" s="34"/>
    </row>
    <row r="373" spans="1:13">
      <c r="A373" s="43">
        <v>8857</v>
      </c>
      <c r="B373" s="32" t="s">
        <v>930</v>
      </c>
      <c r="C373" s="32" t="s">
        <v>536</v>
      </c>
      <c r="D373" s="32" t="s">
        <v>484</v>
      </c>
      <c r="E373" s="33"/>
      <c r="F373" s="33"/>
      <c r="G373" s="33"/>
      <c r="H373" s="33"/>
      <c r="I373" s="33"/>
      <c r="J373" s="33"/>
      <c r="K373" s="33"/>
      <c r="L373" s="33"/>
      <c r="M373" s="34"/>
    </row>
    <row r="374" spans="1:13">
      <c r="A374" s="43">
        <v>8858</v>
      </c>
      <c r="B374" s="32" t="s">
        <v>931</v>
      </c>
      <c r="C374" s="32" t="s">
        <v>541</v>
      </c>
      <c r="D374" s="32" t="s">
        <v>484</v>
      </c>
      <c r="E374" s="33"/>
      <c r="F374" s="33"/>
      <c r="G374" s="33"/>
      <c r="H374" s="33"/>
      <c r="I374" s="33"/>
      <c r="J374" s="33"/>
      <c r="K374" s="33"/>
      <c r="L374" s="33"/>
      <c r="M374" s="34"/>
    </row>
    <row r="375" spans="1:13">
      <c r="A375" s="43">
        <v>8859</v>
      </c>
      <c r="B375" s="32" t="s">
        <v>932</v>
      </c>
      <c r="C375" s="32" t="s">
        <v>541</v>
      </c>
      <c r="D375" s="32" t="s">
        <v>484</v>
      </c>
      <c r="E375" s="33"/>
      <c r="F375" s="33"/>
      <c r="G375" s="33"/>
      <c r="H375" s="33"/>
      <c r="I375" s="33"/>
      <c r="J375" s="33"/>
      <c r="K375" s="33"/>
      <c r="L375" s="33"/>
      <c r="M375" s="34"/>
    </row>
    <row r="376" spans="1:13">
      <c r="A376" s="43">
        <v>8860</v>
      </c>
      <c r="B376" s="32" t="s">
        <v>933</v>
      </c>
      <c r="C376" s="35"/>
      <c r="D376" s="32" t="s">
        <v>482</v>
      </c>
      <c r="E376" s="33"/>
      <c r="F376" s="33"/>
      <c r="G376" s="33"/>
      <c r="H376" s="33"/>
      <c r="I376" s="33"/>
      <c r="J376" s="33"/>
      <c r="K376" s="33"/>
      <c r="L376" s="33"/>
      <c r="M376" s="34"/>
    </row>
    <row r="377" spans="1:13">
      <c r="A377" s="43">
        <v>8861</v>
      </c>
      <c r="B377" s="32" t="s">
        <v>934</v>
      </c>
      <c r="C377" s="32" t="s">
        <v>541</v>
      </c>
      <c r="D377" s="32" t="s">
        <v>484</v>
      </c>
      <c r="E377" s="33"/>
      <c r="F377" s="33"/>
      <c r="G377" s="33"/>
      <c r="H377" s="33"/>
      <c r="I377" s="33"/>
      <c r="J377" s="33"/>
      <c r="K377" s="33"/>
      <c r="L377" s="33"/>
      <c r="M377" s="34"/>
    </row>
    <row r="378" spans="1:13">
      <c r="A378" s="43">
        <v>8862</v>
      </c>
      <c r="B378" s="32" t="s">
        <v>935</v>
      </c>
      <c r="C378" s="32" t="s">
        <v>746</v>
      </c>
      <c r="D378" s="32" t="s">
        <v>484</v>
      </c>
      <c r="E378" s="33"/>
      <c r="F378" s="33"/>
      <c r="G378" s="33"/>
      <c r="H378" s="33"/>
      <c r="I378" s="33"/>
      <c r="J378" s="33"/>
      <c r="K378" s="33"/>
      <c r="L378" s="33"/>
      <c r="M378" s="34"/>
    </row>
    <row r="379" spans="1:13">
      <c r="A379" s="43">
        <v>8867</v>
      </c>
      <c r="B379" s="32" t="s">
        <v>936</v>
      </c>
      <c r="C379" s="32" t="s">
        <v>577</v>
      </c>
      <c r="D379" s="32" t="s">
        <v>482</v>
      </c>
      <c r="E379" s="33"/>
      <c r="F379" s="33"/>
      <c r="G379" s="33"/>
      <c r="H379" s="33"/>
      <c r="I379" s="33"/>
      <c r="J379" s="33"/>
      <c r="K379" s="33"/>
      <c r="L379" s="33"/>
      <c r="M379" s="34"/>
    </row>
    <row r="380" spans="1:13">
      <c r="A380" s="43">
        <v>8872</v>
      </c>
      <c r="B380" s="32" t="s">
        <v>937</v>
      </c>
      <c r="C380" s="32" t="s">
        <v>567</v>
      </c>
      <c r="D380" s="32" t="s">
        <v>484</v>
      </c>
      <c r="E380" s="33"/>
      <c r="F380" s="33"/>
      <c r="G380" s="33"/>
      <c r="H380" s="33"/>
      <c r="I380" s="33"/>
      <c r="J380" s="33"/>
      <c r="K380" s="33"/>
      <c r="L380" s="33"/>
      <c r="M380" s="34"/>
    </row>
    <row r="381" spans="1:13">
      <c r="A381" s="43">
        <v>8875</v>
      </c>
      <c r="B381" s="32" t="s">
        <v>938</v>
      </c>
      <c r="C381" s="32" t="s">
        <v>534</v>
      </c>
      <c r="D381" s="32" t="s">
        <v>482</v>
      </c>
      <c r="E381" s="33"/>
      <c r="F381" s="33"/>
      <c r="G381" s="33"/>
      <c r="H381" s="33"/>
      <c r="I381" s="33"/>
      <c r="J381" s="33"/>
      <c r="K381" s="33"/>
      <c r="L381" s="33"/>
      <c r="M381" s="34"/>
    </row>
    <row r="382" spans="1:13">
      <c r="A382" s="43">
        <v>8878</v>
      </c>
      <c r="B382" s="32" t="s">
        <v>939</v>
      </c>
      <c r="C382" s="32" t="s">
        <v>718</v>
      </c>
      <c r="D382" s="32" t="s">
        <v>484</v>
      </c>
      <c r="E382" s="33"/>
      <c r="F382" s="33"/>
      <c r="G382" s="33"/>
      <c r="H382" s="33"/>
      <c r="I382" s="33"/>
      <c r="J382" s="33"/>
      <c r="K382" s="33"/>
      <c r="L382" s="33"/>
      <c r="M382" s="34"/>
    </row>
    <row r="383" spans="1:13">
      <c r="A383" s="43">
        <v>8879</v>
      </c>
      <c r="B383" s="32" t="s">
        <v>940</v>
      </c>
      <c r="C383" s="32" t="s">
        <v>570</v>
      </c>
      <c r="D383" s="32" t="s">
        <v>482</v>
      </c>
      <c r="E383" s="33"/>
      <c r="F383" s="33"/>
      <c r="G383" s="33"/>
      <c r="H383" s="33"/>
      <c r="I383" s="33"/>
      <c r="J383" s="33"/>
      <c r="K383" s="33"/>
      <c r="L383" s="33"/>
      <c r="M383" s="34"/>
    </row>
    <row r="384" spans="1:13">
      <c r="A384" s="43">
        <v>8885</v>
      </c>
      <c r="B384" s="32" t="s">
        <v>941</v>
      </c>
      <c r="C384" s="32" t="s">
        <v>541</v>
      </c>
      <c r="D384" s="32" t="s">
        <v>482</v>
      </c>
      <c r="E384" s="33"/>
      <c r="F384" s="33"/>
      <c r="G384" s="33"/>
      <c r="H384" s="33"/>
      <c r="I384" s="33"/>
      <c r="J384" s="33"/>
      <c r="K384" s="33"/>
      <c r="L384" s="33"/>
      <c r="M384" s="34"/>
    </row>
    <row r="385" spans="1:13">
      <c r="A385" s="43">
        <v>8886</v>
      </c>
      <c r="B385" s="32" t="s">
        <v>942</v>
      </c>
      <c r="C385" s="32" t="s">
        <v>536</v>
      </c>
      <c r="D385" s="32" t="s">
        <v>484</v>
      </c>
      <c r="E385" s="33"/>
      <c r="F385" s="33"/>
      <c r="G385" s="33"/>
      <c r="H385" s="33"/>
      <c r="I385" s="33"/>
      <c r="J385" s="33"/>
      <c r="K385" s="33"/>
      <c r="L385" s="33"/>
      <c r="M385" s="34"/>
    </row>
    <row r="386" spans="1:13">
      <c r="A386" s="43">
        <v>8888</v>
      </c>
      <c r="B386" s="32" t="s">
        <v>943</v>
      </c>
      <c r="C386" s="32" t="s">
        <v>897</v>
      </c>
      <c r="D386" s="32" t="s">
        <v>484</v>
      </c>
      <c r="E386" s="33"/>
      <c r="F386" s="33"/>
      <c r="G386" s="33"/>
      <c r="H386" s="33"/>
      <c r="I386" s="33"/>
      <c r="J386" s="33"/>
      <c r="K386" s="33"/>
      <c r="L386" s="33"/>
      <c r="M386" s="34"/>
    </row>
    <row r="387" spans="1:13">
      <c r="A387" s="43">
        <v>8889</v>
      </c>
      <c r="B387" s="32" t="s">
        <v>944</v>
      </c>
      <c r="C387" s="32" t="s">
        <v>552</v>
      </c>
      <c r="D387" s="32" t="s">
        <v>484</v>
      </c>
      <c r="E387" s="33"/>
      <c r="F387" s="33"/>
      <c r="G387" s="33"/>
      <c r="H387" s="33"/>
      <c r="I387" s="33"/>
      <c r="J387" s="33"/>
      <c r="K387" s="33"/>
      <c r="L387" s="33"/>
      <c r="M387" s="34"/>
    </row>
    <row r="388" spans="1:13">
      <c r="A388" s="43">
        <v>8890</v>
      </c>
      <c r="B388" s="32" t="s">
        <v>945</v>
      </c>
      <c r="C388" s="32" t="s">
        <v>532</v>
      </c>
      <c r="D388" s="32" t="s">
        <v>484</v>
      </c>
      <c r="E388" s="33"/>
      <c r="F388" s="33"/>
      <c r="G388" s="33"/>
      <c r="H388" s="33"/>
      <c r="I388" s="33"/>
      <c r="J388" s="33"/>
      <c r="K388" s="33"/>
      <c r="L388" s="33"/>
      <c r="M388" s="34"/>
    </row>
    <row r="389" spans="1:13">
      <c r="A389" s="43">
        <v>8891</v>
      </c>
      <c r="B389" s="32" t="s">
        <v>946</v>
      </c>
      <c r="C389" s="32" t="s">
        <v>589</v>
      </c>
      <c r="D389" s="32" t="s">
        <v>484</v>
      </c>
      <c r="E389" s="33"/>
      <c r="F389" s="33"/>
      <c r="G389" s="33"/>
      <c r="H389" s="33"/>
      <c r="I389" s="33"/>
      <c r="J389" s="33"/>
      <c r="K389" s="33"/>
      <c r="L389" s="33"/>
      <c r="M389" s="34"/>
    </row>
    <row r="390" spans="1:13">
      <c r="A390" s="43">
        <v>8895</v>
      </c>
      <c r="B390" s="32" t="s">
        <v>947</v>
      </c>
      <c r="C390" s="32" t="s">
        <v>570</v>
      </c>
      <c r="D390" s="32" t="s">
        <v>482</v>
      </c>
      <c r="E390" s="33"/>
      <c r="F390" s="33"/>
      <c r="G390" s="33"/>
      <c r="H390" s="33"/>
      <c r="I390" s="33"/>
      <c r="J390" s="33"/>
      <c r="K390" s="33"/>
      <c r="L390" s="33"/>
      <c r="M390" s="34"/>
    </row>
    <row r="391" spans="1:13">
      <c r="A391" s="43">
        <v>8896</v>
      </c>
      <c r="B391" s="32" t="s">
        <v>948</v>
      </c>
      <c r="C391" s="32" t="s">
        <v>897</v>
      </c>
      <c r="D391" s="32" t="s">
        <v>482</v>
      </c>
      <c r="E391" s="33"/>
      <c r="F391" s="33"/>
      <c r="G391" s="33"/>
      <c r="H391" s="33"/>
      <c r="I391" s="33"/>
      <c r="J391" s="33"/>
      <c r="K391" s="33"/>
      <c r="L391" s="33"/>
      <c r="M391" s="34"/>
    </row>
    <row r="392" spans="1:13">
      <c r="A392" s="43">
        <v>8897</v>
      </c>
      <c r="B392" s="32" t="s">
        <v>949</v>
      </c>
      <c r="C392" s="32" t="s">
        <v>554</v>
      </c>
      <c r="D392" s="32" t="s">
        <v>484</v>
      </c>
      <c r="E392" s="33"/>
      <c r="F392" s="33"/>
      <c r="G392" s="33"/>
      <c r="H392" s="33"/>
      <c r="I392" s="33"/>
      <c r="J392" s="33"/>
      <c r="K392" s="33"/>
      <c r="L392" s="33"/>
      <c r="M392" s="34"/>
    </row>
    <row r="393" spans="1:13">
      <c r="A393" s="43">
        <v>8900</v>
      </c>
      <c r="B393" s="32" t="s">
        <v>950</v>
      </c>
      <c r="C393" s="35"/>
      <c r="D393" s="32" t="s">
        <v>484</v>
      </c>
      <c r="E393" s="33"/>
      <c r="F393" s="33"/>
      <c r="G393" s="33"/>
      <c r="H393" s="33"/>
      <c r="I393" s="33"/>
      <c r="J393" s="33"/>
      <c r="K393" s="33"/>
      <c r="L393" s="33"/>
      <c r="M393" s="34"/>
    </row>
    <row r="394" spans="1:13">
      <c r="A394" s="43">
        <v>8908</v>
      </c>
      <c r="B394" s="32" t="s">
        <v>951</v>
      </c>
      <c r="C394" s="32" t="s">
        <v>952</v>
      </c>
      <c r="D394" s="32" t="s">
        <v>484</v>
      </c>
      <c r="E394" s="33"/>
      <c r="F394" s="33"/>
      <c r="G394" s="33"/>
      <c r="H394" s="33"/>
      <c r="I394" s="33"/>
      <c r="J394" s="33"/>
      <c r="K394" s="33"/>
      <c r="L394" s="33"/>
      <c r="M394" s="34"/>
    </row>
    <row r="395" spans="1:13">
      <c r="A395" s="43">
        <v>8909</v>
      </c>
      <c r="B395" s="32" t="s">
        <v>953</v>
      </c>
      <c r="C395" s="35"/>
      <c r="D395" s="32" t="s">
        <v>484</v>
      </c>
      <c r="E395" s="33"/>
      <c r="F395" s="33"/>
      <c r="G395" s="33"/>
      <c r="H395" s="33"/>
      <c r="I395" s="33"/>
      <c r="J395" s="33"/>
      <c r="K395" s="33"/>
      <c r="L395" s="33"/>
      <c r="M395" s="34"/>
    </row>
    <row r="396" spans="1:13">
      <c r="A396" s="43">
        <v>8910</v>
      </c>
      <c r="B396" s="32" t="s">
        <v>954</v>
      </c>
      <c r="C396" s="35"/>
      <c r="D396" s="32" t="s">
        <v>484</v>
      </c>
      <c r="E396" s="33"/>
      <c r="F396" s="33"/>
      <c r="G396" s="33"/>
      <c r="H396" s="33"/>
      <c r="I396" s="33"/>
      <c r="J396" s="33"/>
      <c r="K396" s="33"/>
      <c r="L396" s="33"/>
      <c r="M396" s="34"/>
    </row>
    <row r="397" spans="1:13">
      <c r="A397" s="43">
        <v>8912</v>
      </c>
      <c r="B397" s="32" t="s">
        <v>955</v>
      </c>
      <c r="C397" s="35"/>
      <c r="D397" s="32" t="s">
        <v>484</v>
      </c>
      <c r="E397" s="33"/>
      <c r="F397" s="33"/>
      <c r="G397" s="33"/>
      <c r="H397" s="33"/>
      <c r="I397" s="33"/>
      <c r="J397" s="33"/>
      <c r="K397" s="33"/>
      <c r="L397" s="33"/>
      <c r="M397" s="34"/>
    </row>
    <row r="398" spans="1:13">
      <c r="A398" s="43">
        <v>8913</v>
      </c>
      <c r="B398" s="32" t="s">
        <v>956</v>
      </c>
      <c r="C398" s="32" t="s">
        <v>829</v>
      </c>
      <c r="D398" s="32" t="s">
        <v>482</v>
      </c>
      <c r="E398" s="33"/>
      <c r="F398" s="33"/>
      <c r="G398" s="33"/>
      <c r="H398" s="33"/>
      <c r="I398" s="33"/>
      <c r="J398" s="33"/>
      <c r="K398" s="33"/>
      <c r="L398" s="33"/>
      <c r="M398" s="34"/>
    </row>
    <row r="399" spans="1:13">
      <c r="A399" s="46">
        <v>8914</v>
      </c>
      <c r="B399" s="38" t="s">
        <v>957</v>
      </c>
      <c r="C399" s="38" t="s">
        <v>958</v>
      </c>
      <c r="D399" s="38" t="s">
        <v>484</v>
      </c>
      <c r="E399" s="33"/>
      <c r="F399" s="33"/>
      <c r="G399" s="33"/>
      <c r="H399" s="33"/>
      <c r="I399" s="33"/>
      <c r="J399" s="33"/>
      <c r="K399" s="33"/>
      <c r="L399" s="33"/>
      <c r="M399" s="34"/>
    </row>
    <row r="400" spans="1:13">
      <c r="A400" s="43">
        <v>8916</v>
      </c>
      <c r="B400" s="32" t="s">
        <v>959</v>
      </c>
      <c r="C400" s="32" t="s">
        <v>549</v>
      </c>
      <c r="D400" s="32" t="s">
        <v>484</v>
      </c>
      <c r="E400" s="33"/>
      <c r="F400" s="33"/>
      <c r="G400" s="33"/>
      <c r="H400" s="33"/>
      <c r="I400" s="33"/>
      <c r="J400" s="33"/>
      <c r="K400" s="33"/>
      <c r="L400" s="33"/>
      <c r="M400" s="34"/>
    </row>
    <row r="401" spans="1:13">
      <c r="A401" s="43">
        <v>8917</v>
      </c>
      <c r="B401" s="32" t="s">
        <v>960</v>
      </c>
      <c r="C401" s="32" t="s">
        <v>961</v>
      </c>
      <c r="D401" s="32" t="s">
        <v>482</v>
      </c>
      <c r="E401" s="33"/>
      <c r="F401" s="33"/>
      <c r="G401" s="33"/>
      <c r="H401" s="33"/>
      <c r="I401" s="33"/>
      <c r="J401" s="33"/>
      <c r="K401" s="33"/>
      <c r="L401" s="33"/>
      <c r="M401" s="34"/>
    </row>
    <row r="402" spans="1:13">
      <c r="A402" s="43">
        <v>8918</v>
      </c>
      <c r="B402" s="32" t="s">
        <v>962</v>
      </c>
      <c r="C402" s="35"/>
      <c r="D402" s="32" t="s">
        <v>482</v>
      </c>
      <c r="E402" s="33"/>
      <c r="F402" s="33"/>
      <c r="G402" s="33"/>
      <c r="H402" s="33"/>
      <c r="I402" s="33"/>
      <c r="J402" s="33"/>
      <c r="K402" s="33"/>
      <c r="L402" s="33"/>
      <c r="M402" s="34"/>
    </row>
    <row r="403" spans="1:13">
      <c r="A403" s="43">
        <v>8919</v>
      </c>
      <c r="B403" s="32" t="s">
        <v>963</v>
      </c>
      <c r="C403" s="32" t="s">
        <v>829</v>
      </c>
      <c r="D403" s="32" t="s">
        <v>482</v>
      </c>
      <c r="E403" s="33"/>
      <c r="F403" s="33"/>
      <c r="G403" s="33"/>
      <c r="H403" s="33"/>
      <c r="I403" s="33"/>
      <c r="J403" s="33"/>
      <c r="K403" s="33"/>
      <c r="L403" s="33"/>
      <c r="M403" s="34"/>
    </row>
    <row r="404" spans="1:13">
      <c r="A404" s="43">
        <v>8920</v>
      </c>
      <c r="B404" s="32" t="s">
        <v>964</v>
      </c>
      <c r="C404" s="32" t="s">
        <v>570</v>
      </c>
      <c r="D404" s="32" t="s">
        <v>482</v>
      </c>
      <c r="E404" s="33"/>
      <c r="F404" s="33"/>
      <c r="G404" s="33"/>
      <c r="H404" s="33"/>
      <c r="I404" s="33"/>
      <c r="J404" s="33"/>
      <c r="K404" s="33"/>
      <c r="L404" s="33"/>
      <c r="M404" s="34"/>
    </row>
    <row r="405" spans="1:13">
      <c r="A405" s="43">
        <v>8922</v>
      </c>
      <c r="B405" s="32" t="s">
        <v>965</v>
      </c>
      <c r="C405" s="32" t="s">
        <v>552</v>
      </c>
      <c r="D405" s="32" t="s">
        <v>484</v>
      </c>
      <c r="E405" s="33"/>
      <c r="F405" s="33"/>
      <c r="G405" s="33"/>
      <c r="H405" s="33"/>
      <c r="I405" s="33"/>
      <c r="J405" s="33"/>
      <c r="K405" s="33"/>
      <c r="L405" s="33"/>
      <c r="M405" s="34"/>
    </row>
    <row r="406" spans="1:13">
      <c r="A406" s="43">
        <v>8923</v>
      </c>
      <c r="B406" s="32" t="s">
        <v>966</v>
      </c>
      <c r="C406" s="32" t="s">
        <v>552</v>
      </c>
      <c r="D406" s="32" t="s">
        <v>484</v>
      </c>
      <c r="E406" s="33"/>
      <c r="F406" s="33"/>
      <c r="G406" s="33"/>
      <c r="H406" s="33"/>
      <c r="I406" s="33"/>
      <c r="J406" s="33"/>
      <c r="K406" s="33"/>
      <c r="L406" s="33"/>
      <c r="M406" s="34"/>
    </row>
    <row r="407" spans="1:13">
      <c r="A407" s="43">
        <v>8924</v>
      </c>
      <c r="B407" s="32" t="s">
        <v>967</v>
      </c>
      <c r="C407" s="35"/>
      <c r="D407" s="32" t="s">
        <v>484</v>
      </c>
      <c r="E407" s="33"/>
      <c r="F407" s="33"/>
      <c r="G407" s="33"/>
      <c r="H407" s="33"/>
      <c r="I407" s="33"/>
      <c r="J407" s="33"/>
      <c r="K407" s="33"/>
      <c r="L407" s="33"/>
      <c r="M407" s="34"/>
    </row>
    <row r="408" spans="1:13">
      <c r="A408" s="43">
        <v>8926</v>
      </c>
      <c r="B408" s="32" t="s">
        <v>968</v>
      </c>
      <c r="C408" s="32" t="s">
        <v>549</v>
      </c>
      <c r="D408" s="32" t="s">
        <v>484</v>
      </c>
      <c r="E408" s="33"/>
      <c r="F408" s="33"/>
      <c r="G408" s="33"/>
      <c r="H408" s="33"/>
      <c r="I408" s="33"/>
      <c r="J408" s="33"/>
      <c r="K408" s="33"/>
      <c r="L408" s="33"/>
      <c r="M408" s="34"/>
    </row>
    <row r="409" spans="1:13">
      <c r="A409" s="43">
        <v>8927</v>
      </c>
      <c r="B409" s="32" t="s">
        <v>969</v>
      </c>
      <c r="C409" s="32" t="s">
        <v>552</v>
      </c>
      <c r="D409" s="32" t="s">
        <v>484</v>
      </c>
      <c r="E409" s="33"/>
      <c r="F409" s="33"/>
      <c r="G409" s="33"/>
      <c r="H409" s="33"/>
      <c r="I409" s="33"/>
      <c r="J409" s="33"/>
      <c r="K409" s="33"/>
      <c r="L409" s="33"/>
      <c r="M409" s="34"/>
    </row>
    <row r="410" spans="1:13">
      <c r="A410" s="43">
        <v>8928</v>
      </c>
      <c r="B410" s="32" t="s">
        <v>970</v>
      </c>
      <c r="C410" s="32" t="s">
        <v>552</v>
      </c>
      <c r="D410" s="32" t="s">
        <v>484</v>
      </c>
      <c r="E410" s="33"/>
      <c r="F410" s="33"/>
      <c r="G410" s="33"/>
      <c r="H410" s="33"/>
      <c r="I410" s="33"/>
      <c r="J410" s="33"/>
      <c r="K410" s="33"/>
      <c r="L410" s="33"/>
      <c r="M410" s="34"/>
    </row>
    <row r="411" spans="1:13">
      <c r="A411" s="43">
        <v>8929</v>
      </c>
      <c r="B411" s="32" t="s">
        <v>971</v>
      </c>
      <c r="C411" s="32" t="s">
        <v>552</v>
      </c>
      <c r="D411" s="32" t="s">
        <v>484</v>
      </c>
      <c r="E411" s="33"/>
      <c r="F411" s="33"/>
      <c r="G411" s="33"/>
      <c r="H411" s="33"/>
      <c r="I411" s="33"/>
      <c r="J411" s="33"/>
      <c r="K411" s="33"/>
      <c r="L411" s="33"/>
      <c r="M411" s="34"/>
    </row>
    <row r="412" spans="1:13">
      <c r="A412" s="43">
        <v>8930</v>
      </c>
      <c r="B412" s="32" t="s">
        <v>972</v>
      </c>
      <c r="C412" s="35"/>
      <c r="D412" s="32" t="s">
        <v>484</v>
      </c>
      <c r="E412" s="33"/>
      <c r="F412" s="33"/>
      <c r="G412" s="33"/>
      <c r="H412" s="33"/>
      <c r="I412" s="33"/>
      <c r="J412" s="33"/>
      <c r="K412" s="33"/>
      <c r="L412" s="33"/>
      <c r="M412" s="34"/>
    </row>
    <row r="413" spans="1:13">
      <c r="A413" s="43">
        <v>8931</v>
      </c>
      <c r="B413" s="32" t="s">
        <v>973</v>
      </c>
      <c r="C413" s="32" t="s">
        <v>552</v>
      </c>
      <c r="D413" s="32" t="s">
        <v>484</v>
      </c>
      <c r="E413" s="33"/>
      <c r="F413" s="33"/>
      <c r="G413" s="33"/>
      <c r="H413" s="33"/>
      <c r="I413" s="33"/>
      <c r="J413" s="33"/>
      <c r="K413" s="33"/>
      <c r="L413" s="33"/>
      <c r="M413" s="34"/>
    </row>
    <row r="414" spans="1:13">
      <c r="A414" s="43">
        <v>8932</v>
      </c>
      <c r="B414" s="32" t="s">
        <v>974</v>
      </c>
      <c r="C414" s="32" t="s">
        <v>975</v>
      </c>
      <c r="D414" s="32" t="s">
        <v>484</v>
      </c>
      <c r="E414" s="33"/>
      <c r="F414" s="33"/>
      <c r="G414" s="33"/>
      <c r="H414" s="33"/>
      <c r="I414" s="33"/>
      <c r="J414" s="33"/>
      <c r="K414" s="33"/>
      <c r="L414" s="33"/>
      <c r="M414" s="34"/>
    </row>
    <row r="415" spans="1:13">
      <c r="A415" s="43">
        <v>8933</v>
      </c>
      <c r="B415" s="32" t="s">
        <v>976</v>
      </c>
      <c r="C415" s="32" t="s">
        <v>534</v>
      </c>
      <c r="D415" s="32" t="s">
        <v>482</v>
      </c>
      <c r="E415" s="33"/>
      <c r="F415" s="33"/>
      <c r="G415" s="33"/>
      <c r="H415" s="33"/>
      <c r="I415" s="33"/>
      <c r="J415" s="33"/>
      <c r="K415" s="33"/>
      <c r="L415" s="33"/>
      <c r="M415" s="34"/>
    </row>
    <row r="416" spans="1:13">
      <c r="A416" s="43">
        <v>8934</v>
      </c>
      <c r="B416" s="32" t="s">
        <v>977</v>
      </c>
      <c r="C416" s="32" t="s">
        <v>552</v>
      </c>
      <c r="D416" s="32" t="s">
        <v>484</v>
      </c>
      <c r="E416" s="33"/>
      <c r="F416" s="33"/>
      <c r="G416" s="33"/>
      <c r="H416" s="33"/>
      <c r="I416" s="33"/>
      <c r="J416" s="33"/>
      <c r="K416" s="33"/>
      <c r="L416" s="33"/>
      <c r="M416" s="34"/>
    </row>
    <row r="417" spans="1:13">
      <c r="A417" s="43">
        <v>8935</v>
      </c>
      <c r="B417" s="32" t="s">
        <v>978</v>
      </c>
      <c r="C417" s="32" t="s">
        <v>554</v>
      </c>
      <c r="D417" s="32" t="s">
        <v>482</v>
      </c>
      <c r="E417" s="33"/>
      <c r="F417" s="33"/>
      <c r="G417" s="33"/>
      <c r="H417" s="33"/>
      <c r="I417" s="33"/>
      <c r="J417" s="33"/>
      <c r="K417" s="33"/>
      <c r="L417" s="33"/>
      <c r="M417" s="34"/>
    </row>
    <row r="418" spans="1:13">
      <c r="A418" s="43">
        <v>8936</v>
      </c>
      <c r="B418" s="32" t="s">
        <v>979</v>
      </c>
      <c r="C418" s="35"/>
      <c r="D418" s="32" t="s">
        <v>482</v>
      </c>
      <c r="E418" s="33"/>
      <c r="F418" s="33"/>
      <c r="G418" s="33"/>
      <c r="H418" s="33"/>
      <c r="I418" s="33"/>
      <c r="J418" s="33"/>
      <c r="K418" s="33"/>
      <c r="L418" s="33"/>
      <c r="M418" s="34"/>
    </row>
    <row r="419" spans="1:13">
      <c r="A419" s="43">
        <v>8937</v>
      </c>
      <c r="B419" s="32" t="s">
        <v>980</v>
      </c>
      <c r="C419" s="32" t="s">
        <v>981</v>
      </c>
      <c r="D419" s="32" t="s">
        <v>482</v>
      </c>
      <c r="E419" s="33"/>
      <c r="F419" s="33"/>
      <c r="G419" s="33"/>
      <c r="H419" s="33"/>
      <c r="I419" s="33"/>
      <c r="J419" s="33"/>
      <c r="K419" s="33"/>
      <c r="L419" s="33"/>
      <c r="M419" s="34"/>
    </row>
    <row r="420" spans="1:13">
      <c r="A420" s="43">
        <v>8938</v>
      </c>
      <c r="B420" s="32" t="s">
        <v>982</v>
      </c>
      <c r="C420" s="35"/>
      <c r="D420" s="32" t="s">
        <v>484</v>
      </c>
      <c r="E420" s="33"/>
      <c r="F420" s="33"/>
      <c r="G420" s="33"/>
      <c r="H420" s="33"/>
      <c r="I420" s="33"/>
      <c r="J420" s="33"/>
      <c r="K420" s="33"/>
      <c r="L420" s="33"/>
      <c r="M420" s="34"/>
    </row>
    <row r="421" spans="1:13">
      <c r="A421" s="43">
        <v>8939</v>
      </c>
      <c r="B421" s="32" t="s">
        <v>983</v>
      </c>
      <c r="C421" s="32" t="s">
        <v>604</v>
      </c>
      <c r="D421" s="32" t="s">
        <v>482</v>
      </c>
      <c r="E421" s="33"/>
      <c r="F421" s="33"/>
      <c r="G421" s="33"/>
      <c r="H421" s="33"/>
      <c r="I421" s="33"/>
      <c r="J421" s="33"/>
      <c r="K421" s="33"/>
      <c r="L421" s="33"/>
      <c r="M421" s="34"/>
    </row>
    <row r="422" spans="1:13">
      <c r="A422" s="43">
        <v>8940</v>
      </c>
      <c r="B422" s="32" t="s">
        <v>984</v>
      </c>
      <c r="C422" s="32" t="s">
        <v>570</v>
      </c>
      <c r="D422" s="32" t="s">
        <v>482</v>
      </c>
      <c r="E422" s="33"/>
      <c r="F422" s="33"/>
      <c r="G422" s="33"/>
      <c r="H422" s="33"/>
      <c r="I422" s="33"/>
      <c r="J422" s="33"/>
      <c r="K422" s="33"/>
      <c r="L422" s="33"/>
      <c r="M422" s="34"/>
    </row>
    <row r="423" spans="1:13">
      <c r="A423" s="43">
        <v>8941</v>
      </c>
      <c r="B423" s="32" t="s">
        <v>985</v>
      </c>
      <c r="C423" s="32" t="s">
        <v>532</v>
      </c>
      <c r="D423" s="32" t="s">
        <v>482</v>
      </c>
      <c r="E423" s="33"/>
      <c r="F423" s="33"/>
      <c r="G423" s="33"/>
      <c r="H423" s="33"/>
      <c r="I423" s="33"/>
      <c r="J423" s="33"/>
      <c r="K423" s="33"/>
      <c r="L423" s="33"/>
      <c r="M423" s="34"/>
    </row>
    <row r="424" spans="1:13">
      <c r="A424" s="43">
        <v>8942</v>
      </c>
      <c r="B424" s="32" t="s">
        <v>986</v>
      </c>
      <c r="C424" s="32" t="s">
        <v>718</v>
      </c>
      <c r="D424" s="32" t="s">
        <v>484</v>
      </c>
      <c r="E424" s="33"/>
      <c r="F424" s="33"/>
      <c r="G424" s="33"/>
      <c r="H424" s="33"/>
      <c r="I424" s="33"/>
      <c r="J424" s="33"/>
      <c r="K424" s="33"/>
      <c r="L424" s="33"/>
      <c r="M424" s="34"/>
    </row>
    <row r="425" spans="1:13">
      <c r="A425" s="43">
        <v>8943</v>
      </c>
      <c r="B425" s="32" t="s">
        <v>987</v>
      </c>
      <c r="C425" s="32" t="s">
        <v>534</v>
      </c>
      <c r="D425" s="32" t="s">
        <v>484</v>
      </c>
      <c r="E425" s="33"/>
      <c r="F425" s="33"/>
      <c r="G425" s="33"/>
      <c r="H425" s="33"/>
      <c r="I425" s="33"/>
      <c r="J425" s="33"/>
      <c r="K425" s="33"/>
      <c r="L425" s="33"/>
      <c r="M425" s="34"/>
    </row>
    <row r="426" spans="1:13">
      <c r="A426" s="43">
        <v>8944</v>
      </c>
      <c r="B426" s="32" t="s">
        <v>988</v>
      </c>
      <c r="C426" s="35"/>
      <c r="D426" s="32" t="s">
        <v>484</v>
      </c>
      <c r="E426" s="33"/>
      <c r="F426" s="33"/>
      <c r="G426" s="33"/>
      <c r="H426" s="33"/>
      <c r="I426" s="33"/>
      <c r="J426" s="33"/>
      <c r="K426" s="33"/>
      <c r="L426" s="33"/>
      <c r="M426" s="34"/>
    </row>
    <row r="427" spans="1:13">
      <c r="A427" s="43">
        <v>8945</v>
      </c>
      <c r="B427" s="32" t="s">
        <v>989</v>
      </c>
      <c r="C427" s="32" t="s">
        <v>570</v>
      </c>
      <c r="D427" s="32" t="s">
        <v>482</v>
      </c>
      <c r="E427" s="33"/>
      <c r="F427" s="33"/>
      <c r="G427" s="33"/>
      <c r="H427" s="33"/>
      <c r="I427" s="33"/>
      <c r="J427" s="33"/>
      <c r="K427" s="33"/>
      <c r="L427" s="33"/>
      <c r="M427" s="34"/>
    </row>
    <row r="428" spans="1:13">
      <c r="A428" s="43">
        <v>8946</v>
      </c>
      <c r="B428" s="32" t="s">
        <v>990</v>
      </c>
      <c r="C428" s="32" t="s">
        <v>570</v>
      </c>
      <c r="D428" s="32" t="s">
        <v>482</v>
      </c>
      <c r="E428" s="33"/>
      <c r="F428" s="33"/>
      <c r="G428" s="33"/>
      <c r="H428" s="33"/>
      <c r="I428" s="33"/>
      <c r="J428" s="33"/>
      <c r="K428" s="33"/>
      <c r="L428" s="33"/>
      <c r="M428" s="34"/>
    </row>
    <row r="429" spans="1:13">
      <c r="A429" s="43">
        <v>8947</v>
      </c>
      <c r="B429" s="32" t="s">
        <v>991</v>
      </c>
      <c r="C429" s="32" t="s">
        <v>534</v>
      </c>
      <c r="D429" s="32" t="s">
        <v>484</v>
      </c>
      <c r="E429" s="33"/>
      <c r="F429" s="33"/>
      <c r="G429" s="33"/>
      <c r="H429" s="33"/>
      <c r="I429" s="33"/>
      <c r="J429" s="33"/>
      <c r="K429" s="33"/>
      <c r="L429" s="33"/>
      <c r="M429" s="34"/>
    </row>
    <row r="430" spans="1:13">
      <c r="A430" s="43">
        <v>8948</v>
      </c>
      <c r="B430" s="32" t="s">
        <v>992</v>
      </c>
      <c r="C430" s="32" t="s">
        <v>534</v>
      </c>
      <c r="D430" s="32" t="s">
        <v>482</v>
      </c>
      <c r="E430" s="33"/>
      <c r="F430" s="33"/>
      <c r="G430" s="33"/>
      <c r="H430" s="33"/>
      <c r="I430" s="33"/>
      <c r="J430" s="33"/>
      <c r="K430" s="33"/>
      <c r="L430" s="33"/>
      <c r="M430" s="34"/>
    </row>
    <row r="431" spans="1:13">
      <c r="A431" s="46">
        <v>8949</v>
      </c>
      <c r="B431" s="38" t="s">
        <v>993</v>
      </c>
      <c r="C431" s="38" t="s">
        <v>994</v>
      </c>
      <c r="D431" s="39" t="s">
        <v>482</v>
      </c>
      <c r="E431" s="33"/>
      <c r="F431" s="33"/>
      <c r="G431" s="33"/>
      <c r="H431" s="33"/>
      <c r="I431" s="33"/>
      <c r="J431" s="33"/>
      <c r="K431" s="33"/>
      <c r="L431" s="33"/>
      <c r="M431" s="34"/>
    </row>
    <row r="432" spans="1:13">
      <c r="A432" s="46">
        <v>8950</v>
      </c>
      <c r="B432" s="38" t="s">
        <v>995</v>
      </c>
      <c r="C432" s="38" t="s">
        <v>996</v>
      </c>
      <c r="D432" s="39" t="s">
        <v>484</v>
      </c>
      <c r="E432" s="33"/>
      <c r="F432" s="33"/>
      <c r="G432" s="33"/>
      <c r="H432" s="33"/>
      <c r="I432" s="33"/>
      <c r="J432" s="33"/>
      <c r="K432" s="33"/>
      <c r="L432" s="33"/>
      <c r="M432" s="34"/>
    </row>
    <row r="433" spans="1:13">
      <c r="A433" s="46">
        <v>8951</v>
      </c>
      <c r="B433" s="38" t="s">
        <v>997</v>
      </c>
      <c r="C433" s="38" t="s">
        <v>996</v>
      </c>
      <c r="D433" s="39" t="s">
        <v>482</v>
      </c>
      <c r="E433" s="33"/>
      <c r="F433" s="33"/>
      <c r="G433" s="33"/>
      <c r="H433" s="33"/>
      <c r="I433" s="33"/>
      <c r="J433" s="33"/>
      <c r="K433" s="33"/>
      <c r="L433" s="33"/>
      <c r="M433" s="34"/>
    </row>
    <row r="434" spans="1:13">
      <c r="A434" s="40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4"/>
    </row>
    <row r="435" spans="1:13">
      <c r="A435" s="40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4"/>
    </row>
    <row r="436" spans="1:13">
      <c r="A436" s="40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4"/>
    </row>
    <row r="437" spans="1:13">
      <c r="A437" s="40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4"/>
    </row>
    <row r="438" spans="1:13">
      <c r="A438" s="40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4"/>
    </row>
    <row r="439" spans="1:13">
      <c r="A439" s="40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4"/>
    </row>
    <row r="440" spans="1:13">
      <c r="A440" s="40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4"/>
    </row>
    <row r="441" spans="1:13">
      <c r="A441" s="40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4"/>
    </row>
    <row r="442" spans="1:13">
      <c r="A442" s="40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4"/>
    </row>
    <row r="443" spans="1:13">
      <c r="A443" s="40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4"/>
    </row>
    <row r="444" spans="1:13">
      <c r="A444" s="40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4"/>
    </row>
    <row r="445" spans="1:13">
      <c r="A445" s="40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4"/>
    </row>
    <row r="446" spans="1:13">
      <c r="A446" s="40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4"/>
    </row>
    <row r="447" spans="1:13">
      <c r="A447" s="40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4"/>
    </row>
    <row r="448" spans="1:13">
      <c r="A448" s="40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4"/>
    </row>
    <row r="449" spans="1:13">
      <c r="A449" s="40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4"/>
    </row>
    <row r="450" spans="1:13">
      <c r="A450" s="40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4"/>
    </row>
    <row r="451" spans="1:13">
      <c r="A451" s="40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4"/>
    </row>
    <row r="452" spans="1:13">
      <c r="A452" s="40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4"/>
    </row>
    <row r="453" spans="1:13">
      <c r="A453" s="40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4"/>
    </row>
    <row r="454" spans="1:13">
      <c r="A454" s="40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4"/>
    </row>
    <row r="455" spans="1:13">
      <c r="A455" s="40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4"/>
    </row>
    <row r="456" spans="1:13">
      <c r="A456" s="40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4"/>
    </row>
    <row r="457" spans="1:13">
      <c r="A457" s="40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4"/>
    </row>
    <row r="458" spans="1:13">
      <c r="A458" s="40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4"/>
    </row>
    <row r="459" spans="1:13">
      <c r="A459" s="40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4"/>
    </row>
    <row r="460" spans="1:13">
      <c r="A460" s="40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4"/>
    </row>
    <row r="461" spans="1:13">
      <c r="A461" s="40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4"/>
    </row>
    <row r="462" spans="1:13">
      <c r="A462" s="40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4"/>
    </row>
    <row r="463" spans="1:13">
      <c r="A463" s="40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4"/>
    </row>
    <row r="464" spans="1:13">
      <c r="A464" s="40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4"/>
    </row>
    <row r="465" spans="1:13">
      <c r="A465" s="40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4"/>
    </row>
    <row r="466" spans="1:13">
      <c r="A466" s="40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4"/>
    </row>
    <row r="467" spans="1:13">
      <c r="A467" s="40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4"/>
    </row>
    <row r="468" spans="1:13">
      <c r="A468" s="40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4"/>
    </row>
    <row r="469" spans="1:13">
      <c r="A469" s="40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4"/>
    </row>
    <row r="470" spans="1:13">
      <c r="A470" s="40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4"/>
    </row>
    <row r="471" spans="1:13">
      <c r="A471" s="40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4"/>
    </row>
    <row r="472" spans="1:13">
      <c r="A472" s="40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4"/>
    </row>
    <row r="473" spans="1:13">
      <c r="A473" s="40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4"/>
    </row>
    <row r="474" spans="1:13">
      <c r="A474" s="40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4"/>
    </row>
    <row r="475" spans="1:13">
      <c r="A475" s="40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4"/>
    </row>
    <row r="476" spans="1:13">
      <c r="A476" s="40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4"/>
    </row>
    <row r="477" spans="1:13">
      <c r="A477" s="40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4"/>
    </row>
    <row r="478" spans="1:13">
      <c r="A478" s="40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4"/>
    </row>
    <row r="479" spans="1:13">
      <c r="A479" s="40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4"/>
    </row>
    <row r="480" spans="1:13">
      <c r="A480" s="40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4"/>
    </row>
    <row r="481" spans="1:13">
      <c r="A481" s="40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4"/>
    </row>
    <row r="482" spans="1:13">
      <c r="A482" s="40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4"/>
    </row>
    <row r="483" spans="1:13">
      <c r="A483" s="40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4"/>
    </row>
    <row r="484" spans="1:13">
      <c r="A484" s="40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4"/>
    </row>
    <row r="485" spans="1:13">
      <c r="A485" s="40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4"/>
    </row>
    <row r="486" spans="1:13">
      <c r="A486" s="40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4"/>
    </row>
    <row r="487" spans="1:13">
      <c r="A487" s="40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4"/>
    </row>
    <row r="488" spans="1:13">
      <c r="A488" s="40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4"/>
    </row>
    <row r="489" spans="1:13">
      <c r="A489" s="40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4"/>
    </row>
    <row r="490" spans="1:13">
      <c r="A490" s="40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4"/>
    </row>
    <row r="491" spans="1:13">
      <c r="A491" s="40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4"/>
    </row>
    <row r="492" spans="1:13">
      <c r="A492" s="40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4"/>
    </row>
    <row r="493" spans="1:13">
      <c r="A493" s="40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4"/>
    </row>
    <row r="494" spans="1:13">
      <c r="A494" s="40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4"/>
    </row>
    <row r="495" spans="1:13">
      <c r="A495" s="40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4"/>
    </row>
    <row r="496" spans="1:13">
      <c r="A496" s="40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4"/>
    </row>
    <row r="497" spans="1:13">
      <c r="A497" s="40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4"/>
    </row>
    <row r="498" spans="1:13">
      <c r="A498" s="40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4"/>
    </row>
    <row r="499" spans="1:13">
      <c r="A499" s="40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4"/>
    </row>
    <row r="500" spans="1:13">
      <c r="A500" s="40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4"/>
    </row>
    <row r="501" spans="1:13">
      <c r="A501" s="40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4"/>
    </row>
    <row r="502" spans="1:13">
      <c r="A502" s="40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4"/>
    </row>
    <row r="503" spans="1:13">
      <c r="A503" s="40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4"/>
    </row>
    <row r="504" spans="1:13">
      <c r="A504" s="40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4"/>
    </row>
    <row r="505" spans="1:13">
      <c r="A505" s="40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4"/>
    </row>
    <row r="506" spans="1:13">
      <c r="A506" s="40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4"/>
    </row>
    <row r="507" spans="1:13">
      <c r="A507" s="40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4"/>
    </row>
    <row r="508" spans="1:13">
      <c r="A508" s="40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4"/>
    </row>
    <row r="509" spans="1:13">
      <c r="A509" s="40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4"/>
    </row>
    <row r="510" spans="1:13">
      <c r="A510" s="40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4"/>
    </row>
    <row r="511" spans="1:13">
      <c r="A511" s="40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4"/>
    </row>
    <row r="512" spans="1:13">
      <c r="A512" s="40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4"/>
    </row>
    <row r="513" spans="1:13">
      <c r="A513" s="40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4"/>
    </row>
    <row r="514" spans="1:13">
      <c r="A514" s="40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4"/>
    </row>
    <row r="515" spans="1:13">
      <c r="A515" s="40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4"/>
    </row>
    <row r="516" spans="1:13">
      <c r="A516" s="40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4"/>
    </row>
    <row r="517" spans="1:13">
      <c r="A517" s="40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4"/>
    </row>
    <row r="518" spans="1:13">
      <c r="A518" s="40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4"/>
    </row>
    <row r="519" spans="1:13">
      <c r="A519" s="40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4"/>
    </row>
    <row r="520" spans="1:13">
      <c r="A520" s="40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4"/>
    </row>
    <row r="521" spans="1:13">
      <c r="A521" s="40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4"/>
    </row>
    <row r="522" spans="1:13">
      <c r="A522" s="40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4"/>
    </row>
    <row r="523" spans="1:13">
      <c r="A523" s="40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4"/>
    </row>
    <row r="524" spans="1:13">
      <c r="A524" s="40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4"/>
    </row>
    <row r="525" spans="1:13">
      <c r="A525" s="40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4"/>
    </row>
    <row r="526" spans="1:13">
      <c r="A526" s="40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4"/>
    </row>
    <row r="527" spans="1:13">
      <c r="A527" s="40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4"/>
    </row>
    <row r="528" spans="1:13">
      <c r="A528" s="40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4"/>
    </row>
    <row r="529" spans="1:13">
      <c r="A529" s="40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4"/>
    </row>
    <row r="530" spans="1:13">
      <c r="A530" s="40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4"/>
    </row>
    <row r="531" spans="1:13">
      <c r="A531" s="40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4"/>
    </row>
    <row r="532" spans="1:13">
      <c r="A532" s="40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4"/>
    </row>
    <row r="533" spans="1:13">
      <c r="A533" s="40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4"/>
    </row>
    <row r="534" spans="1:13">
      <c r="A534" s="40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4"/>
    </row>
    <row r="535" spans="1:13">
      <c r="A535" s="40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4"/>
    </row>
    <row r="536" spans="1:13">
      <c r="A536" s="40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4"/>
    </row>
    <row r="537" spans="1:13">
      <c r="A537" s="40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4"/>
    </row>
    <row r="538" spans="1:13">
      <c r="A538" s="40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4"/>
    </row>
    <row r="539" spans="1:13">
      <c r="A539" s="40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4"/>
    </row>
    <row r="540" spans="1:13">
      <c r="A540" s="40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4"/>
    </row>
    <row r="541" spans="1:13">
      <c r="A541" s="40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4"/>
    </row>
    <row r="542" spans="1:13">
      <c r="A542" s="40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4"/>
    </row>
    <row r="543" spans="1:13">
      <c r="A543" s="40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4"/>
    </row>
    <row r="544" spans="1:13">
      <c r="A544" s="40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4"/>
    </row>
    <row r="545" spans="1:13">
      <c r="A545" s="40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4"/>
    </row>
    <row r="546" spans="1:13">
      <c r="A546" s="40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4"/>
    </row>
    <row r="547" spans="1:13">
      <c r="A547" s="40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4"/>
    </row>
    <row r="548" spans="1:13">
      <c r="A548" s="40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4"/>
    </row>
    <row r="549" spans="1:13">
      <c r="A549" s="40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4"/>
    </row>
    <row r="550" spans="1:13">
      <c r="A550" s="40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4"/>
    </row>
    <row r="551" spans="1:13">
      <c r="A551" s="40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4"/>
    </row>
    <row r="552" spans="1:13">
      <c r="A552" s="40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4"/>
    </row>
    <row r="553" spans="1:13">
      <c r="A553" s="40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4"/>
    </row>
    <row r="554" spans="1:13">
      <c r="A554" s="40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4"/>
    </row>
    <row r="555" spans="1:13">
      <c r="A555" s="40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4"/>
    </row>
    <row r="556" spans="1:13">
      <c r="A556" s="40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4"/>
    </row>
    <row r="557" spans="1:13">
      <c r="A557" s="40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4"/>
    </row>
    <row r="558" spans="1:13">
      <c r="A558" s="40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4"/>
    </row>
    <row r="559" spans="1:13">
      <c r="A559" s="40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4"/>
    </row>
    <row r="560" spans="1:13">
      <c r="A560" s="40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4"/>
    </row>
    <row r="561" spans="1:13">
      <c r="A561" s="40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4"/>
    </row>
    <row r="562" spans="1:13">
      <c r="A562" s="40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4"/>
    </row>
    <row r="563" spans="1:13">
      <c r="A563" s="40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4"/>
    </row>
    <row r="564" spans="1:13">
      <c r="A564" s="40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4"/>
    </row>
    <row r="565" spans="1:13">
      <c r="A565" s="40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4"/>
    </row>
    <row r="566" spans="1:13">
      <c r="A566" s="40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4"/>
    </row>
    <row r="567" spans="1:13">
      <c r="A567" s="40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4"/>
    </row>
    <row r="568" spans="1:13">
      <c r="A568" s="40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4"/>
    </row>
    <row r="569" spans="1:13">
      <c r="A569" s="40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4"/>
    </row>
    <row r="570" spans="1:13">
      <c r="A570" s="40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4"/>
    </row>
    <row r="571" spans="1:13">
      <c r="A571" s="40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4"/>
    </row>
    <row r="572" spans="1:13">
      <c r="A572" s="40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4"/>
    </row>
    <row r="573" spans="1:13">
      <c r="A573" s="40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4"/>
    </row>
    <row r="574" spans="1:13">
      <c r="A574" s="40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4"/>
    </row>
    <row r="575" spans="1:13">
      <c r="A575" s="40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4"/>
    </row>
    <row r="576" spans="1:13">
      <c r="A576" s="40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4"/>
    </row>
    <row r="577" spans="1:13">
      <c r="A577" s="40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4"/>
    </row>
    <row r="578" spans="1:13">
      <c r="A578" s="40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4"/>
    </row>
    <row r="579" spans="1:13">
      <c r="A579" s="40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4"/>
    </row>
    <row r="580" spans="1:13">
      <c r="A580" s="40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4"/>
    </row>
    <row r="581" spans="1:13">
      <c r="A581" s="40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4"/>
    </row>
    <row r="582" spans="1:13">
      <c r="A582" s="40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4"/>
    </row>
    <row r="583" spans="1:13">
      <c r="A583" s="40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4"/>
    </row>
    <row r="584" spans="1:13">
      <c r="A584" s="40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4"/>
    </row>
    <row r="585" spans="1:13">
      <c r="A585" s="40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4"/>
    </row>
    <row r="586" spans="1:13">
      <c r="A586" s="40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4"/>
    </row>
    <row r="587" spans="1:13">
      <c r="A587" s="40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4"/>
    </row>
    <row r="588" spans="1:13">
      <c r="A588" s="40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4"/>
    </row>
    <row r="589" spans="1:13">
      <c r="A589" s="40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4"/>
    </row>
    <row r="590" spans="1:13">
      <c r="A590" s="40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4"/>
    </row>
    <row r="591" spans="1:13">
      <c r="A591" s="40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4"/>
    </row>
    <row r="592" spans="1:13">
      <c r="A592" s="40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4"/>
    </row>
    <row r="593" spans="1:13">
      <c r="A593" s="40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4"/>
    </row>
    <row r="594" spans="1:13">
      <c r="A594" s="40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4"/>
    </row>
    <row r="595" spans="1:13">
      <c r="A595" s="40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4"/>
    </row>
    <row r="596" spans="1:13">
      <c r="A596" s="40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4"/>
    </row>
    <row r="597" spans="1:13">
      <c r="A597" s="40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4"/>
    </row>
    <row r="598" spans="1:13">
      <c r="A598" s="40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4"/>
    </row>
    <row r="599" spans="1:13">
      <c r="A599" s="40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4"/>
    </row>
    <row r="600" spans="1:13">
      <c r="A600" s="40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4"/>
    </row>
    <row r="601" spans="1:13">
      <c r="A601" s="40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4"/>
    </row>
    <row r="602" spans="1:13">
      <c r="A602" s="40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4"/>
    </row>
    <row r="603" spans="1:13">
      <c r="A603" s="40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4"/>
    </row>
    <row r="604" spans="1:13">
      <c r="A604" s="40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4"/>
    </row>
    <row r="605" spans="1:13">
      <c r="A605" s="40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4"/>
    </row>
    <row r="606" spans="1:13">
      <c r="A606" s="40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4"/>
    </row>
    <row r="607" spans="1:13">
      <c r="A607" s="40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4"/>
    </row>
    <row r="608" spans="1:13">
      <c r="A608" s="40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4"/>
    </row>
    <row r="609" spans="1:13">
      <c r="A609" s="40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4"/>
    </row>
    <row r="610" spans="1:13">
      <c r="A610" s="40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4"/>
    </row>
    <row r="611" spans="1:13">
      <c r="A611" s="40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4"/>
    </row>
    <row r="612" spans="1:13">
      <c r="A612" s="40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4"/>
    </row>
    <row r="613" spans="1:13">
      <c r="A613" s="40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4"/>
    </row>
    <row r="614" spans="1:13">
      <c r="A614" s="40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4"/>
    </row>
    <row r="615" spans="1:13">
      <c r="A615" s="40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4"/>
    </row>
    <row r="616" spans="1:13">
      <c r="A616" s="40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4"/>
    </row>
    <row r="617" spans="1:13">
      <c r="A617" s="40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4"/>
    </row>
    <row r="618" spans="1:13">
      <c r="A618" s="40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4"/>
    </row>
    <row r="619" spans="1:13">
      <c r="A619" s="40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4"/>
    </row>
    <row r="620" spans="1:13">
      <c r="A620" s="40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4"/>
    </row>
    <row r="621" spans="1:13">
      <c r="A621" s="40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4"/>
    </row>
    <row r="622" spans="1:13">
      <c r="A622" s="40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4"/>
    </row>
    <row r="623" spans="1:13">
      <c r="A623" s="40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4"/>
    </row>
    <row r="624" spans="1:13">
      <c r="A624" s="40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4"/>
    </row>
    <row r="625" spans="1:13">
      <c r="A625" s="40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4"/>
    </row>
    <row r="626" spans="1:13">
      <c r="A626" s="40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4"/>
    </row>
    <row r="627" spans="1:13">
      <c r="A627" s="40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4"/>
    </row>
    <row r="628" spans="1:13">
      <c r="A628" s="40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4"/>
    </row>
    <row r="629" spans="1:13">
      <c r="A629" s="40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4"/>
    </row>
    <row r="630" spans="1:13">
      <c r="A630" s="40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4"/>
    </row>
    <row r="631" spans="1:13">
      <c r="A631" s="40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4"/>
    </row>
    <row r="632" spans="1:13">
      <c r="A632" s="40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4"/>
    </row>
    <row r="633" spans="1:13">
      <c r="A633" s="40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4"/>
    </row>
    <row r="634" spans="1:13">
      <c r="A634" s="40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4"/>
    </row>
    <row r="635" spans="1:13">
      <c r="A635" s="40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4"/>
    </row>
    <row r="636" spans="1:13">
      <c r="A636" s="40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4"/>
    </row>
    <row r="637" spans="1:13">
      <c r="A637" s="40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4"/>
    </row>
    <row r="638" spans="1:13">
      <c r="A638" s="40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4"/>
    </row>
    <row r="639" spans="1:13">
      <c r="A639" s="40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4"/>
    </row>
    <row r="640" spans="1:13">
      <c r="A640" s="40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4"/>
    </row>
    <row r="641" spans="1:13">
      <c r="A641" s="40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4"/>
    </row>
    <row r="642" spans="1:13">
      <c r="A642" s="40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4"/>
    </row>
    <row r="643" spans="1:13">
      <c r="A643" s="40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4"/>
    </row>
    <row r="644" spans="1:13">
      <c r="A644" s="40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4"/>
    </row>
    <row r="645" spans="1:13">
      <c r="A645" s="40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4"/>
    </row>
    <row r="646" spans="1:13">
      <c r="A646" s="40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4"/>
    </row>
    <row r="647" spans="1:13">
      <c r="A647" s="40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4"/>
    </row>
    <row r="648" spans="1:13">
      <c r="A648" s="40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4"/>
    </row>
    <row r="649" spans="1:13">
      <c r="A649" s="40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4"/>
    </row>
    <row r="650" spans="1:13">
      <c r="A650" s="40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4"/>
    </row>
    <row r="651" spans="1:13">
      <c r="A651" s="40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4"/>
    </row>
    <row r="652" spans="1:13">
      <c r="A652" s="40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4"/>
    </row>
    <row r="653" spans="1:13">
      <c r="A653" s="40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4"/>
    </row>
    <row r="654" spans="1:13">
      <c r="A654" s="40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4"/>
    </row>
    <row r="655" spans="1:13">
      <c r="A655" s="40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4"/>
    </row>
    <row r="656" spans="1:13">
      <c r="A656" s="40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4"/>
    </row>
    <row r="657" spans="1:13">
      <c r="A657" s="40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4"/>
    </row>
    <row r="658" spans="1:13">
      <c r="A658" s="40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4"/>
    </row>
    <row r="659" spans="1:13">
      <c r="A659" s="40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4"/>
    </row>
    <row r="660" spans="1:13">
      <c r="A660" s="40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4"/>
    </row>
    <row r="661" spans="1:13">
      <c r="A661" s="40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4"/>
    </row>
    <row r="662" spans="1:13">
      <c r="A662" s="40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4"/>
    </row>
    <row r="663" spans="1:13">
      <c r="A663" s="40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4"/>
    </row>
    <row r="664" spans="1:13">
      <c r="A664" s="40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4"/>
    </row>
    <row r="665" spans="1:13">
      <c r="A665" s="40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4"/>
    </row>
    <row r="666" spans="1:13">
      <c r="A666" s="40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4"/>
    </row>
    <row r="667" spans="1:13">
      <c r="A667" s="40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4"/>
    </row>
    <row r="668" spans="1:13">
      <c r="A668" s="40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4"/>
    </row>
    <row r="669" spans="1:13">
      <c r="A669" s="40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4"/>
    </row>
    <row r="670" spans="1:13">
      <c r="A670" s="40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4"/>
    </row>
    <row r="671" spans="1:13">
      <c r="A671" s="40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4"/>
    </row>
    <row r="672" spans="1:13">
      <c r="A672" s="40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4"/>
    </row>
    <row r="673" spans="1:13">
      <c r="A673" s="40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4"/>
    </row>
    <row r="674" spans="1:13">
      <c r="A674" s="40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4"/>
    </row>
    <row r="675" spans="1:13">
      <c r="A675" s="40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4"/>
    </row>
    <row r="676" spans="1:13">
      <c r="A676" s="40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4"/>
    </row>
    <row r="677" spans="1:13">
      <c r="A677" s="40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4"/>
    </row>
    <row r="678" spans="1:13">
      <c r="A678" s="40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4"/>
    </row>
    <row r="679" spans="1:13">
      <c r="A679" s="40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4"/>
    </row>
    <row r="680" spans="1:13">
      <c r="A680" s="40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4"/>
    </row>
    <row r="681" spans="1:13">
      <c r="A681" s="40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4"/>
    </row>
    <row r="682" spans="1:13">
      <c r="A682" s="40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4"/>
    </row>
    <row r="683" spans="1:13">
      <c r="A683" s="40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4"/>
    </row>
    <row r="684" spans="1:13">
      <c r="A684" s="40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4"/>
    </row>
    <row r="685" spans="1:13">
      <c r="A685" s="40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4"/>
    </row>
    <row r="686" spans="1:13">
      <c r="A686" s="40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4"/>
    </row>
    <row r="687" spans="1:13">
      <c r="A687" s="40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4"/>
    </row>
    <row r="688" spans="1:13">
      <c r="A688" s="40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4"/>
    </row>
    <row r="689" spans="1:13">
      <c r="A689" s="40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4"/>
    </row>
    <row r="690" spans="1:13">
      <c r="A690" s="40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4"/>
    </row>
    <row r="691" spans="1:13">
      <c r="A691" s="40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4"/>
    </row>
    <row r="692" spans="1:13">
      <c r="A692" s="40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4"/>
    </row>
    <row r="693" spans="1:13">
      <c r="A693" s="40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4"/>
    </row>
    <row r="694" spans="1:13">
      <c r="A694" s="40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4"/>
    </row>
    <row r="695" spans="1:13">
      <c r="A695" s="40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4"/>
    </row>
    <row r="696" spans="1:13">
      <c r="A696" s="40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4"/>
    </row>
    <row r="697" spans="1:13">
      <c r="A697" s="40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4"/>
    </row>
    <row r="698" spans="1:13">
      <c r="A698" s="40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4"/>
    </row>
    <row r="699" spans="1:13">
      <c r="A699" s="40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4"/>
    </row>
    <row r="700" spans="1:13">
      <c r="A700" s="40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4"/>
    </row>
    <row r="701" spans="1:13">
      <c r="A701" s="40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4"/>
    </row>
    <row r="702" spans="1:13">
      <c r="A702" s="40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4"/>
    </row>
    <row r="703" spans="1:13">
      <c r="A703" s="40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4"/>
    </row>
    <row r="704" spans="1:13">
      <c r="A704" s="40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4"/>
    </row>
    <row r="705" spans="1:13">
      <c r="A705" s="40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4"/>
    </row>
    <row r="706" spans="1:13">
      <c r="A706" s="40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4"/>
    </row>
    <row r="707" spans="1:13">
      <c r="A707" s="40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4"/>
    </row>
    <row r="708" spans="1:13">
      <c r="A708" s="40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4"/>
    </row>
    <row r="709" spans="1:13">
      <c r="A709" s="40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4"/>
    </row>
    <row r="710" spans="1:13">
      <c r="A710" s="40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4"/>
    </row>
    <row r="711" spans="1:13">
      <c r="A711" s="40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4"/>
    </row>
    <row r="712" spans="1:13">
      <c r="A712" s="40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4"/>
    </row>
    <row r="713" spans="1:13">
      <c r="A713" s="40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4"/>
    </row>
    <row r="714" spans="1:13">
      <c r="A714" s="40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4"/>
    </row>
    <row r="715" spans="1:13">
      <c r="A715" s="40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4"/>
    </row>
    <row r="716" spans="1:13">
      <c r="A716" s="40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4"/>
    </row>
    <row r="717" spans="1:13">
      <c r="A717" s="40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4"/>
    </row>
    <row r="718" spans="1:13">
      <c r="A718" s="40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4"/>
    </row>
    <row r="719" spans="1:13">
      <c r="A719" s="40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4"/>
    </row>
    <row r="720" spans="1:13">
      <c r="A720" s="40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4"/>
    </row>
    <row r="721" spans="1:13">
      <c r="A721" s="40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4"/>
    </row>
    <row r="722" spans="1:13">
      <c r="A722" s="40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4"/>
    </row>
    <row r="723" spans="1:13">
      <c r="A723" s="40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4"/>
    </row>
    <row r="724" spans="1:13">
      <c r="A724" s="40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4"/>
    </row>
    <row r="725" spans="1:13">
      <c r="A725" s="40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4"/>
    </row>
    <row r="726" spans="1:13">
      <c r="A726" s="40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4"/>
    </row>
    <row r="727" spans="1:13">
      <c r="A727" s="40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4"/>
    </row>
    <row r="728" spans="1:13">
      <c r="A728" s="40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4"/>
    </row>
    <row r="729" spans="1:13">
      <c r="A729" s="40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4"/>
    </row>
    <row r="730" spans="1:13">
      <c r="A730" s="40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4"/>
    </row>
    <row r="731" spans="1:13">
      <c r="A731" s="40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4"/>
    </row>
    <row r="732" spans="1:13">
      <c r="A732" s="40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4"/>
    </row>
    <row r="733" spans="1:13">
      <c r="A733" s="40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4"/>
    </row>
    <row r="734" spans="1:13">
      <c r="A734" s="40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4"/>
    </row>
    <row r="735" spans="1:13">
      <c r="A735" s="40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4"/>
    </row>
    <row r="736" spans="1:13">
      <c r="A736" s="40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4"/>
    </row>
    <row r="737" spans="1:13">
      <c r="A737" s="40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4"/>
    </row>
    <row r="738" spans="1:13">
      <c r="A738" s="40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4"/>
    </row>
    <row r="739" spans="1:13">
      <c r="A739" s="40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4"/>
    </row>
    <row r="740" spans="1:13">
      <c r="A740" s="40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4"/>
    </row>
    <row r="741" spans="1:13">
      <c r="A741" s="40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4"/>
    </row>
    <row r="742" spans="1:13">
      <c r="A742" s="40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4"/>
    </row>
    <row r="743" spans="1:13">
      <c r="A743" s="40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4"/>
    </row>
    <row r="744" spans="1:13">
      <c r="A744" s="40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4"/>
    </row>
    <row r="745" spans="1:13">
      <c r="A745" s="40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4"/>
    </row>
    <row r="746" spans="1:13">
      <c r="A746" s="40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4"/>
    </row>
    <row r="747" spans="1:13">
      <c r="A747" s="40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4"/>
    </row>
    <row r="748" spans="1:13">
      <c r="A748" s="40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4"/>
    </row>
    <row r="749" spans="1:13">
      <c r="A749" s="40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4"/>
    </row>
    <row r="750" spans="1:13">
      <c r="A750" s="40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4"/>
    </row>
    <row r="751" spans="1:13">
      <c r="A751" s="40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4"/>
    </row>
    <row r="752" spans="1:13">
      <c r="A752" s="40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4"/>
    </row>
    <row r="753" spans="1:13">
      <c r="A753" s="40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4"/>
    </row>
    <row r="754" spans="1:13">
      <c r="A754" s="40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4"/>
    </row>
    <row r="755" spans="1:13">
      <c r="A755" s="40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4"/>
    </row>
    <row r="756" spans="1:13">
      <c r="A756" s="40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4"/>
    </row>
    <row r="757" spans="1:13">
      <c r="A757" s="40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4"/>
    </row>
    <row r="758" spans="1:13">
      <c r="A758" s="40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4"/>
    </row>
    <row r="759" spans="1:13">
      <c r="A759" s="40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4"/>
    </row>
    <row r="760" spans="1:13">
      <c r="A760" s="40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4"/>
    </row>
    <row r="761" spans="1:13">
      <c r="A761" s="40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4"/>
    </row>
    <row r="762" spans="1:13">
      <c r="A762" s="40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4"/>
    </row>
    <row r="763" spans="1:13">
      <c r="A763" s="40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4"/>
    </row>
    <row r="764" spans="1:13">
      <c r="A764" s="40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4"/>
    </row>
    <row r="765" spans="1:13">
      <c r="A765" s="40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4"/>
    </row>
    <row r="766" spans="1:13">
      <c r="A766" s="40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4"/>
    </row>
    <row r="767" spans="1:13">
      <c r="A767" s="40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4"/>
    </row>
    <row r="768" spans="1:13">
      <c r="A768" s="40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4"/>
    </row>
    <row r="769" spans="1:13">
      <c r="A769" s="40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4"/>
    </row>
    <row r="770" spans="1:13">
      <c r="A770" s="40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4"/>
    </row>
    <row r="771" spans="1:13">
      <c r="A771" s="40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4"/>
    </row>
    <row r="772" spans="1:13">
      <c r="A772" s="40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4"/>
    </row>
    <row r="773" spans="1:13">
      <c r="A773" s="40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4"/>
    </row>
    <row r="774" spans="1:13">
      <c r="A774" s="40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4"/>
    </row>
    <row r="775" spans="1:13">
      <c r="A775" s="40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4"/>
    </row>
    <row r="776" spans="1:13">
      <c r="A776" s="40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4"/>
    </row>
    <row r="777" spans="1:13">
      <c r="A777" s="40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4"/>
    </row>
    <row r="778" spans="1:13">
      <c r="A778" s="40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4"/>
    </row>
    <row r="779" spans="1:13">
      <c r="A779" s="40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4"/>
    </row>
    <row r="780" spans="1:13">
      <c r="A780" s="40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4"/>
    </row>
    <row r="781" spans="1:13">
      <c r="A781" s="40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4"/>
    </row>
    <row r="782" spans="1:13">
      <c r="A782" s="40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4"/>
    </row>
    <row r="783" spans="1:13">
      <c r="A783" s="40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4"/>
    </row>
    <row r="784" spans="1:13">
      <c r="A784" s="40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4"/>
    </row>
    <row r="785" spans="1:13">
      <c r="A785" s="40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4"/>
    </row>
    <row r="786" spans="1:13">
      <c r="A786" s="40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4"/>
    </row>
    <row r="787" spans="1:13">
      <c r="A787" s="40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4"/>
    </row>
    <row r="788" spans="1:13">
      <c r="A788" s="40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4"/>
    </row>
    <row r="789" spans="1:13">
      <c r="A789" s="40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4"/>
    </row>
    <row r="790" spans="1:13">
      <c r="A790" s="40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4"/>
    </row>
    <row r="791" spans="1:13">
      <c r="A791" s="40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4"/>
    </row>
    <row r="792" spans="1:13">
      <c r="A792" s="40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4"/>
    </row>
    <row r="793" spans="1:13">
      <c r="A793" s="40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4"/>
    </row>
    <row r="794" spans="1:13">
      <c r="A794" s="40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4"/>
    </row>
    <row r="795" spans="1:13">
      <c r="A795" s="40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4"/>
    </row>
    <row r="796" spans="1:13">
      <c r="A796" s="40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4"/>
    </row>
    <row r="797" spans="1:13">
      <c r="A797" s="40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4"/>
    </row>
    <row r="798" spans="1:13">
      <c r="A798" s="40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4"/>
    </row>
    <row r="799" spans="1:13">
      <c r="A799" s="40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4"/>
    </row>
    <row r="800" spans="1:13">
      <c r="A800" s="40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4"/>
    </row>
    <row r="801" spans="1:13">
      <c r="A801" s="40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4"/>
    </row>
    <row r="802" spans="1:13">
      <c r="A802" s="40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4"/>
    </row>
    <row r="803" spans="1:13">
      <c r="A803" s="40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4"/>
    </row>
    <row r="804" spans="1:13">
      <c r="A804" s="40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4"/>
    </row>
    <row r="805" spans="1:13">
      <c r="A805" s="40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4"/>
    </row>
    <row r="806" spans="1:13">
      <c r="A806" s="40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4"/>
    </row>
    <row r="807" spans="1:13">
      <c r="A807" s="40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4"/>
    </row>
    <row r="808" spans="1:13">
      <c r="A808" s="40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4"/>
    </row>
    <row r="809" spans="1:13">
      <c r="A809" s="40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4"/>
    </row>
    <row r="810" spans="1:13">
      <c r="A810" s="40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4"/>
    </row>
    <row r="811" spans="1:13">
      <c r="A811" s="40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4"/>
    </row>
    <row r="812" spans="1:13">
      <c r="A812" s="40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4"/>
    </row>
    <row r="813" spans="1:13">
      <c r="A813" s="40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4"/>
    </row>
    <row r="814" spans="1:13">
      <c r="A814" s="40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4"/>
    </row>
    <row r="815" spans="1:13">
      <c r="A815" s="40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4"/>
    </row>
    <row r="816" spans="1:13">
      <c r="A816" s="40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4"/>
    </row>
    <row r="817" spans="1:13">
      <c r="A817" s="40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4"/>
    </row>
    <row r="818" spans="1:13">
      <c r="A818" s="40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4"/>
    </row>
    <row r="819" spans="1:13">
      <c r="A819" s="40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4"/>
    </row>
    <row r="820" spans="1:13">
      <c r="A820" s="40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4"/>
    </row>
    <row r="821" spans="1:13">
      <c r="A821" s="40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4"/>
    </row>
    <row r="822" spans="1:13">
      <c r="A822" s="40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4"/>
    </row>
    <row r="823" spans="1:13">
      <c r="A823" s="40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4"/>
    </row>
    <row r="824" spans="1:13">
      <c r="A824" s="40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4"/>
    </row>
    <row r="825" spans="1:13">
      <c r="A825" s="40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4"/>
    </row>
    <row r="826" spans="1:13">
      <c r="A826" s="40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4"/>
    </row>
    <row r="827" spans="1:13">
      <c r="A827" s="40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4"/>
    </row>
    <row r="828" spans="1:13">
      <c r="A828" s="40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4"/>
    </row>
    <row r="829" spans="1:13">
      <c r="A829" s="40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4"/>
    </row>
    <row r="830" spans="1:13">
      <c r="A830" s="40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4"/>
    </row>
    <row r="831" spans="1:13">
      <c r="A831" s="40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4"/>
    </row>
    <row r="832" spans="1:13">
      <c r="A832" s="40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4"/>
    </row>
    <row r="833" spans="1:13">
      <c r="A833" s="40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4"/>
    </row>
    <row r="834" spans="1:13">
      <c r="A834" s="40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4"/>
    </row>
    <row r="835" spans="1:13">
      <c r="A835" s="40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4"/>
    </row>
    <row r="836" spans="1:13">
      <c r="A836" s="40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4"/>
    </row>
    <row r="837" spans="1:13">
      <c r="A837" s="40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4"/>
    </row>
    <row r="838" spans="1:13">
      <c r="A838" s="40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4"/>
    </row>
    <row r="839" spans="1:13">
      <c r="A839" s="40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4"/>
    </row>
    <row r="840" spans="1:13">
      <c r="A840" s="40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4"/>
    </row>
    <row r="841" spans="1:13">
      <c r="A841" s="40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4"/>
    </row>
    <row r="842" spans="1:13">
      <c r="A842" s="40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4"/>
    </row>
    <row r="843" spans="1:13">
      <c r="A843" s="40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4"/>
    </row>
    <row r="844" spans="1:13">
      <c r="A844" s="40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4"/>
    </row>
    <row r="845" spans="1:13">
      <c r="A845" s="40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4"/>
    </row>
    <row r="846" spans="1:13">
      <c r="A846" s="40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4"/>
    </row>
    <row r="847" spans="1:13">
      <c r="A847" s="40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4"/>
    </row>
    <row r="848" spans="1:13">
      <c r="A848" s="40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4"/>
    </row>
    <row r="849" spans="1:13">
      <c r="A849" s="40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4"/>
    </row>
    <row r="850" spans="1:13">
      <c r="A850" s="40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4"/>
    </row>
    <row r="851" spans="1:13">
      <c r="A851" s="40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4"/>
    </row>
    <row r="852" spans="1:13">
      <c r="A852" s="40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4"/>
    </row>
    <row r="853" spans="1:13">
      <c r="A853" s="40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4"/>
    </row>
    <row r="854" spans="1:13">
      <c r="A854" s="40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4"/>
    </row>
    <row r="855" spans="1:13">
      <c r="A855" s="40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4"/>
    </row>
    <row r="856" spans="1:13">
      <c r="A856" s="40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4"/>
    </row>
    <row r="857" spans="1:13">
      <c r="A857" s="40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4"/>
    </row>
    <row r="858" spans="1:13">
      <c r="A858" s="40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4"/>
    </row>
    <row r="859" spans="1:13">
      <c r="A859" s="40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4"/>
    </row>
    <row r="860" spans="1:13">
      <c r="A860" s="40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4"/>
    </row>
    <row r="861" spans="1:13">
      <c r="A861" s="40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4"/>
    </row>
    <row r="862" spans="1:13">
      <c r="A862" s="40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4"/>
    </row>
    <row r="863" spans="1:13">
      <c r="A863" s="40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4"/>
    </row>
    <row r="864" spans="1:13">
      <c r="A864" s="40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4"/>
    </row>
    <row r="865" spans="1:13">
      <c r="A865" s="40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4"/>
    </row>
    <row r="866" spans="1:13">
      <c r="A866" s="40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4"/>
    </row>
    <row r="867" spans="1:13">
      <c r="A867" s="40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4"/>
    </row>
    <row r="868" spans="1:13">
      <c r="A868" s="40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4"/>
    </row>
    <row r="869" spans="1:13">
      <c r="A869" s="40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4"/>
    </row>
    <row r="870" spans="1:13">
      <c r="A870" s="40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4"/>
    </row>
    <row r="871" spans="1:13">
      <c r="A871" s="40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4"/>
    </row>
    <row r="872" spans="1:13">
      <c r="A872" s="40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4"/>
    </row>
    <row r="873" spans="1:13">
      <c r="A873" s="40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4"/>
    </row>
    <row r="874" spans="1:13">
      <c r="A874" s="40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4"/>
    </row>
    <row r="875" spans="1:13">
      <c r="A875" s="40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4"/>
    </row>
    <row r="876" spans="1:13">
      <c r="A876" s="40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4"/>
    </row>
    <row r="877" spans="1:13">
      <c r="A877" s="40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4"/>
    </row>
    <row r="878" spans="1:13">
      <c r="A878" s="40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4"/>
    </row>
    <row r="879" spans="1:13">
      <c r="A879" s="40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4"/>
    </row>
    <row r="880" spans="1:13">
      <c r="A880" s="40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4"/>
    </row>
    <row r="881" spans="1:13">
      <c r="A881" s="40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4"/>
    </row>
    <row r="882" spans="1:13">
      <c r="A882" s="40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4"/>
    </row>
    <row r="883" spans="1:13">
      <c r="A883" s="40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4"/>
    </row>
    <row r="884" spans="1:13">
      <c r="A884" s="40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4"/>
    </row>
    <row r="885" spans="1:13">
      <c r="A885" s="40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4"/>
    </row>
    <row r="886" spans="1:13">
      <c r="A886" s="40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4"/>
    </row>
    <row r="887" spans="1:13">
      <c r="A887" s="40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4"/>
    </row>
    <row r="888" spans="1:13">
      <c r="A888" s="40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4"/>
    </row>
    <row r="889" spans="1:13">
      <c r="A889" s="40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4"/>
    </row>
    <row r="890" spans="1:13">
      <c r="A890" s="40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4"/>
    </row>
    <row r="891" spans="1:13">
      <c r="A891" s="40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4"/>
    </row>
    <row r="892" spans="1:13">
      <c r="A892" s="40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4"/>
    </row>
    <row r="893" spans="1:13">
      <c r="A893" s="40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4"/>
    </row>
    <row r="894" spans="1:13">
      <c r="A894" s="40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4"/>
    </row>
    <row r="895" spans="1:13">
      <c r="A895" s="40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4"/>
    </row>
    <row r="896" spans="1:13">
      <c r="A896" s="40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4"/>
    </row>
    <row r="897" spans="1:13">
      <c r="A897" s="40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4"/>
    </row>
    <row r="898" spans="1:13">
      <c r="A898" s="40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4"/>
    </row>
    <row r="899" spans="1:13">
      <c r="A899" s="40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4"/>
    </row>
    <row r="900" spans="1:13">
      <c r="A900" s="40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4"/>
    </row>
    <row r="901" spans="1:13">
      <c r="A901" s="40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4"/>
    </row>
    <row r="902" spans="1:13">
      <c r="A902" s="40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4"/>
    </row>
    <row r="903" spans="1:13">
      <c r="A903" s="40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4"/>
    </row>
    <row r="904" spans="1:13">
      <c r="A904" s="40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4"/>
    </row>
    <row r="905" spans="1:13">
      <c r="A905" s="40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4"/>
    </row>
    <row r="906" spans="1:13">
      <c r="A906" s="40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4"/>
    </row>
    <row r="907" spans="1:13">
      <c r="A907" s="40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4"/>
    </row>
    <row r="908" spans="1:13">
      <c r="A908" s="40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4"/>
    </row>
    <row r="909" spans="1:13">
      <c r="A909" s="40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4"/>
    </row>
    <row r="910" spans="1:13">
      <c r="A910" s="40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4"/>
    </row>
    <row r="911" spans="1:13">
      <c r="A911" s="40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4"/>
    </row>
    <row r="912" spans="1:13">
      <c r="A912" s="40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4"/>
    </row>
    <row r="913" spans="1:13">
      <c r="A913" s="40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4"/>
    </row>
    <row r="914" spans="1:13">
      <c r="A914" s="40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4"/>
    </row>
    <row r="915" spans="1:13">
      <c r="A915" s="40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4"/>
    </row>
    <row r="916" spans="1:13">
      <c r="A916" s="40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4"/>
    </row>
    <row r="917" spans="1:13">
      <c r="A917" s="40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4"/>
    </row>
    <row r="918" spans="1:13">
      <c r="A918" s="40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4"/>
    </row>
    <row r="919" spans="1:13">
      <c r="A919" s="40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4"/>
    </row>
    <row r="920" spans="1:13">
      <c r="A920" s="40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4"/>
    </row>
    <row r="921" spans="1:13">
      <c r="A921" s="40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4"/>
    </row>
    <row r="922" spans="1:13">
      <c r="A922" s="40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4"/>
    </row>
    <row r="923" spans="1:13">
      <c r="A923" s="40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4"/>
    </row>
    <row r="924" spans="1:13">
      <c r="A924" s="40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4"/>
    </row>
    <row r="925" spans="1:13">
      <c r="A925" s="40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4"/>
    </row>
    <row r="926" spans="1:13">
      <c r="A926" s="40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4"/>
    </row>
    <row r="927" spans="1:13">
      <c r="A927" s="40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4"/>
    </row>
    <row r="928" spans="1:13">
      <c r="A928" s="40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4"/>
    </row>
    <row r="929" spans="1:13">
      <c r="A929" s="40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4"/>
    </row>
    <row r="930" spans="1:13">
      <c r="A930" s="40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4"/>
    </row>
    <row r="931" spans="1:13">
      <c r="A931" s="40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4"/>
    </row>
    <row r="932" spans="1:13">
      <c r="A932" s="40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4"/>
    </row>
    <row r="933" spans="1:13">
      <c r="A933" s="40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4"/>
    </row>
    <row r="934" spans="1:13">
      <c r="A934" s="40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4"/>
    </row>
    <row r="935" spans="1:13">
      <c r="A935" s="40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4"/>
    </row>
    <row r="936" spans="1:13">
      <c r="A936" s="40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4"/>
    </row>
    <row r="937" spans="1:13">
      <c r="A937" s="40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4"/>
    </row>
    <row r="938" spans="1:13">
      <c r="A938" s="40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4"/>
    </row>
    <row r="939" spans="1:13">
      <c r="A939" s="40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4"/>
    </row>
    <row r="940" spans="1:13">
      <c r="A940" s="40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4"/>
    </row>
    <row r="941" spans="1:13">
      <c r="A941" s="40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4"/>
    </row>
    <row r="942" spans="1:13">
      <c r="A942" s="40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4"/>
    </row>
    <row r="943" spans="1:13">
      <c r="A943" s="40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4"/>
    </row>
    <row r="944" spans="1:13">
      <c r="A944" s="40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4"/>
    </row>
    <row r="945" spans="1:13">
      <c r="A945" s="40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4"/>
    </row>
    <row r="946" spans="1:13">
      <c r="A946" s="40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4"/>
    </row>
    <row r="947" spans="1:13">
      <c r="A947" s="40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4"/>
    </row>
    <row r="948" spans="1:13">
      <c r="A948" s="40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4"/>
    </row>
    <row r="949" spans="1:13">
      <c r="A949" s="40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4"/>
    </row>
    <row r="950" spans="1:13">
      <c r="A950" s="40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4"/>
    </row>
    <row r="951" spans="1:13">
      <c r="A951" s="40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4"/>
    </row>
    <row r="952" spans="1:13">
      <c r="A952" s="40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4"/>
    </row>
    <row r="953" spans="1:13">
      <c r="A953" s="40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4"/>
    </row>
    <row r="954" spans="1:13">
      <c r="A954" s="40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4"/>
    </row>
    <row r="955" spans="1:13">
      <c r="A955" s="40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4"/>
    </row>
    <row r="956" spans="1:13">
      <c r="A956" s="40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4"/>
    </row>
    <row r="957" spans="1:13">
      <c r="A957" s="40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4"/>
    </row>
    <row r="958" spans="1:13">
      <c r="A958" s="40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4"/>
    </row>
    <row r="959" spans="1:13">
      <c r="A959" s="40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4"/>
    </row>
    <row r="960" spans="1:13">
      <c r="A960" s="40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4"/>
    </row>
    <row r="961" spans="1:13">
      <c r="A961" s="40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4"/>
    </row>
    <row r="962" spans="1:13">
      <c r="A962" s="40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4"/>
    </row>
    <row r="963" spans="1:13">
      <c r="A963" s="40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4"/>
    </row>
    <row r="964" spans="1:13">
      <c r="A964" s="40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4"/>
    </row>
    <row r="965" spans="1:13">
      <c r="A965" s="40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4"/>
    </row>
    <row r="966" spans="1:13">
      <c r="A966" s="40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4"/>
    </row>
    <row r="967" spans="1:13">
      <c r="A967" s="40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4"/>
    </row>
    <row r="968" spans="1:13">
      <c r="A968" s="40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4"/>
    </row>
    <row r="969" spans="1:13">
      <c r="A969" s="40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4"/>
    </row>
    <row r="970" spans="1:13">
      <c r="A970" s="40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4"/>
    </row>
    <row r="971" spans="1:13">
      <c r="A971" s="40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4"/>
    </row>
    <row r="972" spans="1:13">
      <c r="A972" s="40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4"/>
    </row>
    <row r="973" spans="1:13">
      <c r="A973" s="40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4"/>
    </row>
    <row r="974" spans="1:13">
      <c r="A974" s="40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4"/>
    </row>
    <row r="975" spans="1:13">
      <c r="A975" s="40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4"/>
    </row>
    <row r="976" spans="1:13">
      <c r="A976" s="40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4"/>
    </row>
    <row r="977" spans="1:13">
      <c r="A977" s="40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4"/>
    </row>
    <row r="978" spans="1:13">
      <c r="A978" s="40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4"/>
    </row>
    <row r="979" spans="1:13">
      <c r="A979" s="40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4"/>
    </row>
    <row r="980" spans="1:13">
      <c r="A980" s="40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4"/>
    </row>
    <row r="981" spans="1:13">
      <c r="A981" s="40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4"/>
    </row>
    <row r="982" spans="1:13">
      <c r="A982" s="40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4"/>
    </row>
    <row r="983" spans="1:13">
      <c r="A983" s="40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4"/>
    </row>
    <row r="984" spans="1:13">
      <c r="A984" s="40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4"/>
    </row>
    <row r="985" spans="1:13">
      <c r="A985" s="40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4"/>
    </row>
    <row r="986" spans="1:13">
      <c r="A986" s="40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4"/>
    </row>
    <row r="987" spans="1:13">
      <c r="A987" s="40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4"/>
    </row>
    <row r="988" spans="1:13">
      <c r="A988" s="40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4"/>
    </row>
    <row r="989" spans="1:13">
      <c r="A989" s="40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4"/>
    </row>
    <row r="990" spans="1:13">
      <c r="A990" s="40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4"/>
    </row>
    <row r="991" spans="1:13">
      <c r="A991" s="40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4"/>
    </row>
    <row r="992" spans="1:13">
      <c r="A992" s="40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4"/>
    </row>
    <row r="993" spans="1:13">
      <c r="A993" s="40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4"/>
    </row>
    <row r="994" spans="1:13">
      <c r="A994" s="40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4"/>
    </row>
    <row r="995" spans="1:13">
      <c r="A995" s="40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4"/>
    </row>
    <row r="996" spans="1:13">
      <c r="A996" s="40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4"/>
    </row>
    <row r="997" spans="1:13">
      <c r="A997" s="40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4"/>
    </row>
    <row r="998" spans="1:13">
      <c r="A998" s="40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4"/>
    </row>
    <row r="999" spans="1:13">
      <c r="A999" s="40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4"/>
    </row>
    <row r="1000" spans="1:13">
      <c r="A1000" s="40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4"/>
    </row>
    <row r="1001" spans="1:13">
      <c r="A1001" s="40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4"/>
    </row>
    <row r="1002" spans="1:13">
      <c r="A1002" s="41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35"/>
    </row>
  </sheetData>
  <autoFilter ref="A1:M1" xr:uid="{E144F7D0-54AA-458A-A71B-7A9EF5D052BD}">
    <sortState xmlns:xlrd2="http://schemas.microsoft.com/office/spreadsheetml/2017/richdata2" ref="A2:M433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CEE50-885C-4BB3-915C-D604399EE98B}">
  <dimension ref="A1:J47"/>
  <sheetViews>
    <sheetView tabSelected="1" topLeftCell="A3" workbookViewId="0">
      <selection activeCell="G48" sqref="G48"/>
    </sheetView>
  </sheetViews>
  <sheetFormatPr baseColWidth="10" defaultColWidth="9.109375" defaultRowHeight="14.4"/>
  <cols>
    <col min="1" max="1" width="19.6640625" bestFit="1" customWidth="1"/>
    <col min="2" max="2" width="11.109375" bestFit="1" customWidth="1"/>
    <col min="4" max="4" width="15.6640625" bestFit="1" customWidth="1"/>
    <col min="5" max="5" width="13.5546875" bestFit="1" customWidth="1"/>
    <col min="6" max="6" width="13.88671875" bestFit="1" customWidth="1"/>
    <col min="9" max="9" width="12.109375" bestFit="1" customWidth="1"/>
  </cols>
  <sheetData>
    <row r="1" spans="1:10">
      <c r="A1" s="19" t="s">
        <v>341</v>
      </c>
      <c r="B1" s="19" t="s">
        <v>998</v>
      </c>
      <c r="C1" s="19" t="s">
        <v>999</v>
      </c>
      <c r="D1" s="19" t="s">
        <v>1000</v>
      </c>
      <c r="E1" s="19" t="s">
        <v>1001</v>
      </c>
      <c r="F1" s="19" t="s">
        <v>30</v>
      </c>
      <c r="G1" s="19" t="s">
        <v>1002</v>
      </c>
    </row>
    <row r="2" spans="1:10">
      <c r="A2" t="s">
        <v>1003</v>
      </c>
      <c r="B2">
        <v>67</v>
      </c>
      <c r="C2" t="s">
        <v>1004</v>
      </c>
      <c r="D2" s="8">
        <v>46099</v>
      </c>
      <c r="E2" t="s">
        <v>1005</v>
      </c>
      <c r="G2">
        <v>2026</v>
      </c>
    </row>
    <row r="3" spans="1:10">
      <c r="A3" t="s">
        <v>1006</v>
      </c>
      <c r="B3">
        <v>190</v>
      </c>
      <c r="C3" t="s">
        <v>1004</v>
      </c>
      <c r="D3" s="8">
        <v>46098</v>
      </c>
      <c r="E3" t="s">
        <v>1005</v>
      </c>
      <c r="G3">
        <v>2026</v>
      </c>
    </row>
    <row r="4" spans="1:10">
      <c r="A4" t="s">
        <v>1007</v>
      </c>
      <c r="B4">
        <v>457</v>
      </c>
      <c r="C4" t="s">
        <v>1004</v>
      </c>
      <c r="D4" s="8">
        <v>46099</v>
      </c>
      <c r="E4" t="s">
        <v>1005</v>
      </c>
      <c r="G4">
        <v>2026</v>
      </c>
    </row>
    <row r="5" spans="1:10">
      <c r="A5" t="s">
        <v>1008</v>
      </c>
      <c r="B5">
        <v>4644</v>
      </c>
      <c r="C5" t="s">
        <v>1004</v>
      </c>
      <c r="D5" s="8">
        <v>46088</v>
      </c>
      <c r="E5" t="s">
        <v>514</v>
      </c>
      <c r="G5">
        <v>2026</v>
      </c>
    </row>
    <row r="6" spans="1:10">
      <c r="A6" t="s">
        <v>1009</v>
      </c>
      <c r="B6">
        <v>5006</v>
      </c>
      <c r="C6" t="s">
        <v>1004</v>
      </c>
      <c r="D6" s="8">
        <v>46121</v>
      </c>
      <c r="E6" t="s">
        <v>1005</v>
      </c>
      <c r="G6">
        <v>2026</v>
      </c>
      <c r="I6" t="s">
        <v>528</v>
      </c>
    </row>
    <row r="7" spans="1:10">
      <c r="A7" t="s">
        <v>1010</v>
      </c>
      <c r="B7">
        <v>5444</v>
      </c>
      <c r="C7" t="s">
        <v>1004</v>
      </c>
      <c r="D7" s="8">
        <v>46099</v>
      </c>
      <c r="E7" t="s">
        <v>1005</v>
      </c>
      <c r="G7">
        <v>2026</v>
      </c>
      <c r="I7" t="s">
        <v>482</v>
      </c>
      <c r="J7">
        <v>200</v>
      </c>
    </row>
    <row r="8" spans="1:10">
      <c r="A8" t="s">
        <v>1011</v>
      </c>
      <c r="B8">
        <v>6057</v>
      </c>
      <c r="C8" t="s">
        <v>1004</v>
      </c>
      <c r="D8" s="8">
        <v>46120</v>
      </c>
      <c r="E8" t="s">
        <v>1005</v>
      </c>
      <c r="G8">
        <v>2026</v>
      </c>
      <c r="I8" t="s">
        <v>484</v>
      </c>
      <c r="J8">
        <v>232</v>
      </c>
    </row>
    <row r="9" spans="1:10">
      <c r="A9" t="s">
        <v>1012</v>
      </c>
      <c r="B9">
        <v>6703</v>
      </c>
      <c r="C9" t="s">
        <v>1004</v>
      </c>
      <c r="D9" s="8">
        <v>46098</v>
      </c>
      <c r="E9" t="s">
        <v>1005</v>
      </c>
      <c r="G9">
        <v>2026</v>
      </c>
    </row>
    <row r="10" spans="1:10">
      <c r="A10" t="s">
        <v>1013</v>
      </c>
      <c r="B10">
        <v>7469</v>
      </c>
      <c r="C10" t="s">
        <v>1004</v>
      </c>
      <c r="D10" s="8">
        <v>46100</v>
      </c>
      <c r="E10" t="s">
        <v>1005</v>
      </c>
      <c r="G10">
        <v>2026</v>
      </c>
    </row>
    <row r="11" spans="1:10">
      <c r="A11" t="s">
        <v>1014</v>
      </c>
      <c r="B11">
        <v>7544</v>
      </c>
      <c r="C11" t="s">
        <v>1004</v>
      </c>
      <c r="D11" s="8">
        <v>46108</v>
      </c>
      <c r="E11" t="s">
        <v>1005</v>
      </c>
      <c r="G11">
        <v>2026</v>
      </c>
    </row>
    <row r="12" spans="1:10">
      <c r="A12" t="s">
        <v>1015</v>
      </c>
      <c r="B12">
        <v>7554</v>
      </c>
      <c r="C12" t="s">
        <v>1004</v>
      </c>
      <c r="D12" s="8">
        <v>46099</v>
      </c>
      <c r="E12" t="s">
        <v>514</v>
      </c>
      <c r="G12">
        <v>2026</v>
      </c>
    </row>
    <row r="13" spans="1:10">
      <c r="A13" t="s">
        <v>1016</v>
      </c>
      <c r="B13">
        <v>7623</v>
      </c>
      <c r="C13" t="s">
        <v>1004</v>
      </c>
      <c r="D13" s="8">
        <v>46120</v>
      </c>
      <c r="E13" t="s">
        <v>514</v>
      </c>
      <c r="G13">
        <v>2026</v>
      </c>
    </row>
    <row r="14" spans="1:10">
      <c r="A14" t="s">
        <v>1017</v>
      </c>
      <c r="B14">
        <v>7706</v>
      </c>
      <c r="C14" t="s">
        <v>1004</v>
      </c>
      <c r="D14" s="8">
        <v>46119</v>
      </c>
      <c r="E14" t="s">
        <v>514</v>
      </c>
      <c r="G14">
        <v>2026</v>
      </c>
    </row>
    <row r="15" spans="1:10">
      <c r="A15" t="s">
        <v>1018</v>
      </c>
      <c r="B15">
        <v>7784</v>
      </c>
      <c r="C15" t="s">
        <v>1004</v>
      </c>
      <c r="D15" s="8">
        <v>46106</v>
      </c>
      <c r="E15" t="s">
        <v>1005</v>
      </c>
      <c r="G15">
        <v>2026</v>
      </c>
    </row>
    <row r="16" spans="1:10">
      <c r="A16" t="s">
        <v>1019</v>
      </c>
      <c r="B16">
        <v>7820</v>
      </c>
      <c r="C16" t="s">
        <v>1004</v>
      </c>
      <c r="D16" s="8">
        <v>46122</v>
      </c>
      <c r="E16" t="s">
        <v>1005</v>
      </c>
      <c r="G16">
        <v>2026</v>
      </c>
    </row>
    <row r="17" spans="1:7">
      <c r="A17" t="s">
        <v>1020</v>
      </c>
      <c r="B17">
        <v>7822</v>
      </c>
      <c r="C17" t="s">
        <v>1004</v>
      </c>
      <c r="D17" s="8">
        <v>46120</v>
      </c>
      <c r="E17" t="s">
        <v>1005</v>
      </c>
      <c r="G17">
        <v>2026</v>
      </c>
    </row>
    <row r="18" spans="1:7">
      <c r="A18" t="s">
        <v>1021</v>
      </c>
      <c r="B18">
        <v>7828</v>
      </c>
      <c r="C18" t="s">
        <v>1004</v>
      </c>
      <c r="D18" s="8">
        <v>46098</v>
      </c>
      <c r="E18" t="s">
        <v>514</v>
      </c>
      <c r="G18">
        <v>2026</v>
      </c>
    </row>
    <row r="19" spans="1:7">
      <c r="A19" t="s">
        <v>1022</v>
      </c>
      <c r="B19">
        <v>7831</v>
      </c>
      <c r="C19" t="s">
        <v>1004</v>
      </c>
      <c r="D19" s="8">
        <v>46120</v>
      </c>
      <c r="E19" t="s">
        <v>514</v>
      </c>
      <c r="G19">
        <v>2026</v>
      </c>
    </row>
    <row r="20" spans="1:7">
      <c r="A20" t="s">
        <v>1023</v>
      </c>
      <c r="B20">
        <v>7838</v>
      </c>
      <c r="C20" t="s">
        <v>1004</v>
      </c>
      <c r="D20" s="8">
        <v>46098</v>
      </c>
      <c r="E20" t="s">
        <v>1005</v>
      </c>
      <c r="G20">
        <v>2026</v>
      </c>
    </row>
    <row r="21" spans="1:7">
      <c r="A21" t="s">
        <v>1024</v>
      </c>
      <c r="B21">
        <v>7851</v>
      </c>
      <c r="C21" t="s">
        <v>1004</v>
      </c>
      <c r="D21" s="8">
        <v>46111</v>
      </c>
      <c r="E21" t="s">
        <v>514</v>
      </c>
      <c r="G21">
        <v>2026</v>
      </c>
    </row>
    <row r="22" spans="1:7">
      <c r="A22" t="s">
        <v>1025</v>
      </c>
      <c r="B22">
        <v>7857</v>
      </c>
      <c r="C22" t="s">
        <v>1004</v>
      </c>
      <c r="D22" s="8">
        <v>46098</v>
      </c>
      <c r="E22" t="s">
        <v>514</v>
      </c>
      <c r="G22">
        <v>2026</v>
      </c>
    </row>
    <row r="23" spans="1:7">
      <c r="A23" t="s">
        <v>1026</v>
      </c>
      <c r="B23">
        <v>7872</v>
      </c>
      <c r="C23" t="s">
        <v>1004</v>
      </c>
      <c r="D23" s="8">
        <v>46099</v>
      </c>
      <c r="E23" t="s">
        <v>1005</v>
      </c>
      <c r="G23">
        <v>2026</v>
      </c>
    </row>
    <row r="24" spans="1:7">
      <c r="A24" t="s">
        <v>1027</v>
      </c>
      <c r="B24">
        <v>7873</v>
      </c>
      <c r="C24" t="s">
        <v>1004</v>
      </c>
      <c r="D24" s="8">
        <v>46111</v>
      </c>
      <c r="E24" t="s">
        <v>514</v>
      </c>
      <c r="G24">
        <v>2026</v>
      </c>
    </row>
    <row r="25" spans="1:7">
      <c r="A25" t="s">
        <v>1028</v>
      </c>
      <c r="B25">
        <v>7876</v>
      </c>
      <c r="C25" t="s">
        <v>1004</v>
      </c>
      <c r="D25" s="8">
        <v>46099</v>
      </c>
      <c r="E25" t="s">
        <v>1005</v>
      </c>
      <c r="G25">
        <v>2026</v>
      </c>
    </row>
    <row r="26" spans="1:7">
      <c r="A26" t="s">
        <v>1029</v>
      </c>
      <c r="B26">
        <v>7885</v>
      </c>
      <c r="C26" t="s">
        <v>1004</v>
      </c>
      <c r="D26" s="8">
        <v>46108</v>
      </c>
      <c r="E26" t="s">
        <v>1005</v>
      </c>
      <c r="G26">
        <v>2026</v>
      </c>
    </row>
    <row r="27" spans="1:7">
      <c r="A27" t="s">
        <v>1030</v>
      </c>
      <c r="B27">
        <v>7895</v>
      </c>
      <c r="C27" t="s">
        <v>1004</v>
      </c>
      <c r="D27" s="8">
        <v>46112</v>
      </c>
      <c r="E27" t="s">
        <v>1005</v>
      </c>
      <c r="G27">
        <v>2026</v>
      </c>
    </row>
    <row r="28" spans="1:7">
      <c r="A28" t="s">
        <v>1031</v>
      </c>
      <c r="B28">
        <v>7898</v>
      </c>
      <c r="C28" t="s">
        <v>1004</v>
      </c>
      <c r="D28" s="8">
        <v>46100</v>
      </c>
      <c r="E28" t="s">
        <v>1005</v>
      </c>
      <c r="G28">
        <v>2026</v>
      </c>
    </row>
    <row r="29" spans="1:7">
      <c r="A29" t="s">
        <v>1032</v>
      </c>
      <c r="B29">
        <v>7902</v>
      </c>
      <c r="C29" t="s">
        <v>1004</v>
      </c>
      <c r="D29" s="8">
        <v>46119</v>
      </c>
      <c r="E29" t="s">
        <v>514</v>
      </c>
      <c r="G29">
        <v>2026</v>
      </c>
    </row>
    <row r="30" spans="1:7">
      <c r="A30" t="s">
        <v>1033</v>
      </c>
      <c r="B30">
        <v>7912</v>
      </c>
      <c r="C30" t="s">
        <v>1004</v>
      </c>
      <c r="D30" s="8">
        <v>46111</v>
      </c>
      <c r="E30" t="s">
        <v>1005</v>
      </c>
      <c r="G30">
        <v>2026</v>
      </c>
    </row>
    <row r="31" spans="1:7">
      <c r="A31" t="s">
        <v>1034</v>
      </c>
      <c r="B31">
        <v>7915</v>
      </c>
      <c r="C31" t="s">
        <v>1004</v>
      </c>
      <c r="D31" s="8">
        <v>46121</v>
      </c>
      <c r="E31" t="s">
        <v>1005</v>
      </c>
      <c r="G31">
        <v>2026</v>
      </c>
    </row>
    <row r="32" spans="1:7">
      <c r="A32" t="s">
        <v>1035</v>
      </c>
      <c r="B32">
        <v>7931</v>
      </c>
      <c r="C32" t="s">
        <v>1004</v>
      </c>
      <c r="D32" s="8">
        <v>46100</v>
      </c>
      <c r="E32" t="s">
        <v>514</v>
      </c>
      <c r="G32">
        <v>2026</v>
      </c>
    </row>
    <row r="33" spans="1:7">
      <c r="A33" t="s">
        <v>1036</v>
      </c>
      <c r="B33">
        <v>7935</v>
      </c>
      <c r="C33" t="s">
        <v>1004</v>
      </c>
      <c r="D33" s="8">
        <v>46099</v>
      </c>
      <c r="E33" t="s">
        <v>1005</v>
      </c>
      <c r="G33">
        <v>2026</v>
      </c>
    </row>
    <row r="34" spans="1:7">
      <c r="A34" t="s">
        <v>1037</v>
      </c>
      <c r="B34">
        <v>7937</v>
      </c>
      <c r="C34" t="s">
        <v>1004</v>
      </c>
      <c r="D34" s="8">
        <v>46119</v>
      </c>
      <c r="E34" t="s">
        <v>514</v>
      </c>
      <c r="G34">
        <v>2026</v>
      </c>
    </row>
    <row r="35" spans="1:7">
      <c r="A35" t="s">
        <v>1038</v>
      </c>
      <c r="B35">
        <v>7938</v>
      </c>
      <c r="C35" t="s">
        <v>1004</v>
      </c>
      <c r="D35" s="8">
        <v>46120</v>
      </c>
      <c r="E35" t="s">
        <v>514</v>
      </c>
      <c r="G35">
        <v>2026</v>
      </c>
    </row>
    <row r="36" spans="1:7">
      <c r="A36" t="s">
        <v>1039</v>
      </c>
      <c r="B36">
        <v>7939</v>
      </c>
      <c r="C36" t="s">
        <v>1004</v>
      </c>
      <c r="D36" s="8">
        <v>46101</v>
      </c>
      <c r="E36" t="s">
        <v>514</v>
      </c>
      <c r="G36">
        <v>2026</v>
      </c>
    </row>
    <row r="37" spans="1:7">
      <c r="A37" t="s">
        <v>1040</v>
      </c>
      <c r="B37" s="8"/>
      <c r="C37" t="s">
        <v>1004</v>
      </c>
      <c r="D37" s="8">
        <v>46099</v>
      </c>
      <c r="E37" t="s">
        <v>1005</v>
      </c>
      <c r="G37">
        <v>2026</v>
      </c>
    </row>
    <row r="38" spans="1:7">
      <c r="A38" t="s">
        <v>1041</v>
      </c>
      <c r="B38">
        <v>7960</v>
      </c>
      <c r="C38" t="s">
        <v>1004</v>
      </c>
      <c r="D38" s="8">
        <v>46112</v>
      </c>
      <c r="E38" t="s">
        <v>1005</v>
      </c>
      <c r="G38">
        <v>2026</v>
      </c>
    </row>
    <row r="39" spans="1:7">
      <c r="A39" t="s">
        <v>1042</v>
      </c>
      <c r="B39">
        <v>7961</v>
      </c>
      <c r="C39" t="s">
        <v>1004</v>
      </c>
      <c r="D39" s="8">
        <v>46118</v>
      </c>
      <c r="E39" t="s">
        <v>1005</v>
      </c>
      <c r="G39">
        <v>2026</v>
      </c>
    </row>
    <row r="40" spans="1:7">
      <c r="A40" t="s">
        <v>1043</v>
      </c>
      <c r="B40">
        <v>7962</v>
      </c>
      <c r="C40" t="s">
        <v>1004</v>
      </c>
      <c r="D40" s="8">
        <v>46111</v>
      </c>
      <c r="E40" t="s">
        <v>1005</v>
      </c>
      <c r="G40">
        <v>2026</v>
      </c>
    </row>
    <row r="41" spans="1:7">
      <c r="A41" t="s">
        <v>1044</v>
      </c>
      <c r="B41">
        <v>7965</v>
      </c>
      <c r="C41" t="s">
        <v>1004</v>
      </c>
      <c r="D41" s="8">
        <v>46099</v>
      </c>
      <c r="E41" t="s">
        <v>1005</v>
      </c>
      <c r="G41">
        <v>2026</v>
      </c>
    </row>
    <row r="42" spans="1:7">
      <c r="A42" t="s">
        <v>1045</v>
      </c>
      <c r="B42">
        <v>7972</v>
      </c>
      <c r="C42" t="s">
        <v>1004</v>
      </c>
      <c r="D42" s="8">
        <v>46106</v>
      </c>
      <c r="E42" t="s">
        <v>514</v>
      </c>
      <c r="G42">
        <v>2026</v>
      </c>
    </row>
    <row r="43" spans="1:7">
      <c r="A43" t="s">
        <v>1046</v>
      </c>
      <c r="B43">
        <v>7984</v>
      </c>
      <c r="C43" t="s">
        <v>1004</v>
      </c>
      <c r="D43" s="8">
        <v>46121</v>
      </c>
      <c r="E43" t="s">
        <v>1005</v>
      </c>
      <c r="G43">
        <v>2026</v>
      </c>
    </row>
    <row r="44" spans="1:7">
      <c r="A44" t="s">
        <v>1047</v>
      </c>
      <c r="B44" s="8"/>
      <c r="C44" t="s">
        <v>1004</v>
      </c>
      <c r="D44" s="8">
        <v>46107</v>
      </c>
      <c r="E44" t="s">
        <v>514</v>
      </c>
      <c r="G44">
        <v>2026</v>
      </c>
    </row>
    <row r="45" spans="1:7">
      <c r="A45" t="s">
        <v>1048</v>
      </c>
      <c r="B45">
        <v>8009</v>
      </c>
      <c r="C45" t="s">
        <v>1004</v>
      </c>
      <c r="D45" s="8">
        <v>46100</v>
      </c>
      <c r="E45" t="s">
        <v>1005</v>
      </c>
      <c r="G45">
        <v>2026</v>
      </c>
    </row>
    <row r="46" spans="1:7">
      <c r="A46" t="s">
        <v>1049</v>
      </c>
      <c r="B46">
        <v>8021</v>
      </c>
      <c r="C46" t="s">
        <v>1004</v>
      </c>
      <c r="D46" s="8">
        <v>46106</v>
      </c>
      <c r="E46" t="s">
        <v>514</v>
      </c>
      <c r="G46">
        <v>2026</v>
      </c>
    </row>
    <row r="47" spans="1:7">
      <c r="A47" t="s">
        <v>1050</v>
      </c>
      <c r="B47">
        <v>8023</v>
      </c>
      <c r="C47" t="s">
        <v>1004</v>
      </c>
      <c r="D47" s="8">
        <v>46121</v>
      </c>
      <c r="E47" t="s">
        <v>1005</v>
      </c>
      <c r="G47">
        <v>2026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9.109375" defaultRowHeight="14.4"/>
  <cols>
    <col min="1" max="8" width="18" customWidth="1"/>
    <col min="9" max="9" width="21" customWidth="1"/>
  </cols>
  <sheetData>
    <row r="1" spans="1:9">
      <c r="A1" s="2" t="s">
        <v>1051</v>
      </c>
      <c r="B1" s="2" t="s">
        <v>339</v>
      </c>
      <c r="C1" s="2" t="s">
        <v>1052</v>
      </c>
      <c r="D1" s="2" t="s">
        <v>1053</v>
      </c>
      <c r="E1" s="2" t="s">
        <v>1054</v>
      </c>
      <c r="F1" s="2" t="s">
        <v>1055</v>
      </c>
      <c r="G1" s="2" t="s">
        <v>1056</v>
      </c>
      <c r="H1" s="2" t="s">
        <v>1057</v>
      </c>
      <c r="I1" s="2" t="s">
        <v>1058</v>
      </c>
    </row>
    <row r="2" spans="1:9">
      <c r="A2" t="s">
        <v>1059</v>
      </c>
      <c r="B2" t="s">
        <v>1060</v>
      </c>
      <c r="C2" t="s">
        <v>1061</v>
      </c>
      <c r="D2" s="16" t="s">
        <v>1062</v>
      </c>
      <c r="E2">
        <v>20</v>
      </c>
      <c r="F2" t="s">
        <v>1063</v>
      </c>
      <c r="H2" t="s">
        <v>1064</v>
      </c>
      <c r="I2" t="s">
        <v>1065</v>
      </c>
    </row>
    <row r="3" spans="1:9">
      <c r="A3" t="s">
        <v>1066</v>
      </c>
      <c r="D3" s="16"/>
    </row>
    <row r="4" spans="1:9">
      <c r="A4" t="s">
        <v>1059</v>
      </c>
      <c r="D4" s="16"/>
    </row>
    <row r="5" spans="1:9">
      <c r="A5" t="s">
        <v>1067</v>
      </c>
      <c r="D5" s="16"/>
    </row>
    <row r="6" spans="1:9">
      <c r="A6" t="s">
        <v>1059</v>
      </c>
      <c r="D6" s="16"/>
    </row>
    <row r="7" spans="1:9">
      <c r="A7" t="s">
        <v>1059</v>
      </c>
      <c r="D7" s="16"/>
    </row>
    <row r="8" spans="1:9">
      <c r="A8" t="s">
        <v>1059</v>
      </c>
      <c r="D8" s="16"/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F7D0-54AA-458A-A71B-7A9EF5D052BD}">
  <dimension ref="A1:Y1002"/>
  <sheetViews>
    <sheetView topLeftCell="A30" workbookViewId="0">
      <selection activeCell="H30" sqref="H30"/>
    </sheetView>
  </sheetViews>
  <sheetFormatPr baseColWidth="10" defaultColWidth="9.109375" defaultRowHeight="14.4"/>
  <cols>
    <col min="1" max="1" width="10" bestFit="1" customWidth="1"/>
    <col min="2" max="2" width="30.5546875" bestFit="1" customWidth="1"/>
    <col min="3" max="3" width="35" bestFit="1" customWidth="1"/>
    <col min="4" max="4" width="21.6640625" bestFit="1" customWidth="1"/>
    <col min="5" max="5" width="38.6640625" bestFit="1" customWidth="1"/>
    <col min="6" max="6" width="16.109375" bestFit="1" customWidth="1"/>
    <col min="7" max="7" width="9.6640625" bestFit="1" customWidth="1"/>
    <col min="8" max="8" width="11" bestFit="1" customWidth="1"/>
    <col min="9" max="9" width="27.5546875" bestFit="1" customWidth="1"/>
    <col min="10" max="10" width="12.33203125" bestFit="1" customWidth="1"/>
    <col min="11" max="11" width="13.5546875" bestFit="1" customWidth="1"/>
    <col min="12" max="12" width="12.109375" bestFit="1" customWidth="1"/>
    <col min="13" max="13" width="18.5546875" customWidth="1"/>
  </cols>
  <sheetData>
    <row r="1" spans="1:25">
      <c r="A1" s="50" t="s">
        <v>525</v>
      </c>
      <c r="B1" s="49" t="s">
        <v>526</v>
      </c>
      <c r="C1" s="49" t="s">
        <v>527</v>
      </c>
      <c r="D1" s="49" t="s">
        <v>1068</v>
      </c>
      <c r="E1" s="49" t="s">
        <v>1069</v>
      </c>
      <c r="F1" s="49" t="s">
        <v>1070</v>
      </c>
      <c r="G1" s="49" t="s">
        <v>1071</v>
      </c>
      <c r="H1" s="49" t="s">
        <v>1072</v>
      </c>
      <c r="I1" s="49" t="s">
        <v>1073</v>
      </c>
      <c r="J1" s="57" t="s">
        <v>1074</v>
      </c>
      <c r="K1" s="57" t="s">
        <v>1075</v>
      </c>
      <c r="L1" s="57" t="s">
        <v>1076</v>
      </c>
      <c r="M1" s="57" t="s">
        <v>1077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>
      <c r="A2" s="43">
        <v>67</v>
      </c>
      <c r="B2" s="32" t="s">
        <v>529</v>
      </c>
      <c r="C2" s="32" t="s">
        <v>530</v>
      </c>
      <c r="D2" s="32" t="s">
        <v>994</v>
      </c>
      <c r="E2" s="32" t="s">
        <v>1078</v>
      </c>
      <c r="F2" s="47">
        <v>28585</v>
      </c>
      <c r="G2" s="47">
        <v>22576</v>
      </c>
      <c r="H2" s="32" t="s">
        <v>1079</v>
      </c>
      <c r="I2" s="55" t="s">
        <v>1080</v>
      </c>
      <c r="J2" s="68" t="s">
        <v>482</v>
      </c>
      <c r="K2" s="69"/>
      <c r="L2" s="54"/>
      <c r="M2" s="70"/>
      <c r="N2" s="56"/>
      <c r="O2" s="33"/>
      <c r="P2" s="33"/>
      <c r="Q2" s="33"/>
      <c r="R2" s="33"/>
      <c r="S2" s="33"/>
      <c r="T2" s="33"/>
      <c r="U2" s="33"/>
      <c r="V2" s="33"/>
      <c r="W2" s="33"/>
      <c r="X2" s="33"/>
      <c r="Y2" s="34"/>
    </row>
    <row r="3" spans="1:25">
      <c r="A3" s="43">
        <v>190</v>
      </c>
      <c r="B3" s="32" t="s">
        <v>531</v>
      </c>
      <c r="C3" s="32" t="s">
        <v>532</v>
      </c>
      <c r="D3" s="32" t="s">
        <v>994</v>
      </c>
      <c r="E3" s="32" t="s">
        <v>1081</v>
      </c>
      <c r="F3" s="47">
        <v>28836</v>
      </c>
      <c r="G3" s="47">
        <v>22605</v>
      </c>
      <c r="H3" s="32" t="s">
        <v>1082</v>
      </c>
      <c r="I3" s="55" t="s">
        <v>1083</v>
      </c>
      <c r="J3" s="68" t="s">
        <v>484</v>
      </c>
      <c r="K3" s="68"/>
      <c r="L3" s="54"/>
      <c r="M3" s="70"/>
      <c r="N3" s="56"/>
      <c r="O3" s="33"/>
      <c r="P3" s="33"/>
      <c r="Q3" s="33"/>
      <c r="R3" s="33"/>
      <c r="S3" s="33"/>
      <c r="T3" s="33"/>
      <c r="U3" s="33"/>
      <c r="V3" s="33"/>
      <c r="W3" s="33"/>
      <c r="X3" s="33"/>
      <c r="Y3" s="34"/>
    </row>
    <row r="4" spans="1:25">
      <c r="A4" s="43">
        <v>446</v>
      </c>
      <c r="B4" s="32" t="s">
        <v>533</v>
      </c>
      <c r="C4" s="32" t="s">
        <v>534</v>
      </c>
      <c r="D4" s="32" t="s">
        <v>994</v>
      </c>
      <c r="E4" s="32" t="s">
        <v>1081</v>
      </c>
      <c r="F4" s="47">
        <v>30732</v>
      </c>
      <c r="G4" s="47">
        <v>23006</v>
      </c>
      <c r="H4" s="32" t="s">
        <v>1084</v>
      </c>
      <c r="I4" s="55" t="s">
        <v>1085</v>
      </c>
      <c r="J4" s="68" t="s">
        <v>482</v>
      </c>
      <c r="K4" s="68"/>
      <c r="L4" s="54"/>
      <c r="M4" s="70"/>
      <c r="N4" s="56"/>
      <c r="O4" s="33"/>
      <c r="P4" s="33"/>
      <c r="Q4" s="33"/>
      <c r="R4" s="33"/>
      <c r="S4" s="33"/>
      <c r="T4" s="33"/>
      <c r="U4" s="33"/>
      <c r="V4" s="33"/>
      <c r="W4" s="33"/>
      <c r="X4" s="33"/>
      <c r="Y4" s="34"/>
    </row>
    <row r="5" spans="1:25">
      <c r="A5" s="43">
        <v>457</v>
      </c>
      <c r="B5" s="32" t="s">
        <v>535</v>
      </c>
      <c r="C5" s="32" t="s">
        <v>536</v>
      </c>
      <c r="D5" s="32" t="s">
        <v>994</v>
      </c>
      <c r="E5" s="32" t="s">
        <v>1081</v>
      </c>
      <c r="F5" s="47">
        <v>32293</v>
      </c>
      <c r="G5" s="47">
        <v>26038</v>
      </c>
      <c r="H5" s="32" t="s">
        <v>1086</v>
      </c>
      <c r="I5" s="55" t="s">
        <v>1087</v>
      </c>
      <c r="J5" s="68"/>
      <c r="K5" s="68"/>
      <c r="L5" s="54"/>
      <c r="M5" s="70"/>
      <c r="N5" s="56"/>
      <c r="O5" s="33"/>
      <c r="P5" s="33"/>
      <c r="Q5" s="33"/>
      <c r="R5" s="33"/>
      <c r="S5" s="33"/>
      <c r="T5" s="33"/>
      <c r="U5" s="33"/>
      <c r="V5" s="33"/>
      <c r="W5" s="33"/>
      <c r="X5" s="33"/>
      <c r="Y5" s="34"/>
    </row>
    <row r="6" spans="1:25">
      <c r="A6" s="43">
        <v>460</v>
      </c>
      <c r="B6" s="32" t="s">
        <v>537</v>
      </c>
      <c r="C6" s="32" t="s">
        <v>538</v>
      </c>
      <c r="D6" s="32" t="s">
        <v>994</v>
      </c>
      <c r="E6" s="32" t="s">
        <v>1078</v>
      </c>
      <c r="F6" s="47">
        <v>32336</v>
      </c>
      <c r="G6" s="47">
        <v>24175</v>
      </c>
      <c r="H6" s="32" t="s">
        <v>1088</v>
      </c>
      <c r="I6" s="55" t="s">
        <v>1089</v>
      </c>
      <c r="J6" s="68" t="s">
        <v>482</v>
      </c>
      <c r="K6" s="68"/>
      <c r="L6" s="54"/>
      <c r="M6" s="70"/>
      <c r="N6" s="56"/>
      <c r="O6" s="33"/>
      <c r="P6" s="33"/>
      <c r="Q6" s="33"/>
      <c r="R6" s="33"/>
      <c r="S6" s="33"/>
      <c r="T6" s="33"/>
      <c r="U6" s="33"/>
      <c r="V6" s="33"/>
      <c r="W6" s="33"/>
      <c r="X6" s="33"/>
      <c r="Y6" s="34"/>
    </row>
    <row r="7" spans="1:25">
      <c r="A7" s="43">
        <v>481</v>
      </c>
      <c r="B7" s="32" t="s">
        <v>539</v>
      </c>
      <c r="C7" s="32" t="s">
        <v>534</v>
      </c>
      <c r="D7" s="32" t="s">
        <v>994</v>
      </c>
      <c r="E7" s="32" t="s">
        <v>1081</v>
      </c>
      <c r="F7" s="47">
        <v>32664</v>
      </c>
      <c r="G7" s="47">
        <v>24092</v>
      </c>
      <c r="H7" s="32" t="s">
        <v>1090</v>
      </c>
      <c r="I7" s="55" t="s">
        <v>1091</v>
      </c>
      <c r="J7" s="68"/>
      <c r="K7" s="68"/>
      <c r="L7" s="54"/>
      <c r="M7" s="70"/>
      <c r="N7" s="56"/>
      <c r="O7" s="33"/>
      <c r="P7" s="33"/>
      <c r="Q7" s="33"/>
      <c r="R7" s="33"/>
      <c r="S7" s="33"/>
      <c r="T7" s="33"/>
      <c r="U7" s="33"/>
      <c r="V7" s="33"/>
      <c r="W7" s="33"/>
      <c r="X7" s="33"/>
      <c r="Y7" s="34"/>
    </row>
    <row r="8" spans="1:25">
      <c r="A8" s="43">
        <v>4644</v>
      </c>
      <c r="B8" s="32" t="s">
        <v>540</v>
      </c>
      <c r="C8" s="32" t="s">
        <v>541</v>
      </c>
      <c r="D8" s="32" t="s">
        <v>994</v>
      </c>
      <c r="E8" s="32" t="s">
        <v>1081</v>
      </c>
      <c r="F8" s="47">
        <v>30692</v>
      </c>
      <c r="G8" s="47">
        <v>24618</v>
      </c>
      <c r="H8" s="32" t="s">
        <v>1092</v>
      </c>
      <c r="I8" s="55" t="s">
        <v>1083</v>
      </c>
      <c r="J8" s="68"/>
      <c r="K8" s="68"/>
      <c r="L8" s="54"/>
      <c r="M8" s="70"/>
      <c r="N8" s="56"/>
      <c r="O8" s="33"/>
      <c r="P8" s="33"/>
      <c r="Q8" s="33"/>
      <c r="R8" s="33"/>
      <c r="S8" s="33"/>
      <c r="T8" s="33"/>
      <c r="U8" s="33"/>
      <c r="V8" s="33"/>
      <c r="W8" s="33"/>
      <c r="X8" s="33"/>
      <c r="Y8" s="34"/>
    </row>
    <row r="9" spans="1:25">
      <c r="A9" s="43">
        <v>5006</v>
      </c>
      <c r="B9" s="32" t="s">
        <v>542</v>
      </c>
      <c r="C9" s="32" t="s">
        <v>534</v>
      </c>
      <c r="D9" s="32" t="s">
        <v>994</v>
      </c>
      <c r="E9" s="32" t="s">
        <v>1081</v>
      </c>
      <c r="F9" s="47">
        <v>30873</v>
      </c>
      <c r="G9" s="47">
        <v>22799</v>
      </c>
      <c r="H9" s="32" t="s">
        <v>1093</v>
      </c>
      <c r="I9" s="55" t="s">
        <v>1091</v>
      </c>
      <c r="J9" s="68"/>
      <c r="K9" s="68"/>
      <c r="L9" s="54"/>
      <c r="M9" s="70"/>
      <c r="N9" s="56"/>
      <c r="O9" s="33"/>
      <c r="P9" s="33"/>
      <c r="Q9" s="33"/>
      <c r="R9" s="33"/>
      <c r="S9" s="33"/>
      <c r="T9" s="33"/>
      <c r="U9" s="33"/>
      <c r="V9" s="33"/>
      <c r="W9" s="33"/>
      <c r="X9" s="33"/>
      <c r="Y9" s="34"/>
    </row>
    <row r="10" spans="1:25">
      <c r="A10" s="43">
        <v>5438</v>
      </c>
      <c r="B10" s="32" t="s">
        <v>543</v>
      </c>
      <c r="C10" s="32" t="s">
        <v>534</v>
      </c>
      <c r="D10" s="32" t="s">
        <v>994</v>
      </c>
      <c r="E10" s="32" t="s">
        <v>1081</v>
      </c>
      <c r="F10" s="47">
        <v>32547</v>
      </c>
      <c r="G10" s="47">
        <v>25323</v>
      </c>
      <c r="H10" s="32" t="s">
        <v>1094</v>
      </c>
      <c r="I10" s="55" t="s">
        <v>1083</v>
      </c>
      <c r="J10" s="68"/>
      <c r="K10" s="68"/>
      <c r="L10" s="54"/>
      <c r="M10" s="70"/>
      <c r="N10" s="5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4"/>
    </row>
    <row r="11" spans="1:25">
      <c r="A11" s="43">
        <v>5439</v>
      </c>
      <c r="B11" s="32" t="s">
        <v>544</v>
      </c>
      <c r="C11" s="32" t="s">
        <v>534</v>
      </c>
      <c r="D11" s="32" t="s">
        <v>994</v>
      </c>
      <c r="E11" s="32" t="s">
        <v>1081</v>
      </c>
      <c r="F11" s="47">
        <v>32547</v>
      </c>
      <c r="G11" s="47">
        <v>24578</v>
      </c>
      <c r="H11" s="32" t="s">
        <v>1095</v>
      </c>
      <c r="I11" s="55" t="s">
        <v>1085</v>
      </c>
      <c r="J11" s="68"/>
      <c r="K11" s="68"/>
      <c r="L11" s="54"/>
      <c r="M11" s="70"/>
      <c r="N11" s="5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4"/>
    </row>
    <row r="12" spans="1:25">
      <c r="A12" s="43">
        <v>5441</v>
      </c>
      <c r="B12" s="32" t="s">
        <v>545</v>
      </c>
      <c r="C12" s="32" t="s">
        <v>538</v>
      </c>
      <c r="D12" s="32" t="s">
        <v>994</v>
      </c>
      <c r="E12" s="32" t="s">
        <v>1078</v>
      </c>
      <c r="F12" s="47">
        <v>32657</v>
      </c>
      <c r="G12" s="47">
        <v>24384</v>
      </c>
      <c r="H12" s="32" t="s">
        <v>1096</v>
      </c>
      <c r="I12" s="55" t="s">
        <v>1097</v>
      </c>
      <c r="J12" s="68" t="s">
        <v>482</v>
      </c>
      <c r="K12" s="68"/>
      <c r="L12" s="54"/>
      <c r="M12" s="70"/>
      <c r="N12" s="56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4"/>
    </row>
    <row r="13" spans="1:25">
      <c r="A13" s="43">
        <v>5444</v>
      </c>
      <c r="B13" s="32" t="s">
        <v>546</v>
      </c>
      <c r="C13" s="32" t="s">
        <v>534</v>
      </c>
      <c r="D13" s="32" t="s">
        <v>994</v>
      </c>
      <c r="E13" s="32" t="s">
        <v>1081</v>
      </c>
      <c r="F13" s="47">
        <v>40175</v>
      </c>
      <c r="G13" s="47">
        <v>23068</v>
      </c>
      <c r="H13" s="32" t="s">
        <v>1098</v>
      </c>
      <c r="I13" s="55" t="s">
        <v>1099</v>
      </c>
      <c r="J13" s="68"/>
      <c r="K13" s="68"/>
      <c r="L13" s="54"/>
      <c r="M13" s="70"/>
      <c r="N13" s="56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4"/>
    </row>
    <row r="14" spans="1:25">
      <c r="A14" s="43">
        <v>6057</v>
      </c>
      <c r="B14" s="32" t="s">
        <v>547</v>
      </c>
      <c r="C14" s="32" t="s">
        <v>532</v>
      </c>
      <c r="D14" s="32" t="s">
        <v>994</v>
      </c>
      <c r="E14" s="32" t="s">
        <v>1081</v>
      </c>
      <c r="F14" s="47">
        <v>27897</v>
      </c>
      <c r="G14" s="47">
        <v>19606</v>
      </c>
      <c r="H14" s="32" t="s">
        <v>1100</v>
      </c>
      <c r="I14" s="55" t="s">
        <v>1101</v>
      </c>
      <c r="J14" s="68"/>
      <c r="K14" s="68"/>
      <c r="L14" s="54"/>
      <c r="M14" s="70"/>
      <c r="N14" s="56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4"/>
    </row>
    <row r="15" spans="1:25">
      <c r="A15" s="43">
        <v>6703</v>
      </c>
      <c r="B15" s="32" t="s">
        <v>548</v>
      </c>
      <c r="C15" s="32" t="s">
        <v>549</v>
      </c>
      <c r="D15" s="32" t="s">
        <v>996</v>
      </c>
      <c r="E15" s="35"/>
      <c r="F15" s="47">
        <v>32636</v>
      </c>
      <c r="G15" s="47">
        <v>22469</v>
      </c>
      <c r="H15" s="32" t="s">
        <v>1102</v>
      </c>
      <c r="I15" s="55" t="s">
        <v>1087</v>
      </c>
      <c r="J15" s="68"/>
      <c r="K15" s="68"/>
      <c r="L15" s="54"/>
      <c r="M15" s="70"/>
      <c r="N15" s="56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4"/>
    </row>
    <row r="16" spans="1:25">
      <c r="A16" s="43">
        <v>6708</v>
      </c>
      <c r="B16" s="32" t="s">
        <v>550</v>
      </c>
      <c r="C16" s="35"/>
      <c r="D16" s="32" t="s">
        <v>1103</v>
      </c>
      <c r="E16" s="32" t="s">
        <v>1104</v>
      </c>
      <c r="F16" s="47">
        <v>37226</v>
      </c>
      <c r="G16" s="47">
        <v>24069</v>
      </c>
      <c r="H16" s="32" t="s">
        <v>1105</v>
      </c>
      <c r="I16" s="55" t="s">
        <v>1106</v>
      </c>
      <c r="J16" s="68"/>
      <c r="K16" s="68"/>
      <c r="L16" s="54"/>
      <c r="M16" s="70"/>
      <c r="N16" s="56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4"/>
    </row>
    <row r="17" spans="1:25">
      <c r="A17" s="43">
        <v>7073</v>
      </c>
      <c r="B17" s="32" t="s">
        <v>551</v>
      </c>
      <c r="C17" s="32" t="s">
        <v>552</v>
      </c>
      <c r="D17" s="32" t="s">
        <v>994</v>
      </c>
      <c r="E17" s="32" t="s">
        <v>1081</v>
      </c>
      <c r="F17" s="47">
        <v>38223</v>
      </c>
      <c r="G17" s="47">
        <v>25966</v>
      </c>
      <c r="H17" s="32" t="s">
        <v>1107</v>
      </c>
      <c r="I17" s="55" t="s">
        <v>1101</v>
      </c>
      <c r="J17" s="68"/>
      <c r="K17" s="68"/>
      <c r="L17" s="54"/>
      <c r="M17" s="70"/>
      <c r="N17" s="56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4"/>
    </row>
    <row r="18" spans="1:25">
      <c r="A18" s="43">
        <v>7469</v>
      </c>
      <c r="B18" s="32" t="s">
        <v>553</v>
      </c>
      <c r="C18" s="32" t="s">
        <v>554</v>
      </c>
      <c r="D18" s="32" t="s">
        <v>994</v>
      </c>
      <c r="E18" s="32" t="s">
        <v>1081</v>
      </c>
      <c r="F18" s="47">
        <v>35947</v>
      </c>
      <c r="G18" s="47">
        <v>27127</v>
      </c>
      <c r="H18" s="32" t="s">
        <v>1108</v>
      </c>
      <c r="I18" s="55" t="s">
        <v>1087</v>
      </c>
      <c r="J18" s="68"/>
      <c r="K18" s="68"/>
      <c r="L18" s="54"/>
      <c r="M18" s="70"/>
      <c r="N18" s="56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4"/>
    </row>
    <row r="19" spans="1:25">
      <c r="A19" s="43">
        <v>7544</v>
      </c>
      <c r="B19" s="32" t="s">
        <v>555</v>
      </c>
      <c r="C19" s="32" t="s">
        <v>556</v>
      </c>
      <c r="D19" s="32" t="s">
        <v>994</v>
      </c>
      <c r="E19" s="32" t="s">
        <v>1081</v>
      </c>
      <c r="F19" s="47">
        <v>38322</v>
      </c>
      <c r="G19" s="47">
        <v>29384</v>
      </c>
      <c r="H19" s="32" t="s">
        <v>1109</v>
      </c>
      <c r="I19" s="55" t="s">
        <v>1110</v>
      </c>
      <c r="J19" s="68" t="s">
        <v>482</v>
      </c>
      <c r="K19" s="68"/>
      <c r="L19" s="54"/>
      <c r="M19" s="70"/>
      <c r="N19" s="56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4"/>
    </row>
    <row r="20" spans="1:25">
      <c r="A20" s="43">
        <v>7554</v>
      </c>
      <c r="B20" s="32" t="s">
        <v>557</v>
      </c>
      <c r="C20" s="32" t="s">
        <v>552</v>
      </c>
      <c r="D20" s="32" t="s">
        <v>994</v>
      </c>
      <c r="E20" s="32" t="s">
        <v>1081</v>
      </c>
      <c r="F20" s="47">
        <v>35290</v>
      </c>
      <c r="G20" s="47">
        <v>26470</v>
      </c>
      <c r="H20" s="32" t="s">
        <v>1111</v>
      </c>
      <c r="I20" s="55" t="s">
        <v>1099</v>
      </c>
      <c r="J20" s="68"/>
      <c r="K20" s="68"/>
      <c r="L20" s="54"/>
      <c r="M20" s="70"/>
      <c r="N20" s="56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4"/>
    </row>
    <row r="21" spans="1:25">
      <c r="A21" s="43">
        <v>7564</v>
      </c>
      <c r="B21" s="32" t="s">
        <v>558</v>
      </c>
      <c r="C21" s="32" t="s">
        <v>552</v>
      </c>
      <c r="D21" s="32" t="s">
        <v>994</v>
      </c>
      <c r="E21" s="32" t="s">
        <v>1081</v>
      </c>
      <c r="F21" s="47">
        <v>36045</v>
      </c>
      <c r="G21" s="47">
        <v>26965</v>
      </c>
      <c r="H21" s="32" t="s">
        <v>1112</v>
      </c>
      <c r="I21" s="55" t="s">
        <v>1113</v>
      </c>
      <c r="J21" s="68"/>
      <c r="K21" s="68"/>
      <c r="L21" s="54"/>
      <c r="M21" s="70"/>
      <c r="N21" s="56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4"/>
    </row>
    <row r="22" spans="1:25">
      <c r="A22" s="43">
        <v>7566</v>
      </c>
      <c r="B22" s="32" t="s">
        <v>559</v>
      </c>
      <c r="C22" s="32" t="s">
        <v>552</v>
      </c>
      <c r="D22" s="32" t="s">
        <v>994</v>
      </c>
      <c r="E22" s="32" t="s">
        <v>1081</v>
      </c>
      <c r="F22" s="47">
        <v>36134</v>
      </c>
      <c r="G22" s="47">
        <v>22169</v>
      </c>
      <c r="H22" s="32" t="s">
        <v>1114</v>
      </c>
      <c r="I22" s="55" t="s">
        <v>1115</v>
      </c>
      <c r="J22" s="68"/>
      <c r="K22" s="68"/>
      <c r="L22" s="54"/>
      <c r="M22" s="70"/>
      <c r="N22" s="56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4"/>
    </row>
    <row r="23" spans="1:25">
      <c r="A23" s="43">
        <v>7623</v>
      </c>
      <c r="B23" s="32" t="s">
        <v>560</v>
      </c>
      <c r="C23" s="32" t="s">
        <v>554</v>
      </c>
      <c r="D23" s="32" t="s">
        <v>994</v>
      </c>
      <c r="E23" s="32" t="s">
        <v>1081</v>
      </c>
      <c r="F23" s="47">
        <v>36675</v>
      </c>
      <c r="G23" s="47">
        <v>22772</v>
      </c>
      <c r="H23" s="32" t="s">
        <v>1116</v>
      </c>
      <c r="I23" s="55" t="s">
        <v>1117</v>
      </c>
      <c r="J23" s="68" t="s">
        <v>482</v>
      </c>
      <c r="K23" s="68"/>
      <c r="L23" s="54"/>
      <c r="M23" s="70"/>
      <c r="N23" s="56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4"/>
    </row>
    <row r="24" spans="1:25">
      <c r="A24" s="43">
        <v>7706</v>
      </c>
      <c r="B24" s="32" t="s">
        <v>561</v>
      </c>
      <c r="C24" s="32" t="s">
        <v>552</v>
      </c>
      <c r="D24" s="32" t="s">
        <v>994</v>
      </c>
      <c r="E24" s="32" t="s">
        <v>1081</v>
      </c>
      <c r="F24" s="47">
        <v>36861</v>
      </c>
      <c r="G24" s="47">
        <v>23282</v>
      </c>
      <c r="H24" s="32" t="s">
        <v>1118</v>
      </c>
      <c r="I24" s="55" t="s">
        <v>1113</v>
      </c>
      <c r="J24" s="68"/>
      <c r="K24" s="68"/>
      <c r="L24" s="54"/>
      <c r="M24" s="70"/>
      <c r="N24" s="56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</row>
    <row r="25" spans="1:25">
      <c r="A25" s="43">
        <v>7764</v>
      </c>
      <c r="B25" s="32" t="s">
        <v>562</v>
      </c>
      <c r="C25" s="32" t="s">
        <v>556</v>
      </c>
      <c r="D25" s="32" t="s">
        <v>994</v>
      </c>
      <c r="E25" s="32" t="s">
        <v>1081</v>
      </c>
      <c r="F25" s="47">
        <v>38102</v>
      </c>
      <c r="G25" s="47">
        <v>29133</v>
      </c>
      <c r="H25" s="32" t="s">
        <v>1119</v>
      </c>
      <c r="I25" s="55" t="s">
        <v>1115</v>
      </c>
      <c r="J25" s="68"/>
      <c r="K25" s="68"/>
      <c r="L25" s="54"/>
      <c r="M25" s="70"/>
      <c r="N25" s="56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4"/>
    </row>
    <row r="26" spans="1:25">
      <c r="A26" s="43">
        <v>7767</v>
      </c>
      <c r="B26" s="32" t="s">
        <v>563</v>
      </c>
      <c r="C26" s="32" t="s">
        <v>532</v>
      </c>
      <c r="D26" s="32" t="s">
        <v>994</v>
      </c>
      <c r="E26" s="32" t="s">
        <v>1081</v>
      </c>
      <c r="F26" s="47">
        <v>37466</v>
      </c>
      <c r="G26" s="47">
        <v>30149</v>
      </c>
      <c r="H26" s="32" t="s">
        <v>1120</v>
      </c>
      <c r="I26" s="55" t="s">
        <v>1113</v>
      </c>
      <c r="J26" s="68"/>
      <c r="K26" s="68"/>
      <c r="L26" s="54"/>
      <c r="M26" s="70"/>
      <c r="N26" s="56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4"/>
    </row>
    <row r="27" spans="1:25">
      <c r="A27" s="43">
        <v>7780</v>
      </c>
      <c r="B27" s="32" t="s">
        <v>564</v>
      </c>
      <c r="C27" s="32" t="s">
        <v>534</v>
      </c>
      <c r="D27" s="32" t="s">
        <v>994</v>
      </c>
      <c r="E27" s="32" t="s">
        <v>1081</v>
      </c>
      <c r="F27" s="47">
        <v>37473</v>
      </c>
      <c r="G27" s="47">
        <v>26665</v>
      </c>
      <c r="H27" s="32" t="s">
        <v>1121</v>
      </c>
      <c r="I27" s="55" t="s">
        <v>1085</v>
      </c>
      <c r="J27" s="68"/>
      <c r="K27" s="68"/>
      <c r="L27" s="54"/>
      <c r="M27" s="70"/>
      <c r="N27" s="56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4"/>
    </row>
    <row r="28" spans="1:25">
      <c r="A28" s="43">
        <v>7784</v>
      </c>
      <c r="B28" s="32" t="s">
        <v>565</v>
      </c>
      <c r="C28" s="35"/>
      <c r="D28" s="32" t="s">
        <v>994</v>
      </c>
      <c r="E28" s="32" t="s">
        <v>1122</v>
      </c>
      <c r="F28" s="47">
        <v>44075</v>
      </c>
      <c r="G28" s="47">
        <v>23068</v>
      </c>
      <c r="H28" s="32" t="s">
        <v>1123</v>
      </c>
      <c r="I28" s="55" t="s">
        <v>1101</v>
      </c>
      <c r="J28" s="68"/>
      <c r="K28" s="68"/>
      <c r="L28" s="54"/>
      <c r="M28" s="70"/>
      <c r="N28" s="56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4"/>
    </row>
    <row r="29" spans="1:25">
      <c r="A29" s="43">
        <v>7785</v>
      </c>
      <c r="B29" s="32" t="s">
        <v>566</v>
      </c>
      <c r="C29" s="32" t="s">
        <v>567</v>
      </c>
      <c r="D29" s="32" t="s">
        <v>1103</v>
      </c>
      <c r="E29" s="35"/>
      <c r="F29" s="47">
        <v>37501</v>
      </c>
      <c r="G29" s="47">
        <v>23418</v>
      </c>
      <c r="H29" s="32" t="s">
        <v>1124</v>
      </c>
      <c r="I29" s="55" t="s">
        <v>1101</v>
      </c>
      <c r="J29" s="68" t="s">
        <v>482</v>
      </c>
      <c r="K29" s="68"/>
      <c r="L29" s="54"/>
      <c r="M29" s="70"/>
      <c r="N29" s="56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4"/>
    </row>
    <row r="30" spans="1:25">
      <c r="A30" s="43">
        <v>7819</v>
      </c>
      <c r="B30" s="32" t="s">
        <v>568</v>
      </c>
      <c r="C30" s="32" t="s">
        <v>556</v>
      </c>
      <c r="D30" s="32" t="s">
        <v>994</v>
      </c>
      <c r="E30" s="32" t="s">
        <v>1081</v>
      </c>
      <c r="F30" s="47">
        <v>37714</v>
      </c>
      <c r="G30" s="47">
        <v>29803</v>
      </c>
      <c r="H30" s="32" t="s">
        <v>1125</v>
      </c>
      <c r="I30" s="55" t="s">
        <v>1099</v>
      </c>
      <c r="J30" s="68"/>
      <c r="K30" s="68"/>
      <c r="L30" s="54"/>
      <c r="M30" s="70"/>
      <c r="N30" s="56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4"/>
    </row>
    <row r="31" spans="1:25">
      <c r="A31" s="43">
        <v>7820</v>
      </c>
      <c r="B31" s="32" t="s">
        <v>569</v>
      </c>
      <c r="C31" s="32" t="s">
        <v>570</v>
      </c>
      <c r="D31" s="32" t="s">
        <v>996</v>
      </c>
      <c r="E31" s="35"/>
      <c r="F31" s="47">
        <v>37714</v>
      </c>
      <c r="G31" s="47">
        <v>26957</v>
      </c>
      <c r="H31" s="32" t="s">
        <v>1126</v>
      </c>
      <c r="I31" s="55" t="s">
        <v>1127</v>
      </c>
      <c r="J31" s="68"/>
      <c r="K31" s="68"/>
      <c r="L31" s="54"/>
      <c r="M31" s="70"/>
      <c r="N31" s="56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4"/>
    </row>
    <row r="32" spans="1:25">
      <c r="A32" s="43">
        <v>7822</v>
      </c>
      <c r="B32" s="32" t="s">
        <v>571</v>
      </c>
      <c r="C32" s="32" t="s">
        <v>536</v>
      </c>
      <c r="D32" s="32" t="s">
        <v>994</v>
      </c>
      <c r="E32" s="32" t="s">
        <v>1081</v>
      </c>
      <c r="F32" s="47">
        <v>37746</v>
      </c>
      <c r="G32" s="47">
        <v>26167</v>
      </c>
      <c r="H32" s="32" t="s">
        <v>1128</v>
      </c>
      <c r="I32" s="55" t="s">
        <v>1099</v>
      </c>
      <c r="J32" s="68"/>
      <c r="K32" s="68"/>
      <c r="L32" s="54"/>
      <c r="M32" s="70"/>
      <c r="N32" s="56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4"/>
    </row>
    <row r="33" spans="1:25">
      <c r="A33" s="43">
        <v>7825</v>
      </c>
      <c r="B33" s="32" t="s">
        <v>572</v>
      </c>
      <c r="C33" s="32" t="s">
        <v>541</v>
      </c>
      <c r="D33" s="32" t="s">
        <v>994</v>
      </c>
      <c r="E33" s="32" t="s">
        <v>1081</v>
      </c>
      <c r="F33" s="47">
        <v>37867</v>
      </c>
      <c r="G33" s="47">
        <v>26387</v>
      </c>
      <c r="H33" s="32" t="s">
        <v>1129</v>
      </c>
      <c r="I33" s="55" t="s">
        <v>1110</v>
      </c>
      <c r="J33" s="68"/>
      <c r="K33" s="68"/>
      <c r="L33" s="54"/>
      <c r="M33" s="70"/>
      <c r="N33" s="56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4"/>
    </row>
    <row r="34" spans="1:25">
      <c r="A34" s="43">
        <v>7828</v>
      </c>
      <c r="B34" s="32" t="s">
        <v>573</v>
      </c>
      <c r="C34" s="32" t="s">
        <v>530</v>
      </c>
      <c r="D34" s="32" t="s">
        <v>994</v>
      </c>
      <c r="E34" s="32" t="s">
        <v>1078</v>
      </c>
      <c r="F34" s="47">
        <v>37879</v>
      </c>
      <c r="G34" s="47">
        <v>26701</v>
      </c>
      <c r="H34" s="32" t="s">
        <v>1130</v>
      </c>
      <c r="I34" s="55" t="s">
        <v>1131</v>
      </c>
      <c r="J34" s="68"/>
      <c r="K34" s="68"/>
      <c r="L34" s="54"/>
      <c r="M34" s="70"/>
      <c r="N34" s="56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4"/>
    </row>
    <row r="35" spans="1:25">
      <c r="A35" s="43">
        <v>7831</v>
      </c>
      <c r="B35" s="32" t="s">
        <v>574</v>
      </c>
      <c r="C35" s="32" t="s">
        <v>570</v>
      </c>
      <c r="D35" s="32" t="s">
        <v>996</v>
      </c>
      <c r="E35" s="35"/>
      <c r="F35" s="47">
        <v>37914</v>
      </c>
      <c r="G35" s="47">
        <v>22255</v>
      </c>
      <c r="H35" s="32" t="s">
        <v>1132</v>
      </c>
      <c r="I35" s="55" t="s">
        <v>1133</v>
      </c>
      <c r="J35" s="68"/>
      <c r="K35" s="68"/>
      <c r="L35" s="54"/>
      <c r="M35" s="70"/>
      <c r="N35" s="56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4"/>
    </row>
    <row r="36" spans="1:25">
      <c r="A36" s="43">
        <v>7838</v>
      </c>
      <c r="B36" s="32" t="s">
        <v>575</v>
      </c>
      <c r="C36" s="32" t="s">
        <v>570</v>
      </c>
      <c r="D36" s="32" t="s">
        <v>996</v>
      </c>
      <c r="E36" s="35"/>
      <c r="F36" s="47">
        <v>37956</v>
      </c>
      <c r="G36" s="47">
        <v>25329</v>
      </c>
      <c r="H36" s="32" t="s">
        <v>1134</v>
      </c>
      <c r="I36" s="55" t="s">
        <v>1110</v>
      </c>
      <c r="J36" s="68" t="s">
        <v>482</v>
      </c>
      <c r="K36" s="68"/>
      <c r="L36" s="54"/>
      <c r="M36" s="70"/>
      <c r="N36" s="56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4"/>
    </row>
    <row r="37" spans="1:25">
      <c r="A37" s="43">
        <v>7840</v>
      </c>
      <c r="B37" s="32" t="s">
        <v>576</v>
      </c>
      <c r="C37" s="32" t="s">
        <v>577</v>
      </c>
      <c r="D37" s="32" t="s">
        <v>996</v>
      </c>
      <c r="E37" s="35"/>
      <c r="F37" s="47">
        <v>44167</v>
      </c>
      <c r="G37" s="47">
        <v>26087</v>
      </c>
      <c r="H37" s="32" t="s">
        <v>1135</v>
      </c>
      <c r="I37" s="55" t="s">
        <v>1113</v>
      </c>
      <c r="J37" s="68"/>
      <c r="K37" s="68"/>
      <c r="L37" s="54"/>
      <c r="M37" s="70"/>
      <c r="N37" s="56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4"/>
    </row>
    <row r="38" spans="1:25">
      <c r="A38" s="43">
        <v>7850</v>
      </c>
      <c r="B38" s="32" t="s">
        <v>578</v>
      </c>
      <c r="C38" s="32" t="s">
        <v>532</v>
      </c>
      <c r="D38" s="32" t="s">
        <v>994</v>
      </c>
      <c r="E38" s="32" t="s">
        <v>1081</v>
      </c>
      <c r="F38" s="47">
        <v>38054</v>
      </c>
      <c r="G38" s="47">
        <v>28364</v>
      </c>
      <c r="H38" s="32" t="s">
        <v>1136</v>
      </c>
      <c r="I38" s="55" t="s">
        <v>1085</v>
      </c>
      <c r="J38" s="68"/>
      <c r="K38" s="68"/>
      <c r="L38" s="54"/>
      <c r="M38" s="70"/>
      <c r="N38" s="56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4"/>
    </row>
    <row r="39" spans="1:25">
      <c r="A39" s="43">
        <v>7851</v>
      </c>
      <c r="B39" s="32" t="s">
        <v>579</v>
      </c>
      <c r="C39" s="32" t="s">
        <v>570</v>
      </c>
      <c r="D39" s="32" t="s">
        <v>996</v>
      </c>
      <c r="E39" s="35"/>
      <c r="F39" s="47">
        <v>38089</v>
      </c>
      <c r="G39" s="47">
        <v>26243</v>
      </c>
      <c r="H39" s="32" t="s">
        <v>1137</v>
      </c>
      <c r="I39" s="55" t="s">
        <v>1133</v>
      </c>
      <c r="J39" s="68"/>
      <c r="K39" s="68"/>
      <c r="L39" s="54"/>
      <c r="M39" s="70"/>
      <c r="N39" s="56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4"/>
    </row>
    <row r="40" spans="1:25">
      <c r="A40" s="43">
        <v>7852</v>
      </c>
      <c r="B40" s="32" t="s">
        <v>580</v>
      </c>
      <c r="C40" s="32" t="s">
        <v>541</v>
      </c>
      <c r="D40" s="32" t="s">
        <v>994</v>
      </c>
      <c r="E40" s="32" t="s">
        <v>1081</v>
      </c>
      <c r="F40" s="47">
        <v>38096</v>
      </c>
      <c r="G40" s="47">
        <v>21877</v>
      </c>
      <c r="H40" s="32" t="s">
        <v>1138</v>
      </c>
      <c r="I40" s="55" t="s">
        <v>1083</v>
      </c>
      <c r="J40" s="68" t="s">
        <v>482</v>
      </c>
      <c r="K40" s="68"/>
      <c r="L40" s="54"/>
      <c r="M40" s="70"/>
      <c r="N40" s="56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4"/>
    </row>
    <row r="41" spans="1:25">
      <c r="A41" s="43">
        <v>7856</v>
      </c>
      <c r="B41" s="32" t="s">
        <v>581</v>
      </c>
      <c r="C41" s="32" t="s">
        <v>538</v>
      </c>
      <c r="D41" s="32" t="s">
        <v>994</v>
      </c>
      <c r="E41" s="32" t="s">
        <v>1078</v>
      </c>
      <c r="F41" s="47">
        <v>38098</v>
      </c>
      <c r="G41" s="47">
        <v>24382</v>
      </c>
      <c r="H41" s="32" t="s">
        <v>1139</v>
      </c>
      <c r="I41" s="55" t="s">
        <v>1140</v>
      </c>
      <c r="J41" s="68"/>
      <c r="K41" s="68"/>
      <c r="L41" s="54"/>
      <c r="M41" s="70"/>
      <c r="N41" s="56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4"/>
    </row>
    <row r="42" spans="1:25">
      <c r="A42" s="43">
        <v>7857</v>
      </c>
      <c r="B42" s="32" t="s">
        <v>582</v>
      </c>
      <c r="C42" s="32" t="s">
        <v>530</v>
      </c>
      <c r="D42" s="32" t="s">
        <v>994</v>
      </c>
      <c r="E42" s="32" t="s">
        <v>1078</v>
      </c>
      <c r="F42" s="47">
        <v>38098</v>
      </c>
      <c r="G42" s="47">
        <v>30013</v>
      </c>
      <c r="H42" s="32" t="s">
        <v>1141</v>
      </c>
      <c r="I42" s="55" t="s">
        <v>1142</v>
      </c>
      <c r="J42" s="68"/>
      <c r="K42" s="68"/>
      <c r="L42" s="54"/>
      <c r="M42" s="70"/>
      <c r="N42" s="56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4"/>
    </row>
    <row r="43" spans="1:25">
      <c r="A43" s="43">
        <v>7867</v>
      </c>
      <c r="B43" s="32" t="s">
        <v>583</v>
      </c>
      <c r="C43" s="32" t="s">
        <v>538</v>
      </c>
      <c r="D43" s="32" t="s">
        <v>994</v>
      </c>
      <c r="E43" s="32" t="s">
        <v>1078</v>
      </c>
      <c r="F43" s="47">
        <v>38100</v>
      </c>
      <c r="G43" s="47">
        <v>29009</v>
      </c>
      <c r="H43" s="32" t="s">
        <v>1143</v>
      </c>
      <c r="I43" s="55" t="s">
        <v>1089</v>
      </c>
      <c r="J43" s="68"/>
      <c r="K43" s="68"/>
      <c r="L43" s="54"/>
      <c r="M43" s="70"/>
      <c r="N43" s="56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4"/>
    </row>
    <row r="44" spans="1:25">
      <c r="A44" s="43">
        <v>7871</v>
      </c>
      <c r="B44" s="32" t="s">
        <v>584</v>
      </c>
      <c r="C44" s="32" t="s">
        <v>536</v>
      </c>
      <c r="D44" s="32" t="s">
        <v>994</v>
      </c>
      <c r="E44" s="32" t="s">
        <v>1081</v>
      </c>
      <c r="F44" s="47">
        <v>38110</v>
      </c>
      <c r="G44" s="47">
        <v>26554</v>
      </c>
      <c r="H44" s="32" t="s">
        <v>1144</v>
      </c>
      <c r="I44" s="55" t="s">
        <v>1145</v>
      </c>
      <c r="J44" s="68"/>
      <c r="K44" s="68"/>
      <c r="L44" s="54"/>
      <c r="M44" s="70"/>
      <c r="N44" s="56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4"/>
    </row>
    <row r="45" spans="1:25">
      <c r="A45" s="43">
        <v>7872</v>
      </c>
      <c r="B45" s="32" t="s">
        <v>585</v>
      </c>
      <c r="C45" s="35"/>
      <c r="D45" s="32" t="s">
        <v>994</v>
      </c>
      <c r="E45" s="32" t="s">
        <v>1146</v>
      </c>
      <c r="F45" s="47">
        <v>38124</v>
      </c>
      <c r="G45" s="47">
        <v>27032</v>
      </c>
      <c r="H45" s="32" t="s">
        <v>1147</v>
      </c>
      <c r="I45" s="55" t="s">
        <v>1101</v>
      </c>
      <c r="J45" s="68"/>
      <c r="K45" s="68"/>
      <c r="L45" s="54"/>
      <c r="M45" s="70"/>
      <c r="N45" s="56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4"/>
    </row>
    <row r="46" spans="1:25">
      <c r="A46" s="43">
        <v>7873</v>
      </c>
      <c r="B46" s="32" t="s">
        <v>586</v>
      </c>
      <c r="C46" s="32" t="s">
        <v>538</v>
      </c>
      <c r="D46" s="32" t="s">
        <v>994</v>
      </c>
      <c r="E46" s="32" t="s">
        <v>1078</v>
      </c>
      <c r="F46" s="47">
        <v>38152</v>
      </c>
      <c r="G46" s="47">
        <v>25197</v>
      </c>
      <c r="H46" s="32" t="s">
        <v>1148</v>
      </c>
      <c r="I46" s="55" t="s">
        <v>1140</v>
      </c>
      <c r="J46" s="68" t="s">
        <v>482</v>
      </c>
      <c r="K46" s="68"/>
      <c r="L46" s="54"/>
      <c r="M46" s="70"/>
      <c r="N46" s="56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4"/>
    </row>
    <row r="47" spans="1:25">
      <c r="A47" s="43">
        <v>7874</v>
      </c>
      <c r="B47" s="32" t="s">
        <v>587</v>
      </c>
      <c r="C47" s="32" t="s">
        <v>577</v>
      </c>
      <c r="D47" s="32" t="s">
        <v>996</v>
      </c>
      <c r="E47" s="35"/>
      <c r="F47" s="47">
        <v>38184</v>
      </c>
      <c r="G47" s="47">
        <v>22522</v>
      </c>
      <c r="H47" s="32" t="s">
        <v>1149</v>
      </c>
      <c r="I47" s="55" t="s">
        <v>1099</v>
      </c>
      <c r="J47" s="68" t="s">
        <v>482</v>
      </c>
      <c r="K47" s="68"/>
      <c r="L47" s="54"/>
      <c r="M47" s="70"/>
      <c r="N47" s="56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4"/>
    </row>
    <row r="48" spans="1:25">
      <c r="A48" s="43">
        <v>7876</v>
      </c>
      <c r="B48" s="32" t="s">
        <v>588</v>
      </c>
      <c r="C48" s="32" t="s">
        <v>589</v>
      </c>
      <c r="D48" s="32" t="s">
        <v>996</v>
      </c>
      <c r="E48" s="32" t="s">
        <v>1150</v>
      </c>
      <c r="F48" s="47">
        <v>38208</v>
      </c>
      <c r="G48" s="47">
        <v>26677</v>
      </c>
      <c r="H48" s="32" t="s">
        <v>1151</v>
      </c>
      <c r="I48" s="55" t="s">
        <v>1131</v>
      </c>
      <c r="J48" s="68"/>
      <c r="K48" s="68"/>
      <c r="L48" s="54"/>
      <c r="M48" s="70"/>
      <c r="N48" s="56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4"/>
    </row>
    <row r="49" spans="1:25">
      <c r="A49" s="43">
        <v>7878</v>
      </c>
      <c r="B49" s="32" t="s">
        <v>590</v>
      </c>
      <c r="C49" s="32" t="s">
        <v>541</v>
      </c>
      <c r="D49" s="32" t="s">
        <v>994</v>
      </c>
      <c r="E49" s="32" t="s">
        <v>1081</v>
      </c>
      <c r="F49" s="47">
        <v>38200</v>
      </c>
      <c r="G49" s="47">
        <v>30281</v>
      </c>
      <c r="H49" s="32" t="s">
        <v>1152</v>
      </c>
      <c r="I49" s="55" t="s">
        <v>1113</v>
      </c>
      <c r="J49" s="68" t="s">
        <v>482</v>
      </c>
      <c r="K49" s="68"/>
      <c r="L49" s="54"/>
      <c r="M49" s="70"/>
      <c r="N49" s="56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4"/>
    </row>
    <row r="50" spans="1:25">
      <c r="A50" s="43">
        <v>7883</v>
      </c>
      <c r="B50" s="32" t="s">
        <v>591</v>
      </c>
      <c r="C50" s="32" t="s">
        <v>554</v>
      </c>
      <c r="D50" s="32" t="s">
        <v>994</v>
      </c>
      <c r="E50" s="32" t="s">
        <v>1081</v>
      </c>
      <c r="F50" s="47">
        <v>45274</v>
      </c>
      <c r="G50" s="47">
        <v>31653</v>
      </c>
      <c r="H50" s="32" t="s">
        <v>1153</v>
      </c>
      <c r="I50" s="55" t="s">
        <v>1154</v>
      </c>
      <c r="J50" s="68"/>
      <c r="K50" s="68"/>
      <c r="L50" s="54"/>
      <c r="M50" s="70"/>
      <c r="N50" s="56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4"/>
    </row>
    <row r="51" spans="1:25">
      <c r="A51" s="43">
        <v>7884</v>
      </c>
      <c r="B51" s="32" t="s">
        <v>592</v>
      </c>
      <c r="C51" s="32" t="s">
        <v>541</v>
      </c>
      <c r="D51" s="32" t="s">
        <v>994</v>
      </c>
      <c r="E51" s="32" t="s">
        <v>1081</v>
      </c>
      <c r="F51" s="47">
        <v>38200</v>
      </c>
      <c r="G51" s="47">
        <v>30352</v>
      </c>
      <c r="H51" s="32" t="s">
        <v>1155</v>
      </c>
      <c r="I51" s="55" t="s">
        <v>1099</v>
      </c>
      <c r="J51" s="68"/>
      <c r="K51" s="68"/>
      <c r="L51" s="54"/>
      <c r="M51" s="70"/>
      <c r="N51" s="56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4"/>
    </row>
    <row r="52" spans="1:25">
      <c r="A52" s="43">
        <v>7885</v>
      </c>
      <c r="B52" s="32" t="s">
        <v>593</v>
      </c>
      <c r="C52" s="32" t="s">
        <v>541</v>
      </c>
      <c r="D52" s="32" t="s">
        <v>994</v>
      </c>
      <c r="E52" s="32" t="s">
        <v>1081</v>
      </c>
      <c r="F52" s="47">
        <v>38200</v>
      </c>
      <c r="G52" s="47">
        <v>29596</v>
      </c>
      <c r="H52" s="32" t="s">
        <v>1156</v>
      </c>
      <c r="I52" s="55" t="s">
        <v>1085</v>
      </c>
      <c r="J52" s="68"/>
      <c r="K52" s="68"/>
      <c r="L52" s="54"/>
      <c r="M52" s="70"/>
      <c r="N52" s="56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4"/>
    </row>
    <row r="53" spans="1:25">
      <c r="A53" s="43">
        <v>7889</v>
      </c>
      <c r="B53" s="32" t="s">
        <v>594</v>
      </c>
      <c r="C53" s="32" t="s">
        <v>552</v>
      </c>
      <c r="D53" s="32" t="s">
        <v>994</v>
      </c>
      <c r="E53" s="32" t="s">
        <v>1081</v>
      </c>
      <c r="F53" s="47">
        <v>38231</v>
      </c>
      <c r="G53" s="47">
        <v>24120</v>
      </c>
      <c r="H53" s="32" t="s">
        <v>1157</v>
      </c>
      <c r="I53" s="55" t="s">
        <v>1083</v>
      </c>
      <c r="J53" s="68"/>
      <c r="K53" s="68"/>
      <c r="L53" s="54"/>
      <c r="M53" s="70"/>
      <c r="N53" s="56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4"/>
    </row>
    <row r="54" spans="1:25">
      <c r="A54" s="43">
        <v>7892</v>
      </c>
      <c r="B54" s="32" t="s">
        <v>595</v>
      </c>
      <c r="C54" s="32" t="s">
        <v>552</v>
      </c>
      <c r="D54" s="32" t="s">
        <v>994</v>
      </c>
      <c r="E54" s="32" t="s">
        <v>1081</v>
      </c>
      <c r="F54" s="47">
        <v>38231</v>
      </c>
      <c r="G54" s="47">
        <v>25702</v>
      </c>
      <c r="H54" s="32" t="s">
        <v>1158</v>
      </c>
      <c r="I54" s="55" t="s">
        <v>1115</v>
      </c>
      <c r="J54" s="68" t="s">
        <v>482</v>
      </c>
      <c r="K54" s="68" t="s">
        <v>1159</v>
      </c>
      <c r="L54" s="54"/>
      <c r="M54" s="70"/>
      <c r="N54" s="56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4"/>
    </row>
    <row r="55" spans="1:25">
      <c r="A55" s="43">
        <v>7893</v>
      </c>
      <c r="B55" s="32" t="s">
        <v>596</v>
      </c>
      <c r="C55" s="32" t="s">
        <v>552</v>
      </c>
      <c r="D55" s="32" t="s">
        <v>994</v>
      </c>
      <c r="E55" s="32" t="s">
        <v>1081</v>
      </c>
      <c r="F55" s="47">
        <v>38231</v>
      </c>
      <c r="G55" s="47">
        <v>30335</v>
      </c>
      <c r="H55" s="32" t="s">
        <v>1160</v>
      </c>
      <c r="I55" s="55" t="s">
        <v>1085</v>
      </c>
      <c r="J55" s="68"/>
      <c r="K55" s="68"/>
      <c r="L55" s="54"/>
      <c r="M55" s="70"/>
      <c r="N55" s="56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4"/>
    </row>
    <row r="56" spans="1:25">
      <c r="A56" s="43">
        <v>7894</v>
      </c>
      <c r="B56" s="32" t="s">
        <v>597</v>
      </c>
      <c r="C56" s="32" t="s">
        <v>532</v>
      </c>
      <c r="D56" s="32" t="s">
        <v>994</v>
      </c>
      <c r="E56" s="32" t="s">
        <v>1081</v>
      </c>
      <c r="F56" s="47">
        <v>38231</v>
      </c>
      <c r="G56" s="47">
        <v>29092</v>
      </c>
      <c r="H56" s="32" t="s">
        <v>1161</v>
      </c>
      <c r="I56" s="55" t="s">
        <v>1113</v>
      </c>
      <c r="J56" s="68"/>
      <c r="K56" s="68"/>
      <c r="L56" s="54"/>
      <c r="M56" s="70"/>
      <c r="N56" s="56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4"/>
    </row>
    <row r="57" spans="1:25">
      <c r="A57" s="43">
        <v>7895</v>
      </c>
      <c r="B57" s="32" t="s">
        <v>598</v>
      </c>
      <c r="C57" s="32" t="s">
        <v>536</v>
      </c>
      <c r="D57" s="32" t="s">
        <v>994</v>
      </c>
      <c r="E57" s="32" t="s">
        <v>1081</v>
      </c>
      <c r="F57" s="47">
        <v>38231</v>
      </c>
      <c r="G57" s="47">
        <v>24369</v>
      </c>
      <c r="H57" s="32" t="s">
        <v>1162</v>
      </c>
      <c r="I57" s="55" t="s">
        <v>1113</v>
      </c>
      <c r="J57" s="68"/>
      <c r="K57" s="68"/>
      <c r="L57" s="54"/>
      <c r="M57" s="70"/>
      <c r="N57" s="56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4"/>
    </row>
    <row r="58" spans="1:25">
      <c r="A58" s="43">
        <v>7898</v>
      </c>
      <c r="B58" s="32" t="s">
        <v>599</v>
      </c>
      <c r="C58" s="35"/>
      <c r="D58" s="32" t="s">
        <v>994</v>
      </c>
      <c r="E58" s="32" t="s">
        <v>1081</v>
      </c>
      <c r="F58" s="47">
        <v>38231</v>
      </c>
      <c r="G58" s="47">
        <v>29284</v>
      </c>
      <c r="H58" s="32" t="s">
        <v>1163</v>
      </c>
      <c r="I58" s="55" t="s">
        <v>1110</v>
      </c>
      <c r="J58" s="68"/>
      <c r="K58" s="68"/>
      <c r="L58" s="54"/>
      <c r="M58" s="70"/>
      <c r="N58" s="56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4"/>
    </row>
    <row r="59" spans="1:25">
      <c r="A59" s="43">
        <v>7899</v>
      </c>
      <c r="B59" s="32" t="s">
        <v>600</v>
      </c>
      <c r="C59" s="32" t="s">
        <v>534</v>
      </c>
      <c r="D59" s="32" t="s">
        <v>994</v>
      </c>
      <c r="E59" s="32" t="s">
        <v>1081</v>
      </c>
      <c r="F59" s="47">
        <v>38231</v>
      </c>
      <c r="G59" s="47">
        <v>24190</v>
      </c>
      <c r="H59" s="32" t="s">
        <v>1164</v>
      </c>
      <c r="I59" s="55" t="s">
        <v>1115</v>
      </c>
      <c r="J59" s="68"/>
      <c r="K59" s="68"/>
      <c r="L59" s="54"/>
      <c r="M59" s="70"/>
      <c r="N59" s="56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4"/>
    </row>
    <row r="60" spans="1:25">
      <c r="A60" s="43">
        <v>7902</v>
      </c>
      <c r="B60" s="32" t="s">
        <v>601</v>
      </c>
      <c r="C60" s="32" t="s">
        <v>552</v>
      </c>
      <c r="D60" s="32" t="s">
        <v>994</v>
      </c>
      <c r="E60" s="32" t="s">
        <v>1081</v>
      </c>
      <c r="F60" s="47">
        <v>38231</v>
      </c>
      <c r="G60" s="47">
        <v>25796</v>
      </c>
      <c r="H60" s="32" t="s">
        <v>1165</v>
      </c>
      <c r="I60" s="55" t="s">
        <v>1115</v>
      </c>
      <c r="J60" s="68"/>
      <c r="K60" s="68"/>
      <c r="L60" s="54"/>
      <c r="M60" s="70"/>
      <c r="N60" s="56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4"/>
    </row>
    <row r="61" spans="1:25">
      <c r="A61" s="43">
        <v>7910</v>
      </c>
      <c r="B61" s="32" t="s">
        <v>602</v>
      </c>
      <c r="C61" s="32" t="s">
        <v>556</v>
      </c>
      <c r="D61" s="32" t="s">
        <v>994</v>
      </c>
      <c r="E61" s="32" t="s">
        <v>1081</v>
      </c>
      <c r="F61" s="47">
        <v>38285</v>
      </c>
      <c r="G61" s="47">
        <v>24178</v>
      </c>
      <c r="H61" s="32" t="s">
        <v>1166</v>
      </c>
      <c r="I61" s="55" t="s">
        <v>1115</v>
      </c>
      <c r="J61" s="68"/>
      <c r="K61" s="68"/>
      <c r="L61" s="54"/>
      <c r="M61" s="70"/>
      <c r="N61" s="56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4"/>
    </row>
    <row r="62" spans="1:25">
      <c r="A62" s="43">
        <v>7912</v>
      </c>
      <c r="B62" s="32" t="s">
        <v>603</v>
      </c>
      <c r="C62" s="32" t="s">
        <v>604</v>
      </c>
      <c r="D62" s="32" t="s">
        <v>994</v>
      </c>
      <c r="E62" s="35"/>
      <c r="F62" s="47">
        <v>38285</v>
      </c>
      <c r="G62" s="47">
        <v>30483</v>
      </c>
      <c r="H62" s="32" t="s">
        <v>1167</v>
      </c>
      <c r="I62" s="55" t="s">
        <v>1142</v>
      </c>
      <c r="J62" s="68"/>
      <c r="K62" s="68"/>
      <c r="L62" s="54"/>
      <c r="M62" s="70"/>
      <c r="N62" s="56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4"/>
    </row>
    <row r="63" spans="1:25">
      <c r="A63" s="43">
        <v>7916</v>
      </c>
      <c r="B63" s="32" t="s">
        <v>605</v>
      </c>
      <c r="C63" s="32" t="s">
        <v>556</v>
      </c>
      <c r="D63" s="32" t="s">
        <v>994</v>
      </c>
      <c r="E63" s="32" t="s">
        <v>1081</v>
      </c>
      <c r="F63" s="47">
        <v>38285</v>
      </c>
      <c r="G63" s="47">
        <v>28699</v>
      </c>
      <c r="H63" s="32" t="s">
        <v>1168</v>
      </c>
      <c r="I63" s="55" t="s">
        <v>1115</v>
      </c>
      <c r="J63" s="68"/>
      <c r="K63" s="68"/>
      <c r="L63" s="54"/>
      <c r="M63" s="70"/>
      <c r="N63" s="56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4"/>
    </row>
    <row r="64" spans="1:25">
      <c r="A64" s="43">
        <v>7931</v>
      </c>
      <c r="B64" s="32" t="s">
        <v>606</v>
      </c>
      <c r="C64" s="32" t="s">
        <v>541</v>
      </c>
      <c r="D64" s="32" t="s">
        <v>994</v>
      </c>
      <c r="E64" s="32" t="s">
        <v>1081</v>
      </c>
      <c r="F64" s="47">
        <v>38292</v>
      </c>
      <c r="G64" s="47">
        <v>31013</v>
      </c>
      <c r="H64" s="32" t="s">
        <v>1169</v>
      </c>
      <c r="I64" s="55" t="s">
        <v>1099</v>
      </c>
      <c r="J64" s="68"/>
      <c r="K64" s="68"/>
      <c r="L64" s="54"/>
      <c r="M64" s="70"/>
      <c r="N64" s="56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4"/>
    </row>
    <row r="65" spans="1:25">
      <c r="A65" s="43">
        <v>7932</v>
      </c>
      <c r="B65" s="32" t="s">
        <v>607</v>
      </c>
      <c r="C65" s="32" t="s">
        <v>534</v>
      </c>
      <c r="D65" s="32" t="s">
        <v>994</v>
      </c>
      <c r="E65" s="32" t="s">
        <v>1081</v>
      </c>
      <c r="F65" s="47">
        <v>38292</v>
      </c>
      <c r="G65" s="47">
        <v>31250</v>
      </c>
      <c r="H65" s="32" t="s">
        <v>1170</v>
      </c>
      <c r="I65" s="55" t="s">
        <v>1115</v>
      </c>
      <c r="J65" s="68"/>
      <c r="K65" s="68"/>
      <c r="L65" s="54"/>
      <c r="M65" s="70"/>
      <c r="N65" s="56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4"/>
    </row>
    <row r="66" spans="1:25">
      <c r="A66" s="43">
        <v>7935</v>
      </c>
      <c r="B66" s="32" t="s">
        <v>608</v>
      </c>
      <c r="C66" s="32" t="s">
        <v>541</v>
      </c>
      <c r="D66" s="32" t="s">
        <v>994</v>
      </c>
      <c r="E66" s="32" t="s">
        <v>1081</v>
      </c>
      <c r="F66" s="47">
        <v>38292</v>
      </c>
      <c r="G66" s="47">
        <v>29683</v>
      </c>
      <c r="H66" s="32" t="s">
        <v>1171</v>
      </c>
      <c r="I66" s="55" t="s">
        <v>1113</v>
      </c>
      <c r="J66" s="68" t="s">
        <v>482</v>
      </c>
      <c r="K66" s="68"/>
      <c r="L66" s="54"/>
      <c r="M66" s="70"/>
      <c r="N66" s="56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4"/>
    </row>
    <row r="67" spans="1:25">
      <c r="A67" s="43">
        <v>7937</v>
      </c>
      <c r="B67" s="32" t="s">
        <v>609</v>
      </c>
      <c r="C67" s="32" t="s">
        <v>541</v>
      </c>
      <c r="D67" s="32" t="s">
        <v>994</v>
      </c>
      <c r="E67" s="32" t="s">
        <v>1081</v>
      </c>
      <c r="F67" s="47">
        <v>38292</v>
      </c>
      <c r="G67" s="47">
        <v>29472</v>
      </c>
      <c r="H67" s="32" t="s">
        <v>1172</v>
      </c>
      <c r="I67" s="55" t="s">
        <v>1113</v>
      </c>
      <c r="J67" s="68"/>
      <c r="K67" s="68"/>
      <c r="L67" s="54"/>
      <c r="M67" s="70"/>
      <c r="N67" s="56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4"/>
    </row>
    <row r="68" spans="1:25">
      <c r="A68" s="43">
        <v>7938</v>
      </c>
      <c r="B68" s="32" t="s">
        <v>610</v>
      </c>
      <c r="C68" s="32" t="s">
        <v>534</v>
      </c>
      <c r="D68" s="32" t="s">
        <v>994</v>
      </c>
      <c r="E68" s="32" t="s">
        <v>1081</v>
      </c>
      <c r="F68" s="47">
        <v>45261</v>
      </c>
      <c r="G68" s="47">
        <v>28516</v>
      </c>
      <c r="H68" s="32" t="s">
        <v>1173</v>
      </c>
      <c r="I68" s="55" t="s">
        <v>1113</v>
      </c>
      <c r="J68" s="68"/>
      <c r="K68" s="68"/>
      <c r="L68" s="54"/>
      <c r="M68" s="70"/>
      <c r="N68" s="56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4"/>
    </row>
    <row r="69" spans="1:25">
      <c r="A69" s="43">
        <v>7939</v>
      </c>
      <c r="B69" s="32" t="s">
        <v>611</v>
      </c>
      <c r="C69" s="35"/>
      <c r="D69" s="32" t="s">
        <v>994</v>
      </c>
      <c r="E69" s="32" t="s">
        <v>1174</v>
      </c>
      <c r="F69" s="47">
        <v>38292</v>
      </c>
      <c r="G69" s="47">
        <v>29712</v>
      </c>
      <c r="H69" s="32" t="s">
        <v>1175</v>
      </c>
      <c r="I69" s="55" t="s">
        <v>1176</v>
      </c>
      <c r="J69" s="68"/>
      <c r="K69" s="68"/>
      <c r="L69" s="54"/>
      <c r="M69" s="70"/>
      <c r="N69" s="56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4"/>
    </row>
    <row r="70" spans="1:25">
      <c r="A70" s="43">
        <v>7941</v>
      </c>
      <c r="B70" s="32" t="s">
        <v>612</v>
      </c>
      <c r="C70" s="32" t="s">
        <v>541</v>
      </c>
      <c r="D70" s="32" t="s">
        <v>994</v>
      </c>
      <c r="E70" s="32" t="s">
        <v>1081</v>
      </c>
      <c r="F70" s="47">
        <v>38292</v>
      </c>
      <c r="G70" s="47">
        <v>28612</v>
      </c>
      <c r="H70" s="32" t="s">
        <v>1177</v>
      </c>
      <c r="I70" s="55" t="s">
        <v>1091</v>
      </c>
      <c r="J70" s="68"/>
      <c r="K70" s="68"/>
      <c r="L70" s="54"/>
      <c r="M70" s="70"/>
      <c r="N70" s="56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4"/>
    </row>
    <row r="71" spans="1:25">
      <c r="A71" s="43">
        <v>7948</v>
      </c>
      <c r="B71" s="32" t="s">
        <v>613</v>
      </c>
      <c r="C71" s="32" t="s">
        <v>541</v>
      </c>
      <c r="D71" s="32" t="s">
        <v>994</v>
      </c>
      <c r="E71" s="32" t="s">
        <v>1081</v>
      </c>
      <c r="F71" s="47">
        <v>38331</v>
      </c>
      <c r="G71" s="47">
        <v>24098</v>
      </c>
      <c r="H71" s="32" t="s">
        <v>1178</v>
      </c>
      <c r="I71" s="55" t="s">
        <v>1091</v>
      </c>
      <c r="J71" s="68"/>
      <c r="K71" s="68"/>
      <c r="L71" s="54"/>
      <c r="M71" s="70"/>
      <c r="N71" s="56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</row>
    <row r="72" spans="1:25">
      <c r="A72" s="43">
        <v>7957</v>
      </c>
      <c r="B72" s="32" t="s">
        <v>614</v>
      </c>
      <c r="C72" s="35"/>
      <c r="D72" s="32" t="s">
        <v>994</v>
      </c>
      <c r="E72" s="32" t="s">
        <v>1174</v>
      </c>
      <c r="F72" s="47">
        <v>38412</v>
      </c>
      <c r="G72" s="47">
        <v>24944</v>
      </c>
      <c r="H72" s="32" t="s">
        <v>1179</v>
      </c>
      <c r="I72" s="55" t="s">
        <v>1180</v>
      </c>
      <c r="J72" s="68"/>
      <c r="K72" s="68"/>
      <c r="L72" s="54"/>
      <c r="M72" s="70"/>
      <c r="N72" s="56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4"/>
    </row>
    <row r="73" spans="1:25">
      <c r="A73" s="43">
        <v>7959</v>
      </c>
      <c r="B73" s="32" t="s">
        <v>615</v>
      </c>
      <c r="C73" s="35"/>
      <c r="D73" s="32" t="s">
        <v>994</v>
      </c>
      <c r="E73" s="32" t="s">
        <v>1174</v>
      </c>
      <c r="F73" s="47">
        <v>38412</v>
      </c>
      <c r="G73" s="47">
        <v>30096</v>
      </c>
      <c r="H73" s="32" t="s">
        <v>1181</v>
      </c>
      <c r="I73" s="55" t="s">
        <v>1182</v>
      </c>
      <c r="J73" s="68"/>
      <c r="K73" s="68"/>
      <c r="L73" s="54"/>
      <c r="M73" s="70"/>
      <c r="N73" s="56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4"/>
    </row>
    <row r="74" spans="1:25">
      <c r="A74" s="43">
        <v>7960</v>
      </c>
      <c r="B74" s="32" t="s">
        <v>616</v>
      </c>
      <c r="C74" s="32" t="s">
        <v>554</v>
      </c>
      <c r="D74" s="32" t="s">
        <v>994</v>
      </c>
      <c r="E74" s="32" t="s">
        <v>1081</v>
      </c>
      <c r="F74" s="47">
        <v>44201</v>
      </c>
      <c r="G74" s="47">
        <v>30531</v>
      </c>
      <c r="H74" s="32" t="s">
        <v>1183</v>
      </c>
      <c r="I74" s="55" t="s">
        <v>1115</v>
      </c>
      <c r="J74" s="68"/>
      <c r="K74" s="68"/>
      <c r="L74" s="54"/>
      <c r="M74" s="70"/>
      <c r="N74" s="56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4"/>
    </row>
    <row r="75" spans="1:25">
      <c r="A75" s="43">
        <v>7961</v>
      </c>
      <c r="B75" s="32" t="s">
        <v>617</v>
      </c>
      <c r="C75" s="32" t="s">
        <v>534</v>
      </c>
      <c r="D75" s="32" t="s">
        <v>994</v>
      </c>
      <c r="E75" s="32" t="s">
        <v>1081</v>
      </c>
      <c r="F75" s="47">
        <v>38412</v>
      </c>
      <c r="G75" s="47">
        <v>31068</v>
      </c>
      <c r="H75" s="32" t="s">
        <v>1184</v>
      </c>
      <c r="I75" s="55" t="s">
        <v>1113</v>
      </c>
      <c r="J75" s="68"/>
      <c r="K75" s="68"/>
      <c r="L75" s="54"/>
      <c r="M75" s="70"/>
      <c r="N75" s="56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4"/>
    </row>
    <row r="76" spans="1:25">
      <c r="A76" s="43">
        <v>7962</v>
      </c>
      <c r="B76" s="32" t="s">
        <v>618</v>
      </c>
      <c r="C76" s="32" t="s">
        <v>554</v>
      </c>
      <c r="D76" s="32" t="s">
        <v>994</v>
      </c>
      <c r="E76" s="32" t="s">
        <v>1081</v>
      </c>
      <c r="F76" s="47">
        <v>38412</v>
      </c>
      <c r="G76" s="47">
        <v>26257</v>
      </c>
      <c r="H76" s="32" t="s">
        <v>1185</v>
      </c>
      <c r="I76" s="55" t="s">
        <v>1085</v>
      </c>
      <c r="J76" s="68"/>
      <c r="K76" s="68"/>
      <c r="L76" s="54"/>
      <c r="M76" s="70"/>
      <c r="N76" s="56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4"/>
    </row>
    <row r="77" spans="1:25">
      <c r="A77" s="43">
        <v>7963</v>
      </c>
      <c r="B77" s="32" t="s">
        <v>619</v>
      </c>
      <c r="C77" s="32" t="s">
        <v>532</v>
      </c>
      <c r="D77" s="32" t="s">
        <v>994</v>
      </c>
      <c r="E77" s="32" t="s">
        <v>1081</v>
      </c>
      <c r="F77" s="47">
        <v>38412</v>
      </c>
      <c r="G77" s="47">
        <v>30394</v>
      </c>
      <c r="H77" s="32" t="s">
        <v>1186</v>
      </c>
      <c r="I77" s="55" t="s">
        <v>1113</v>
      </c>
      <c r="J77" s="68"/>
      <c r="K77" s="68"/>
      <c r="L77" s="54"/>
      <c r="M77" s="70"/>
      <c r="N77" s="56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4"/>
    </row>
    <row r="78" spans="1:25">
      <c r="A78" s="43">
        <v>7965</v>
      </c>
      <c r="B78" s="32" t="s">
        <v>620</v>
      </c>
      <c r="C78" s="35"/>
      <c r="D78" s="35"/>
      <c r="E78" s="35"/>
      <c r="F78" s="47">
        <v>38412</v>
      </c>
      <c r="G78" s="47">
        <v>31366</v>
      </c>
      <c r="H78" s="32" t="s">
        <v>1187</v>
      </c>
      <c r="I78" s="59"/>
      <c r="J78" s="68"/>
      <c r="K78" s="68"/>
      <c r="L78" s="54"/>
      <c r="M78" s="70"/>
      <c r="N78" s="56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4"/>
    </row>
    <row r="79" spans="1:25">
      <c r="A79" s="43">
        <v>7972</v>
      </c>
      <c r="B79" s="32" t="s">
        <v>621</v>
      </c>
      <c r="C79" s="32" t="s">
        <v>570</v>
      </c>
      <c r="D79" s="32" t="s">
        <v>996</v>
      </c>
      <c r="E79" s="35"/>
      <c r="F79" s="47">
        <v>38596</v>
      </c>
      <c r="G79" s="47">
        <v>23159</v>
      </c>
      <c r="H79" s="32" t="s">
        <v>1188</v>
      </c>
      <c r="I79" s="55" t="s">
        <v>1133</v>
      </c>
      <c r="J79" s="68" t="s">
        <v>482</v>
      </c>
      <c r="K79" s="68"/>
      <c r="L79" s="54"/>
      <c r="M79" s="70"/>
      <c r="N79" s="56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4"/>
    </row>
    <row r="80" spans="1:25">
      <c r="A80" s="43">
        <v>7977</v>
      </c>
      <c r="B80" s="32" t="s">
        <v>622</v>
      </c>
      <c r="C80" s="32" t="s">
        <v>532</v>
      </c>
      <c r="D80" s="32" t="s">
        <v>994</v>
      </c>
      <c r="E80" s="32" t="s">
        <v>1081</v>
      </c>
      <c r="F80" s="47">
        <v>38657</v>
      </c>
      <c r="G80" s="47">
        <v>27282</v>
      </c>
      <c r="H80" s="32" t="s">
        <v>1189</v>
      </c>
      <c r="I80" s="55" t="s">
        <v>1099</v>
      </c>
      <c r="J80" s="68"/>
      <c r="K80" s="68"/>
      <c r="L80" s="54"/>
      <c r="M80" s="70"/>
      <c r="N80" s="56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4"/>
    </row>
    <row r="81" spans="1:25">
      <c r="A81" s="43">
        <v>7983</v>
      </c>
      <c r="B81" s="32" t="s">
        <v>623</v>
      </c>
      <c r="C81" s="32" t="s">
        <v>538</v>
      </c>
      <c r="D81" s="32" t="s">
        <v>994</v>
      </c>
      <c r="E81" s="32" t="s">
        <v>1078</v>
      </c>
      <c r="F81" s="47">
        <v>39636</v>
      </c>
      <c r="G81" s="47">
        <v>30769</v>
      </c>
      <c r="H81" s="32" t="s">
        <v>1190</v>
      </c>
      <c r="I81" s="55" t="s">
        <v>1140</v>
      </c>
      <c r="J81" s="68"/>
      <c r="K81" s="68"/>
      <c r="L81" s="54"/>
      <c r="M81" s="70"/>
      <c r="N81" s="56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4"/>
    </row>
    <row r="82" spans="1:25">
      <c r="A82" s="43">
        <v>7984</v>
      </c>
      <c r="B82" s="32" t="s">
        <v>624</v>
      </c>
      <c r="C82" s="32" t="s">
        <v>536</v>
      </c>
      <c r="D82" s="32" t="s">
        <v>994</v>
      </c>
      <c r="E82" s="32" t="s">
        <v>1081</v>
      </c>
      <c r="F82" s="47">
        <v>39769</v>
      </c>
      <c r="G82" s="47">
        <v>31643</v>
      </c>
      <c r="H82" s="32" t="s">
        <v>1191</v>
      </c>
      <c r="I82" s="55" t="s">
        <v>1140</v>
      </c>
      <c r="J82" s="68"/>
      <c r="K82" s="68"/>
      <c r="L82" s="54"/>
      <c r="M82" s="70"/>
      <c r="N82" s="56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4"/>
    </row>
    <row r="83" spans="1:25">
      <c r="A83" s="43">
        <v>7997</v>
      </c>
      <c r="B83" s="32" t="s">
        <v>625</v>
      </c>
      <c r="C83" s="32" t="s">
        <v>534</v>
      </c>
      <c r="D83" s="32" t="s">
        <v>994</v>
      </c>
      <c r="E83" s="32" t="s">
        <v>1081</v>
      </c>
      <c r="F83" s="47">
        <v>38636</v>
      </c>
      <c r="G83" s="47">
        <v>28987</v>
      </c>
      <c r="H83" s="32" t="s">
        <v>1192</v>
      </c>
      <c r="I83" s="55" t="s">
        <v>1115</v>
      </c>
      <c r="J83" s="68"/>
      <c r="K83" s="68"/>
      <c r="L83" s="54"/>
      <c r="M83" s="70"/>
      <c r="N83" s="56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4"/>
    </row>
    <row r="84" spans="1:25">
      <c r="A84" s="43">
        <v>7999</v>
      </c>
      <c r="B84" s="32" t="s">
        <v>626</v>
      </c>
      <c r="C84" s="32" t="s">
        <v>536</v>
      </c>
      <c r="D84" s="32" t="s">
        <v>994</v>
      </c>
      <c r="E84" s="32" t="s">
        <v>1081</v>
      </c>
      <c r="F84" s="47">
        <v>38687</v>
      </c>
      <c r="G84" s="47">
        <v>27902</v>
      </c>
      <c r="H84" s="32" t="s">
        <v>1193</v>
      </c>
      <c r="I84" s="55" t="s">
        <v>1099</v>
      </c>
      <c r="J84" s="68"/>
      <c r="K84" s="68"/>
      <c r="L84" s="54"/>
      <c r="M84" s="70"/>
      <c r="N84" s="56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4"/>
    </row>
    <row r="85" spans="1:25">
      <c r="A85" s="43">
        <v>8002</v>
      </c>
      <c r="B85" s="32" t="s">
        <v>627</v>
      </c>
      <c r="C85" s="32" t="s">
        <v>534</v>
      </c>
      <c r="D85" s="32" t="s">
        <v>994</v>
      </c>
      <c r="E85" s="32" t="s">
        <v>1081</v>
      </c>
      <c r="F85" s="47">
        <v>38687</v>
      </c>
      <c r="G85" s="47">
        <v>31853</v>
      </c>
      <c r="H85" s="32" t="s">
        <v>1194</v>
      </c>
      <c r="I85" s="55" t="s">
        <v>1145</v>
      </c>
      <c r="J85" s="68"/>
      <c r="K85" s="68"/>
      <c r="L85" s="54"/>
      <c r="M85" s="70"/>
      <c r="N85" s="56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4"/>
    </row>
    <row r="86" spans="1:25">
      <c r="A86" s="43">
        <v>8003</v>
      </c>
      <c r="B86" s="32" t="s">
        <v>628</v>
      </c>
      <c r="C86" s="32" t="s">
        <v>556</v>
      </c>
      <c r="D86" s="32" t="s">
        <v>994</v>
      </c>
      <c r="E86" s="32" t="s">
        <v>1081</v>
      </c>
      <c r="F86" s="47">
        <v>38636</v>
      </c>
      <c r="G86" s="47">
        <v>29751</v>
      </c>
      <c r="H86" s="32" t="s">
        <v>1195</v>
      </c>
      <c r="I86" s="55" t="s">
        <v>1113</v>
      </c>
      <c r="J86" s="68"/>
      <c r="K86" s="68"/>
      <c r="L86" s="54"/>
      <c r="M86" s="70"/>
      <c r="N86" s="56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4"/>
    </row>
    <row r="87" spans="1:25">
      <c r="A87" s="43">
        <v>8009</v>
      </c>
      <c r="B87" s="32" t="s">
        <v>629</v>
      </c>
      <c r="C87" s="32" t="s">
        <v>536</v>
      </c>
      <c r="D87" s="32" t="s">
        <v>994</v>
      </c>
      <c r="E87" s="32" t="s">
        <v>1081</v>
      </c>
      <c r="F87" s="47">
        <v>38636</v>
      </c>
      <c r="G87" s="47">
        <v>31202</v>
      </c>
      <c r="H87" s="32" t="s">
        <v>1196</v>
      </c>
      <c r="I87" s="55" t="s">
        <v>1091</v>
      </c>
      <c r="J87" s="68"/>
      <c r="K87" s="68"/>
      <c r="L87" s="54"/>
      <c r="M87" s="70"/>
      <c r="N87" s="56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4"/>
    </row>
    <row r="88" spans="1:25">
      <c r="A88" s="43">
        <v>8010</v>
      </c>
      <c r="B88" s="32" t="s">
        <v>630</v>
      </c>
      <c r="C88" s="32" t="s">
        <v>541</v>
      </c>
      <c r="D88" s="32" t="s">
        <v>994</v>
      </c>
      <c r="E88" s="32" t="s">
        <v>1081</v>
      </c>
      <c r="F88" s="47">
        <v>41396</v>
      </c>
      <c r="G88" s="47">
        <v>30117</v>
      </c>
      <c r="H88" s="32" t="s">
        <v>1197</v>
      </c>
      <c r="I88" s="55" t="s">
        <v>1115</v>
      </c>
      <c r="J88" s="68"/>
      <c r="K88" s="68"/>
      <c r="L88" s="54"/>
      <c r="M88" s="70"/>
      <c r="N88" s="56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4"/>
    </row>
    <row r="89" spans="1:25">
      <c r="A89" s="43">
        <v>8015</v>
      </c>
      <c r="B89" s="32" t="s">
        <v>631</v>
      </c>
      <c r="C89" s="32" t="s">
        <v>541</v>
      </c>
      <c r="D89" s="32" t="s">
        <v>994</v>
      </c>
      <c r="E89" s="32" t="s">
        <v>1081</v>
      </c>
      <c r="F89" s="47">
        <v>38636</v>
      </c>
      <c r="G89" s="47">
        <v>30552</v>
      </c>
      <c r="H89" s="32" t="s">
        <v>1198</v>
      </c>
      <c r="I89" s="55" t="s">
        <v>1099</v>
      </c>
      <c r="J89" s="68"/>
      <c r="K89" s="68"/>
      <c r="L89" s="54"/>
      <c r="M89" s="70"/>
      <c r="N89" s="56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4"/>
    </row>
    <row r="90" spans="1:25">
      <c r="A90" s="43">
        <v>8016</v>
      </c>
      <c r="B90" s="32" t="s">
        <v>632</v>
      </c>
      <c r="C90" s="32" t="s">
        <v>554</v>
      </c>
      <c r="D90" s="32" t="s">
        <v>994</v>
      </c>
      <c r="E90" s="32" t="s">
        <v>1081</v>
      </c>
      <c r="F90" s="47">
        <v>38636</v>
      </c>
      <c r="G90" s="47">
        <v>28893</v>
      </c>
      <c r="H90" s="32" t="s">
        <v>1199</v>
      </c>
      <c r="I90" s="55" t="s">
        <v>1113</v>
      </c>
      <c r="J90" s="68"/>
      <c r="K90" s="68"/>
      <c r="L90" s="54"/>
      <c r="M90" s="70"/>
      <c r="N90" s="56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4"/>
    </row>
    <row r="91" spans="1:25">
      <c r="A91" s="43">
        <v>8021</v>
      </c>
      <c r="B91" s="32" t="s">
        <v>633</v>
      </c>
      <c r="C91" s="32" t="s">
        <v>541</v>
      </c>
      <c r="D91" s="32" t="s">
        <v>994</v>
      </c>
      <c r="E91" s="32" t="s">
        <v>1081</v>
      </c>
      <c r="F91" s="47">
        <v>38719</v>
      </c>
      <c r="G91" s="47">
        <v>23452</v>
      </c>
      <c r="H91" s="32" t="s">
        <v>1200</v>
      </c>
      <c r="I91" s="55" t="s">
        <v>1113</v>
      </c>
      <c r="J91" s="68" t="s">
        <v>482</v>
      </c>
      <c r="K91" s="68"/>
      <c r="L91" s="54"/>
      <c r="M91" s="70"/>
      <c r="N91" s="56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4"/>
    </row>
    <row r="92" spans="1:25">
      <c r="A92" s="43">
        <v>8023</v>
      </c>
      <c r="B92" s="32" t="s">
        <v>634</v>
      </c>
      <c r="C92" s="32" t="s">
        <v>577</v>
      </c>
      <c r="D92" s="32" t="s">
        <v>996</v>
      </c>
      <c r="E92" s="35"/>
      <c r="F92" s="47">
        <v>38636</v>
      </c>
      <c r="G92" s="47">
        <v>30394</v>
      </c>
      <c r="H92" s="32" t="s">
        <v>1201</v>
      </c>
      <c r="I92" s="55" t="s">
        <v>1117</v>
      </c>
      <c r="J92" s="68"/>
      <c r="K92" s="68"/>
      <c r="L92" s="54"/>
      <c r="M92" s="70"/>
      <c r="N92" s="56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4"/>
    </row>
    <row r="93" spans="1:25">
      <c r="A93" s="43">
        <v>8024</v>
      </c>
      <c r="B93" s="32" t="s">
        <v>635</v>
      </c>
      <c r="C93" s="32" t="s">
        <v>552</v>
      </c>
      <c r="D93" s="32" t="s">
        <v>994</v>
      </c>
      <c r="E93" s="32" t="s">
        <v>1081</v>
      </c>
      <c r="F93" s="47">
        <v>38636</v>
      </c>
      <c r="G93" s="47">
        <v>29469</v>
      </c>
      <c r="H93" s="32" t="s">
        <v>1202</v>
      </c>
      <c r="I93" s="55" t="s">
        <v>1117</v>
      </c>
      <c r="J93" s="68"/>
      <c r="K93" s="68"/>
      <c r="L93" s="54"/>
      <c r="M93" s="70"/>
      <c r="N93" s="56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4"/>
    </row>
    <row r="94" spans="1:25">
      <c r="A94" s="45">
        <v>8038</v>
      </c>
      <c r="B94" s="37" t="s">
        <v>636</v>
      </c>
      <c r="C94" s="32" t="s">
        <v>534</v>
      </c>
      <c r="D94" s="32" t="s">
        <v>994</v>
      </c>
      <c r="E94" s="32" t="s">
        <v>1081</v>
      </c>
      <c r="F94" s="47">
        <v>38719</v>
      </c>
      <c r="G94" s="47">
        <v>30910</v>
      </c>
      <c r="H94" s="32" t="s">
        <v>1203</v>
      </c>
      <c r="I94" s="55" t="s">
        <v>1113</v>
      </c>
      <c r="J94" s="68"/>
      <c r="K94" s="68"/>
      <c r="L94" s="54"/>
      <c r="M94" s="70"/>
      <c r="N94" s="56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4"/>
    </row>
    <row r="95" spans="1:25">
      <c r="A95" s="43">
        <v>8047</v>
      </c>
      <c r="B95" s="32" t="s">
        <v>637</v>
      </c>
      <c r="C95" s="32" t="s">
        <v>541</v>
      </c>
      <c r="D95" s="32" t="s">
        <v>994</v>
      </c>
      <c r="E95" s="32" t="s">
        <v>1081</v>
      </c>
      <c r="F95" s="47">
        <v>38831</v>
      </c>
      <c r="G95" s="47">
        <v>30619</v>
      </c>
      <c r="H95" s="32" t="s">
        <v>1204</v>
      </c>
      <c r="I95" s="55" t="s">
        <v>1113</v>
      </c>
      <c r="J95" s="68"/>
      <c r="K95" s="68"/>
      <c r="L95" s="54"/>
      <c r="M95" s="70"/>
      <c r="N95" s="56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4"/>
    </row>
    <row r="96" spans="1:25">
      <c r="A96" s="43">
        <v>8049</v>
      </c>
      <c r="B96" s="32" t="s">
        <v>638</v>
      </c>
      <c r="C96" s="32" t="s">
        <v>541</v>
      </c>
      <c r="D96" s="32" t="s">
        <v>994</v>
      </c>
      <c r="E96" s="32" t="s">
        <v>1081</v>
      </c>
      <c r="F96" s="47">
        <v>38831</v>
      </c>
      <c r="G96" s="47">
        <v>30717</v>
      </c>
      <c r="H96" s="32" t="s">
        <v>1205</v>
      </c>
      <c r="I96" s="55" t="s">
        <v>1115</v>
      </c>
      <c r="J96" s="68"/>
      <c r="K96" s="68"/>
      <c r="L96" s="54"/>
      <c r="M96" s="70"/>
      <c r="N96" s="56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4"/>
    </row>
    <row r="97" spans="1:25">
      <c r="A97" s="43">
        <v>8050</v>
      </c>
      <c r="B97" s="32" t="s">
        <v>639</v>
      </c>
      <c r="C97" s="32" t="s">
        <v>541</v>
      </c>
      <c r="D97" s="32" t="s">
        <v>994</v>
      </c>
      <c r="E97" s="32" t="s">
        <v>1081</v>
      </c>
      <c r="F97" s="47">
        <v>38831</v>
      </c>
      <c r="G97" s="47">
        <v>29582</v>
      </c>
      <c r="H97" s="32" t="s">
        <v>1206</v>
      </c>
      <c r="I97" s="55" t="s">
        <v>1113</v>
      </c>
      <c r="J97" s="68"/>
      <c r="K97" s="68"/>
      <c r="L97" s="54"/>
      <c r="M97" s="70"/>
      <c r="N97" s="56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4"/>
    </row>
    <row r="98" spans="1:25">
      <c r="A98" s="43">
        <v>8051</v>
      </c>
      <c r="B98" s="32" t="s">
        <v>640</v>
      </c>
      <c r="C98" s="35"/>
      <c r="D98" s="32" t="s">
        <v>994</v>
      </c>
      <c r="E98" s="32" t="s">
        <v>1081</v>
      </c>
      <c r="F98" s="47">
        <v>44326</v>
      </c>
      <c r="G98" s="47">
        <v>30512</v>
      </c>
      <c r="H98" s="32" t="s">
        <v>1207</v>
      </c>
      <c r="I98" s="55" t="s">
        <v>1208</v>
      </c>
      <c r="J98" s="68"/>
      <c r="K98" s="68"/>
      <c r="L98" s="54"/>
      <c r="M98" s="70"/>
      <c r="N98" s="56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4"/>
    </row>
    <row r="99" spans="1:25">
      <c r="A99" s="43">
        <v>8054</v>
      </c>
      <c r="B99" s="32" t="s">
        <v>641</v>
      </c>
      <c r="C99" s="32" t="s">
        <v>538</v>
      </c>
      <c r="D99" s="32" t="s">
        <v>994</v>
      </c>
      <c r="E99" s="32" t="s">
        <v>1078</v>
      </c>
      <c r="F99" s="47">
        <v>40182</v>
      </c>
      <c r="G99" s="47">
        <v>23839</v>
      </c>
      <c r="H99" s="32" t="s">
        <v>1209</v>
      </c>
      <c r="I99" s="55" t="s">
        <v>1210</v>
      </c>
      <c r="J99" s="68" t="s">
        <v>482</v>
      </c>
      <c r="K99" s="68"/>
      <c r="L99" s="54"/>
      <c r="M99" s="70"/>
      <c r="N99" s="56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4"/>
    </row>
    <row r="100" spans="1:25">
      <c r="A100" s="43">
        <v>8058</v>
      </c>
      <c r="B100" s="32" t="s">
        <v>642</v>
      </c>
      <c r="C100" s="32" t="s">
        <v>643</v>
      </c>
      <c r="D100" s="32" t="s">
        <v>994</v>
      </c>
      <c r="E100" s="32" t="s">
        <v>1174</v>
      </c>
      <c r="F100" s="47">
        <v>38961</v>
      </c>
      <c r="G100" s="47">
        <v>28435</v>
      </c>
      <c r="H100" s="32" t="s">
        <v>1211</v>
      </c>
      <c r="I100" s="55" t="s">
        <v>1176</v>
      </c>
      <c r="J100" s="68"/>
      <c r="K100" s="68"/>
      <c r="L100" s="54"/>
      <c r="M100" s="70"/>
      <c r="N100" s="56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4"/>
    </row>
    <row r="101" spans="1:25">
      <c r="A101" s="43">
        <v>8059</v>
      </c>
      <c r="B101" s="32" t="s">
        <v>644</v>
      </c>
      <c r="C101" s="32" t="s">
        <v>570</v>
      </c>
      <c r="D101" s="32" t="s">
        <v>996</v>
      </c>
      <c r="E101" s="35"/>
      <c r="F101" s="47">
        <v>38961</v>
      </c>
      <c r="G101" s="47">
        <v>30424</v>
      </c>
      <c r="H101" s="32" t="s">
        <v>1212</v>
      </c>
      <c r="I101" s="55" t="s">
        <v>1213</v>
      </c>
      <c r="J101" s="68"/>
      <c r="K101" s="68"/>
      <c r="L101" s="54"/>
      <c r="M101" s="70"/>
      <c r="N101" s="56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4"/>
    </row>
    <row r="102" spans="1:25">
      <c r="A102" s="43">
        <v>8069</v>
      </c>
      <c r="B102" s="32" t="s">
        <v>645</v>
      </c>
      <c r="C102" s="32" t="s">
        <v>570</v>
      </c>
      <c r="D102" s="32" t="s">
        <v>996</v>
      </c>
      <c r="E102" s="35"/>
      <c r="F102" s="47">
        <v>39065</v>
      </c>
      <c r="G102" s="47">
        <v>26008</v>
      </c>
      <c r="H102" s="32" t="s">
        <v>1214</v>
      </c>
      <c r="I102" s="55" t="s">
        <v>1133</v>
      </c>
      <c r="J102" s="68"/>
      <c r="K102" s="68"/>
      <c r="L102" s="54"/>
      <c r="M102" s="70"/>
      <c r="N102" s="56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4"/>
    </row>
    <row r="103" spans="1:25">
      <c r="A103" s="43">
        <v>8072</v>
      </c>
      <c r="B103" s="32" t="s">
        <v>646</v>
      </c>
      <c r="C103" s="32" t="s">
        <v>556</v>
      </c>
      <c r="D103" s="32" t="s">
        <v>994</v>
      </c>
      <c r="E103" s="32" t="s">
        <v>1081</v>
      </c>
      <c r="F103" s="47">
        <v>39070</v>
      </c>
      <c r="G103" s="47">
        <v>32110</v>
      </c>
      <c r="H103" s="32" t="s">
        <v>1215</v>
      </c>
      <c r="I103" s="55" t="s">
        <v>1099</v>
      </c>
      <c r="J103" s="68"/>
      <c r="K103" s="68"/>
      <c r="L103" s="54"/>
      <c r="M103" s="70"/>
      <c r="N103" s="56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4"/>
    </row>
    <row r="104" spans="1:25">
      <c r="A104" s="43">
        <v>8073</v>
      </c>
      <c r="B104" s="32" t="s">
        <v>647</v>
      </c>
      <c r="C104" s="32" t="s">
        <v>556</v>
      </c>
      <c r="D104" s="32" t="s">
        <v>994</v>
      </c>
      <c r="E104" s="32" t="s">
        <v>1081</v>
      </c>
      <c r="F104" s="47">
        <v>39070</v>
      </c>
      <c r="G104" s="47">
        <v>32069</v>
      </c>
      <c r="H104" s="32" t="s">
        <v>1216</v>
      </c>
      <c r="I104" s="55" t="s">
        <v>1113</v>
      </c>
      <c r="J104" s="68"/>
      <c r="K104" s="68"/>
      <c r="L104" s="54"/>
      <c r="M104" s="70"/>
      <c r="N104" s="56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4"/>
    </row>
    <row r="105" spans="1:25">
      <c r="A105" s="43">
        <v>8078</v>
      </c>
      <c r="B105" s="32" t="s">
        <v>648</v>
      </c>
      <c r="C105" s="24" t="s">
        <v>554</v>
      </c>
      <c r="D105" s="32" t="s">
        <v>994</v>
      </c>
      <c r="E105" s="32" t="s">
        <v>1081</v>
      </c>
      <c r="F105" s="47">
        <v>39084</v>
      </c>
      <c r="G105" s="47">
        <v>29417</v>
      </c>
      <c r="H105" s="32" t="s">
        <v>1217</v>
      </c>
      <c r="I105" s="55" t="s">
        <v>1115</v>
      </c>
      <c r="J105" s="68"/>
      <c r="K105" s="68"/>
      <c r="L105" s="54"/>
      <c r="M105" s="70"/>
      <c r="N105" s="56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4"/>
    </row>
    <row r="106" spans="1:25">
      <c r="A106" s="43">
        <v>8081</v>
      </c>
      <c r="B106" s="32" t="s">
        <v>649</v>
      </c>
      <c r="C106" s="32" t="s">
        <v>650</v>
      </c>
      <c r="D106" s="32" t="s">
        <v>1103</v>
      </c>
      <c r="E106" s="32" t="s">
        <v>1218</v>
      </c>
      <c r="F106" s="47">
        <v>39084</v>
      </c>
      <c r="G106" s="47">
        <v>31700</v>
      </c>
      <c r="H106" s="32" t="s">
        <v>1219</v>
      </c>
      <c r="I106" s="55" t="s">
        <v>1110</v>
      </c>
      <c r="J106" s="68"/>
      <c r="K106" s="68"/>
      <c r="L106" s="54"/>
      <c r="M106" s="70"/>
      <c r="N106" s="56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4"/>
    </row>
    <row r="107" spans="1:25">
      <c r="A107" s="43">
        <v>8083</v>
      </c>
      <c r="B107" s="32" t="s">
        <v>651</v>
      </c>
      <c r="C107" s="32" t="s">
        <v>530</v>
      </c>
      <c r="D107" s="32" t="s">
        <v>994</v>
      </c>
      <c r="E107" s="32" t="s">
        <v>1078</v>
      </c>
      <c r="F107" s="47">
        <v>44166</v>
      </c>
      <c r="G107" s="47">
        <v>30364</v>
      </c>
      <c r="H107" s="32" t="s">
        <v>1220</v>
      </c>
      <c r="I107" s="55" t="s">
        <v>1131</v>
      </c>
      <c r="J107" s="68"/>
      <c r="K107" s="68"/>
      <c r="L107" s="54"/>
      <c r="M107" s="70"/>
      <c r="N107" s="56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4"/>
    </row>
    <row r="108" spans="1:25">
      <c r="A108" s="43">
        <v>8085</v>
      </c>
      <c r="B108" s="32" t="s">
        <v>652</v>
      </c>
      <c r="C108" s="32" t="s">
        <v>554</v>
      </c>
      <c r="D108" s="32" t="s">
        <v>994</v>
      </c>
      <c r="E108" s="32" t="s">
        <v>1081</v>
      </c>
      <c r="F108" s="47">
        <v>39090</v>
      </c>
      <c r="G108" s="47">
        <v>30946</v>
      </c>
      <c r="H108" s="32" t="s">
        <v>1221</v>
      </c>
      <c r="I108" s="55" t="s">
        <v>1113</v>
      </c>
      <c r="J108" s="68"/>
      <c r="K108" s="68"/>
      <c r="L108" s="54"/>
      <c r="M108" s="70"/>
      <c r="N108" s="56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4"/>
    </row>
    <row r="109" spans="1:25">
      <c r="A109" s="43">
        <v>8089</v>
      </c>
      <c r="B109" s="32" t="s">
        <v>653</v>
      </c>
      <c r="C109" s="32" t="s">
        <v>654</v>
      </c>
      <c r="D109" s="32" t="s">
        <v>994</v>
      </c>
      <c r="E109" s="32" t="s">
        <v>1081</v>
      </c>
      <c r="F109" s="47">
        <v>39104</v>
      </c>
      <c r="G109" s="47">
        <v>31588</v>
      </c>
      <c r="H109" s="32" t="s">
        <v>1222</v>
      </c>
      <c r="I109" s="55" t="s">
        <v>1115</v>
      </c>
      <c r="J109" s="68"/>
      <c r="K109" s="68"/>
      <c r="L109" s="54"/>
      <c r="M109" s="70"/>
      <c r="N109" s="56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4"/>
    </row>
    <row r="110" spans="1:25">
      <c r="A110" s="43">
        <v>8090</v>
      </c>
      <c r="B110" s="32" t="s">
        <v>655</v>
      </c>
      <c r="C110" s="32" t="s">
        <v>536</v>
      </c>
      <c r="D110" s="32" t="s">
        <v>994</v>
      </c>
      <c r="E110" s="32" t="s">
        <v>1081</v>
      </c>
      <c r="F110" s="47">
        <v>39111</v>
      </c>
      <c r="G110" s="47">
        <v>31140</v>
      </c>
      <c r="H110" s="32" t="s">
        <v>1223</v>
      </c>
      <c r="I110" s="55" t="s">
        <v>1113</v>
      </c>
      <c r="J110" s="68"/>
      <c r="K110" s="68"/>
      <c r="L110" s="54"/>
      <c r="M110" s="70"/>
      <c r="N110" s="56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4"/>
    </row>
    <row r="111" spans="1:25">
      <c r="A111" s="43">
        <v>8092</v>
      </c>
      <c r="B111" s="32" t="s">
        <v>656</v>
      </c>
      <c r="C111" s="32" t="s">
        <v>541</v>
      </c>
      <c r="D111" s="32" t="s">
        <v>994</v>
      </c>
      <c r="E111" s="32" t="s">
        <v>1081</v>
      </c>
      <c r="F111" s="47">
        <v>44326</v>
      </c>
      <c r="G111" s="47">
        <v>32402</v>
      </c>
      <c r="H111" s="32" t="s">
        <v>1224</v>
      </c>
      <c r="I111" s="55" t="s">
        <v>1115</v>
      </c>
      <c r="J111" s="68"/>
      <c r="K111" s="68"/>
      <c r="L111" s="54"/>
      <c r="M111" s="70"/>
      <c r="N111" s="56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4"/>
    </row>
    <row r="112" spans="1:25">
      <c r="A112" s="43">
        <v>8095</v>
      </c>
      <c r="B112" s="32" t="s">
        <v>657</v>
      </c>
      <c r="C112" s="32" t="s">
        <v>556</v>
      </c>
      <c r="D112" s="32" t="s">
        <v>994</v>
      </c>
      <c r="E112" s="32" t="s">
        <v>1081</v>
      </c>
      <c r="F112" s="47">
        <v>39114</v>
      </c>
      <c r="G112" s="47">
        <v>31164</v>
      </c>
      <c r="H112" s="32" t="s">
        <v>1225</v>
      </c>
      <c r="I112" s="55" t="s">
        <v>1113</v>
      </c>
      <c r="J112" s="68"/>
      <c r="K112" s="68"/>
      <c r="L112" s="54"/>
      <c r="M112" s="70"/>
      <c r="N112" s="56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4"/>
    </row>
    <row r="113" spans="1:25">
      <c r="A113" s="43">
        <v>8097</v>
      </c>
      <c r="B113" s="32" t="s">
        <v>658</v>
      </c>
      <c r="C113" s="32" t="s">
        <v>556</v>
      </c>
      <c r="D113" s="32" t="s">
        <v>994</v>
      </c>
      <c r="E113" s="32" t="s">
        <v>1081</v>
      </c>
      <c r="F113" s="47">
        <v>39119</v>
      </c>
      <c r="G113" s="47">
        <v>29244</v>
      </c>
      <c r="H113" s="32" t="s">
        <v>1226</v>
      </c>
      <c r="I113" s="55" t="s">
        <v>1115</v>
      </c>
      <c r="J113" s="68"/>
      <c r="K113" s="68"/>
      <c r="L113" s="54"/>
      <c r="M113" s="70"/>
      <c r="N113" s="56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4"/>
    </row>
    <row r="114" spans="1:25">
      <c r="A114" s="43">
        <v>8122</v>
      </c>
      <c r="B114" s="32" t="s">
        <v>659</v>
      </c>
      <c r="C114" s="32" t="s">
        <v>552</v>
      </c>
      <c r="D114" s="32" t="s">
        <v>994</v>
      </c>
      <c r="E114" s="32" t="s">
        <v>1081</v>
      </c>
      <c r="F114" s="47">
        <v>39122</v>
      </c>
      <c r="G114" s="47">
        <v>29621</v>
      </c>
      <c r="H114" s="32" t="s">
        <v>1227</v>
      </c>
      <c r="I114" s="55" t="s">
        <v>1115</v>
      </c>
      <c r="J114" s="68"/>
      <c r="K114" s="68"/>
      <c r="L114" s="54"/>
      <c r="M114" s="70"/>
      <c r="N114" s="56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4"/>
    </row>
    <row r="115" spans="1:25">
      <c r="A115" s="43">
        <v>8123</v>
      </c>
      <c r="B115" s="32" t="s">
        <v>660</v>
      </c>
      <c r="C115" s="32" t="s">
        <v>552</v>
      </c>
      <c r="D115" s="32" t="s">
        <v>994</v>
      </c>
      <c r="E115" s="32" t="s">
        <v>1081</v>
      </c>
      <c r="F115" s="47">
        <v>39122</v>
      </c>
      <c r="G115" s="47">
        <v>31023</v>
      </c>
      <c r="H115" s="32" t="s">
        <v>1228</v>
      </c>
      <c r="I115" s="55" t="s">
        <v>1115</v>
      </c>
      <c r="J115" s="68"/>
      <c r="K115" s="68"/>
      <c r="L115" s="54"/>
      <c r="M115" s="70"/>
      <c r="N115" s="56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4"/>
    </row>
    <row r="116" spans="1:25">
      <c r="A116" s="43">
        <v>8127</v>
      </c>
      <c r="B116" s="32" t="s">
        <v>661</v>
      </c>
      <c r="C116" s="32" t="s">
        <v>552</v>
      </c>
      <c r="D116" s="32" t="s">
        <v>994</v>
      </c>
      <c r="E116" s="32" t="s">
        <v>1081</v>
      </c>
      <c r="F116" s="47">
        <v>39122</v>
      </c>
      <c r="G116" s="47">
        <v>28226</v>
      </c>
      <c r="H116" s="32" t="s">
        <v>1229</v>
      </c>
      <c r="I116" s="55" t="s">
        <v>1115</v>
      </c>
      <c r="J116" s="68"/>
      <c r="K116" s="68"/>
      <c r="L116" s="54"/>
      <c r="M116" s="70"/>
      <c r="N116" s="56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4"/>
    </row>
    <row r="117" spans="1:25">
      <c r="A117" s="43">
        <v>8128</v>
      </c>
      <c r="B117" s="32" t="s">
        <v>662</v>
      </c>
      <c r="C117" s="32" t="s">
        <v>577</v>
      </c>
      <c r="D117" s="32" t="s">
        <v>996</v>
      </c>
      <c r="E117" s="35"/>
      <c r="F117" s="47">
        <v>39122</v>
      </c>
      <c r="G117" s="47">
        <v>28769</v>
      </c>
      <c r="H117" s="32" t="s">
        <v>1230</v>
      </c>
      <c r="I117" s="55" t="s">
        <v>1117</v>
      </c>
      <c r="J117" s="68"/>
      <c r="K117" s="68"/>
      <c r="L117" s="54"/>
      <c r="M117" s="70"/>
      <c r="N117" s="56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4"/>
    </row>
    <row r="118" spans="1:25">
      <c r="A118" s="43">
        <v>8131</v>
      </c>
      <c r="B118" s="32" t="s">
        <v>663</v>
      </c>
      <c r="C118" s="32" t="s">
        <v>532</v>
      </c>
      <c r="D118" s="32" t="s">
        <v>994</v>
      </c>
      <c r="E118" s="32" t="s">
        <v>1081</v>
      </c>
      <c r="F118" s="47">
        <v>39122</v>
      </c>
      <c r="G118" s="47">
        <v>31488</v>
      </c>
      <c r="H118" s="32" t="s">
        <v>1231</v>
      </c>
      <c r="I118" s="55" t="s">
        <v>1115</v>
      </c>
      <c r="J118" s="68"/>
      <c r="K118" s="68"/>
      <c r="L118" s="54"/>
      <c r="M118" s="70"/>
      <c r="N118" s="56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4"/>
    </row>
    <row r="119" spans="1:25">
      <c r="A119" s="43">
        <v>8135</v>
      </c>
      <c r="B119" s="32" t="s">
        <v>664</v>
      </c>
      <c r="C119" s="32" t="s">
        <v>570</v>
      </c>
      <c r="D119" s="32" t="s">
        <v>996</v>
      </c>
      <c r="E119" s="35"/>
      <c r="F119" s="47">
        <v>39144</v>
      </c>
      <c r="G119" s="47">
        <v>29883</v>
      </c>
      <c r="H119" s="32" t="s">
        <v>1232</v>
      </c>
      <c r="I119" s="55" t="s">
        <v>1213</v>
      </c>
      <c r="J119" s="68"/>
      <c r="K119" s="68"/>
      <c r="L119" s="54"/>
      <c r="M119" s="70"/>
      <c r="N119" s="56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4"/>
    </row>
    <row r="120" spans="1:25">
      <c r="A120" s="43">
        <v>8136</v>
      </c>
      <c r="B120" s="32" t="s">
        <v>665</v>
      </c>
      <c r="C120" s="32" t="s">
        <v>552</v>
      </c>
      <c r="D120" s="32" t="s">
        <v>994</v>
      </c>
      <c r="E120" s="32" t="s">
        <v>1081</v>
      </c>
      <c r="F120" s="47">
        <v>39128</v>
      </c>
      <c r="G120" s="47">
        <v>31055</v>
      </c>
      <c r="H120" s="32" t="s">
        <v>1233</v>
      </c>
      <c r="I120" s="55" t="s">
        <v>1115</v>
      </c>
      <c r="J120" s="68"/>
      <c r="K120" s="68"/>
      <c r="L120" s="54"/>
      <c r="M120" s="70"/>
      <c r="N120" s="56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4"/>
    </row>
    <row r="121" spans="1:25">
      <c r="A121" s="43">
        <v>8140</v>
      </c>
      <c r="B121" s="24" t="s">
        <v>666</v>
      </c>
      <c r="C121" s="35"/>
      <c r="D121" s="32" t="s">
        <v>994</v>
      </c>
      <c r="E121" s="32" t="s">
        <v>1081</v>
      </c>
      <c r="F121" s="47">
        <v>39163</v>
      </c>
      <c r="G121" s="47">
        <v>32300</v>
      </c>
      <c r="H121" s="32" t="s">
        <v>1234</v>
      </c>
      <c r="I121" s="55" t="s">
        <v>1113</v>
      </c>
      <c r="J121" s="68"/>
      <c r="K121" s="68"/>
      <c r="L121" s="54"/>
      <c r="M121" s="70"/>
      <c r="N121" s="56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4"/>
    </row>
    <row r="122" spans="1:25">
      <c r="A122" s="43">
        <v>8141</v>
      </c>
      <c r="B122" s="32" t="s">
        <v>667</v>
      </c>
      <c r="C122" s="32" t="s">
        <v>541</v>
      </c>
      <c r="D122" s="32" t="s">
        <v>994</v>
      </c>
      <c r="E122" s="32" t="s">
        <v>1081</v>
      </c>
      <c r="F122" s="47">
        <v>39163</v>
      </c>
      <c r="G122" s="47">
        <v>32179</v>
      </c>
      <c r="H122" s="32" t="s">
        <v>1235</v>
      </c>
      <c r="I122" s="55" t="s">
        <v>1113</v>
      </c>
      <c r="J122" s="68"/>
      <c r="K122" s="68"/>
      <c r="L122" s="54"/>
      <c r="M122" s="70"/>
      <c r="N122" s="56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4"/>
    </row>
    <row r="123" spans="1:25">
      <c r="A123" s="43">
        <v>8142</v>
      </c>
      <c r="B123" s="32" t="s">
        <v>668</v>
      </c>
      <c r="C123" s="32" t="s">
        <v>552</v>
      </c>
      <c r="D123" s="32" t="s">
        <v>994</v>
      </c>
      <c r="E123" s="32" t="s">
        <v>1081</v>
      </c>
      <c r="F123" s="47">
        <v>39163</v>
      </c>
      <c r="G123" s="47">
        <v>31887</v>
      </c>
      <c r="H123" s="32" t="s">
        <v>1236</v>
      </c>
      <c r="I123" s="55" t="s">
        <v>1113</v>
      </c>
      <c r="J123" s="68"/>
      <c r="K123" s="68"/>
      <c r="L123" s="54"/>
      <c r="M123" s="70"/>
      <c r="N123" s="56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4"/>
    </row>
    <row r="124" spans="1:25">
      <c r="A124" s="43">
        <v>8146</v>
      </c>
      <c r="B124" s="32" t="s">
        <v>669</v>
      </c>
      <c r="C124" s="32" t="s">
        <v>541</v>
      </c>
      <c r="D124" s="32" t="s">
        <v>994</v>
      </c>
      <c r="E124" s="32" t="s">
        <v>1081</v>
      </c>
      <c r="F124" s="47">
        <v>39175</v>
      </c>
      <c r="G124" s="47">
        <v>31908</v>
      </c>
      <c r="H124" s="32" t="s">
        <v>1237</v>
      </c>
      <c r="I124" s="55" t="s">
        <v>1113</v>
      </c>
      <c r="J124" s="68"/>
      <c r="K124" s="68"/>
      <c r="L124" s="54"/>
      <c r="M124" s="70"/>
      <c r="N124" s="56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4"/>
    </row>
    <row r="125" spans="1:25">
      <c r="A125" s="43">
        <v>8147</v>
      </c>
      <c r="B125" s="32" t="s">
        <v>670</v>
      </c>
      <c r="C125" s="32" t="s">
        <v>541</v>
      </c>
      <c r="D125" s="32" t="s">
        <v>994</v>
      </c>
      <c r="E125" s="32" t="s">
        <v>1081</v>
      </c>
      <c r="F125" s="47">
        <v>39175</v>
      </c>
      <c r="G125" s="47">
        <v>31404</v>
      </c>
      <c r="H125" s="32" t="s">
        <v>1238</v>
      </c>
      <c r="I125" s="55" t="s">
        <v>1113</v>
      </c>
      <c r="J125" s="68"/>
      <c r="K125" s="68"/>
      <c r="L125" s="54"/>
      <c r="M125" s="70"/>
      <c r="N125" s="56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4"/>
    </row>
    <row r="126" spans="1:25">
      <c r="A126" s="43">
        <v>8155</v>
      </c>
      <c r="B126" s="32" t="s">
        <v>671</v>
      </c>
      <c r="C126" s="32" t="s">
        <v>570</v>
      </c>
      <c r="D126" s="32" t="s">
        <v>996</v>
      </c>
      <c r="E126" s="35"/>
      <c r="F126" s="47">
        <v>39259</v>
      </c>
      <c r="G126" s="47">
        <v>28823</v>
      </c>
      <c r="H126" s="32" t="s">
        <v>1239</v>
      </c>
      <c r="I126" s="55" t="s">
        <v>1240</v>
      </c>
      <c r="J126" s="68"/>
      <c r="K126" s="68"/>
      <c r="L126" s="54"/>
      <c r="M126" s="70"/>
      <c r="N126" s="56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4"/>
    </row>
    <row r="127" spans="1:25">
      <c r="A127" s="43">
        <v>8161</v>
      </c>
      <c r="B127" s="32" t="s">
        <v>672</v>
      </c>
      <c r="C127" s="32" t="s">
        <v>570</v>
      </c>
      <c r="D127" s="32" t="s">
        <v>996</v>
      </c>
      <c r="E127" s="35"/>
      <c r="F127" s="47">
        <v>39276</v>
      </c>
      <c r="G127" s="47">
        <v>29129</v>
      </c>
      <c r="H127" s="32" t="s">
        <v>1241</v>
      </c>
      <c r="I127" s="55" t="s">
        <v>1133</v>
      </c>
      <c r="J127" s="68"/>
      <c r="K127" s="68"/>
      <c r="L127" s="54"/>
      <c r="M127" s="70"/>
      <c r="N127" s="56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4"/>
    </row>
    <row r="128" spans="1:25">
      <c r="A128" s="43">
        <v>8164</v>
      </c>
      <c r="B128" s="32" t="s">
        <v>673</v>
      </c>
      <c r="C128" s="32" t="s">
        <v>577</v>
      </c>
      <c r="D128" s="32" t="s">
        <v>996</v>
      </c>
      <c r="E128" s="35"/>
      <c r="F128" s="47">
        <v>39286</v>
      </c>
      <c r="G128" s="47">
        <v>24022</v>
      </c>
      <c r="H128" s="32" t="s">
        <v>1242</v>
      </c>
      <c r="I128" s="55" t="s">
        <v>1113</v>
      </c>
      <c r="J128" s="68"/>
      <c r="K128" s="68"/>
      <c r="L128" s="54"/>
      <c r="M128" s="70"/>
      <c r="N128" s="56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4"/>
    </row>
    <row r="129" spans="1:25">
      <c r="A129" s="43">
        <v>8166</v>
      </c>
      <c r="B129" s="32" t="s">
        <v>674</v>
      </c>
      <c r="C129" s="32" t="s">
        <v>541</v>
      </c>
      <c r="D129" s="32" t="s">
        <v>994</v>
      </c>
      <c r="E129" s="32" t="s">
        <v>1081</v>
      </c>
      <c r="F129" s="47">
        <v>39286</v>
      </c>
      <c r="G129" s="47">
        <v>30853</v>
      </c>
      <c r="H129" s="32" t="s">
        <v>1243</v>
      </c>
      <c r="I129" s="55" t="s">
        <v>1117</v>
      </c>
      <c r="J129" s="68"/>
      <c r="K129" s="68"/>
      <c r="L129" s="54"/>
      <c r="M129" s="70"/>
      <c r="N129" s="56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4"/>
    </row>
    <row r="130" spans="1:25">
      <c r="A130" s="43">
        <v>8175</v>
      </c>
      <c r="B130" s="32" t="s">
        <v>675</v>
      </c>
      <c r="C130" s="32" t="s">
        <v>541</v>
      </c>
      <c r="D130" s="32" t="s">
        <v>994</v>
      </c>
      <c r="E130" s="32" t="s">
        <v>1081</v>
      </c>
      <c r="F130" s="47">
        <v>39288</v>
      </c>
      <c r="G130" s="47">
        <v>31630</v>
      </c>
      <c r="H130" s="32" t="s">
        <v>1244</v>
      </c>
      <c r="I130" s="55" t="s">
        <v>1115</v>
      </c>
      <c r="J130" s="68"/>
      <c r="K130" s="68"/>
      <c r="L130" s="54"/>
      <c r="M130" s="70"/>
      <c r="N130" s="56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4"/>
    </row>
    <row r="131" spans="1:25">
      <c r="A131" s="43">
        <v>8182</v>
      </c>
      <c r="B131" s="32" t="s">
        <v>676</v>
      </c>
      <c r="C131" s="32" t="s">
        <v>604</v>
      </c>
      <c r="D131" s="32" t="s">
        <v>994</v>
      </c>
      <c r="E131" s="35"/>
      <c r="F131" s="47">
        <v>39290</v>
      </c>
      <c r="G131" s="47">
        <v>32644</v>
      </c>
      <c r="H131" s="32" t="s">
        <v>1245</v>
      </c>
      <c r="I131" s="55" t="s">
        <v>1131</v>
      </c>
      <c r="J131" s="68"/>
      <c r="K131" s="68"/>
      <c r="L131" s="54"/>
      <c r="M131" s="70"/>
      <c r="N131" s="56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4"/>
    </row>
    <row r="132" spans="1:25">
      <c r="A132" s="43">
        <v>8183</v>
      </c>
      <c r="B132" s="32" t="s">
        <v>677</v>
      </c>
      <c r="C132" s="32" t="s">
        <v>654</v>
      </c>
      <c r="D132" s="32" t="s">
        <v>994</v>
      </c>
      <c r="E132" s="32" t="s">
        <v>1081</v>
      </c>
      <c r="F132" s="47">
        <v>39293</v>
      </c>
      <c r="G132" s="47">
        <v>31935</v>
      </c>
      <c r="H132" s="32" t="s">
        <v>1246</v>
      </c>
      <c r="I132" s="55" t="s">
        <v>1115</v>
      </c>
      <c r="J132" s="68"/>
      <c r="K132" s="68"/>
      <c r="L132" s="54"/>
      <c r="M132" s="70"/>
      <c r="N132" s="56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4"/>
    </row>
    <row r="133" spans="1:25">
      <c r="A133" s="43">
        <v>8185</v>
      </c>
      <c r="B133" s="32" t="s">
        <v>678</v>
      </c>
      <c r="C133" s="32" t="s">
        <v>541</v>
      </c>
      <c r="D133" s="32" t="s">
        <v>994</v>
      </c>
      <c r="E133" s="32" t="s">
        <v>1081</v>
      </c>
      <c r="F133" s="47">
        <v>39290</v>
      </c>
      <c r="G133" s="47">
        <v>29610</v>
      </c>
      <c r="H133" s="32" t="s">
        <v>1247</v>
      </c>
      <c r="I133" s="55" t="s">
        <v>1115</v>
      </c>
      <c r="J133" s="68"/>
      <c r="K133" s="68"/>
      <c r="L133" s="54"/>
      <c r="M133" s="70"/>
      <c r="N133" s="56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4"/>
    </row>
    <row r="134" spans="1:25">
      <c r="A134" s="43">
        <v>8186</v>
      </c>
      <c r="B134" s="32" t="s">
        <v>679</v>
      </c>
      <c r="C134" s="32" t="s">
        <v>534</v>
      </c>
      <c r="D134" s="32" t="s">
        <v>994</v>
      </c>
      <c r="E134" s="32" t="s">
        <v>1081</v>
      </c>
      <c r="F134" s="47">
        <v>39290</v>
      </c>
      <c r="G134" s="47">
        <v>29753</v>
      </c>
      <c r="H134" s="32" t="s">
        <v>1248</v>
      </c>
      <c r="I134" s="55" t="s">
        <v>1115</v>
      </c>
      <c r="J134" s="68"/>
      <c r="K134" s="68"/>
      <c r="L134" s="54"/>
      <c r="M134" s="70"/>
      <c r="N134" s="56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4"/>
    </row>
    <row r="135" spans="1:25">
      <c r="A135" s="43">
        <v>8189</v>
      </c>
      <c r="B135" s="32" t="s">
        <v>680</v>
      </c>
      <c r="C135" s="32" t="s">
        <v>577</v>
      </c>
      <c r="D135" s="32" t="s">
        <v>996</v>
      </c>
      <c r="E135" s="35"/>
      <c r="F135" s="47">
        <v>39293</v>
      </c>
      <c r="G135" s="47">
        <v>31343</v>
      </c>
      <c r="H135" s="32" t="s">
        <v>1249</v>
      </c>
      <c r="I135" s="55" t="s">
        <v>1099</v>
      </c>
      <c r="J135" s="68"/>
      <c r="K135" s="68"/>
      <c r="L135" s="54"/>
      <c r="M135" s="70"/>
      <c r="N135" s="56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4"/>
    </row>
    <row r="136" spans="1:25">
      <c r="A136" s="43">
        <v>8196</v>
      </c>
      <c r="B136" s="32" t="s">
        <v>681</v>
      </c>
      <c r="C136" s="32" t="s">
        <v>556</v>
      </c>
      <c r="D136" s="32" t="s">
        <v>994</v>
      </c>
      <c r="E136" s="32" t="s">
        <v>1081</v>
      </c>
      <c r="F136" s="47">
        <v>39295</v>
      </c>
      <c r="G136" s="47">
        <v>30476</v>
      </c>
      <c r="H136" s="32" t="s">
        <v>1250</v>
      </c>
      <c r="I136" s="55" t="s">
        <v>1099</v>
      </c>
      <c r="J136" s="68"/>
      <c r="K136" s="68"/>
      <c r="L136" s="54"/>
      <c r="M136" s="70"/>
      <c r="N136" s="56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4"/>
    </row>
    <row r="137" spans="1:25">
      <c r="A137" s="43">
        <v>8198</v>
      </c>
      <c r="B137" s="32" t="s">
        <v>682</v>
      </c>
      <c r="C137" s="32" t="s">
        <v>556</v>
      </c>
      <c r="D137" s="32" t="s">
        <v>994</v>
      </c>
      <c r="E137" s="32" t="s">
        <v>1081</v>
      </c>
      <c r="F137" s="47">
        <v>39295</v>
      </c>
      <c r="G137" s="47">
        <v>29362</v>
      </c>
      <c r="H137" s="32" t="s">
        <v>1251</v>
      </c>
      <c r="I137" s="55" t="s">
        <v>1083</v>
      </c>
      <c r="J137" s="68"/>
      <c r="K137" s="68"/>
      <c r="L137" s="54"/>
      <c r="M137" s="70"/>
      <c r="N137" s="56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4"/>
    </row>
    <row r="138" spans="1:25">
      <c r="A138" s="43">
        <v>8199</v>
      </c>
      <c r="B138" s="32" t="s">
        <v>683</v>
      </c>
      <c r="C138" s="32" t="s">
        <v>534</v>
      </c>
      <c r="D138" s="32" t="s">
        <v>994</v>
      </c>
      <c r="E138" s="32" t="s">
        <v>1081</v>
      </c>
      <c r="F138" s="47">
        <v>39295</v>
      </c>
      <c r="G138" s="47">
        <v>30459</v>
      </c>
      <c r="H138" s="32" t="s">
        <v>1252</v>
      </c>
      <c r="I138" s="55" t="s">
        <v>1083</v>
      </c>
      <c r="J138" s="68" t="s">
        <v>482</v>
      </c>
      <c r="K138" s="68"/>
      <c r="L138" s="54"/>
      <c r="M138" s="70"/>
      <c r="N138" s="56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4"/>
    </row>
    <row r="139" spans="1:25">
      <c r="A139" s="43">
        <v>8201</v>
      </c>
      <c r="B139" s="32" t="s">
        <v>684</v>
      </c>
      <c r="C139" s="35"/>
      <c r="D139" s="32" t="s">
        <v>994</v>
      </c>
      <c r="E139" s="32" t="s">
        <v>1081</v>
      </c>
      <c r="F139" s="47">
        <v>39295</v>
      </c>
      <c r="G139" s="47">
        <v>32324</v>
      </c>
      <c r="H139" s="32" t="s">
        <v>1253</v>
      </c>
      <c r="I139" s="55" t="s">
        <v>1080</v>
      </c>
      <c r="J139" s="68"/>
      <c r="K139" s="68"/>
      <c r="L139" s="54"/>
      <c r="M139" s="70"/>
      <c r="N139" s="56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4"/>
    </row>
    <row r="140" spans="1:25">
      <c r="A140" s="43">
        <v>8203</v>
      </c>
      <c r="B140" s="32" t="s">
        <v>685</v>
      </c>
      <c r="C140" s="32" t="s">
        <v>541</v>
      </c>
      <c r="D140" s="32" t="s">
        <v>994</v>
      </c>
      <c r="E140" s="32" t="s">
        <v>1081</v>
      </c>
      <c r="F140" s="47">
        <v>39295</v>
      </c>
      <c r="G140" s="47">
        <v>32033</v>
      </c>
      <c r="H140" s="32" t="s">
        <v>1254</v>
      </c>
      <c r="I140" s="55" t="s">
        <v>1115</v>
      </c>
      <c r="J140" s="68"/>
      <c r="K140" s="68"/>
      <c r="L140" s="54"/>
      <c r="M140" s="70"/>
      <c r="N140" s="56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4"/>
    </row>
    <row r="141" spans="1:25">
      <c r="A141" s="43">
        <v>8205</v>
      </c>
      <c r="B141" s="32" t="s">
        <v>686</v>
      </c>
      <c r="C141" s="32" t="s">
        <v>541</v>
      </c>
      <c r="D141" s="32" t="s">
        <v>994</v>
      </c>
      <c r="E141" s="32" t="s">
        <v>1081</v>
      </c>
      <c r="F141" s="47">
        <v>44166</v>
      </c>
      <c r="G141" s="47">
        <v>31813</v>
      </c>
      <c r="H141" s="32" t="s">
        <v>1255</v>
      </c>
      <c r="I141" s="55" t="s">
        <v>1117</v>
      </c>
      <c r="J141" s="68"/>
      <c r="K141" s="68"/>
      <c r="L141" s="54"/>
      <c r="M141" s="70"/>
      <c r="N141" s="56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4"/>
    </row>
    <row r="142" spans="1:25">
      <c r="A142" s="43">
        <v>8207</v>
      </c>
      <c r="B142" s="32" t="s">
        <v>687</v>
      </c>
      <c r="C142" s="32" t="s">
        <v>534</v>
      </c>
      <c r="D142" s="32" t="s">
        <v>994</v>
      </c>
      <c r="E142" s="32" t="s">
        <v>1081</v>
      </c>
      <c r="F142" s="47">
        <v>39296</v>
      </c>
      <c r="G142" s="47">
        <v>27841</v>
      </c>
      <c r="H142" s="32" t="s">
        <v>1256</v>
      </c>
      <c r="I142" s="55" t="s">
        <v>1113</v>
      </c>
      <c r="J142" s="68"/>
      <c r="K142" s="68"/>
      <c r="L142" s="54"/>
      <c r="M142" s="70"/>
      <c r="N142" s="56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4"/>
    </row>
    <row r="143" spans="1:25">
      <c r="A143" s="43">
        <v>8210</v>
      </c>
      <c r="B143" s="32" t="s">
        <v>688</v>
      </c>
      <c r="C143" s="32" t="s">
        <v>530</v>
      </c>
      <c r="D143" s="32" t="s">
        <v>994</v>
      </c>
      <c r="E143" s="32" t="s">
        <v>1078</v>
      </c>
      <c r="F143" s="47">
        <v>41617</v>
      </c>
      <c r="G143" s="47">
        <v>23340</v>
      </c>
      <c r="H143" s="32" t="s">
        <v>1257</v>
      </c>
      <c r="I143" s="55" t="s">
        <v>1258</v>
      </c>
      <c r="J143" s="68"/>
      <c r="K143" s="68"/>
      <c r="L143" s="54"/>
      <c r="M143" s="70"/>
      <c r="N143" s="56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4"/>
    </row>
    <row r="144" spans="1:25">
      <c r="A144" s="43">
        <v>8211</v>
      </c>
      <c r="B144" s="32" t="s">
        <v>689</v>
      </c>
      <c r="C144" s="32" t="s">
        <v>690</v>
      </c>
      <c r="D144" s="32" t="s">
        <v>1103</v>
      </c>
      <c r="E144" s="32" t="s">
        <v>1218</v>
      </c>
      <c r="F144" s="47">
        <v>39302</v>
      </c>
      <c r="G144" s="47">
        <v>29010</v>
      </c>
      <c r="H144" s="32" t="s">
        <v>1259</v>
      </c>
      <c r="I144" s="55" t="s">
        <v>1110</v>
      </c>
      <c r="J144" s="68"/>
      <c r="K144" s="68"/>
      <c r="L144" s="54"/>
      <c r="M144" s="70"/>
      <c r="N144" s="56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4"/>
    </row>
    <row r="145" spans="1:25">
      <c r="A145" s="43">
        <v>8215</v>
      </c>
      <c r="B145" s="32" t="s">
        <v>691</v>
      </c>
      <c r="C145" s="32" t="s">
        <v>534</v>
      </c>
      <c r="D145" s="32" t="s">
        <v>994</v>
      </c>
      <c r="E145" s="32" t="s">
        <v>1081</v>
      </c>
      <c r="F145" s="47">
        <v>39302</v>
      </c>
      <c r="G145" s="47">
        <v>32260</v>
      </c>
      <c r="H145" s="32" t="s">
        <v>1260</v>
      </c>
      <c r="I145" s="55" t="s">
        <v>1091</v>
      </c>
      <c r="J145" s="68"/>
      <c r="K145" s="68"/>
      <c r="L145" s="54"/>
      <c r="M145" s="70"/>
      <c r="N145" s="56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4"/>
    </row>
    <row r="146" spans="1:25">
      <c r="A146" s="43">
        <v>8219</v>
      </c>
      <c r="B146" s="32" t="s">
        <v>692</v>
      </c>
      <c r="C146" s="32" t="s">
        <v>570</v>
      </c>
      <c r="D146" s="32" t="s">
        <v>996</v>
      </c>
      <c r="E146" s="35"/>
      <c r="F146" s="47">
        <v>39303</v>
      </c>
      <c r="G146" s="47">
        <v>30693</v>
      </c>
      <c r="H146" s="32" t="s">
        <v>1261</v>
      </c>
      <c r="I146" s="55" t="s">
        <v>1262</v>
      </c>
      <c r="J146" s="68"/>
      <c r="K146" s="68"/>
      <c r="L146" s="54"/>
      <c r="M146" s="70"/>
      <c r="N146" s="56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4"/>
    </row>
    <row r="147" spans="1:25">
      <c r="A147" s="43">
        <v>8223</v>
      </c>
      <c r="B147" s="32" t="s">
        <v>693</v>
      </c>
      <c r="C147" s="32" t="s">
        <v>534</v>
      </c>
      <c r="D147" s="32" t="s">
        <v>994</v>
      </c>
      <c r="E147" s="32" t="s">
        <v>1081</v>
      </c>
      <c r="F147" s="47">
        <v>39315</v>
      </c>
      <c r="G147" s="47">
        <v>29988</v>
      </c>
      <c r="H147" s="32" t="s">
        <v>1263</v>
      </c>
      <c r="I147" s="55" t="s">
        <v>1113</v>
      </c>
      <c r="J147" s="68"/>
      <c r="K147" s="68"/>
      <c r="L147" s="54"/>
      <c r="M147" s="70"/>
      <c r="N147" s="56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4"/>
    </row>
    <row r="148" spans="1:25">
      <c r="A148" s="43">
        <v>8225</v>
      </c>
      <c r="B148" s="32" t="s">
        <v>694</v>
      </c>
      <c r="C148" s="32" t="s">
        <v>554</v>
      </c>
      <c r="D148" s="32" t="s">
        <v>994</v>
      </c>
      <c r="E148" s="32" t="s">
        <v>1081</v>
      </c>
      <c r="F148" s="47">
        <v>39328</v>
      </c>
      <c r="G148" s="47">
        <v>23019</v>
      </c>
      <c r="H148" s="32" t="s">
        <v>1264</v>
      </c>
      <c r="I148" s="55" t="s">
        <v>1083</v>
      </c>
      <c r="J148" s="68"/>
      <c r="K148" s="68"/>
      <c r="L148" s="54"/>
      <c r="M148" s="70"/>
      <c r="N148" s="56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4"/>
    </row>
    <row r="149" spans="1:25">
      <c r="A149" s="43">
        <v>8236</v>
      </c>
      <c r="B149" s="32" t="s">
        <v>695</v>
      </c>
      <c r="C149" s="32" t="s">
        <v>570</v>
      </c>
      <c r="D149" s="32" t="s">
        <v>996</v>
      </c>
      <c r="E149" s="35"/>
      <c r="F149" s="47">
        <v>39386</v>
      </c>
      <c r="G149" s="47">
        <v>31830</v>
      </c>
      <c r="H149" s="32" t="s">
        <v>1265</v>
      </c>
      <c r="I149" s="55" t="s">
        <v>1266</v>
      </c>
      <c r="J149" s="68"/>
      <c r="K149" s="68"/>
      <c r="L149" s="54"/>
      <c r="M149" s="70"/>
      <c r="N149" s="56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4"/>
    </row>
    <row r="150" spans="1:25">
      <c r="A150" s="43">
        <v>8239</v>
      </c>
      <c r="B150" s="32" t="s">
        <v>696</v>
      </c>
      <c r="C150" s="32" t="s">
        <v>532</v>
      </c>
      <c r="D150" s="32" t="s">
        <v>994</v>
      </c>
      <c r="E150" s="32" t="s">
        <v>1081</v>
      </c>
      <c r="F150" s="47">
        <v>39401</v>
      </c>
      <c r="G150" s="47">
        <v>30556</v>
      </c>
      <c r="H150" s="32" t="s">
        <v>1267</v>
      </c>
      <c r="I150" s="55" t="s">
        <v>1099</v>
      </c>
      <c r="J150" s="68"/>
      <c r="K150" s="68"/>
      <c r="L150" s="54"/>
      <c r="M150" s="70"/>
      <c r="N150" s="56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4"/>
    </row>
    <row r="151" spans="1:25">
      <c r="A151" s="43">
        <v>8241</v>
      </c>
      <c r="B151" s="32" t="s">
        <v>697</v>
      </c>
      <c r="C151" s="32" t="s">
        <v>552</v>
      </c>
      <c r="D151" s="32" t="s">
        <v>994</v>
      </c>
      <c r="E151" s="32" t="s">
        <v>1081</v>
      </c>
      <c r="F151" s="47">
        <v>39426</v>
      </c>
      <c r="G151" s="47">
        <v>24272</v>
      </c>
      <c r="H151" s="32" t="s">
        <v>1268</v>
      </c>
      <c r="I151" s="55" t="s">
        <v>1115</v>
      </c>
      <c r="J151" s="68" t="s">
        <v>482</v>
      </c>
      <c r="K151" s="68"/>
      <c r="L151" s="54"/>
      <c r="M151" s="70"/>
      <c r="N151" s="56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4"/>
    </row>
    <row r="152" spans="1:25">
      <c r="A152" s="43">
        <v>8242</v>
      </c>
      <c r="B152" s="32" t="s">
        <v>698</v>
      </c>
      <c r="C152" s="32" t="s">
        <v>570</v>
      </c>
      <c r="D152" s="32" t="s">
        <v>996</v>
      </c>
      <c r="E152" s="35"/>
      <c r="F152" s="47">
        <v>39427</v>
      </c>
      <c r="G152" s="47">
        <v>29077</v>
      </c>
      <c r="H152" s="32" t="s">
        <v>1269</v>
      </c>
      <c r="I152" s="55" t="s">
        <v>1262</v>
      </c>
      <c r="J152" s="68"/>
      <c r="K152" s="68"/>
      <c r="L152" s="54"/>
      <c r="M152" s="70"/>
      <c r="N152" s="56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4"/>
    </row>
    <row r="153" spans="1:25">
      <c r="A153" s="43">
        <v>8252</v>
      </c>
      <c r="B153" s="32" t="s">
        <v>699</v>
      </c>
      <c r="C153" s="32" t="s">
        <v>577</v>
      </c>
      <c r="D153" s="32" t="s">
        <v>996</v>
      </c>
      <c r="E153" s="35"/>
      <c r="F153" s="47">
        <v>39461</v>
      </c>
      <c r="G153" s="47">
        <v>25539</v>
      </c>
      <c r="H153" s="32" t="s">
        <v>1270</v>
      </c>
      <c r="I153" s="55" t="s">
        <v>1091</v>
      </c>
      <c r="J153" s="68"/>
      <c r="K153" s="68"/>
      <c r="L153" s="54"/>
      <c r="M153" s="70"/>
      <c r="N153" s="56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4"/>
    </row>
    <row r="154" spans="1:25">
      <c r="A154" s="43">
        <v>8254</v>
      </c>
      <c r="B154" s="32" t="s">
        <v>700</v>
      </c>
      <c r="C154" s="32" t="s">
        <v>532</v>
      </c>
      <c r="D154" s="32" t="s">
        <v>994</v>
      </c>
      <c r="E154" s="32" t="s">
        <v>1081</v>
      </c>
      <c r="F154" s="47">
        <v>39482</v>
      </c>
      <c r="G154" s="47">
        <v>32231</v>
      </c>
      <c r="H154" s="32" t="s">
        <v>1271</v>
      </c>
      <c r="I154" s="55" t="s">
        <v>1113</v>
      </c>
      <c r="J154" s="68"/>
      <c r="K154" s="68"/>
      <c r="L154" s="54"/>
      <c r="M154" s="70"/>
      <c r="N154" s="56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4"/>
    </row>
    <row r="155" spans="1:25">
      <c r="A155" s="43">
        <v>8255</v>
      </c>
      <c r="B155" s="32" t="s">
        <v>701</v>
      </c>
      <c r="C155" s="32" t="s">
        <v>541</v>
      </c>
      <c r="D155" s="32" t="s">
        <v>994</v>
      </c>
      <c r="E155" s="32" t="s">
        <v>1081</v>
      </c>
      <c r="F155" s="47">
        <v>39482</v>
      </c>
      <c r="G155" s="47">
        <v>31795</v>
      </c>
      <c r="H155" s="32" t="s">
        <v>1272</v>
      </c>
      <c r="I155" s="55" t="s">
        <v>1113</v>
      </c>
      <c r="J155" s="68"/>
      <c r="K155" s="68"/>
      <c r="L155" s="54"/>
      <c r="M155" s="70"/>
      <c r="N155" s="56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4"/>
    </row>
    <row r="156" spans="1:25">
      <c r="A156" s="43">
        <v>8258</v>
      </c>
      <c r="B156" s="32" t="s">
        <v>702</v>
      </c>
      <c r="C156" s="32" t="s">
        <v>554</v>
      </c>
      <c r="D156" s="32" t="s">
        <v>994</v>
      </c>
      <c r="E156" s="32" t="s">
        <v>1081</v>
      </c>
      <c r="F156" s="47">
        <v>39482</v>
      </c>
      <c r="G156" s="47">
        <v>31600</v>
      </c>
      <c r="H156" s="32" t="s">
        <v>1273</v>
      </c>
      <c r="I156" s="55" t="s">
        <v>1115</v>
      </c>
      <c r="J156" s="68"/>
      <c r="K156" s="68"/>
      <c r="L156" s="54"/>
      <c r="M156" s="70"/>
      <c r="N156" s="56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4"/>
    </row>
    <row r="157" spans="1:25">
      <c r="A157" s="43">
        <v>8259</v>
      </c>
      <c r="B157" s="32" t="s">
        <v>703</v>
      </c>
      <c r="C157" s="32" t="s">
        <v>532</v>
      </c>
      <c r="D157" s="32" t="s">
        <v>994</v>
      </c>
      <c r="E157" s="32" t="s">
        <v>1081</v>
      </c>
      <c r="F157" s="47">
        <v>39482</v>
      </c>
      <c r="G157" s="47">
        <v>30570</v>
      </c>
      <c r="H157" s="32" t="s">
        <v>1274</v>
      </c>
      <c r="I157" s="55" t="s">
        <v>1115</v>
      </c>
      <c r="J157" s="68"/>
      <c r="K157" s="68"/>
      <c r="L157" s="54"/>
      <c r="M157" s="70"/>
      <c r="N157" s="56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4"/>
    </row>
    <row r="158" spans="1:25">
      <c r="A158" s="43">
        <v>8265</v>
      </c>
      <c r="B158" s="32" t="s">
        <v>704</v>
      </c>
      <c r="C158" s="32" t="s">
        <v>541</v>
      </c>
      <c r="D158" s="32" t="s">
        <v>994</v>
      </c>
      <c r="E158" s="32" t="s">
        <v>1081</v>
      </c>
      <c r="F158" s="47">
        <v>39482</v>
      </c>
      <c r="G158" s="47">
        <v>30082</v>
      </c>
      <c r="H158" s="32" t="s">
        <v>1275</v>
      </c>
      <c r="I158" s="55" t="s">
        <v>1115</v>
      </c>
      <c r="J158" s="68"/>
      <c r="K158" s="68"/>
      <c r="L158" s="54"/>
      <c r="M158" s="70"/>
      <c r="N158" s="56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4"/>
    </row>
    <row r="159" spans="1:25">
      <c r="A159" s="43">
        <v>8267</v>
      </c>
      <c r="B159" s="32" t="s">
        <v>705</v>
      </c>
      <c r="C159" s="32" t="s">
        <v>541</v>
      </c>
      <c r="D159" s="32" t="s">
        <v>994</v>
      </c>
      <c r="E159" s="32" t="s">
        <v>1081</v>
      </c>
      <c r="F159" s="47">
        <v>39482</v>
      </c>
      <c r="G159" s="47">
        <v>31294</v>
      </c>
      <c r="H159" s="32" t="s">
        <v>1276</v>
      </c>
      <c r="I159" s="55" t="s">
        <v>1115</v>
      </c>
      <c r="J159" s="68"/>
      <c r="K159" s="68"/>
      <c r="L159" s="54"/>
      <c r="M159" s="70"/>
      <c r="N159" s="56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4"/>
    </row>
    <row r="160" spans="1:25">
      <c r="A160" s="43">
        <v>8271</v>
      </c>
      <c r="B160" s="32" t="s">
        <v>706</v>
      </c>
      <c r="C160" s="32" t="s">
        <v>654</v>
      </c>
      <c r="D160" s="32" t="s">
        <v>994</v>
      </c>
      <c r="E160" s="32" t="s">
        <v>1081</v>
      </c>
      <c r="F160" s="47">
        <v>39510</v>
      </c>
      <c r="G160" s="47">
        <v>24794</v>
      </c>
      <c r="H160" s="32" t="s">
        <v>1277</v>
      </c>
      <c r="I160" s="55" t="s">
        <v>1115</v>
      </c>
      <c r="J160" s="68" t="s">
        <v>482</v>
      </c>
      <c r="K160" s="68"/>
      <c r="L160" s="54"/>
      <c r="M160" s="70"/>
      <c r="N160" s="56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4"/>
    </row>
    <row r="161" spans="1:25">
      <c r="A161" s="43">
        <v>8272</v>
      </c>
      <c r="B161" s="32" t="s">
        <v>707</v>
      </c>
      <c r="C161" s="32" t="s">
        <v>604</v>
      </c>
      <c r="D161" s="32" t="s">
        <v>994</v>
      </c>
      <c r="E161" s="35"/>
      <c r="F161" s="47">
        <v>39511</v>
      </c>
      <c r="G161" s="47">
        <v>23397</v>
      </c>
      <c r="H161" s="32" t="s">
        <v>1278</v>
      </c>
      <c r="I161" s="55" t="s">
        <v>1279</v>
      </c>
      <c r="J161" s="68"/>
      <c r="K161" s="68"/>
      <c r="L161" s="54"/>
      <c r="M161" s="70"/>
      <c r="N161" s="56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4"/>
    </row>
    <row r="162" spans="1:25">
      <c r="A162" s="43">
        <v>8273</v>
      </c>
      <c r="B162" s="32" t="s">
        <v>708</v>
      </c>
      <c r="C162" s="32" t="s">
        <v>554</v>
      </c>
      <c r="D162" s="32" t="s">
        <v>994</v>
      </c>
      <c r="E162" s="32" t="s">
        <v>1081</v>
      </c>
      <c r="F162" s="47">
        <v>39517</v>
      </c>
      <c r="G162" s="47">
        <v>31896</v>
      </c>
      <c r="H162" s="32" t="s">
        <v>1280</v>
      </c>
      <c r="I162" s="55" t="s">
        <v>1115</v>
      </c>
      <c r="J162" s="68"/>
      <c r="K162" s="68"/>
      <c r="L162" s="54"/>
      <c r="M162" s="70"/>
      <c r="N162" s="56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4"/>
    </row>
    <row r="163" spans="1:25">
      <c r="A163" s="43">
        <v>8274</v>
      </c>
      <c r="B163" s="32" t="s">
        <v>709</v>
      </c>
      <c r="C163" s="32" t="s">
        <v>554</v>
      </c>
      <c r="D163" s="32" t="s">
        <v>994</v>
      </c>
      <c r="E163" s="32" t="s">
        <v>1081</v>
      </c>
      <c r="F163" s="47">
        <v>44075</v>
      </c>
      <c r="G163" s="47">
        <v>32635</v>
      </c>
      <c r="H163" s="32" t="s">
        <v>1281</v>
      </c>
      <c r="I163" s="55" t="s">
        <v>1083</v>
      </c>
      <c r="J163" s="68"/>
      <c r="K163" s="68"/>
      <c r="L163" s="54"/>
      <c r="M163" s="70"/>
      <c r="N163" s="56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4"/>
    </row>
    <row r="164" spans="1:25">
      <c r="A164" s="43">
        <v>8275</v>
      </c>
      <c r="B164" s="32" t="s">
        <v>710</v>
      </c>
      <c r="C164" s="32" t="s">
        <v>554</v>
      </c>
      <c r="D164" s="32" t="s">
        <v>994</v>
      </c>
      <c r="E164" s="32" t="s">
        <v>1081</v>
      </c>
      <c r="F164" s="47">
        <v>44263</v>
      </c>
      <c r="G164" s="47">
        <v>32292</v>
      </c>
      <c r="H164" s="32" t="s">
        <v>1282</v>
      </c>
      <c r="I164" s="55" t="s">
        <v>1117</v>
      </c>
      <c r="J164" s="68"/>
      <c r="K164" s="68"/>
      <c r="L164" s="54"/>
      <c r="M164" s="70"/>
      <c r="N164" s="56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4"/>
    </row>
    <row r="165" spans="1:25">
      <c r="A165" s="43">
        <v>8276</v>
      </c>
      <c r="B165" s="32" t="s">
        <v>711</v>
      </c>
      <c r="C165" s="32" t="s">
        <v>554</v>
      </c>
      <c r="D165" s="32" t="s">
        <v>994</v>
      </c>
      <c r="E165" s="32" t="s">
        <v>1081</v>
      </c>
      <c r="F165" s="47">
        <v>39517</v>
      </c>
      <c r="G165" s="47">
        <v>29778</v>
      </c>
      <c r="H165" s="32" t="s">
        <v>1283</v>
      </c>
      <c r="I165" s="55" t="s">
        <v>1099</v>
      </c>
      <c r="J165" s="68"/>
      <c r="K165" s="68"/>
      <c r="L165" s="54"/>
      <c r="M165" s="70"/>
      <c r="N165" s="56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4"/>
    </row>
    <row r="166" spans="1:25">
      <c r="A166" s="43">
        <v>8281</v>
      </c>
      <c r="B166" s="32" t="s">
        <v>712</v>
      </c>
      <c r="C166" s="32" t="s">
        <v>554</v>
      </c>
      <c r="D166" s="32" t="s">
        <v>994</v>
      </c>
      <c r="E166" s="32" t="s">
        <v>1081</v>
      </c>
      <c r="F166" s="47">
        <v>39517</v>
      </c>
      <c r="G166" s="47">
        <v>30092</v>
      </c>
      <c r="H166" s="32" t="s">
        <v>1284</v>
      </c>
      <c r="I166" s="55" t="s">
        <v>1113</v>
      </c>
      <c r="J166" s="68"/>
      <c r="K166" s="68"/>
      <c r="L166" s="54"/>
      <c r="M166" s="70"/>
      <c r="N166" s="56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4"/>
    </row>
    <row r="167" spans="1:25">
      <c r="A167" s="43">
        <v>8282</v>
      </c>
      <c r="B167" s="32" t="s">
        <v>713</v>
      </c>
      <c r="C167" s="32" t="s">
        <v>554</v>
      </c>
      <c r="D167" s="32" t="s">
        <v>994</v>
      </c>
      <c r="E167" s="32" t="s">
        <v>1081</v>
      </c>
      <c r="F167" s="47">
        <v>39517</v>
      </c>
      <c r="G167" s="47">
        <v>30793</v>
      </c>
      <c r="H167" s="32" t="s">
        <v>1285</v>
      </c>
      <c r="I167" s="55" t="s">
        <v>1115</v>
      </c>
      <c r="J167" s="68"/>
      <c r="K167" s="68"/>
      <c r="L167" s="54"/>
      <c r="M167" s="70"/>
      <c r="N167" s="56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4"/>
    </row>
    <row r="168" spans="1:25">
      <c r="A168" s="43">
        <v>8293</v>
      </c>
      <c r="B168" s="32" t="s">
        <v>714</v>
      </c>
      <c r="C168" s="35"/>
      <c r="D168" s="32" t="s">
        <v>994</v>
      </c>
      <c r="E168" s="32" t="s">
        <v>1174</v>
      </c>
      <c r="F168" s="47">
        <v>39545</v>
      </c>
      <c r="G168" s="47">
        <v>32572</v>
      </c>
      <c r="H168" s="32" t="s">
        <v>1286</v>
      </c>
      <c r="I168" s="55" t="s">
        <v>1176</v>
      </c>
      <c r="J168" s="68"/>
      <c r="K168" s="68"/>
      <c r="L168" s="54"/>
      <c r="M168" s="70"/>
      <c r="N168" s="56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4"/>
    </row>
    <row r="169" spans="1:25">
      <c r="A169" s="43">
        <v>8295</v>
      </c>
      <c r="B169" s="32" t="s">
        <v>715</v>
      </c>
      <c r="C169" s="32" t="s">
        <v>654</v>
      </c>
      <c r="D169" s="32" t="s">
        <v>994</v>
      </c>
      <c r="E169" s="32" t="s">
        <v>1081</v>
      </c>
      <c r="F169" s="47">
        <v>39566</v>
      </c>
      <c r="G169" s="47">
        <v>32233</v>
      </c>
      <c r="H169" s="32" t="s">
        <v>1287</v>
      </c>
      <c r="I169" s="55" t="s">
        <v>1083</v>
      </c>
      <c r="J169" s="68"/>
      <c r="K169" s="68"/>
      <c r="L169" s="54"/>
      <c r="M169" s="70"/>
      <c r="N169" s="56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4"/>
    </row>
    <row r="170" spans="1:25">
      <c r="A170" s="43">
        <v>8304</v>
      </c>
      <c r="B170" s="32" t="s">
        <v>716</v>
      </c>
      <c r="C170" s="35"/>
      <c r="D170" s="32" t="s">
        <v>994</v>
      </c>
      <c r="E170" s="32" t="s">
        <v>1146</v>
      </c>
      <c r="F170" s="47">
        <v>39616</v>
      </c>
      <c r="G170" s="47">
        <v>23359</v>
      </c>
      <c r="H170" s="32" t="s">
        <v>1288</v>
      </c>
      <c r="I170" s="55" t="s">
        <v>1258</v>
      </c>
      <c r="J170" s="68"/>
      <c r="K170" s="68"/>
      <c r="L170" s="54"/>
      <c r="M170" s="70"/>
      <c r="N170" s="56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4"/>
    </row>
    <row r="171" spans="1:25">
      <c r="A171" s="43">
        <v>8305</v>
      </c>
      <c r="B171" s="32" t="s">
        <v>717</v>
      </c>
      <c r="C171" s="32" t="s">
        <v>718</v>
      </c>
      <c r="D171" s="32" t="s">
        <v>996</v>
      </c>
      <c r="E171" s="32" t="s">
        <v>1150</v>
      </c>
      <c r="F171" s="47">
        <v>39636</v>
      </c>
      <c r="G171" s="47">
        <v>27249</v>
      </c>
      <c r="H171" s="32" t="s">
        <v>1289</v>
      </c>
      <c r="I171" s="55" t="s">
        <v>1099</v>
      </c>
      <c r="J171" s="68"/>
      <c r="K171" s="68"/>
      <c r="L171" s="54"/>
      <c r="M171" s="70"/>
      <c r="N171" s="56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4"/>
    </row>
    <row r="172" spans="1:25">
      <c r="A172" s="43">
        <v>8307</v>
      </c>
      <c r="B172" s="32" t="s">
        <v>719</v>
      </c>
      <c r="C172" s="32" t="s">
        <v>556</v>
      </c>
      <c r="D172" s="32" t="s">
        <v>994</v>
      </c>
      <c r="E172" s="32" t="s">
        <v>1081</v>
      </c>
      <c r="F172" s="47">
        <v>39616</v>
      </c>
      <c r="G172" s="47">
        <v>31447</v>
      </c>
      <c r="H172" s="32" t="s">
        <v>1290</v>
      </c>
      <c r="I172" s="55" t="s">
        <v>1113</v>
      </c>
      <c r="J172" s="68"/>
      <c r="K172" s="68"/>
      <c r="L172" s="54"/>
      <c r="M172" s="70"/>
      <c r="N172" s="56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4"/>
    </row>
    <row r="173" spans="1:25">
      <c r="A173" s="43">
        <v>8309</v>
      </c>
      <c r="B173" s="32" t="s">
        <v>720</v>
      </c>
      <c r="C173" s="32" t="s">
        <v>556</v>
      </c>
      <c r="D173" s="32" t="s">
        <v>994</v>
      </c>
      <c r="E173" s="32" t="s">
        <v>1081</v>
      </c>
      <c r="F173" s="47">
        <v>39636</v>
      </c>
      <c r="G173" s="47">
        <v>31875</v>
      </c>
      <c r="H173" s="32" t="s">
        <v>1291</v>
      </c>
      <c r="I173" s="55" t="s">
        <v>1115</v>
      </c>
      <c r="J173" s="68"/>
      <c r="K173" s="68"/>
      <c r="L173" s="54"/>
      <c r="M173" s="70"/>
      <c r="N173" s="56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4"/>
    </row>
    <row r="174" spans="1:25">
      <c r="A174" s="43">
        <v>8322</v>
      </c>
      <c r="B174" s="32" t="s">
        <v>721</v>
      </c>
      <c r="C174" s="32" t="s">
        <v>718</v>
      </c>
      <c r="D174" s="32" t="s">
        <v>996</v>
      </c>
      <c r="E174" s="32" t="s">
        <v>1150</v>
      </c>
      <c r="F174" s="47">
        <v>39673</v>
      </c>
      <c r="G174" s="47">
        <v>30772</v>
      </c>
      <c r="H174" s="32" t="s">
        <v>1292</v>
      </c>
      <c r="I174" s="55" t="s">
        <v>1266</v>
      </c>
      <c r="J174" s="68"/>
      <c r="K174" s="68"/>
      <c r="L174" s="54"/>
      <c r="M174" s="70"/>
      <c r="N174" s="56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4"/>
    </row>
    <row r="175" spans="1:25">
      <c r="A175" s="43">
        <v>8332</v>
      </c>
      <c r="B175" s="32" t="s">
        <v>722</v>
      </c>
      <c r="C175" s="32" t="s">
        <v>552</v>
      </c>
      <c r="D175" s="32" t="s">
        <v>994</v>
      </c>
      <c r="E175" s="32" t="s">
        <v>1081</v>
      </c>
      <c r="F175" s="47">
        <v>39699</v>
      </c>
      <c r="G175" s="47">
        <v>31765</v>
      </c>
      <c r="H175" s="32" t="s">
        <v>1293</v>
      </c>
      <c r="I175" s="55" t="s">
        <v>1099</v>
      </c>
      <c r="J175" s="68"/>
      <c r="K175" s="68"/>
      <c r="L175" s="54"/>
      <c r="M175" s="70"/>
      <c r="N175" s="56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4"/>
    </row>
    <row r="176" spans="1:25">
      <c r="A176" s="43">
        <v>8336</v>
      </c>
      <c r="B176" s="32" t="s">
        <v>723</v>
      </c>
      <c r="C176" s="32" t="s">
        <v>534</v>
      </c>
      <c r="D176" s="32" t="s">
        <v>994</v>
      </c>
      <c r="E176" s="32" t="s">
        <v>1081</v>
      </c>
      <c r="F176" s="47">
        <v>39699</v>
      </c>
      <c r="G176" s="47">
        <v>28056</v>
      </c>
      <c r="H176" s="32" t="s">
        <v>1294</v>
      </c>
      <c r="I176" s="55" t="s">
        <v>1117</v>
      </c>
      <c r="J176" s="68"/>
      <c r="K176" s="68"/>
      <c r="L176" s="54"/>
      <c r="M176" s="70"/>
      <c r="N176" s="56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4"/>
    </row>
    <row r="177" spans="1:25">
      <c r="A177" s="43">
        <v>8338</v>
      </c>
      <c r="B177" s="32" t="s">
        <v>724</v>
      </c>
      <c r="C177" s="32" t="s">
        <v>541</v>
      </c>
      <c r="D177" s="32" t="s">
        <v>994</v>
      </c>
      <c r="E177" s="32" t="s">
        <v>1081</v>
      </c>
      <c r="F177" s="47">
        <v>39706</v>
      </c>
      <c r="G177" s="47">
        <v>25861</v>
      </c>
      <c r="H177" s="32" t="s">
        <v>1295</v>
      </c>
      <c r="I177" s="55" t="s">
        <v>1113</v>
      </c>
      <c r="J177" s="68"/>
      <c r="K177" s="68"/>
      <c r="L177" s="54"/>
      <c r="M177" s="70"/>
      <c r="N177" s="56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4"/>
    </row>
    <row r="178" spans="1:25">
      <c r="A178" s="43">
        <v>8343</v>
      </c>
      <c r="B178" s="32" t="s">
        <v>725</v>
      </c>
      <c r="C178" s="32" t="s">
        <v>554</v>
      </c>
      <c r="D178" s="32" t="s">
        <v>994</v>
      </c>
      <c r="E178" s="32" t="s">
        <v>1081</v>
      </c>
      <c r="F178" s="47">
        <v>44201</v>
      </c>
      <c r="G178" s="47">
        <v>30961</v>
      </c>
      <c r="H178" s="32" t="s">
        <v>1296</v>
      </c>
      <c r="I178" s="55" t="s">
        <v>1117</v>
      </c>
      <c r="J178" s="68"/>
      <c r="K178" s="68"/>
      <c r="L178" s="54"/>
      <c r="M178" s="70"/>
      <c r="N178" s="56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4"/>
    </row>
    <row r="179" spans="1:25">
      <c r="A179" s="43">
        <v>8355</v>
      </c>
      <c r="B179" s="32" t="s">
        <v>726</v>
      </c>
      <c r="C179" s="32" t="s">
        <v>534</v>
      </c>
      <c r="D179" s="32" t="s">
        <v>994</v>
      </c>
      <c r="E179" s="32" t="s">
        <v>1081</v>
      </c>
      <c r="F179" s="47">
        <v>39727</v>
      </c>
      <c r="G179" s="47">
        <v>31554</v>
      </c>
      <c r="H179" s="32" t="s">
        <v>1297</v>
      </c>
      <c r="I179" s="55" t="s">
        <v>1113</v>
      </c>
      <c r="J179" s="68"/>
      <c r="K179" s="68"/>
      <c r="L179" s="54"/>
      <c r="M179" s="70"/>
      <c r="N179" s="56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4"/>
    </row>
    <row r="180" spans="1:25">
      <c r="A180" s="43">
        <v>8357</v>
      </c>
      <c r="B180" s="32" t="s">
        <v>727</v>
      </c>
      <c r="C180" s="32" t="s">
        <v>541</v>
      </c>
      <c r="D180" s="32" t="s">
        <v>994</v>
      </c>
      <c r="E180" s="32" t="s">
        <v>1081</v>
      </c>
      <c r="F180" s="47">
        <v>39727</v>
      </c>
      <c r="G180" s="47">
        <v>32026</v>
      </c>
      <c r="H180" s="32" t="s">
        <v>1298</v>
      </c>
      <c r="I180" s="55" t="s">
        <v>1113</v>
      </c>
      <c r="J180" s="68"/>
      <c r="K180" s="68"/>
      <c r="L180" s="54"/>
      <c r="M180" s="70"/>
      <c r="N180" s="56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4"/>
    </row>
    <row r="181" spans="1:25">
      <c r="A181" s="43">
        <v>8359</v>
      </c>
      <c r="B181" s="32" t="s">
        <v>728</v>
      </c>
      <c r="C181" s="32" t="s">
        <v>541</v>
      </c>
      <c r="D181" s="32" t="s">
        <v>994</v>
      </c>
      <c r="E181" s="32" t="s">
        <v>1081</v>
      </c>
      <c r="F181" s="47">
        <v>39727</v>
      </c>
      <c r="G181" s="47">
        <v>29120</v>
      </c>
      <c r="H181" s="32" t="s">
        <v>1299</v>
      </c>
      <c r="I181" s="55" t="s">
        <v>1115</v>
      </c>
      <c r="J181" s="68"/>
      <c r="K181" s="68"/>
      <c r="L181" s="54"/>
      <c r="M181" s="70"/>
      <c r="N181" s="56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4"/>
    </row>
    <row r="182" spans="1:25">
      <c r="A182" s="43">
        <v>8363</v>
      </c>
      <c r="B182" s="32" t="s">
        <v>729</v>
      </c>
      <c r="C182" s="32" t="s">
        <v>541</v>
      </c>
      <c r="D182" s="32" t="s">
        <v>994</v>
      </c>
      <c r="E182" s="32" t="s">
        <v>1081</v>
      </c>
      <c r="F182" s="47">
        <v>39727</v>
      </c>
      <c r="G182" s="47">
        <v>32794</v>
      </c>
      <c r="H182" s="32" t="s">
        <v>1300</v>
      </c>
      <c r="I182" s="55" t="s">
        <v>1113</v>
      </c>
      <c r="J182" s="68"/>
      <c r="K182" s="68"/>
      <c r="L182" s="54"/>
      <c r="M182" s="70"/>
      <c r="N182" s="56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4"/>
    </row>
    <row r="183" spans="1:25">
      <c r="A183" s="43">
        <v>8375</v>
      </c>
      <c r="B183" s="32" t="s">
        <v>730</v>
      </c>
      <c r="C183" s="32" t="s">
        <v>541</v>
      </c>
      <c r="D183" s="32" t="s">
        <v>994</v>
      </c>
      <c r="E183" s="32" t="s">
        <v>1081</v>
      </c>
      <c r="F183" s="47">
        <v>44166</v>
      </c>
      <c r="G183" s="47">
        <v>32696</v>
      </c>
      <c r="H183" s="32" t="s">
        <v>1301</v>
      </c>
      <c r="I183" s="55" t="s">
        <v>1115</v>
      </c>
      <c r="J183" s="68"/>
      <c r="K183" s="68"/>
      <c r="L183" s="54"/>
      <c r="M183" s="70"/>
      <c r="N183" s="56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4"/>
    </row>
    <row r="184" spans="1:25">
      <c r="A184" s="43">
        <v>8378</v>
      </c>
      <c r="B184" s="32" t="s">
        <v>731</v>
      </c>
      <c r="C184" s="32" t="s">
        <v>538</v>
      </c>
      <c r="D184" s="32" t="s">
        <v>994</v>
      </c>
      <c r="E184" s="32" t="s">
        <v>1078</v>
      </c>
      <c r="F184" s="47">
        <v>39769</v>
      </c>
      <c r="G184" s="47">
        <v>32553</v>
      </c>
      <c r="H184" s="32" t="s">
        <v>1302</v>
      </c>
      <c r="I184" s="55" t="s">
        <v>1140</v>
      </c>
      <c r="J184" s="68"/>
      <c r="K184" s="68"/>
      <c r="L184" s="54"/>
      <c r="M184" s="70"/>
      <c r="N184" s="56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4"/>
    </row>
    <row r="185" spans="1:25">
      <c r="A185" s="43">
        <v>8379</v>
      </c>
      <c r="B185" s="32" t="s">
        <v>732</v>
      </c>
      <c r="C185" s="32" t="s">
        <v>577</v>
      </c>
      <c r="D185" s="32" t="s">
        <v>996</v>
      </c>
      <c r="E185" s="35"/>
      <c r="F185" s="47">
        <v>39769</v>
      </c>
      <c r="G185" s="47">
        <v>29140</v>
      </c>
      <c r="H185" s="32" t="s">
        <v>1303</v>
      </c>
      <c r="I185" s="55" t="s">
        <v>1113</v>
      </c>
      <c r="J185" s="68"/>
      <c r="K185" s="68"/>
      <c r="L185" s="54"/>
      <c r="M185" s="70"/>
      <c r="N185" s="56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4"/>
    </row>
    <row r="186" spans="1:25">
      <c r="A186" s="43">
        <v>8380</v>
      </c>
      <c r="B186" s="32" t="s">
        <v>733</v>
      </c>
      <c r="C186" s="32" t="s">
        <v>538</v>
      </c>
      <c r="D186" s="32" t="s">
        <v>994</v>
      </c>
      <c r="E186" s="32" t="s">
        <v>1078</v>
      </c>
      <c r="F186" s="47">
        <v>39769</v>
      </c>
      <c r="G186" s="47">
        <v>31984</v>
      </c>
      <c r="H186" s="32" t="s">
        <v>1304</v>
      </c>
      <c r="I186" s="55" t="s">
        <v>1305</v>
      </c>
      <c r="J186" s="68"/>
      <c r="K186" s="68"/>
      <c r="L186" s="54"/>
      <c r="M186" s="70"/>
      <c r="N186" s="56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4"/>
    </row>
    <row r="187" spans="1:25">
      <c r="A187" s="43">
        <v>8381</v>
      </c>
      <c r="B187" s="32" t="s">
        <v>734</v>
      </c>
      <c r="C187" s="32" t="s">
        <v>577</v>
      </c>
      <c r="D187" s="32" t="s">
        <v>996</v>
      </c>
      <c r="E187" s="35"/>
      <c r="F187" s="47">
        <v>39769</v>
      </c>
      <c r="G187" s="47">
        <v>30610</v>
      </c>
      <c r="H187" s="32" t="s">
        <v>1306</v>
      </c>
      <c r="I187" s="55" t="s">
        <v>1115</v>
      </c>
      <c r="J187" s="68"/>
      <c r="K187" s="68"/>
      <c r="L187" s="54"/>
      <c r="M187" s="70"/>
      <c r="N187" s="56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4"/>
    </row>
    <row r="188" spans="1:25">
      <c r="A188" s="43">
        <v>8387</v>
      </c>
      <c r="B188" s="32" t="s">
        <v>735</v>
      </c>
      <c r="C188" s="32" t="s">
        <v>541</v>
      </c>
      <c r="D188" s="32" t="s">
        <v>994</v>
      </c>
      <c r="E188" s="32" t="s">
        <v>1081</v>
      </c>
      <c r="F188" s="47">
        <v>39783</v>
      </c>
      <c r="G188" s="47">
        <v>23536</v>
      </c>
      <c r="H188" s="32" t="s">
        <v>1307</v>
      </c>
      <c r="I188" s="55" t="s">
        <v>1113</v>
      </c>
      <c r="J188" s="68"/>
      <c r="K188" s="68"/>
      <c r="L188" s="54"/>
      <c r="M188" s="70"/>
      <c r="N188" s="56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4"/>
    </row>
    <row r="189" spans="1:25">
      <c r="A189" s="43">
        <v>8390</v>
      </c>
      <c r="B189" s="32" t="s">
        <v>736</v>
      </c>
      <c r="C189" s="32" t="s">
        <v>536</v>
      </c>
      <c r="D189" s="32" t="s">
        <v>994</v>
      </c>
      <c r="E189" s="32" t="s">
        <v>1081</v>
      </c>
      <c r="F189" s="47">
        <v>39791</v>
      </c>
      <c r="G189" s="47">
        <v>28608</v>
      </c>
      <c r="H189" s="32" t="s">
        <v>1308</v>
      </c>
      <c r="I189" s="55" t="s">
        <v>1113</v>
      </c>
      <c r="J189" s="68"/>
      <c r="K189" s="68"/>
      <c r="L189" s="54"/>
      <c r="M189" s="70"/>
      <c r="N189" s="56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4"/>
    </row>
    <row r="190" spans="1:25">
      <c r="A190" s="43">
        <v>8397</v>
      </c>
      <c r="B190" s="32" t="s">
        <v>737</v>
      </c>
      <c r="C190" s="32" t="s">
        <v>534</v>
      </c>
      <c r="D190" s="32" t="s">
        <v>994</v>
      </c>
      <c r="E190" s="32" t="s">
        <v>1081</v>
      </c>
      <c r="F190" s="47">
        <v>39898</v>
      </c>
      <c r="G190" s="47">
        <v>28717</v>
      </c>
      <c r="H190" s="32" t="s">
        <v>1309</v>
      </c>
      <c r="I190" s="55" t="s">
        <v>1115</v>
      </c>
      <c r="J190" s="68"/>
      <c r="K190" s="68"/>
      <c r="L190" s="54"/>
      <c r="M190" s="70"/>
      <c r="N190" s="56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4"/>
    </row>
    <row r="191" spans="1:25">
      <c r="A191" s="43">
        <v>8399</v>
      </c>
      <c r="B191" s="32" t="s">
        <v>738</v>
      </c>
      <c r="C191" s="32" t="s">
        <v>604</v>
      </c>
      <c r="D191" s="32" t="s">
        <v>994</v>
      </c>
      <c r="E191" s="35"/>
      <c r="F191" s="47">
        <v>39898</v>
      </c>
      <c r="G191" s="47">
        <v>30659</v>
      </c>
      <c r="H191" s="32" t="s">
        <v>1310</v>
      </c>
      <c r="I191" s="55" t="s">
        <v>1208</v>
      </c>
      <c r="J191" s="68"/>
      <c r="K191" s="68"/>
      <c r="L191" s="54"/>
      <c r="M191" s="70"/>
      <c r="N191" s="56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4"/>
    </row>
    <row r="192" spans="1:25">
      <c r="A192" s="43">
        <v>8400</v>
      </c>
      <c r="B192" s="32" t="s">
        <v>739</v>
      </c>
      <c r="C192" s="32" t="s">
        <v>740</v>
      </c>
      <c r="D192" s="32" t="s">
        <v>994</v>
      </c>
      <c r="E192" s="32" t="s">
        <v>1081</v>
      </c>
      <c r="F192" s="47">
        <v>39898</v>
      </c>
      <c r="G192" s="47">
        <v>22059</v>
      </c>
      <c r="H192" s="32" t="s">
        <v>1311</v>
      </c>
      <c r="I192" s="55" t="s">
        <v>1099</v>
      </c>
      <c r="J192" s="68"/>
      <c r="K192" s="68"/>
      <c r="L192" s="54"/>
      <c r="M192" s="70"/>
      <c r="N192" s="56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4"/>
    </row>
    <row r="193" spans="1:25">
      <c r="A193" s="43">
        <v>8402</v>
      </c>
      <c r="B193" s="32" t="s">
        <v>741</v>
      </c>
      <c r="C193" s="32" t="s">
        <v>534</v>
      </c>
      <c r="D193" s="32" t="s">
        <v>994</v>
      </c>
      <c r="E193" s="32" t="s">
        <v>1081</v>
      </c>
      <c r="F193" s="47">
        <v>39898</v>
      </c>
      <c r="G193" s="47">
        <v>29249</v>
      </c>
      <c r="H193" s="32" t="s">
        <v>1312</v>
      </c>
      <c r="I193" s="55" t="s">
        <v>1115</v>
      </c>
      <c r="J193" s="68"/>
      <c r="K193" s="68"/>
      <c r="L193" s="54"/>
      <c r="M193" s="70"/>
      <c r="N193" s="56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4"/>
    </row>
    <row r="194" spans="1:25">
      <c r="A194" s="43">
        <v>8403</v>
      </c>
      <c r="B194" s="32" t="s">
        <v>742</v>
      </c>
      <c r="C194" s="32" t="s">
        <v>538</v>
      </c>
      <c r="D194" s="32" t="s">
        <v>994</v>
      </c>
      <c r="E194" s="32" t="s">
        <v>1078</v>
      </c>
      <c r="F194" s="47">
        <v>39888</v>
      </c>
      <c r="G194" s="47">
        <v>33255</v>
      </c>
      <c r="H194" s="32" t="s">
        <v>1313</v>
      </c>
      <c r="I194" s="55" t="s">
        <v>1208</v>
      </c>
      <c r="J194" s="68"/>
      <c r="K194" s="68"/>
      <c r="L194" s="54"/>
      <c r="M194" s="70"/>
      <c r="N194" s="56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4"/>
    </row>
    <row r="195" spans="1:25">
      <c r="A195" s="43">
        <v>8404</v>
      </c>
      <c r="B195" s="32" t="s">
        <v>743</v>
      </c>
      <c r="C195" s="32" t="s">
        <v>570</v>
      </c>
      <c r="D195" s="32" t="s">
        <v>996</v>
      </c>
      <c r="E195" s="35"/>
      <c r="F195" s="47">
        <v>39888</v>
      </c>
      <c r="G195" s="47">
        <v>33351</v>
      </c>
      <c r="H195" s="32" t="s">
        <v>1314</v>
      </c>
      <c r="I195" s="55" t="s">
        <v>1266</v>
      </c>
      <c r="J195" s="68"/>
      <c r="K195" s="68"/>
      <c r="L195" s="54"/>
      <c r="M195" s="70"/>
      <c r="N195" s="56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4"/>
    </row>
    <row r="196" spans="1:25">
      <c r="A196" s="43">
        <v>8407</v>
      </c>
      <c r="B196" s="32" t="s">
        <v>744</v>
      </c>
      <c r="C196" s="32" t="s">
        <v>570</v>
      </c>
      <c r="D196" s="32" t="s">
        <v>996</v>
      </c>
      <c r="E196" s="35"/>
      <c r="F196" s="47">
        <v>39923</v>
      </c>
      <c r="G196" s="47">
        <v>27008</v>
      </c>
      <c r="H196" s="32" t="s">
        <v>1315</v>
      </c>
      <c r="I196" s="55" t="s">
        <v>1316</v>
      </c>
      <c r="J196" s="68"/>
      <c r="K196" s="68"/>
      <c r="L196" s="54"/>
      <c r="M196" s="70"/>
      <c r="N196" s="56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4"/>
    </row>
    <row r="197" spans="1:25">
      <c r="A197" s="43">
        <v>8408</v>
      </c>
      <c r="B197" s="32" t="s">
        <v>745</v>
      </c>
      <c r="C197" s="32" t="s">
        <v>746</v>
      </c>
      <c r="D197" s="32" t="s">
        <v>996</v>
      </c>
      <c r="E197" s="32" t="s">
        <v>1317</v>
      </c>
      <c r="F197" s="47">
        <v>39946</v>
      </c>
      <c r="G197" s="47">
        <v>27710</v>
      </c>
      <c r="H197" s="32" t="s">
        <v>1318</v>
      </c>
      <c r="I197" s="55" t="s">
        <v>1262</v>
      </c>
      <c r="J197" s="68"/>
      <c r="K197" s="68"/>
      <c r="L197" s="54"/>
      <c r="M197" s="70"/>
      <c r="N197" s="56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4"/>
    </row>
    <row r="198" spans="1:25">
      <c r="A198" s="43">
        <v>8410</v>
      </c>
      <c r="B198" s="32" t="s">
        <v>747</v>
      </c>
      <c r="C198" s="32" t="s">
        <v>570</v>
      </c>
      <c r="D198" s="32" t="s">
        <v>996</v>
      </c>
      <c r="E198" s="35"/>
      <c r="F198" s="47">
        <v>40049</v>
      </c>
      <c r="G198" s="47">
        <v>22496</v>
      </c>
      <c r="H198" s="32" t="s">
        <v>1319</v>
      </c>
      <c r="I198" s="55" t="s">
        <v>1320</v>
      </c>
      <c r="J198" s="68"/>
      <c r="K198" s="68"/>
      <c r="L198" s="54"/>
      <c r="M198" s="70"/>
      <c r="N198" s="56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4"/>
    </row>
    <row r="199" spans="1:25">
      <c r="A199" s="43">
        <v>8414</v>
      </c>
      <c r="B199" s="32" t="s">
        <v>748</v>
      </c>
      <c r="C199" s="32" t="s">
        <v>556</v>
      </c>
      <c r="D199" s="32" t="s">
        <v>994</v>
      </c>
      <c r="E199" s="32" t="s">
        <v>1081</v>
      </c>
      <c r="F199" s="47">
        <v>40112</v>
      </c>
      <c r="G199" s="47">
        <v>22708</v>
      </c>
      <c r="H199" s="32" t="s">
        <v>1321</v>
      </c>
      <c r="I199" s="55" t="s">
        <v>1083</v>
      </c>
      <c r="J199" s="68"/>
      <c r="K199" s="68"/>
      <c r="L199" s="54"/>
      <c r="M199" s="70"/>
      <c r="N199" s="56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4"/>
    </row>
    <row r="200" spans="1:25">
      <c r="A200" s="43">
        <v>8416</v>
      </c>
      <c r="B200" s="32" t="s">
        <v>749</v>
      </c>
      <c r="C200" s="32" t="s">
        <v>589</v>
      </c>
      <c r="D200" s="32" t="s">
        <v>996</v>
      </c>
      <c r="E200" s="32" t="s">
        <v>1150</v>
      </c>
      <c r="F200" s="47">
        <v>40142</v>
      </c>
      <c r="G200" s="47">
        <v>29761</v>
      </c>
      <c r="H200" s="32" t="s">
        <v>1322</v>
      </c>
      <c r="I200" s="55" t="s">
        <v>1323</v>
      </c>
      <c r="J200" s="68"/>
      <c r="K200" s="68"/>
      <c r="L200" s="54"/>
      <c r="M200" s="70"/>
      <c r="N200" s="56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4"/>
    </row>
    <row r="201" spans="1:25">
      <c r="A201" s="43">
        <v>8418</v>
      </c>
      <c r="B201" s="32" t="s">
        <v>750</v>
      </c>
      <c r="C201" s="32" t="s">
        <v>534</v>
      </c>
      <c r="D201" s="32" t="s">
        <v>994</v>
      </c>
      <c r="E201" s="32" t="s">
        <v>1081</v>
      </c>
      <c r="F201" s="47">
        <v>40126</v>
      </c>
      <c r="G201" s="47">
        <v>32643</v>
      </c>
      <c r="H201" s="32" t="s">
        <v>1324</v>
      </c>
      <c r="I201" s="55" t="s">
        <v>1113</v>
      </c>
      <c r="J201" s="68"/>
      <c r="K201" s="68"/>
      <c r="L201" s="54"/>
      <c r="M201" s="70"/>
      <c r="N201" s="56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4"/>
    </row>
    <row r="202" spans="1:25">
      <c r="A202" s="43">
        <v>8419</v>
      </c>
      <c r="B202" s="32" t="s">
        <v>751</v>
      </c>
      <c r="C202" s="32" t="s">
        <v>534</v>
      </c>
      <c r="D202" s="32" t="s">
        <v>994</v>
      </c>
      <c r="E202" s="32" t="s">
        <v>1081</v>
      </c>
      <c r="F202" s="47">
        <v>40126</v>
      </c>
      <c r="G202" s="47">
        <v>27089</v>
      </c>
      <c r="H202" s="32" t="s">
        <v>1325</v>
      </c>
      <c r="I202" s="55" t="s">
        <v>1117</v>
      </c>
      <c r="J202" s="68"/>
      <c r="K202" s="68"/>
      <c r="L202" s="54"/>
      <c r="M202" s="70"/>
      <c r="N202" s="56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4"/>
    </row>
    <row r="203" spans="1:25">
      <c r="A203" s="43">
        <v>8420</v>
      </c>
      <c r="B203" s="32" t="s">
        <v>752</v>
      </c>
      <c r="C203" s="32" t="s">
        <v>534</v>
      </c>
      <c r="D203" s="32" t="s">
        <v>994</v>
      </c>
      <c r="E203" s="32" t="s">
        <v>1081</v>
      </c>
      <c r="F203" s="47">
        <v>40126</v>
      </c>
      <c r="G203" s="47">
        <v>31733</v>
      </c>
      <c r="H203" s="32" t="s">
        <v>1326</v>
      </c>
      <c r="I203" s="55" t="s">
        <v>1115</v>
      </c>
      <c r="J203" s="68"/>
      <c r="K203" s="68"/>
      <c r="L203" s="54"/>
      <c r="M203" s="70"/>
      <c r="N203" s="56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4"/>
    </row>
    <row r="204" spans="1:25">
      <c r="A204" s="43">
        <v>8423</v>
      </c>
      <c r="B204" s="32" t="s">
        <v>753</v>
      </c>
      <c r="C204" s="32" t="s">
        <v>530</v>
      </c>
      <c r="D204" s="32" t="s">
        <v>994</v>
      </c>
      <c r="E204" s="32" t="s">
        <v>1078</v>
      </c>
      <c r="F204" s="47">
        <v>40142</v>
      </c>
      <c r="G204" s="47">
        <v>24838</v>
      </c>
      <c r="H204" s="32" t="s">
        <v>1327</v>
      </c>
      <c r="I204" s="55" t="s">
        <v>1208</v>
      </c>
      <c r="J204" s="68"/>
      <c r="K204" s="68"/>
      <c r="L204" s="54"/>
      <c r="M204" s="70"/>
      <c r="N204" s="56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4"/>
    </row>
    <row r="205" spans="1:25">
      <c r="A205" s="43">
        <v>8426</v>
      </c>
      <c r="B205" s="32" t="s">
        <v>754</v>
      </c>
      <c r="C205" s="32" t="s">
        <v>541</v>
      </c>
      <c r="D205" s="32" t="s">
        <v>994</v>
      </c>
      <c r="E205" s="32" t="s">
        <v>1081</v>
      </c>
      <c r="F205" s="47">
        <v>40154</v>
      </c>
      <c r="G205" s="47">
        <v>33217</v>
      </c>
      <c r="H205" s="32" t="s">
        <v>1328</v>
      </c>
      <c r="I205" s="55" t="s">
        <v>1115</v>
      </c>
      <c r="J205" s="68"/>
      <c r="K205" s="68"/>
      <c r="L205" s="54"/>
      <c r="M205" s="70"/>
      <c r="N205" s="56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4"/>
    </row>
    <row r="206" spans="1:25">
      <c r="A206" s="43">
        <v>8428</v>
      </c>
      <c r="B206" s="32" t="s">
        <v>755</v>
      </c>
      <c r="C206" s="32" t="s">
        <v>534</v>
      </c>
      <c r="D206" s="32" t="s">
        <v>994</v>
      </c>
      <c r="E206" s="32" t="s">
        <v>1081</v>
      </c>
      <c r="F206" s="47">
        <v>40169</v>
      </c>
      <c r="G206" s="47">
        <v>22466</v>
      </c>
      <c r="H206" s="32" t="s">
        <v>1329</v>
      </c>
      <c r="I206" s="55" t="s">
        <v>1115</v>
      </c>
      <c r="J206" s="68"/>
      <c r="K206" s="68"/>
      <c r="L206" s="54"/>
      <c r="M206" s="70"/>
      <c r="N206" s="56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4"/>
    </row>
    <row r="207" spans="1:25">
      <c r="A207" s="43">
        <v>8431</v>
      </c>
      <c r="B207" s="32" t="s">
        <v>756</v>
      </c>
      <c r="C207" s="32" t="s">
        <v>541</v>
      </c>
      <c r="D207" s="32" t="s">
        <v>994</v>
      </c>
      <c r="E207" s="32" t="s">
        <v>1081</v>
      </c>
      <c r="F207" s="47">
        <v>40189</v>
      </c>
      <c r="G207" s="47">
        <v>32727</v>
      </c>
      <c r="H207" s="32" t="s">
        <v>1330</v>
      </c>
      <c r="I207" s="55" t="s">
        <v>1080</v>
      </c>
      <c r="J207" s="68"/>
      <c r="K207" s="68"/>
      <c r="L207" s="54"/>
      <c r="M207" s="70"/>
      <c r="N207" s="56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4"/>
    </row>
    <row r="208" spans="1:25">
      <c r="A208" s="43">
        <v>8434</v>
      </c>
      <c r="B208" s="32" t="s">
        <v>757</v>
      </c>
      <c r="C208" s="35"/>
      <c r="D208" s="32" t="s">
        <v>996</v>
      </c>
      <c r="E208" s="24" t="s">
        <v>1317</v>
      </c>
      <c r="F208" s="47">
        <v>40196</v>
      </c>
      <c r="G208" s="47">
        <v>27056</v>
      </c>
      <c r="H208" s="32" t="s">
        <v>1331</v>
      </c>
      <c r="I208" s="55" t="s">
        <v>1101</v>
      </c>
      <c r="J208" s="68"/>
      <c r="K208" s="68"/>
      <c r="L208" s="54"/>
      <c r="M208" s="70"/>
      <c r="N208" s="56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4"/>
    </row>
    <row r="209" spans="1:25">
      <c r="A209" s="43">
        <v>8435</v>
      </c>
      <c r="B209" s="32" t="s">
        <v>758</v>
      </c>
      <c r="C209" s="32" t="s">
        <v>541</v>
      </c>
      <c r="D209" s="32" t="s">
        <v>994</v>
      </c>
      <c r="E209" s="32" t="s">
        <v>1081</v>
      </c>
      <c r="F209" s="47">
        <v>40210</v>
      </c>
      <c r="G209" s="47">
        <v>25127</v>
      </c>
      <c r="H209" s="32" t="s">
        <v>1332</v>
      </c>
      <c r="I209" s="55" t="s">
        <v>1115</v>
      </c>
      <c r="J209" s="68"/>
      <c r="K209" s="68"/>
      <c r="L209" s="54"/>
      <c r="M209" s="70"/>
      <c r="N209" s="56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4"/>
    </row>
    <row r="210" spans="1:25">
      <c r="A210" s="43">
        <v>8436</v>
      </c>
      <c r="B210" s="32" t="s">
        <v>759</v>
      </c>
      <c r="C210" s="32" t="s">
        <v>541</v>
      </c>
      <c r="D210" s="32" t="s">
        <v>994</v>
      </c>
      <c r="E210" s="32" t="s">
        <v>1081</v>
      </c>
      <c r="F210" s="47">
        <v>40210</v>
      </c>
      <c r="G210" s="47">
        <v>27046</v>
      </c>
      <c r="H210" s="32" t="s">
        <v>1333</v>
      </c>
      <c r="I210" s="55" t="s">
        <v>1113</v>
      </c>
      <c r="J210" s="68"/>
      <c r="K210" s="68"/>
      <c r="L210" s="54"/>
      <c r="M210" s="70"/>
      <c r="N210" s="56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4"/>
    </row>
    <row r="211" spans="1:25">
      <c r="A211" s="43">
        <v>8437</v>
      </c>
      <c r="B211" s="32" t="s">
        <v>760</v>
      </c>
      <c r="C211" s="32" t="s">
        <v>541</v>
      </c>
      <c r="D211" s="32" t="s">
        <v>994</v>
      </c>
      <c r="E211" s="32" t="s">
        <v>1081</v>
      </c>
      <c r="F211" s="47">
        <v>40210</v>
      </c>
      <c r="G211" s="47">
        <v>25672</v>
      </c>
      <c r="H211" s="32" t="s">
        <v>1334</v>
      </c>
      <c r="I211" s="55" t="s">
        <v>1115</v>
      </c>
      <c r="J211" s="68"/>
      <c r="K211" s="68"/>
      <c r="L211" s="54"/>
      <c r="M211" s="70"/>
      <c r="N211" s="56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4"/>
    </row>
    <row r="212" spans="1:25">
      <c r="A212" s="43">
        <v>8447</v>
      </c>
      <c r="B212" s="32" t="s">
        <v>761</v>
      </c>
      <c r="C212" s="35"/>
      <c r="D212" s="32" t="s">
        <v>994</v>
      </c>
      <c r="E212" s="32" t="s">
        <v>1174</v>
      </c>
      <c r="F212" s="47">
        <v>40217</v>
      </c>
      <c r="G212" s="47">
        <v>27942</v>
      </c>
      <c r="H212" s="32" t="s">
        <v>1335</v>
      </c>
      <c r="I212" s="55" t="s">
        <v>1176</v>
      </c>
      <c r="J212" s="68"/>
      <c r="K212" s="68"/>
      <c r="L212" s="54"/>
      <c r="M212" s="70"/>
      <c r="N212" s="56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4"/>
    </row>
    <row r="213" spans="1:25">
      <c r="A213" s="43">
        <v>8451</v>
      </c>
      <c r="B213" s="32" t="s">
        <v>762</v>
      </c>
      <c r="C213" s="35"/>
      <c r="D213" s="32" t="s">
        <v>994</v>
      </c>
      <c r="E213" s="32" t="s">
        <v>1146</v>
      </c>
      <c r="F213" s="47">
        <v>40238</v>
      </c>
      <c r="G213" s="47">
        <v>29732</v>
      </c>
      <c r="H213" s="32" t="s">
        <v>1336</v>
      </c>
      <c r="I213" s="55" t="s">
        <v>1258</v>
      </c>
      <c r="J213" s="68"/>
      <c r="K213" s="68"/>
      <c r="L213" s="54"/>
      <c r="M213" s="70"/>
      <c r="N213" s="56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4"/>
    </row>
    <row r="214" spans="1:25">
      <c r="A214" s="43">
        <v>8456</v>
      </c>
      <c r="B214" s="32" t="s">
        <v>763</v>
      </c>
      <c r="C214" s="32" t="s">
        <v>764</v>
      </c>
      <c r="D214" s="32" t="s">
        <v>994</v>
      </c>
      <c r="E214" s="32" t="s">
        <v>1174</v>
      </c>
      <c r="F214" s="47">
        <v>40273</v>
      </c>
      <c r="G214" s="47">
        <v>22900</v>
      </c>
      <c r="H214" s="32" t="s">
        <v>1337</v>
      </c>
      <c r="I214" s="55" t="s">
        <v>1182</v>
      </c>
      <c r="J214" s="68"/>
      <c r="K214" s="68"/>
      <c r="L214" s="54"/>
      <c r="M214" s="70"/>
      <c r="N214" s="56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4"/>
    </row>
    <row r="215" spans="1:25">
      <c r="A215" s="43">
        <v>8457</v>
      </c>
      <c r="B215" s="32" t="s">
        <v>765</v>
      </c>
      <c r="C215" s="32" t="s">
        <v>534</v>
      </c>
      <c r="D215" s="32" t="s">
        <v>994</v>
      </c>
      <c r="E215" s="32" t="s">
        <v>1081</v>
      </c>
      <c r="F215" s="47">
        <v>40282</v>
      </c>
      <c r="G215" s="47">
        <v>29869</v>
      </c>
      <c r="H215" s="32" t="s">
        <v>1338</v>
      </c>
      <c r="I215" s="55" t="s">
        <v>1085</v>
      </c>
      <c r="J215" s="68"/>
      <c r="K215" s="68"/>
      <c r="L215" s="54"/>
      <c r="M215" s="70"/>
      <c r="N215" s="56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4"/>
    </row>
    <row r="216" spans="1:25">
      <c r="A216" s="43">
        <v>8459</v>
      </c>
      <c r="B216" s="32" t="s">
        <v>766</v>
      </c>
      <c r="C216" s="32" t="s">
        <v>534</v>
      </c>
      <c r="D216" s="32" t="s">
        <v>994</v>
      </c>
      <c r="E216" s="32" t="s">
        <v>1081</v>
      </c>
      <c r="F216" s="47">
        <v>40287</v>
      </c>
      <c r="G216" s="47">
        <v>22468</v>
      </c>
      <c r="H216" s="32" t="s">
        <v>1339</v>
      </c>
      <c r="I216" s="55" t="s">
        <v>1113</v>
      </c>
      <c r="J216" s="68" t="s">
        <v>482</v>
      </c>
      <c r="K216" s="68"/>
      <c r="L216" s="54"/>
      <c r="M216" s="70"/>
      <c r="N216" s="56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4"/>
    </row>
    <row r="217" spans="1:25">
      <c r="A217" s="43">
        <v>8463</v>
      </c>
      <c r="B217" s="32" t="s">
        <v>767</v>
      </c>
      <c r="C217" s="32" t="s">
        <v>541</v>
      </c>
      <c r="D217" s="32" t="s">
        <v>994</v>
      </c>
      <c r="E217" s="32" t="s">
        <v>1081</v>
      </c>
      <c r="F217" s="47">
        <v>40302</v>
      </c>
      <c r="G217" s="47">
        <v>27038</v>
      </c>
      <c r="H217" s="32" t="s">
        <v>1340</v>
      </c>
      <c r="I217" s="55" t="s">
        <v>1091</v>
      </c>
      <c r="J217" s="68"/>
      <c r="K217" s="68"/>
      <c r="L217" s="54"/>
      <c r="M217" s="70"/>
      <c r="N217" s="56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4"/>
    </row>
    <row r="218" spans="1:25">
      <c r="A218" s="43">
        <v>8465</v>
      </c>
      <c r="B218" s="32" t="s">
        <v>768</v>
      </c>
      <c r="C218" s="32" t="s">
        <v>541</v>
      </c>
      <c r="D218" s="32" t="s">
        <v>994</v>
      </c>
      <c r="E218" s="32" t="s">
        <v>1081</v>
      </c>
      <c r="F218" s="47">
        <v>40330</v>
      </c>
      <c r="G218" s="47">
        <v>25841</v>
      </c>
      <c r="H218" s="32" t="s">
        <v>1341</v>
      </c>
      <c r="I218" s="55" t="s">
        <v>1091</v>
      </c>
      <c r="J218" s="68"/>
      <c r="K218" s="68"/>
      <c r="L218" s="54"/>
      <c r="M218" s="70"/>
      <c r="N218" s="56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4"/>
    </row>
    <row r="219" spans="1:25">
      <c r="A219" s="43">
        <v>8466</v>
      </c>
      <c r="B219" s="32" t="s">
        <v>769</v>
      </c>
      <c r="C219" s="32" t="s">
        <v>534</v>
      </c>
      <c r="D219" s="32" t="s">
        <v>994</v>
      </c>
      <c r="E219" s="32" t="s">
        <v>1081</v>
      </c>
      <c r="F219" s="47">
        <v>40330</v>
      </c>
      <c r="G219" s="47">
        <v>25791</v>
      </c>
      <c r="H219" s="32" t="s">
        <v>1342</v>
      </c>
      <c r="I219" s="55" t="s">
        <v>1099</v>
      </c>
      <c r="J219" s="68"/>
      <c r="K219" s="68"/>
      <c r="L219" s="54"/>
      <c r="M219" s="70"/>
      <c r="N219" s="56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4"/>
    </row>
    <row r="220" spans="1:25">
      <c r="A220" s="43">
        <v>8468</v>
      </c>
      <c r="B220" s="32" t="s">
        <v>770</v>
      </c>
      <c r="C220" s="32" t="s">
        <v>718</v>
      </c>
      <c r="D220" s="32" t="s">
        <v>996</v>
      </c>
      <c r="E220" s="32" t="s">
        <v>1150</v>
      </c>
      <c r="F220" s="47">
        <v>40351</v>
      </c>
      <c r="G220" s="47">
        <v>28171</v>
      </c>
      <c r="H220" s="32" t="s">
        <v>1343</v>
      </c>
      <c r="I220" s="55" t="s">
        <v>1113</v>
      </c>
      <c r="J220" s="68"/>
      <c r="K220" s="68"/>
      <c r="L220" s="54"/>
      <c r="M220" s="70"/>
      <c r="N220" s="56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4"/>
    </row>
    <row r="221" spans="1:25">
      <c r="A221" s="43">
        <v>8471</v>
      </c>
      <c r="B221" s="32" t="s">
        <v>771</v>
      </c>
      <c r="C221" s="32" t="s">
        <v>541</v>
      </c>
      <c r="D221" s="32" t="s">
        <v>994</v>
      </c>
      <c r="E221" s="32" t="s">
        <v>1081</v>
      </c>
      <c r="F221" s="47">
        <v>40351</v>
      </c>
      <c r="G221" s="47">
        <v>27899</v>
      </c>
      <c r="H221" s="32" t="s">
        <v>1344</v>
      </c>
      <c r="I221" s="55" t="s">
        <v>1113</v>
      </c>
      <c r="J221" s="68"/>
      <c r="K221" s="68"/>
      <c r="L221" s="54"/>
      <c r="M221" s="70"/>
      <c r="N221" s="56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4"/>
    </row>
    <row r="222" spans="1:25">
      <c r="A222" s="43">
        <v>8472</v>
      </c>
      <c r="B222" s="32" t="s">
        <v>772</v>
      </c>
      <c r="C222" s="32" t="s">
        <v>541</v>
      </c>
      <c r="D222" s="32" t="s">
        <v>994</v>
      </c>
      <c r="E222" s="32" t="s">
        <v>1081</v>
      </c>
      <c r="F222" s="47">
        <v>40351</v>
      </c>
      <c r="G222" s="47">
        <v>27287</v>
      </c>
      <c r="H222" s="32" t="s">
        <v>1345</v>
      </c>
      <c r="I222" s="55" t="s">
        <v>1115</v>
      </c>
      <c r="J222" s="68"/>
      <c r="K222" s="68"/>
      <c r="L222" s="54"/>
      <c r="M222" s="70"/>
      <c r="N222" s="56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4"/>
    </row>
    <row r="223" spans="1:25">
      <c r="A223" s="43">
        <v>8475</v>
      </c>
      <c r="B223" s="32" t="s">
        <v>773</v>
      </c>
      <c r="C223" s="32" t="s">
        <v>530</v>
      </c>
      <c r="D223" s="32" t="s">
        <v>994</v>
      </c>
      <c r="E223" s="32" t="s">
        <v>1078</v>
      </c>
      <c r="F223" s="47">
        <v>40371</v>
      </c>
      <c r="G223" s="47">
        <v>28228</v>
      </c>
      <c r="H223" s="32" t="s">
        <v>1346</v>
      </c>
      <c r="I223" s="55" t="s">
        <v>1131</v>
      </c>
      <c r="J223" s="68"/>
      <c r="K223" s="68"/>
      <c r="L223" s="54"/>
      <c r="M223" s="70"/>
      <c r="N223" s="56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4"/>
    </row>
    <row r="224" spans="1:25">
      <c r="A224" s="43">
        <v>8479</v>
      </c>
      <c r="B224" s="32" t="s">
        <v>774</v>
      </c>
      <c r="C224" s="32" t="s">
        <v>577</v>
      </c>
      <c r="D224" s="32" t="s">
        <v>996</v>
      </c>
      <c r="E224" s="35"/>
      <c r="F224" s="47">
        <v>40392</v>
      </c>
      <c r="G224" s="47">
        <v>31539</v>
      </c>
      <c r="H224" s="32" t="s">
        <v>1347</v>
      </c>
      <c r="I224" s="55" t="s">
        <v>1099</v>
      </c>
      <c r="J224" s="68"/>
      <c r="K224" s="68"/>
      <c r="L224" s="54"/>
      <c r="M224" s="70"/>
      <c r="N224" s="56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4"/>
    </row>
    <row r="225" spans="1:25">
      <c r="A225" s="43">
        <v>8490</v>
      </c>
      <c r="B225" s="32" t="s">
        <v>775</v>
      </c>
      <c r="C225" s="35"/>
      <c r="D225" s="32" t="s">
        <v>1103</v>
      </c>
      <c r="E225" s="32" t="s">
        <v>1218</v>
      </c>
      <c r="F225" s="47">
        <v>40511</v>
      </c>
      <c r="G225" s="47">
        <v>29183</v>
      </c>
      <c r="H225" s="32" t="s">
        <v>1348</v>
      </c>
      <c r="I225" s="55" t="s">
        <v>1145</v>
      </c>
      <c r="J225" s="68"/>
      <c r="K225" s="68"/>
      <c r="L225" s="54"/>
      <c r="M225" s="70"/>
      <c r="N225" s="56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4"/>
    </row>
    <row r="226" spans="1:25">
      <c r="A226" s="43">
        <v>8493</v>
      </c>
      <c r="B226" s="32" t="s">
        <v>776</v>
      </c>
      <c r="C226" s="32" t="s">
        <v>777</v>
      </c>
      <c r="D226" s="32" t="s">
        <v>996</v>
      </c>
      <c r="E226" s="32" t="s">
        <v>1150</v>
      </c>
      <c r="F226" s="47">
        <v>40547</v>
      </c>
      <c r="G226" s="47">
        <v>33708</v>
      </c>
      <c r="H226" s="32" t="s">
        <v>1349</v>
      </c>
      <c r="I226" s="55" t="s">
        <v>1350</v>
      </c>
      <c r="J226" s="68"/>
      <c r="K226" s="68"/>
      <c r="L226" s="54"/>
      <c r="M226" s="70"/>
      <c r="N226" s="56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4"/>
    </row>
    <row r="227" spans="1:25">
      <c r="A227" s="43">
        <v>8497</v>
      </c>
      <c r="B227" s="32" t="s">
        <v>778</v>
      </c>
      <c r="C227" s="32" t="s">
        <v>541</v>
      </c>
      <c r="D227" s="32" t="s">
        <v>994</v>
      </c>
      <c r="E227" s="32" t="s">
        <v>1081</v>
      </c>
      <c r="F227" s="47">
        <v>40567</v>
      </c>
      <c r="G227" s="47">
        <v>30217</v>
      </c>
      <c r="H227" s="32" t="s">
        <v>1351</v>
      </c>
      <c r="I227" s="55" t="s">
        <v>1117</v>
      </c>
      <c r="J227" s="68"/>
      <c r="K227" s="68"/>
      <c r="L227" s="54"/>
      <c r="M227" s="70"/>
      <c r="N227" s="56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4"/>
    </row>
    <row r="228" spans="1:25">
      <c r="A228" s="43">
        <v>8498</v>
      </c>
      <c r="B228" s="32" t="s">
        <v>779</v>
      </c>
      <c r="C228" s="32" t="s">
        <v>554</v>
      </c>
      <c r="D228" s="32" t="s">
        <v>994</v>
      </c>
      <c r="E228" s="32" t="s">
        <v>1081</v>
      </c>
      <c r="F228" s="47">
        <v>40567</v>
      </c>
      <c r="G228" s="47">
        <v>30287</v>
      </c>
      <c r="H228" s="32" t="s">
        <v>1352</v>
      </c>
      <c r="I228" s="55" t="s">
        <v>1099</v>
      </c>
      <c r="J228" s="68"/>
      <c r="K228" s="68"/>
      <c r="L228" s="54"/>
      <c r="M228" s="70"/>
      <c r="N228" s="56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4"/>
    </row>
    <row r="229" spans="1:25">
      <c r="A229" s="43">
        <v>8502</v>
      </c>
      <c r="B229" s="32" t="s">
        <v>780</v>
      </c>
      <c r="C229" s="32" t="s">
        <v>781</v>
      </c>
      <c r="D229" s="32" t="s">
        <v>1103</v>
      </c>
      <c r="E229" s="32" t="s">
        <v>1218</v>
      </c>
      <c r="F229" s="47">
        <v>40595</v>
      </c>
      <c r="G229" s="47">
        <v>26250</v>
      </c>
      <c r="H229" s="32" t="s">
        <v>1353</v>
      </c>
      <c r="I229" s="55" t="s">
        <v>1110</v>
      </c>
      <c r="J229" s="68"/>
      <c r="K229" s="68"/>
      <c r="L229" s="54"/>
      <c r="M229" s="70"/>
      <c r="N229" s="56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4"/>
    </row>
    <row r="230" spans="1:25">
      <c r="A230" s="43">
        <v>8513</v>
      </c>
      <c r="B230" s="32" t="s">
        <v>782</v>
      </c>
      <c r="C230" s="35"/>
      <c r="D230" s="32" t="s">
        <v>994</v>
      </c>
      <c r="E230" s="32" t="s">
        <v>1081</v>
      </c>
      <c r="F230" s="47">
        <v>40644</v>
      </c>
      <c r="G230" s="47">
        <v>32872</v>
      </c>
      <c r="H230" s="32" t="s">
        <v>1354</v>
      </c>
      <c r="I230" s="55" t="s">
        <v>1131</v>
      </c>
      <c r="J230" s="68"/>
      <c r="K230" s="68"/>
      <c r="L230" s="54"/>
      <c r="M230" s="70"/>
      <c r="N230" s="56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4"/>
    </row>
    <row r="231" spans="1:25">
      <c r="A231" s="43">
        <v>8525</v>
      </c>
      <c r="B231" s="32" t="s">
        <v>783</v>
      </c>
      <c r="C231" s="35"/>
      <c r="D231" s="32" t="s">
        <v>1103</v>
      </c>
      <c r="E231" s="32" t="s">
        <v>1104</v>
      </c>
      <c r="F231" s="47">
        <v>40848</v>
      </c>
      <c r="G231" s="47">
        <v>25781</v>
      </c>
      <c r="H231" s="32" t="s">
        <v>1355</v>
      </c>
      <c r="I231" s="55" t="s">
        <v>1350</v>
      </c>
      <c r="J231" s="68"/>
      <c r="K231" s="68"/>
      <c r="L231" s="54"/>
      <c r="M231" s="70"/>
      <c r="N231" s="56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4"/>
    </row>
    <row r="232" spans="1:25">
      <c r="A232" s="43">
        <v>8526</v>
      </c>
      <c r="B232" s="32" t="s">
        <v>784</v>
      </c>
      <c r="C232" s="32" t="s">
        <v>589</v>
      </c>
      <c r="D232" s="32" t="s">
        <v>996</v>
      </c>
      <c r="E232" s="32" t="s">
        <v>1150</v>
      </c>
      <c r="F232" s="47">
        <v>40848</v>
      </c>
      <c r="G232" s="47">
        <v>23339</v>
      </c>
      <c r="H232" s="32" t="s">
        <v>1356</v>
      </c>
      <c r="I232" s="55" t="s">
        <v>1080</v>
      </c>
      <c r="J232" s="68"/>
      <c r="K232" s="68"/>
      <c r="L232" s="54"/>
      <c r="M232" s="70"/>
      <c r="N232" s="56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4"/>
    </row>
    <row r="233" spans="1:25">
      <c r="A233" s="43">
        <v>8531</v>
      </c>
      <c r="B233" s="32" t="s">
        <v>785</v>
      </c>
      <c r="C233" s="32" t="s">
        <v>532</v>
      </c>
      <c r="D233" s="32" t="s">
        <v>994</v>
      </c>
      <c r="E233" s="32" t="s">
        <v>1081</v>
      </c>
      <c r="F233" s="47">
        <v>40917</v>
      </c>
      <c r="G233" s="47">
        <v>27965</v>
      </c>
      <c r="H233" s="32" t="s">
        <v>1357</v>
      </c>
      <c r="I233" s="55" t="s">
        <v>1358</v>
      </c>
      <c r="J233" s="68"/>
      <c r="K233" s="68"/>
      <c r="L233" s="54"/>
      <c r="M233" s="70"/>
      <c r="N233" s="56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4"/>
    </row>
    <row r="234" spans="1:25">
      <c r="A234" s="43">
        <v>8534</v>
      </c>
      <c r="B234" s="32" t="s">
        <v>786</v>
      </c>
      <c r="C234" s="32" t="s">
        <v>536</v>
      </c>
      <c r="D234" s="32" t="s">
        <v>994</v>
      </c>
      <c r="E234" s="32" t="s">
        <v>1081</v>
      </c>
      <c r="F234" s="47">
        <v>40415</v>
      </c>
      <c r="G234" s="47">
        <v>28329</v>
      </c>
      <c r="H234" s="32" t="s">
        <v>1359</v>
      </c>
      <c r="I234" s="55" t="s">
        <v>1113</v>
      </c>
      <c r="J234" s="68"/>
      <c r="K234" s="68"/>
      <c r="L234" s="54"/>
      <c r="M234" s="70"/>
      <c r="N234" s="56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4"/>
    </row>
    <row r="235" spans="1:25">
      <c r="A235" s="43">
        <v>8536</v>
      </c>
      <c r="B235" s="32" t="s">
        <v>787</v>
      </c>
      <c r="C235" s="32" t="s">
        <v>532</v>
      </c>
      <c r="D235" s="32" t="s">
        <v>994</v>
      </c>
      <c r="E235" s="32" t="s">
        <v>1081</v>
      </c>
      <c r="F235" s="47">
        <v>37806</v>
      </c>
      <c r="G235" s="47">
        <v>29460</v>
      </c>
      <c r="H235" s="32" t="s">
        <v>1360</v>
      </c>
      <c r="I235" s="55" t="s">
        <v>1115</v>
      </c>
      <c r="J235" s="68"/>
      <c r="K235" s="68"/>
      <c r="L235" s="54"/>
      <c r="M235" s="70"/>
      <c r="N235" s="56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4"/>
    </row>
    <row r="236" spans="1:25">
      <c r="A236" s="43">
        <v>8537</v>
      </c>
      <c r="B236" s="32" t="s">
        <v>788</v>
      </c>
      <c r="C236" s="32" t="s">
        <v>536</v>
      </c>
      <c r="D236" s="32" t="s">
        <v>994</v>
      </c>
      <c r="E236" s="32" t="s">
        <v>1081</v>
      </c>
      <c r="F236" s="47">
        <v>39125</v>
      </c>
      <c r="G236" s="47">
        <v>23760</v>
      </c>
      <c r="H236" s="32" t="s">
        <v>1361</v>
      </c>
      <c r="I236" s="55" t="s">
        <v>1113</v>
      </c>
      <c r="J236" s="68"/>
      <c r="K236" s="68"/>
      <c r="L236" s="54"/>
      <c r="M236" s="70"/>
      <c r="N236" s="56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4"/>
    </row>
    <row r="237" spans="1:25">
      <c r="A237" s="43">
        <v>8540</v>
      </c>
      <c r="B237" s="32" t="s">
        <v>789</v>
      </c>
      <c r="C237" s="32" t="s">
        <v>536</v>
      </c>
      <c r="D237" s="32" t="s">
        <v>994</v>
      </c>
      <c r="E237" s="32" t="s">
        <v>1081</v>
      </c>
      <c r="F237" s="47">
        <v>39394</v>
      </c>
      <c r="G237" s="47">
        <v>23495</v>
      </c>
      <c r="H237" s="32" t="s">
        <v>1362</v>
      </c>
      <c r="I237" s="55" t="s">
        <v>1115</v>
      </c>
      <c r="J237" s="68"/>
      <c r="K237" s="68"/>
      <c r="L237" s="54"/>
      <c r="M237" s="70"/>
      <c r="N237" s="56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4"/>
    </row>
    <row r="238" spans="1:25">
      <c r="A238" s="43">
        <v>8541</v>
      </c>
      <c r="B238" s="32" t="s">
        <v>790</v>
      </c>
      <c r="C238" s="32" t="s">
        <v>536</v>
      </c>
      <c r="D238" s="32" t="s">
        <v>994</v>
      </c>
      <c r="E238" s="32" t="s">
        <v>1081</v>
      </c>
      <c r="F238" s="47">
        <v>38426</v>
      </c>
      <c r="G238" s="47">
        <v>21708</v>
      </c>
      <c r="H238" s="32" t="s">
        <v>1363</v>
      </c>
      <c r="I238" s="55" t="s">
        <v>1115</v>
      </c>
      <c r="J238" s="68"/>
      <c r="K238" s="68"/>
      <c r="L238" s="54"/>
      <c r="M238" s="70"/>
      <c r="N238" s="56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4"/>
    </row>
    <row r="239" spans="1:25">
      <c r="A239" s="43">
        <v>8542</v>
      </c>
      <c r="B239" s="32" t="s">
        <v>791</v>
      </c>
      <c r="C239" s="32" t="s">
        <v>536</v>
      </c>
      <c r="D239" s="32" t="s">
        <v>994</v>
      </c>
      <c r="E239" s="32" t="s">
        <v>1081</v>
      </c>
      <c r="F239" s="47">
        <v>39098</v>
      </c>
      <c r="G239" s="47">
        <v>26291</v>
      </c>
      <c r="H239" s="32" t="s">
        <v>1364</v>
      </c>
      <c r="I239" s="55" t="s">
        <v>1115</v>
      </c>
      <c r="J239" s="68"/>
      <c r="K239" s="68"/>
      <c r="L239" s="54"/>
      <c r="M239" s="70"/>
      <c r="N239" s="56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4"/>
    </row>
    <row r="240" spans="1:25">
      <c r="A240" s="43">
        <v>8544</v>
      </c>
      <c r="B240" s="32" t="s">
        <v>792</v>
      </c>
      <c r="C240" s="32" t="s">
        <v>536</v>
      </c>
      <c r="D240" s="32" t="s">
        <v>994</v>
      </c>
      <c r="E240" s="32" t="s">
        <v>1081</v>
      </c>
      <c r="F240" s="47">
        <v>37592</v>
      </c>
      <c r="G240" s="47">
        <v>29194</v>
      </c>
      <c r="H240" s="32" t="s">
        <v>1365</v>
      </c>
      <c r="I240" s="55" t="s">
        <v>1083</v>
      </c>
      <c r="J240" s="68"/>
      <c r="K240" s="68"/>
      <c r="L240" s="54"/>
      <c r="M240" s="70"/>
      <c r="N240" s="56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4"/>
    </row>
    <row r="241" spans="1:25">
      <c r="A241" s="43">
        <v>8545</v>
      </c>
      <c r="B241" s="32" t="s">
        <v>793</v>
      </c>
      <c r="C241" s="32" t="s">
        <v>536</v>
      </c>
      <c r="D241" s="32" t="s">
        <v>994</v>
      </c>
      <c r="E241" s="32" t="s">
        <v>1081</v>
      </c>
      <c r="F241" s="47">
        <v>34731</v>
      </c>
      <c r="G241" s="47">
        <v>27245</v>
      </c>
      <c r="H241" s="32" t="s">
        <v>1366</v>
      </c>
      <c r="I241" s="55" t="s">
        <v>1115</v>
      </c>
      <c r="J241" s="68"/>
      <c r="K241" s="68"/>
      <c r="L241" s="54"/>
      <c r="M241" s="70"/>
      <c r="N241" s="56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4"/>
    </row>
    <row r="242" spans="1:25">
      <c r="A242" s="43">
        <v>8551</v>
      </c>
      <c r="B242" s="32" t="s">
        <v>794</v>
      </c>
      <c r="C242" s="32" t="s">
        <v>781</v>
      </c>
      <c r="D242" s="32" t="s">
        <v>1103</v>
      </c>
      <c r="E242" s="32" t="s">
        <v>1218</v>
      </c>
      <c r="F242" s="47">
        <v>40952</v>
      </c>
      <c r="G242" s="47">
        <v>30421</v>
      </c>
      <c r="H242" s="32" t="s">
        <v>1367</v>
      </c>
      <c r="I242" s="55" t="s">
        <v>1101</v>
      </c>
      <c r="J242" s="68"/>
      <c r="K242" s="68"/>
      <c r="L242" s="54"/>
      <c r="M242" s="70"/>
      <c r="N242" s="56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4"/>
    </row>
    <row r="243" spans="1:25">
      <c r="A243" s="43">
        <v>8556</v>
      </c>
      <c r="B243" s="32" t="s">
        <v>795</v>
      </c>
      <c r="C243" s="32" t="s">
        <v>530</v>
      </c>
      <c r="D243" s="32" t="s">
        <v>994</v>
      </c>
      <c r="E243" s="32" t="s">
        <v>1078</v>
      </c>
      <c r="F243" s="47">
        <v>40987</v>
      </c>
      <c r="G243" s="47">
        <v>32652</v>
      </c>
      <c r="H243" s="32" t="s">
        <v>1368</v>
      </c>
      <c r="I243" s="55" t="s">
        <v>1208</v>
      </c>
      <c r="J243" s="68"/>
      <c r="K243" s="68"/>
      <c r="L243" s="54"/>
      <c r="M243" s="70"/>
      <c r="N243" s="56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4"/>
    </row>
    <row r="244" spans="1:25">
      <c r="A244" s="43">
        <v>8562</v>
      </c>
      <c r="B244" s="32" t="s">
        <v>796</v>
      </c>
      <c r="C244" s="32" t="s">
        <v>556</v>
      </c>
      <c r="D244" s="32" t="s">
        <v>994</v>
      </c>
      <c r="E244" s="32" t="s">
        <v>1081</v>
      </c>
      <c r="F244" s="47">
        <v>41092</v>
      </c>
      <c r="G244" s="47">
        <v>32524</v>
      </c>
      <c r="H244" s="32" t="s">
        <v>1369</v>
      </c>
      <c r="I244" s="55" t="s">
        <v>1085</v>
      </c>
      <c r="J244" s="68"/>
      <c r="K244" s="68"/>
      <c r="L244" s="54"/>
      <c r="M244" s="70"/>
      <c r="N244" s="56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4"/>
    </row>
    <row r="245" spans="1:25">
      <c r="A245" s="43">
        <v>8568</v>
      </c>
      <c r="B245" s="32" t="s">
        <v>797</v>
      </c>
      <c r="C245" s="32" t="s">
        <v>534</v>
      </c>
      <c r="D245" s="32" t="s">
        <v>994</v>
      </c>
      <c r="E245" s="32" t="s">
        <v>1081</v>
      </c>
      <c r="F245" s="47">
        <v>41122</v>
      </c>
      <c r="G245" s="47">
        <v>33611</v>
      </c>
      <c r="H245" s="32" t="s">
        <v>1370</v>
      </c>
      <c r="I245" s="55" t="s">
        <v>1117</v>
      </c>
      <c r="J245" s="68"/>
      <c r="K245" s="68"/>
      <c r="L245" s="54"/>
      <c r="M245" s="70"/>
      <c r="N245" s="56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4"/>
    </row>
    <row r="246" spans="1:25">
      <c r="A246" s="43">
        <v>8571</v>
      </c>
      <c r="B246" s="32" t="s">
        <v>798</v>
      </c>
      <c r="C246" s="32" t="s">
        <v>554</v>
      </c>
      <c r="D246" s="32" t="s">
        <v>994</v>
      </c>
      <c r="E246" s="32" t="s">
        <v>1081</v>
      </c>
      <c r="F246" s="47">
        <v>41124</v>
      </c>
      <c r="G246" s="47">
        <v>28253</v>
      </c>
      <c r="H246" s="32" t="s">
        <v>1371</v>
      </c>
      <c r="I246" s="55" t="s">
        <v>1113</v>
      </c>
      <c r="J246" s="68"/>
      <c r="K246" s="68"/>
      <c r="L246" s="54"/>
      <c r="M246" s="70"/>
      <c r="N246" s="56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4"/>
    </row>
    <row r="247" spans="1:25">
      <c r="A247" s="43">
        <v>8573</v>
      </c>
      <c r="B247" s="32" t="s">
        <v>799</v>
      </c>
      <c r="C247" s="32" t="s">
        <v>554</v>
      </c>
      <c r="D247" s="32" t="s">
        <v>994</v>
      </c>
      <c r="E247" s="32" t="s">
        <v>1081</v>
      </c>
      <c r="F247" s="47">
        <v>41127</v>
      </c>
      <c r="G247" s="47">
        <v>32763</v>
      </c>
      <c r="H247" s="32" t="s">
        <v>1372</v>
      </c>
      <c r="I247" s="55" t="s">
        <v>1099</v>
      </c>
      <c r="J247" s="68"/>
      <c r="K247" s="68"/>
      <c r="L247" s="54"/>
      <c r="M247" s="70"/>
      <c r="N247" s="56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4"/>
    </row>
    <row r="248" spans="1:25">
      <c r="A248" s="43">
        <v>8576</v>
      </c>
      <c r="B248" s="32" t="s">
        <v>800</v>
      </c>
      <c r="C248" s="32" t="s">
        <v>577</v>
      </c>
      <c r="D248" s="32" t="s">
        <v>996</v>
      </c>
      <c r="E248" s="35"/>
      <c r="F248" s="47">
        <v>41128</v>
      </c>
      <c r="G248" s="47">
        <v>27259</v>
      </c>
      <c r="H248" s="32" t="s">
        <v>1373</v>
      </c>
      <c r="I248" s="55" t="s">
        <v>1113</v>
      </c>
      <c r="J248" s="68"/>
      <c r="K248" s="68"/>
      <c r="L248" s="54"/>
      <c r="M248" s="70"/>
      <c r="N248" s="56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4"/>
    </row>
    <row r="249" spans="1:25">
      <c r="A249" s="43">
        <v>8577</v>
      </c>
      <c r="B249" s="32" t="s">
        <v>801</v>
      </c>
      <c r="C249" s="32" t="s">
        <v>570</v>
      </c>
      <c r="D249" s="32" t="s">
        <v>996</v>
      </c>
      <c r="E249" s="35"/>
      <c r="F249" s="47">
        <v>41135</v>
      </c>
      <c r="G249" s="47">
        <v>33469</v>
      </c>
      <c r="H249" s="32" t="s">
        <v>1374</v>
      </c>
      <c r="I249" s="55" t="s">
        <v>1266</v>
      </c>
      <c r="J249" s="68"/>
      <c r="K249" s="68"/>
      <c r="L249" s="54"/>
      <c r="M249" s="70"/>
      <c r="N249" s="56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4"/>
    </row>
    <row r="250" spans="1:25">
      <c r="A250" s="43">
        <v>8578</v>
      </c>
      <c r="B250" s="32" t="s">
        <v>802</v>
      </c>
      <c r="C250" s="32" t="s">
        <v>554</v>
      </c>
      <c r="D250" s="32" t="s">
        <v>994</v>
      </c>
      <c r="E250" s="32" t="s">
        <v>1081</v>
      </c>
      <c r="F250" s="47">
        <v>41142</v>
      </c>
      <c r="G250" s="47">
        <v>32897</v>
      </c>
      <c r="H250" s="32" t="s">
        <v>1375</v>
      </c>
      <c r="I250" s="55" t="s">
        <v>1115</v>
      </c>
      <c r="J250" s="68"/>
      <c r="K250" s="68"/>
      <c r="L250" s="54"/>
      <c r="M250" s="70"/>
      <c r="N250" s="56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4"/>
    </row>
    <row r="251" spans="1:25">
      <c r="A251" s="43">
        <v>8581</v>
      </c>
      <c r="B251" s="32" t="s">
        <v>803</v>
      </c>
      <c r="C251" s="32" t="s">
        <v>654</v>
      </c>
      <c r="D251" s="32" t="s">
        <v>994</v>
      </c>
      <c r="E251" s="32" t="s">
        <v>1081</v>
      </c>
      <c r="F251" s="47">
        <v>41148</v>
      </c>
      <c r="G251" s="47">
        <v>25921</v>
      </c>
      <c r="H251" s="32" t="s">
        <v>1376</v>
      </c>
      <c r="I251" s="55" t="s">
        <v>1115</v>
      </c>
      <c r="J251" s="68"/>
      <c r="K251" s="68"/>
      <c r="L251" s="54"/>
      <c r="M251" s="70"/>
      <c r="N251" s="56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4"/>
    </row>
    <row r="252" spans="1:25">
      <c r="A252" s="43">
        <v>8582</v>
      </c>
      <c r="B252" s="32" t="s">
        <v>804</v>
      </c>
      <c r="C252" s="32" t="s">
        <v>654</v>
      </c>
      <c r="D252" s="32" t="s">
        <v>994</v>
      </c>
      <c r="E252" s="32" t="s">
        <v>1081</v>
      </c>
      <c r="F252" s="47">
        <v>41148</v>
      </c>
      <c r="G252" s="47">
        <v>22897</v>
      </c>
      <c r="H252" s="32" t="s">
        <v>1377</v>
      </c>
      <c r="I252" s="55" t="s">
        <v>1113</v>
      </c>
      <c r="J252" s="68"/>
      <c r="K252" s="68"/>
      <c r="L252" s="54"/>
      <c r="M252" s="70"/>
      <c r="N252" s="56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4"/>
    </row>
    <row r="253" spans="1:25">
      <c r="A253" s="43">
        <v>8583</v>
      </c>
      <c r="B253" s="32" t="s">
        <v>805</v>
      </c>
      <c r="C253" s="32" t="s">
        <v>577</v>
      </c>
      <c r="D253" s="32" t="s">
        <v>996</v>
      </c>
      <c r="E253" s="35"/>
      <c r="F253" s="47">
        <v>41148</v>
      </c>
      <c r="G253" s="47">
        <v>27857</v>
      </c>
      <c r="H253" s="32" t="s">
        <v>1378</v>
      </c>
      <c r="I253" s="55" t="s">
        <v>1099</v>
      </c>
      <c r="J253" s="68"/>
      <c r="K253" s="68"/>
      <c r="L253" s="54"/>
      <c r="M253" s="70"/>
      <c r="N253" s="56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4"/>
    </row>
    <row r="254" spans="1:25">
      <c r="A254" s="43">
        <v>8585</v>
      </c>
      <c r="B254" s="32" t="s">
        <v>806</v>
      </c>
      <c r="C254" s="32" t="s">
        <v>554</v>
      </c>
      <c r="D254" s="32" t="s">
        <v>994</v>
      </c>
      <c r="E254" s="32" t="s">
        <v>1081</v>
      </c>
      <c r="F254" s="47">
        <v>41156</v>
      </c>
      <c r="G254" s="47">
        <v>30188</v>
      </c>
      <c r="H254" s="32" t="s">
        <v>1379</v>
      </c>
      <c r="I254" s="55" t="s">
        <v>1115</v>
      </c>
      <c r="J254" s="68"/>
      <c r="K254" s="68"/>
      <c r="L254" s="54"/>
      <c r="M254" s="70"/>
      <c r="N254" s="56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4"/>
    </row>
    <row r="255" spans="1:25">
      <c r="A255" s="43">
        <v>8587</v>
      </c>
      <c r="B255" s="32" t="s">
        <v>807</v>
      </c>
      <c r="C255" s="32" t="s">
        <v>541</v>
      </c>
      <c r="D255" s="32" t="s">
        <v>994</v>
      </c>
      <c r="E255" s="32" t="s">
        <v>1081</v>
      </c>
      <c r="F255" s="47">
        <v>41185</v>
      </c>
      <c r="G255" s="47">
        <v>28617</v>
      </c>
      <c r="H255" s="32" t="s">
        <v>1380</v>
      </c>
      <c r="I255" s="55" t="s">
        <v>1115</v>
      </c>
      <c r="J255" s="68"/>
      <c r="K255" s="68"/>
      <c r="L255" s="54"/>
      <c r="M255" s="70"/>
      <c r="N255" s="56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4"/>
    </row>
    <row r="256" spans="1:25">
      <c r="A256" s="43">
        <v>8588</v>
      </c>
      <c r="B256" s="32" t="s">
        <v>808</v>
      </c>
      <c r="C256" s="32" t="s">
        <v>536</v>
      </c>
      <c r="D256" s="32" t="s">
        <v>994</v>
      </c>
      <c r="E256" s="32" t="s">
        <v>1081</v>
      </c>
      <c r="F256" s="47">
        <v>41191</v>
      </c>
      <c r="G256" s="47">
        <v>33557</v>
      </c>
      <c r="H256" s="32" t="s">
        <v>1381</v>
      </c>
      <c r="I256" s="55" t="s">
        <v>1115</v>
      </c>
      <c r="J256" s="68"/>
      <c r="K256" s="68"/>
      <c r="L256" s="54"/>
      <c r="M256" s="70"/>
      <c r="N256" s="56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4"/>
    </row>
    <row r="257" spans="1:25">
      <c r="A257" s="43">
        <v>8589</v>
      </c>
      <c r="B257" s="32" t="s">
        <v>809</v>
      </c>
      <c r="C257" s="35"/>
      <c r="D257" s="32" t="s">
        <v>994</v>
      </c>
      <c r="E257" s="32" t="s">
        <v>1146</v>
      </c>
      <c r="F257" s="47">
        <v>41191</v>
      </c>
      <c r="G257" s="47">
        <v>31052</v>
      </c>
      <c r="H257" s="32" t="s">
        <v>1382</v>
      </c>
      <c r="I257" s="55" t="s">
        <v>1258</v>
      </c>
      <c r="J257" s="68"/>
      <c r="K257" s="68"/>
      <c r="L257" s="54"/>
      <c r="M257" s="70"/>
      <c r="N257" s="56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4"/>
    </row>
    <row r="258" spans="1:25">
      <c r="A258" s="43">
        <v>8591</v>
      </c>
      <c r="B258" s="32" t="s">
        <v>810</v>
      </c>
      <c r="C258" s="32" t="s">
        <v>541</v>
      </c>
      <c r="D258" s="32" t="s">
        <v>994</v>
      </c>
      <c r="E258" s="32" t="s">
        <v>1081</v>
      </c>
      <c r="F258" s="47">
        <v>41197</v>
      </c>
      <c r="G258" s="47">
        <v>29358</v>
      </c>
      <c r="H258" s="32" t="s">
        <v>1383</v>
      </c>
      <c r="I258" s="55" t="s">
        <v>1117</v>
      </c>
      <c r="J258" s="68"/>
      <c r="K258" s="68"/>
      <c r="L258" s="54"/>
      <c r="M258" s="70"/>
      <c r="N258" s="56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4"/>
    </row>
    <row r="259" spans="1:25">
      <c r="A259" s="43">
        <v>8594</v>
      </c>
      <c r="B259" s="32" t="s">
        <v>811</v>
      </c>
      <c r="C259" s="32" t="s">
        <v>554</v>
      </c>
      <c r="D259" s="32" t="s">
        <v>994</v>
      </c>
      <c r="E259" s="32" t="s">
        <v>1081</v>
      </c>
      <c r="F259" s="47">
        <v>41253</v>
      </c>
      <c r="G259" s="47">
        <v>31446</v>
      </c>
      <c r="H259" s="32" t="s">
        <v>1384</v>
      </c>
      <c r="I259" s="55" t="s">
        <v>1099</v>
      </c>
      <c r="J259" s="68"/>
      <c r="K259" s="68"/>
      <c r="L259" s="54"/>
      <c r="M259" s="70"/>
      <c r="N259" s="56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4"/>
    </row>
    <row r="260" spans="1:25">
      <c r="A260" s="43">
        <v>8597</v>
      </c>
      <c r="B260" s="32" t="s">
        <v>812</v>
      </c>
      <c r="C260" s="32" t="s">
        <v>536</v>
      </c>
      <c r="D260" s="32" t="s">
        <v>994</v>
      </c>
      <c r="E260" s="32" t="s">
        <v>1081</v>
      </c>
      <c r="F260" s="47">
        <v>41254</v>
      </c>
      <c r="G260" s="47">
        <v>30558</v>
      </c>
      <c r="H260" s="32" t="s">
        <v>1385</v>
      </c>
      <c r="I260" s="55" t="s">
        <v>1091</v>
      </c>
      <c r="J260" s="68"/>
      <c r="K260" s="68"/>
      <c r="L260" s="54"/>
      <c r="M260" s="70"/>
      <c r="N260" s="56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4"/>
    </row>
    <row r="261" spans="1:25">
      <c r="A261" s="43">
        <v>8601</v>
      </c>
      <c r="B261" s="32" t="s">
        <v>813</v>
      </c>
      <c r="C261" s="32" t="s">
        <v>534</v>
      </c>
      <c r="D261" s="32" t="s">
        <v>994</v>
      </c>
      <c r="E261" s="32" t="s">
        <v>1081</v>
      </c>
      <c r="F261" s="47">
        <v>41281</v>
      </c>
      <c r="G261" s="47">
        <v>32905</v>
      </c>
      <c r="H261" s="32" t="s">
        <v>1386</v>
      </c>
      <c r="I261" s="55" t="s">
        <v>1117</v>
      </c>
      <c r="J261" s="68"/>
      <c r="K261" s="68"/>
      <c r="L261" s="54"/>
      <c r="M261" s="70"/>
      <c r="N261" s="56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4"/>
    </row>
    <row r="262" spans="1:25">
      <c r="A262" s="43">
        <v>8602</v>
      </c>
      <c r="B262" s="32" t="s">
        <v>814</v>
      </c>
      <c r="C262" s="32" t="s">
        <v>534</v>
      </c>
      <c r="D262" s="32" t="s">
        <v>994</v>
      </c>
      <c r="E262" s="32" t="s">
        <v>1081</v>
      </c>
      <c r="F262" s="47">
        <v>41281</v>
      </c>
      <c r="G262" s="47">
        <v>29598</v>
      </c>
      <c r="H262" s="32" t="s">
        <v>1387</v>
      </c>
      <c r="I262" s="55" t="s">
        <v>1117</v>
      </c>
      <c r="J262" s="68"/>
      <c r="K262" s="68"/>
      <c r="L262" s="54"/>
      <c r="M262" s="70"/>
      <c r="N262" s="56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4"/>
    </row>
    <row r="263" spans="1:25">
      <c r="A263" s="43">
        <v>8605</v>
      </c>
      <c r="B263" s="32" t="s">
        <v>815</v>
      </c>
      <c r="C263" s="32" t="s">
        <v>530</v>
      </c>
      <c r="D263" s="32" t="s">
        <v>994</v>
      </c>
      <c r="E263" s="32" t="s">
        <v>1078</v>
      </c>
      <c r="F263" s="47">
        <v>41306</v>
      </c>
      <c r="G263" s="47">
        <v>29627</v>
      </c>
      <c r="H263" s="32" t="s">
        <v>1388</v>
      </c>
      <c r="I263" s="55" t="s">
        <v>1142</v>
      </c>
      <c r="J263" s="68"/>
      <c r="K263" s="68"/>
      <c r="L263" s="54"/>
      <c r="M263" s="70"/>
      <c r="N263" s="56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4"/>
    </row>
    <row r="264" spans="1:25">
      <c r="A264" s="43">
        <v>8610</v>
      </c>
      <c r="B264" s="32" t="s">
        <v>816</v>
      </c>
      <c r="C264" s="32" t="s">
        <v>541</v>
      </c>
      <c r="D264" s="32" t="s">
        <v>994</v>
      </c>
      <c r="E264" s="32" t="s">
        <v>1081</v>
      </c>
      <c r="F264" s="47">
        <v>41382</v>
      </c>
      <c r="G264" s="47">
        <v>33431</v>
      </c>
      <c r="H264" s="32" t="s">
        <v>1389</v>
      </c>
      <c r="I264" s="55" t="s">
        <v>1358</v>
      </c>
      <c r="J264" s="68"/>
      <c r="K264" s="68"/>
      <c r="L264" s="54"/>
      <c r="M264" s="70"/>
      <c r="N264" s="56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4"/>
    </row>
    <row r="265" spans="1:25">
      <c r="A265" s="44">
        <v>8616</v>
      </c>
      <c r="B265" s="36" t="s">
        <v>817</v>
      </c>
      <c r="C265" s="32" t="s">
        <v>577</v>
      </c>
      <c r="D265" s="32" t="s">
        <v>996</v>
      </c>
      <c r="E265" s="35"/>
      <c r="F265" s="48">
        <v>41407</v>
      </c>
      <c r="G265" s="48">
        <v>29293</v>
      </c>
      <c r="H265" s="36" t="s">
        <v>1390</v>
      </c>
      <c r="I265" s="55" t="s">
        <v>1117</v>
      </c>
      <c r="J265" s="68"/>
      <c r="K265" s="68"/>
      <c r="L265" s="54"/>
      <c r="M265" s="70"/>
      <c r="N265" s="56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4"/>
    </row>
    <row r="266" spans="1:25">
      <c r="A266" s="44">
        <v>8618</v>
      </c>
      <c r="B266" s="36" t="s">
        <v>818</v>
      </c>
      <c r="C266" s="32" t="s">
        <v>554</v>
      </c>
      <c r="D266" s="32" t="s">
        <v>994</v>
      </c>
      <c r="E266" s="32" t="s">
        <v>1081</v>
      </c>
      <c r="F266" s="48">
        <v>41408</v>
      </c>
      <c r="G266" s="48">
        <v>29582</v>
      </c>
      <c r="H266" s="36" t="s">
        <v>1391</v>
      </c>
      <c r="I266" s="55" t="s">
        <v>1113</v>
      </c>
      <c r="J266" s="68"/>
      <c r="K266" s="68"/>
      <c r="L266" s="54"/>
      <c r="M266" s="70"/>
      <c r="N266" s="56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4"/>
    </row>
    <row r="267" spans="1:25">
      <c r="A267" s="44">
        <v>8622</v>
      </c>
      <c r="B267" s="36" t="s">
        <v>819</v>
      </c>
      <c r="C267" s="32" t="s">
        <v>541</v>
      </c>
      <c r="D267" s="32" t="s">
        <v>994</v>
      </c>
      <c r="E267" s="32" t="s">
        <v>1081</v>
      </c>
      <c r="F267" s="48">
        <v>41449</v>
      </c>
      <c r="G267" s="48">
        <v>32051</v>
      </c>
      <c r="H267" s="36" t="s">
        <v>1392</v>
      </c>
      <c r="I267" s="55" t="s">
        <v>1117</v>
      </c>
      <c r="J267" s="68"/>
      <c r="K267" s="68"/>
      <c r="L267" s="54"/>
      <c r="M267" s="70"/>
      <c r="N267" s="56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4"/>
    </row>
    <row r="268" spans="1:25">
      <c r="A268" s="44">
        <v>8623</v>
      </c>
      <c r="B268" s="36" t="s">
        <v>820</v>
      </c>
      <c r="C268" s="32" t="s">
        <v>541</v>
      </c>
      <c r="D268" s="32" t="s">
        <v>994</v>
      </c>
      <c r="E268" s="32" t="s">
        <v>1081</v>
      </c>
      <c r="F268" s="48">
        <v>41449</v>
      </c>
      <c r="G268" s="48">
        <v>32494</v>
      </c>
      <c r="H268" s="36" t="s">
        <v>1393</v>
      </c>
      <c r="I268" s="55" t="s">
        <v>1358</v>
      </c>
      <c r="J268" s="68"/>
      <c r="K268" s="68"/>
      <c r="L268" s="54"/>
      <c r="M268" s="70"/>
      <c r="N268" s="56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4"/>
    </row>
    <row r="269" spans="1:25">
      <c r="A269" s="43">
        <v>8628</v>
      </c>
      <c r="B269" s="32" t="s">
        <v>821</v>
      </c>
      <c r="C269" s="32" t="s">
        <v>554</v>
      </c>
      <c r="D269" s="32" t="s">
        <v>994</v>
      </c>
      <c r="E269" s="32" t="s">
        <v>1081</v>
      </c>
      <c r="F269" s="47">
        <v>41529</v>
      </c>
      <c r="G269" s="47">
        <v>30331</v>
      </c>
      <c r="H269" s="32" t="s">
        <v>1394</v>
      </c>
      <c r="I269" s="55" t="s">
        <v>1113</v>
      </c>
      <c r="J269" s="68"/>
      <c r="K269" s="68"/>
      <c r="L269" s="54"/>
      <c r="M269" s="70"/>
      <c r="N269" s="56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4"/>
    </row>
    <row r="270" spans="1:25">
      <c r="A270" s="43">
        <v>8630</v>
      </c>
      <c r="B270" s="32" t="s">
        <v>822</v>
      </c>
      <c r="C270" s="32" t="s">
        <v>534</v>
      </c>
      <c r="D270" s="32" t="s">
        <v>994</v>
      </c>
      <c r="E270" s="32" t="s">
        <v>1081</v>
      </c>
      <c r="F270" s="47">
        <v>41548</v>
      </c>
      <c r="G270" s="47">
        <v>28563</v>
      </c>
      <c r="H270" s="32" t="s">
        <v>1395</v>
      </c>
      <c r="I270" s="55" t="s">
        <v>1131</v>
      </c>
      <c r="J270" s="68"/>
      <c r="K270" s="68"/>
      <c r="L270" s="54"/>
      <c r="M270" s="70"/>
      <c r="N270" s="56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4"/>
    </row>
    <row r="271" spans="1:25">
      <c r="A271" s="43">
        <v>8632</v>
      </c>
      <c r="B271" s="32" t="s">
        <v>823</v>
      </c>
      <c r="C271" s="32" t="s">
        <v>554</v>
      </c>
      <c r="D271" s="32" t="s">
        <v>994</v>
      </c>
      <c r="E271" s="32" t="s">
        <v>1081</v>
      </c>
      <c r="F271" s="47">
        <v>44166</v>
      </c>
      <c r="G271" s="47">
        <v>24952</v>
      </c>
      <c r="H271" s="32" t="s">
        <v>1396</v>
      </c>
      <c r="I271" s="55" t="s">
        <v>1099</v>
      </c>
      <c r="J271" s="68"/>
      <c r="K271" s="68"/>
      <c r="L271" s="54"/>
      <c r="M271" s="70"/>
      <c r="N271" s="56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4"/>
    </row>
    <row r="272" spans="1:25">
      <c r="A272" s="43">
        <v>8639</v>
      </c>
      <c r="B272" s="32" t="s">
        <v>824</v>
      </c>
      <c r="C272" s="32" t="s">
        <v>577</v>
      </c>
      <c r="D272" s="32" t="s">
        <v>996</v>
      </c>
      <c r="E272" s="35"/>
      <c r="F272" s="47">
        <v>41646</v>
      </c>
      <c r="G272" s="47">
        <v>31523</v>
      </c>
      <c r="H272" s="32" t="s">
        <v>1397</v>
      </c>
      <c r="I272" s="55" t="s">
        <v>1115</v>
      </c>
      <c r="J272" s="68"/>
      <c r="K272" s="68"/>
      <c r="L272" s="54"/>
      <c r="M272" s="70"/>
      <c r="N272" s="56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4"/>
    </row>
    <row r="273" spans="1:25">
      <c r="A273" s="43">
        <v>8640</v>
      </c>
      <c r="B273" s="32" t="s">
        <v>825</v>
      </c>
      <c r="C273" s="32" t="s">
        <v>552</v>
      </c>
      <c r="D273" s="32" t="s">
        <v>994</v>
      </c>
      <c r="E273" s="32" t="s">
        <v>1081</v>
      </c>
      <c r="F273" s="47">
        <v>41646</v>
      </c>
      <c r="G273" s="47">
        <v>30182</v>
      </c>
      <c r="H273" s="32" t="s">
        <v>1398</v>
      </c>
      <c r="I273" s="55" t="s">
        <v>1117</v>
      </c>
      <c r="J273" s="68"/>
      <c r="K273" s="68"/>
      <c r="L273" s="54"/>
      <c r="M273" s="70"/>
      <c r="N273" s="56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4"/>
    </row>
    <row r="274" spans="1:25">
      <c r="A274" s="43">
        <v>8643</v>
      </c>
      <c r="B274" s="32" t="s">
        <v>826</v>
      </c>
      <c r="C274" s="32" t="s">
        <v>534</v>
      </c>
      <c r="D274" s="32" t="s">
        <v>994</v>
      </c>
      <c r="E274" s="32" t="s">
        <v>1081</v>
      </c>
      <c r="F274" s="47">
        <v>41646</v>
      </c>
      <c r="G274" s="47">
        <v>27724</v>
      </c>
      <c r="H274" s="32" t="s">
        <v>1399</v>
      </c>
      <c r="I274" s="55" t="s">
        <v>1115</v>
      </c>
      <c r="J274" s="68"/>
      <c r="K274" s="68"/>
      <c r="L274" s="54"/>
      <c r="M274" s="70"/>
      <c r="N274" s="56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4"/>
    </row>
    <row r="275" spans="1:25">
      <c r="A275" s="43">
        <v>8644</v>
      </c>
      <c r="B275" s="32" t="s">
        <v>827</v>
      </c>
      <c r="C275" s="32" t="s">
        <v>552</v>
      </c>
      <c r="D275" s="32" t="s">
        <v>994</v>
      </c>
      <c r="E275" s="32" t="s">
        <v>1081</v>
      </c>
      <c r="F275" s="47">
        <v>41646</v>
      </c>
      <c r="G275" s="47">
        <v>31874</v>
      </c>
      <c r="H275" s="32" t="s">
        <v>1400</v>
      </c>
      <c r="I275" s="55" t="s">
        <v>1117</v>
      </c>
      <c r="J275" s="68"/>
      <c r="K275" s="68"/>
      <c r="L275" s="54"/>
      <c r="M275" s="70"/>
      <c r="N275" s="56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4"/>
    </row>
    <row r="276" spans="1:25">
      <c r="A276" s="43">
        <v>8647</v>
      </c>
      <c r="B276" s="32" t="s">
        <v>828</v>
      </c>
      <c r="C276" s="32" t="s">
        <v>829</v>
      </c>
      <c r="D276" s="32" t="s">
        <v>1103</v>
      </c>
      <c r="E276" s="32" t="s">
        <v>1104</v>
      </c>
      <c r="F276" s="47">
        <v>41641</v>
      </c>
      <c r="G276" s="47">
        <v>30467</v>
      </c>
      <c r="H276" s="32" t="s">
        <v>1401</v>
      </c>
      <c r="I276" s="55" t="s">
        <v>1258</v>
      </c>
      <c r="J276" s="68"/>
      <c r="K276" s="68"/>
      <c r="L276" s="54"/>
      <c r="M276" s="70"/>
      <c r="N276" s="56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4"/>
    </row>
    <row r="277" spans="1:25">
      <c r="A277" s="43">
        <v>8648</v>
      </c>
      <c r="B277" s="32" t="s">
        <v>830</v>
      </c>
      <c r="C277" s="35"/>
      <c r="D277" s="32" t="s">
        <v>994</v>
      </c>
      <c r="E277" s="32" t="s">
        <v>1081</v>
      </c>
      <c r="F277" s="47">
        <v>41641</v>
      </c>
      <c r="G277" s="47">
        <v>29896</v>
      </c>
      <c r="H277" s="32" t="s">
        <v>1402</v>
      </c>
      <c r="I277" s="55" t="s">
        <v>1101</v>
      </c>
      <c r="J277" s="68"/>
      <c r="K277" s="68"/>
      <c r="L277" s="54"/>
      <c r="M277" s="70"/>
      <c r="N277" s="56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4"/>
    </row>
    <row r="278" spans="1:25">
      <c r="A278" s="43">
        <v>8651</v>
      </c>
      <c r="B278" s="32" t="s">
        <v>831</v>
      </c>
      <c r="C278" s="32" t="s">
        <v>538</v>
      </c>
      <c r="D278" s="32" t="s">
        <v>994</v>
      </c>
      <c r="E278" s="32" t="s">
        <v>1078</v>
      </c>
      <c r="F278" s="47">
        <v>41703</v>
      </c>
      <c r="G278" s="47">
        <v>33183</v>
      </c>
      <c r="H278" s="32" t="s">
        <v>1403</v>
      </c>
      <c r="I278" s="55" t="s">
        <v>1140</v>
      </c>
      <c r="J278" s="68"/>
      <c r="K278" s="68"/>
      <c r="L278" s="54"/>
      <c r="M278" s="70"/>
      <c r="N278" s="56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4"/>
    </row>
    <row r="279" spans="1:25">
      <c r="A279" s="43">
        <v>8652</v>
      </c>
      <c r="B279" s="32" t="s">
        <v>832</v>
      </c>
      <c r="C279" s="32" t="s">
        <v>541</v>
      </c>
      <c r="D279" s="32" t="s">
        <v>994</v>
      </c>
      <c r="E279" s="32" t="s">
        <v>1081</v>
      </c>
      <c r="F279" s="47">
        <v>41704</v>
      </c>
      <c r="G279" s="47">
        <v>29885</v>
      </c>
      <c r="H279" s="32" t="s">
        <v>1404</v>
      </c>
      <c r="I279" s="55" t="s">
        <v>1117</v>
      </c>
      <c r="J279" s="68"/>
      <c r="K279" s="68"/>
      <c r="L279" s="54"/>
      <c r="M279" s="70"/>
      <c r="N279" s="56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4"/>
    </row>
    <row r="280" spans="1:25">
      <c r="A280" s="43">
        <v>8656</v>
      </c>
      <c r="B280" s="32" t="s">
        <v>833</v>
      </c>
      <c r="C280" s="32" t="s">
        <v>746</v>
      </c>
      <c r="D280" s="32" t="s">
        <v>996</v>
      </c>
      <c r="E280" s="32" t="s">
        <v>1317</v>
      </c>
      <c r="F280" s="47">
        <v>41730</v>
      </c>
      <c r="G280" s="47">
        <v>27293</v>
      </c>
      <c r="H280" s="32" t="s">
        <v>1405</v>
      </c>
      <c r="I280" s="55" t="s">
        <v>1350</v>
      </c>
      <c r="J280" s="68"/>
      <c r="K280" s="68"/>
      <c r="L280" s="54"/>
      <c r="M280" s="70"/>
      <c r="N280" s="56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4"/>
    </row>
    <row r="281" spans="1:25">
      <c r="A281" s="43">
        <v>8661</v>
      </c>
      <c r="B281" s="32" t="s">
        <v>834</v>
      </c>
      <c r="C281" s="32" t="s">
        <v>534</v>
      </c>
      <c r="D281" s="32" t="s">
        <v>994</v>
      </c>
      <c r="E281" s="32" t="s">
        <v>1081</v>
      </c>
      <c r="F281" s="47">
        <v>41743</v>
      </c>
      <c r="G281" s="47">
        <v>34170</v>
      </c>
      <c r="H281" s="32" t="s">
        <v>1406</v>
      </c>
      <c r="I281" s="55" t="s">
        <v>1115</v>
      </c>
      <c r="J281" s="68"/>
      <c r="K281" s="68"/>
      <c r="L281" s="54"/>
      <c r="M281" s="70"/>
      <c r="N281" s="56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4"/>
    </row>
    <row r="282" spans="1:25">
      <c r="A282" s="43">
        <v>8662</v>
      </c>
      <c r="B282" s="32" t="s">
        <v>835</v>
      </c>
      <c r="C282" s="32" t="s">
        <v>577</v>
      </c>
      <c r="D282" s="32" t="s">
        <v>996</v>
      </c>
      <c r="E282" s="35"/>
      <c r="F282" s="47">
        <v>41743</v>
      </c>
      <c r="G282" s="47">
        <v>22949</v>
      </c>
      <c r="H282" s="32" t="s">
        <v>1407</v>
      </c>
      <c r="I282" s="55" t="s">
        <v>1117</v>
      </c>
      <c r="J282" s="68"/>
      <c r="K282" s="68"/>
      <c r="L282" s="54"/>
      <c r="M282" s="70"/>
      <c r="N282" s="56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4"/>
    </row>
    <row r="283" spans="1:25">
      <c r="A283" s="43">
        <v>8664</v>
      </c>
      <c r="B283" s="32" t="s">
        <v>836</v>
      </c>
      <c r="C283" s="32" t="s">
        <v>552</v>
      </c>
      <c r="D283" s="32" t="s">
        <v>994</v>
      </c>
      <c r="E283" s="32" t="s">
        <v>1081</v>
      </c>
      <c r="F283" s="47">
        <v>41743</v>
      </c>
      <c r="G283" s="47">
        <v>32834</v>
      </c>
      <c r="H283" s="32" t="s">
        <v>1408</v>
      </c>
      <c r="I283" s="55" t="s">
        <v>1117</v>
      </c>
      <c r="J283" s="68"/>
      <c r="K283" s="68"/>
      <c r="L283" s="54"/>
      <c r="M283" s="70"/>
      <c r="N283" s="56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4"/>
    </row>
    <row r="284" spans="1:25">
      <c r="A284" s="43">
        <v>8666</v>
      </c>
      <c r="B284" s="32" t="s">
        <v>837</v>
      </c>
      <c r="C284" s="32" t="s">
        <v>838</v>
      </c>
      <c r="D284" s="32" t="s">
        <v>1103</v>
      </c>
      <c r="E284" s="35"/>
      <c r="F284" s="47">
        <v>41757</v>
      </c>
      <c r="G284" s="47">
        <v>28293</v>
      </c>
      <c r="H284" s="32" t="s">
        <v>1409</v>
      </c>
      <c r="I284" s="55" t="s">
        <v>1266</v>
      </c>
      <c r="J284" s="68"/>
      <c r="K284" s="68"/>
      <c r="L284" s="54"/>
      <c r="M284" s="70"/>
      <c r="N284" s="56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4"/>
    </row>
    <row r="285" spans="1:25">
      <c r="A285" s="43">
        <v>8673</v>
      </c>
      <c r="B285" s="32" t="s">
        <v>839</v>
      </c>
      <c r="C285" s="32" t="s">
        <v>838</v>
      </c>
      <c r="D285" s="32" t="s">
        <v>1103</v>
      </c>
      <c r="E285" s="35"/>
      <c r="F285" s="47">
        <v>41807</v>
      </c>
      <c r="G285" s="47">
        <v>31284</v>
      </c>
      <c r="H285" s="32" t="s">
        <v>1410</v>
      </c>
      <c r="I285" s="55" t="s">
        <v>1350</v>
      </c>
      <c r="J285" s="68"/>
      <c r="K285" s="68"/>
      <c r="L285" s="54"/>
      <c r="M285" s="70"/>
      <c r="N285" s="56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4"/>
    </row>
    <row r="286" spans="1:25">
      <c r="A286" s="43">
        <v>8676</v>
      </c>
      <c r="B286" s="32" t="s">
        <v>840</v>
      </c>
      <c r="C286" s="32" t="s">
        <v>604</v>
      </c>
      <c r="D286" s="32" t="s">
        <v>994</v>
      </c>
      <c r="E286" s="35"/>
      <c r="F286" s="47">
        <v>41842</v>
      </c>
      <c r="G286" s="47">
        <v>29373</v>
      </c>
      <c r="H286" s="32" t="s">
        <v>1411</v>
      </c>
      <c r="I286" s="55" t="s">
        <v>1208</v>
      </c>
      <c r="J286" s="68"/>
      <c r="K286" s="68"/>
      <c r="L286" s="54"/>
      <c r="M286" s="70"/>
      <c r="N286" s="56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4"/>
    </row>
    <row r="287" spans="1:25">
      <c r="A287" s="43">
        <v>8677</v>
      </c>
      <c r="B287" s="32" t="s">
        <v>841</v>
      </c>
      <c r="C287" s="32" t="s">
        <v>842</v>
      </c>
      <c r="D287" s="32" t="s">
        <v>994</v>
      </c>
      <c r="E287" s="35"/>
      <c r="F287" s="47">
        <v>41855</v>
      </c>
      <c r="G287" s="47">
        <v>31737</v>
      </c>
      <c r="H287" s="32" t="s">
        <v>1412</v>
      </c>
      <c r="I287" s="55" t="s">
        <v>1131</v>
      </c>
      <c r="J287" s="68"/>
      <c r="K287" s="68"/>
      <c r="L287" s="54"/>
      <c r="M287" s="70"/>
      <c r="N287" s="56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4"/>
    </row>
    <row r="288" spans="1:25">
      <c r="A288" s="43">
        <v>8678</v>
      </c>
      <c r="B288" s="32" t="s">
        <v>843</v>
      </c>
      <c r="C288" s="35"/>
      <c r="D288" s="32" t="s">
        <v>994</v>
      </c>
      <c r="E288" s="32" t="s">
        <v>1081</v>
      </c>
      <c r="F288" s="47">
        <v>41884</v>
      </c>
      <c r="G288" s="47">
        <v>33200</v>
      </c>
      <c r="H288" s="32" t="s">
        <v>1413</v>
      </c>
      <c r="I288" s="55" t="s">
        <v>1258</v>
      </c>
      <c r="J288" s="68"/>
      <c r="K288" s="68"/>
      <c r="L288" s="54"/>
      <c r="M288" s="70"/>
      <c r="N288" s="56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4"/>
    </row>
    <row r="289" spans="1:25">
      <c r="A289" s="43">
        <v>8682</v>
      </c>
      <c r="B289" s="32" t="s">
        <v>844</v>
      </c>
      <c r="C289" s="32" t="s">
        <v>577</v>
      </c>
      <c r="D289" s="32" t="s">
        <v>996</v>
      </c>
      <c r="E289" s="35"/>
      <c r="F289" s="47">
        <v>41953</v>
      </c>
      <c r="G289" s="47">
        <v>33862</v>
      </c>
      <c r="H289" s="32" t="s">
        <v>1414</v>
      </c>
      <c r="I289" s="55" t="s">
        <v>1358</v>
      </c>
      <c r="J289" s="68"/>
      <c r="K289" s="68"/>
      <c r="L289" s="54"/>
      <c r="M289" s="70"/>
      <c r="N289" s="56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4"/>
    </row>
    <row r="290" spans="1:25">
      <c r="A290" s="43">
        <v>8683</v>
      </c>
      <c r="B290" s="32" t="s">
        <v>845</v>
      </c>
      <c r="C290" s="32" t="s">
        <v>534</v>
      </c>
      <c r="D290" s="32" t="s">
        <v>994</v>
      </c>
      <c r="E290" s="32" t="s">
        <v>1081</v>
      </c>
      <c r="F290" s="47">
        <v>41953</v>
      </c>
      <c r="G290" s="47">
        <v>28356</v>
      </c>
      <c r="H290" s="32" t="s">
        <v>1415</v>
      </c>
      <c r="I290" s="55" t="s">
        <v>1117</v>
      </c>
      <c r="J290" s="68"/>
      <c r="K290" s="68"/>
      <c r="L290" s="54"/>
      <c r="M290" s="70"/>
      <c r="N290" s="56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4"/>
    </row>
    <row r="291" spans="1:25">
      <c r="A291" s="43">
        <v>8684</v>
      </c>
      <c r="B291" s="32" t="s">
        <v>846</v>
      </c>
      <c r="C291" s="32" t="s">
        <v>541</v>
      </c>
      <c r="D291" s="32" t="s">
        <v>994</v>
      </c>
      <c r="E291" s="32" t="s">
        <v>1081</v>
      </c>
      <c r="F291" s="47">
        <v>41953</v>
      </c>
      <c r="G291" s="47">
        <v>30723</v>
      </c>
      <c r="H291" s="32" t="s">
        <v>1416</v>
      </c>
      <c r="I291" s="55" t="s">
        <v>1358</v>
      </c>
      <c r="J291" s="68"/>
      <c r="K291" s="68"/>
      <c r="L291" s="54"/>
      <c r="M291" s="70"/>
      <c r="N291" s="56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4"/>
    </row>
    <row r="292" spans="1:25">
      <c r="A292" s="43">
        <v>8685</v>
      </c>
      <c r="B292" s="32" t="s">
        <v>847</v>
      </c>
      <c r="C292" s="32" t="s">
        <v>541</v>
      </c>
      <c r="D292" s="32" t="s">
        <v>994</v>
      </c>
      <c r="E292" s="32" t="s">
        <v>1081</v>
      </c>
      <c r="F292" s="47">
        <v>41953</v>
      </c>
      <c r="G292" s="47">
        <v>32998</v>
      </c>
      <c r="H292" s="32" t="s">
        <v>1417</v>
      </c>
      <c r="I292" s="55" t="s">
        <v>1080</v>
      </c>
      <c r="J292" s="68"/>
      <c r="K292" s="68"/>
      <c r="L292" s="54"/>
      <c r="M292" s="70"/>
      <c r="N292" s="56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4"/>
    </row>
    <row r="293" spans="1:25">
      <c r="A293" s="43">
        <v>8687</v>
      </c>
      <c r="B293" s="32" t="s">
        <v>848</v>
      </c>
      <c r="C293" s="32" t="s">
        <v>541</v>
      </c>
      <c r="D293" s="32" t="s">
        <v>994</v>
      </c>
      <c r="E293" s="32" t="s">
        <v>1081</v>
      </c>
      <c r="F293" s="47">
        <v>41961</v>
      </c>
      <c r="G293" s="47">
        <v>33613</v>
      </c>
      <c r="H293" s="32" t="s">
        <v>1418</v>
      </c>
      <c r="I293" s="55" t="s">
        <v>1117</v>
      </c>
      <c r="J293" s="68"/>
      <c r="K293" s="68"/>
      <c r="L293" s="54"/>
      <c r="M293" s="70"/>
      <c r="N293" s="56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4"/>
    </row>
    <row r="294" spans="1:25">
      <c r="A294" s="43">
        <v>8689</v>
      </c>
      <c r="B294" s="32" t="s">
        <v>849</v>
      </c>
      <c r="C294" s="32" t="s">
        <v>534</v>
      </c>
      <c r="D294" s="32" t="s">
        <v>994</v>
      </c>
      <c r="E294" s="32" t="s">
        <v>1081</v>
      </c>
      <c r="F294" s="47">
        <v>41961</v>
      </c>
      <c r="G294" s="47">
        <v>31931</v>
      </c>
      <c r="H294" s="32" t="s">
        <v>1419</v>
      </c>
      <c r="I294" s="55" t="s">
        <v>1117</v>
      </c>
      <c r="J294" s="68"/>
      <c r="K294" s="68"/>
      <c r="L294" s="54"/>
      <c r="M294" s="70"/>
      <c r="N294" s="56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4"/>
    </row>
    <row r="295" spans="1:25">
      <c r="A295" s="43">
        <v>8691</v>
      </c>
      <c r="B295" s="32" t="s">
        <v>850</v>
      </c>
      <c r="C295" s="32" t="s">
        <v>577</v>
      </c>
      <c r="D295" s="32" t="s">
        <v>996</v>
      </c>
      <c r="E295" s="35"/>
      <c r="F295" s="47">
        <v>41974</v>
      </c>
      <c r="G295" s="47">
        <v>34414</v>
      </c>
      <c r="H295" s="32" t="s">
        <v>1420</v>
      </c>
      <c r="I295" s="55" t="s">
        <v>1117</v>
      </c>
      <c r="J295" s="68"/>
      <c r="K295" s="68"/>
      <c r="L295" s="54"/>
      <c r="M295" s="70"/>
      <c r="N295" s="56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4"/>
    </row>
    <row r="296" spans="1:25">
      <c r="A296" s="43">
        <v>8692</v>
      </c>
      <c r="B296" s="32" t="s">
        <v>851</v>
      </c>
      <c r="C296" s="32" t="s">
        <v>541</v>
      </c>
      <c r="D296" s="32" t="s">
        <v>994</v>
      </c>
      <c r="E296" s="32" t="s">
        <v>1081</v>
      </c>
      <c r="F296" s="47">
        <v>41974</v>
      </c>
      <c r="G296" s="47">
        <v>34971</v>
      </c>
      <c r="H296" s="32" t="s">
        <v>1421</v>
      </c>
      <c r="I296" s="55" t="s">
        <v>1117</v>
      </c>
      <c r="J296" s="68"/>
      <c r="K296" s="68"/>
      <c r="L296" s="54"/>
      <c r="M296" s="70"/>
      <c r="N296" s="56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4"/>
    </row>
    <row r="297" spans="1:25">
      <c r="A297" s="43">
        <v>8693</v>
      </c>
      <c r="B297" s="32" t="s">
        <v>852</v>
      </c>
      <c r="C297" s="32" t="s">
        <v>654</v>
      </c>
      <c r="D297" s="32" t="s">
        <v>994</v>
      </c>
      <c r="E297" s="32" t="s">
        <v>1081</v>
      </c>
      <c r="F297" s="47">
        <v>41974</v>
      </c>
      <c r="G297" s="47">
        <v>33058</v>
      </c>
      <c r="H297" s="32" t="s">
        <v>1422</v>
      </c>
      <c r="I297" s="55" t="s">
        <v>1117</v>
      </c>
      <c r="J297" s="68"/>
      <c r="K297" s="68"/>
      <c r="L297" s="54"/>
      <c r="M297" s="70"/>
      <c r="N297" s="56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4"/>
    </row>
    <row r="298" spans="1:25">
      <c r="A298" s="43">
        <v>8694</v>
      </c>
      <c r="B298" s="32" t="s">
        <v>853</v>
      </c>
      <c r="C298" s="32" t="s">
        <v>552</v>
      </c>
      <c r="D298" s="32" t="s">
        <v>994</v>
      </c>
      <c r="E298" s="32" t="s">
        <v>1081</v>
      </c>
      <c r="F298" s="47">
        <v>41974</v>
      </c>
      <c r="G298" s="47">
        <v>25217</v>
      </c>
      <c r="H298" s="32" t="s">
        <v>1423</v>
      </c>
      <c r="I298" s="55" t="s">
        <v>1358</v>
      </c>
      <c r="J298" s="68"/>
      <c r="K298" s="68"/>
      <c r="L298" s="54"/>
      <c r="M298" s="70"/>
      <c r="N298" s="56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4"/>
    </row>
    <row r="299" spans="1:25">
      <c r="A299" s="43">
        <v>8695</v>
      </c>
      <c r="B299" s="32" t="s">
        <v>854</v>
      </c>
      <c r="C299" s="32" t="s">
        <v>534</v>
      </c>
      <c r="D299" s="32" t="s">
        <v>994</v>
      </c>
      <c r="E299" s="32" t="s">
        <v>1081</v>
      </c>
      <c r="F299" s="47">
        <v>41974</v>
      </c>
      <c r="G299" s="47">
        <v>32195</v>
      </c>
      <c r="H299" s="32" t="s">
        <v>1424</v>
      </c>
      <c r="I299" s="55" t="s">
        <v>1115</v>
      </c>
      <c r="J299" s="68"/>
      <c r="K299" s="68"/>
      <c r="L299" s="54"/>
      <c r="M299" s="70"/>
      <c r="N299" s="56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4"/>
    </row>
    <row r="300" spans="1:25">
      <c r="A300" s="43">
        <v>8697</v>
      </c>
      <c r="B300" s="32" t="s">
        <v>855</v>
      </c>
      <c r="C300" s="32" t="s">
        <v>532</v>
      </c>
      <c r="D300" s="32" t="s">
        <v>994</v>
      </c>
      <c r="E300" s="32" t="s">
        <v>1081</v>
      </c>
      <c r="F300" s="47">
        <v>41982</v>
      </c>
      <c r="G300" s="47">
        <v>34714</v>
      </c>
      <c r="H300" s="32" t="s">
        <v>1425</v>
      </c>
      <c r="I300" s="55" t="s">
        <v>1117</v>
      </c>
      <c r="J300" s="68"/>
      <c r="K300" s="68"/>
      <c r="L300" s="54"/>
      <c r="M300" s="70"/>
      <c r="N300" s="56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4"/>
    </row>
    <row r="301" spans="1:25">
      <c r="A301" s="43">
        <v>8700</v>
      </c>
      <c r="B301" s="32" t="s">
        <v>856</v>
      </c>
      <c r="C301" s="32" t="s">
        <v>534</v>
      </c>
      <c r="D301" s="32" t="s">
        <v>994</v>
      </c>
      <c r="E301" s="32" t="s">
        <v>1081</v>
      </c>
      <c r="F301" s="47">
        <v>42037</v>
      </c>
      <c r="G301" s="47">
        <v>23231</v>
      </c>
      <c r="H301" s="32" t="s">
        <v>1426</v>
      </c>
      <c r="I301" s="55" t="s">
        <v>1113</v>
      </c>
      <c r="J301" s="68"/>
      <c r="K301" s="68"/>
      <c r="L301" s="54"/>
      <c r="M301" s="70"/>
      <c r="N301" s="56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4"/>
    </row>
    <row r="302" spans="1:25">
      <c r="A302" s="43">
        <v>8701</v>
      </c>
      <c r="B302" s="32" t="s">
        <v>857</v>
      </c>
      <c r="C302" s="32" t="s">
        <v>534</v>
      </c>
      <c r="D302" s="32" t="s">
        <v>994</v>
      </c>
      <c r="E302" s="32" t="s">
        <v>1081</v>
      </c>
      <c r="F302" s="47">
        <v>42037</v>
      </c>
      <c r="G302" s="47">
        <v>29210</v>
      </c>
      <c r="H302" s="32" t="s">
        <v>1427</v>
      </c>
      <c r="I302" s="55" t="s">
        <v>1117</v>
      </c>
      <c r="J302" s="68"/>
      <c r="K302" s="68"/>
      <c r="L302" s="54"/>
      <c r="M302" s="70"/>
      <c r="N302" s="56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4"/>
    </row>
    <row r="303" spans="1:25">
      <c r="A303" s="43">
        <v>8703</v>
      </c>
      <c r="B303" s="32" t="s">
        <v>858</v>
      </c>
      <c r="C303" s="32" t="s">
        <v>534</v>
      </c>
      <c r="D303" s="32" t="s">
        <v>994</v>
      </c>
      <c r="E303" s="32" t="s">
        <v>1081</v>
      </c>
      <c r="F303" s="47">
        <v>42037</v>
      </c>
      <c r="G303" s="47">
        <v>31867</v>
      </c>
      <c r="H303" s="32" t="s">
        <v>1428</v>
      </c>
      <c r="I303" s="55" t="s">
        <v>1117</v>
      </c>
      <c r="J303" s="68"/>
      <c r="K303" s="68"/>
      <c r="L303" s="54"/>
      <c r="M303" s="70"/>
      <c r="N303" s="56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4"/>
    </row>
    <row r="304" spans="1:25">
      <c r="A304" s="43">
        <v>8705</v>
      </c>
      <c r="B304" s="32" t="s">
        <v>859</v>
      </c>
      <c r="C304" s="32" t="s">
        <v>570</v>
      </c>
      <c r="D304" s="32" t="s">
        <v>996</v>
      </c>
      <c r="E304" s="35"/>
      <c r="F304" s="47">
        <v>42044</v>
      </c>
      <c r="G304" s="47">
        <v>21393</v>
      </c>
      <c r="H304" s="32" t="s">
        <v>1429</v>
      </c>
      <c r="I304" s="55" t="s">
        <v>1430</v>
      </c>
      <c r="J304" s="68"/>
      <c r="K304" s="68"/>
      <c r="L304" s="54"/>
      <c r="M304" s="70"/>
      <c r="N304" s="56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4"/>
    </row>
    <row r="305" spans="1:25">
      <c r="A305" s="43">
        <v>8706</v>
      </c>
      <c r="B305" s="32" t="s">
        <v>860</v>
      </c>
      <c r="C305" s="32" t="s">
        <v>604</v>
      </c>
      <c r="D305" s="32" t="s">
        <v>994</v>
      </c>
      <c r="E305" s="35"/>
      <c r="F305" s="47">
        <v>42072</v>
      </c>
      <c r="G305" s="47">
        <v>35037</v>
      </c>
      <c r="H305" s="32" t="s">
        <v>1431</v>
      </c>
      <c r="I305" s="55" t="s">
        <v>1080</v>
      </c>
      <c r="J305" s="68"/>
      <c r="K305" s="68"/>
      <c r="L305" s="54"/>
      <c r="M305" s="70"/>
      <c r="N305" s="56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4"/>
    </row>
    <row r="306" spans="1:25">
      <c r="A306" s="43">
        <v>8707</v>
      </c>
      <c r="B306" s="32" t="s">
        <v>861</v>
      </c>
      <c r="C306" s="32" t="s">
        <v>556</v>
      </c>
      <c r="D306" s="32" t="s">
        <v>994</v>
      </c>
      <c r="E306" s="32" t="s">
        <v>1081</v>
      </c>
      <c r="F306" s="47">
        <v>42072</v>
      </c>
      <c r="G306" s="47">
        <v>32781</v>
      </c>
      <c r="H306" s="32" t="s">
        <v>1432</v>
      </c>
      <c r="I306" s="55" t="s">
        <v>1117</v>
      </c>
      <c r="J306" s="68"/>
      <c r="K306" s="68"/>
      <c r="L306" s="54"/>
      <c r="M306" s="70"/>
      <c r="N306" s="56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4"/>
    </row>
    <row r="307" spans="1:25">
      <c r="A307" s="43">
        <v>8714</v>
      </c>
      <c r="B307" s="32" t="s">
        <v>862</v>
      </c>
      <c r="C307" s="32" t="s">
        <v>604</v>
      </c>
      <c r="D307" s="32" t="s">
        <v>994</v>
      </c>
      <c r="E307" s="35"/>
      <c r="F307" s="47">
        <v>42116</v>
      </c>
      <c r="G307" s="47">
        <v>21402</v>
      </c>
      <c r="H307" s="32" t="s">
        <v>1433</v>
      </c>
      <c r="I307" s="55" t="s">
        <v>1208</v>
      </c>
      <c r="J307" s="68" t="s">
        <v>482</v>
      </c>
      <c r="K307" s="68"/>
      <c r="L307" s="54"/>
      <c r="M307" s="70"/>
      <c r="N307" s="56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4"/>
    </row>
    <row r="308" spans="1:25">
      <c r="A308" s="43">
        <v>8717</v>
      </c>
      <c r="B308" s="32" t="s">
        <v>863</v>
      </c>
      <c r="C308" s="32" t="s">
        <v>534</v>
      </c>
      <c r="D308" s="32" t="s">
        <v>994</v>
      </c>
      <c r="E308" s="32" t="s">
        <v>1081</v>
      </c>
      <c r="F308" s="47">
        <v>42121</v>
      </c>
      <c r="G308" s="47">
        <v>28374</v>
      </c>
      <c r="H308" s="32" t="s">
        <v>1434</v>
      </c>
      <c r="I308" s="55" t="s">
        <v>1117</v>
      </c>
      <c r="J308" s="68"/>
      <c r="K308" s="68"/>
      <c r="L308" s="54"/>
      <c r="M308" s="70"/>
      <c r="N308" s="56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4"/>
    </row>
    <row r="309" spans="1:25">
      <c r="A309" s="43">
        <v>8719</v>
      </c>
      <c r="B309" s="32" t="s">
        <v>864</v>
      </c>
      <c r="C309" s="32" t="s">
        <v>589</v>
      </c>
      <c r="D309" s="32" t="s">
        <v>996</v>
      </c>
      <c r="E309" s="32" t="s">
        <v>1150</v>
      </c>
      <c r="F309" s="47">
        <v>42128</v>
      </c>
      <c r="G309" s="47">
        <v>26264</v>
      </c>
      <c r="H309" s="32" t="s">
        <v>1435</v>
      </c>
      <c r="I309" s="55" t="s">
        <v>1080</v>
      </c>
      <c r="J309" s="68"/>
      <c r="K309" s="68"/>
      <c r="L309" s="54"/>
      <c r="M309" s="70"/>
      <c r="N309" s="56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4"/>
    </row>
    <row r="310" spans="1:25">
      <c r="A310" s="43">
        <v>8720</v>
      </c>
      <c r="B310" s="32" t="s">
        <v>865</v>
      </c>
      <c r="C310" s="32" t="s">
        <v>556</v>
      </c>
      <c r="D310" s="32" t="s">
        <v>994</v>
      </c>
      <c r="E310" s="32" t="s">
        <v>1081</v>
      </c>
      <c r="F310" s="47">
        <v>42163</v>
      </c>
      <c r="G310" s="47">
        <v>31044</v>
      </c>
      <c r="H310" s="32" t="s">
        <v>1436</v>
      </c>
      <c r="I310" s="55" t="s">
        <v>1117</v>
      </c>
      <c r="J310" s="68"/>
      <c r="K310" s="68"/>
      <c r="L310" s="54"/>
      <c r="M310" s="70"/>
      <c r="N310" s="56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4"/>
    </row>
    <row r="311" spans="1:25">
      <c r="A311" s="43">
        <v>8721</v>
      </c>
      <c r="B311" s="32" t="s">
        <v>866</v>
      </c>
      <c r="C311" s="32" t="s">
        <v>552</v>
      </c>
      <c r="D311" s="32" t="s">
        <v>994</v>
      </c>
      <c r="E311" s="32" t="s">
        <v>1081</v>
      </c>
      <c r="F311" s="47">
        <v>42163</v>
      </c>
      <c r="G311" s="47">
        <v>28975</v>
      </c>
      <c r="H311" s="32" t="s">
        <v>1437</v>
      </c>
      <c r="I311" s="55" t="s">
        <v>1115</v>
      </c>
      <c r="J311" s="68"/>
      <c r="K311" s="68"/>
      <c r="L311" s="54"/>
      <c r="M311" s="70"/>
      <c r="N311" s="56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4"/>
    </row>
    <row r="312" spans="1:25">
      <c r="A312" s="43">
        <v>8722</v>
      </c>
      <c r="B312" s="32" t="s">
        <v>867</v>
      </c>
      <c r="C312" s="32" t="s">
        <v>577</v>
      </c>
      <c r="D312" s="32" t="s">
        <v>996</v>
      </c>
      <c r="E312" s="35"/>
      <c r="F312" s="47">
        <v>42205</v>
      </c>
      <c r="G312" s="47">
        <v>25073</v>
      </c>
      <c r="H312" s="32" t="s">
        <v>1438</v>
      </c>
      <c r="I312" s="55" t="s">
        <v>1358</v>
      </c>
      <c r="J312" s="68" t="s">
        <v>482</v>
      </c>
      <c r="K312" s="68"/>
      <c r="L312" s="54"/>
      <c r="M312" s="70"/>
      <c r="N312" s="56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4"/>
    </row>
    <row r="313" spans="1:25">
      <c r="A313" s="43">
        <v>8723</v>
      </c>
      <c r="B313" s="32" t="s">
        <v>868</v>
      </c>
      <c r="C313" s="32" t="s">
        <v>556</v>
      </c>
      <c r="D313" s="32" t="s">
        <v>994</v>
      </c>
      <c r="E313" s="32" t="s">
        <v>1081</v>
      </c>
      <c r="F313" s="47">
        <v>42205</v>
      </c>
      <c r="G313" s="47">
        <v>24907</v>
      </c>
      <c r="H313" s="32" t="s">
        <v>1439</v>
      </c>
      <c r="I313" s="55" t="s">
        <v>1113</v>
      </c>
      <c r="J313" s="68" t="s">
        <v>482</v>
      </c>
      <c r="K313" s="68"/>
      <c r="L313" s="54"/>
      <c r="M313" s="70"/>
      <c r="N313" s="56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4"/>
    </row>
    <row r="314" spans="1:25">
      <c r="A314" s="43">
        <v>8724</v>
      </c>
      <c r="B314" s="32" t="s">
        <v>869</v>
      </c>
      <c r="C314" s="32" t="s">
        <v>532</v>
      </c>
      <c r="D314" s="32" t="s">
        <v>994</v>
      </c>
      <c r="E314" s="32" t="s">
        <v>1081</v>
      </c>
      <c r="F314" s="47">
        <v>42205</v>
      </c>
      <c r="G314" s="47">
        <v>29247</v>
      </c>
      <c r="H314" s="32" t="s">
        <v>1440</v>
      </c>
      <c r="I314" s="55" t="s">
        <v>1115</v>
      </c>
      <c r="J314" s="68"/>
      <c r="K314" s="68"/>
      <c r="L314" s="54"/>
      <c r="M314" s="70"/>
      <c r="N314" s="56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4"/>
    </row>
    <row r="315" spans="1:25">
      <c r="A315" s="43">
        <v>8726</v>
      </c>
      <c r="B315" s="32" t="s">
        <v>870</v>
      </c>
      <c r="C315" s="35"/>
      <c r="D315" s="32" t="s">
        <v>994</v>
      </c>
      <c r="E315" s="32" t="s">
        <v>1146</v>
      </c>
      <c r="F315" s="47">
        <v>42226</v>
      </c>
      <c r="G315" s="47">
        <v>24282</v>
      </c>
      <c r="H315" s="32" t="s">
        <v>1441</v>
      </c>
      <c r="I315" s="55" t="s">
        <v>1323</v>
      </c>
      <c r="J315" s="68"/>
      <c r="K315" s="68"/>
      <c r="L315" s="54"/>
      <c r="M315" s="70"/>
      <c r="N315" s="56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4"/>
    </row>
    <row r="316" spans="1:25">
      <c r="A316" s="43">
        <v>8728</v>
      </c>
      <c r="B316" s="32" t="s">
        <v>871</v>
      </c>
      <c r="C316" s="32" t="s">
        <v>554</v>
      </c>
      <c r="D316" s="32" t="s">
        <v>994</v>
      </c>
      <c r="E316" s="32" t="s">
        <v>1081</v>
      </c>
      <c r="F316" s="47">
        <v>42234</v>
      </c>
      <c r="G316" s="47">
        <v>30056</v>
      </c>
      <c r="H316" s="32" t="s">
        <v>1442</v>
      </c>
      <c r="I316" s="55" t="s">
        <v>1117</v>
      </c>
      <c r="J316" s="68"/>
      <c r="K316" s="68"/>
      <c r="L316" s="54"/>
      <c r="M316" s="70"/>
      <c r="N316" s="56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4"/>
    </row>
    <row r="317" spans="1:25">
      <c r="A317" s="43">
        <v>8729</v>
      </c>
      <c r="B317" s="32" t="s">
        <v>872</v>
      </c>
      <c r="C317" s="32" t="s">
        <v>541</v>
      </c>
      <c r="D317" s="32" t="s">
        <v>994</v>
      </c>
      <c r="E317" s="32" t="s">
        <v>1081</v>
      </c>
      <c r="F317" s="47">
        <v>42248</v>
      </c>
      <c r="G317" s="47">
        <v>32285</v>
      </c>
      <c r="H317" s="32" t="s">
        <v>1443</v>
      </c>
      <c r="I317" s="55" t="s">
        <v>1115</v>
      </c>
      <c r="J317" s="68"/>
      <c r="K317" s="68"/>
      <c r="L317" s="54"/>
      <c r="M317" s="70"/>
      <c r="N317" s="56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4"/>
    </row>
    <row r="318" spans="1:25">
      <c r="A318" s="43">
        <v>8730</v>
      </c>
      <c r="B318" s="32" t="s">
        <v>873</v>
      </c>
      <c r="C318" s="35"/>
      <c r="D318" s="32" t="s">
        <v>994</v>
      </c>
      <c r="E318" s="32" t="s">
        <v>1122</v>
      </c>
      <c r="F318" s="47">
        <v>44291</v>
      </c>
      <c r="G318" s="47">
        <v>30355</v>
      </c>
      <c r="H318" s="32" t="s">
        <v>1444</v>
      </c>
      <c r="I318" s="55" t="s">
        <v>1445</v>
      </c>
      <c r="J318" s="68"/>
      <c r="K318" s="68"/>
      <c r="L318" s="54"/>
      <c r="M318" s="70"/>
      <c r="N318" s="56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4"/>
    </row>
    <row r="319" spans="1:25">
      <c r="A319" s="43">
        <v>8732</v>
      </c>
      <c r="B319" s="32" t="s">
        <v>874</v>
      </c>
      <c r="C319" s="32" t="s">
        <v>570</v>
      </c>
      <c r="D319" s="32" t="s">
        <v>996</v>
      </c>
      <c r="E319" s="35"/>
      <c r="F319" s="47">
        <v>42255</v>
      </c>
      <c r="G319" s="47">
        <v>32007</v>
      </c>
      <c r="H319" s="32" t="s">
        <v>1446</v>
      </c>
      <c r="I319" s="55" t="s">
        <v>1447</v>
      </c>
      <c r="J319" s="68"/>
      <c r="K319" s="68"/>
      <c r="L319" s="54"/>
      <c r="M319" s="70"/>
      <c r="N319" s="56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4"/>
    </row>
    <row r="320" spans="1:25">
      <c r="A320" s="43">
        <v>8737</v>
      </c>
      <c r="B320" s="32" t="s">
        <v>875</v>
      </c>
      <c r="C320" s="32" t="s">
        <v>530</v>
      </c>
      <c r="D320" s="32" t="s">
        <v>994</v>
      </c>
      <c r="E320" s="32" t="s">
        <v>1078</v>
      </c>
      <c r="F320" s="47">
        <v>42339</v>
      </c>
      <c r="G320" s="47">
        <v>27638</v>
      </c>
      <c r="H320" s="32" t="s">
        <v>1448</v>
      </c>
      <c r="I320" s="55" t="s">
        <v>1110</v>
      </c>
      <c r="J320" s="68"/>
      <c r="K320" s="68"/>
      <c r="L320" s="54"/>
      <c r="M320" s="70"/>
      <c r="N320" s="56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4"/>
    </row>
    <row r="321" spans="1:25">
      <c r="A321" s="43">
        <v>8738</v>
      </c>
      <c r="B321" s="32" t="s">
        <v>876</v>
      </c>
      <c r="C321" s="32" t="s">
        <v>541</v>
      </c>
      <c r="D321" s="32" t="s">
        <v>994</v>
      </c>
      <c r="E321" s="32" t="s">
        <v>1081</v>
      </c>
      <c r="F321" s="47">
        <v>42359</v>
      </c>
      <c r="G321" s="47">
        <v>28590</v>
      </c>
      <c r="H321" s="32" t="s">
        <v>1449</v>
      </c>
      <c r="I321" s="55" t="s">
        <v>1115</v>
      </c>
      <c r="J321" s="68"/>
      <c r="K321" s="68"/>
      <c r="L321" s="54"/>
      <c r="M321" s="70"/>
      <c r="N321" s="56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4"/>
    </row>
    <row r="322" spans="1:25">
      <c r="A322" s="43">
        <v>8739</v>
      </c>
      <c r="B322" s="32" t="s">
        <v>877</v>
      </c>
      <c r="C322" s="32" t="s">
        <v>541</v>
      </c>
      <c r="D322" s="32" t="s">
        <v>994</v>
      </c>
      <c r="E322" s="32" t="s">
        <v>1081</v>
      </c>
      <c r="F322" s="47">
        <v>42359</v>
      </c>
      <c r="G322" s="47">
        <v>31609</v>
      </c>
      <c r="H322" s="32" t="s">
        <v>1450</v>
      </c>
      <c r="I322" s="55" t="s">
        <v>1115</v>
      </c>
      <c r="J322" s="68"/>
      <c r="K322" s="68"/>
      <c r="L322" s="54"/>
      <c r="M322" s="70"/>
      <c r="N322" s="56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4"/>
    </row>
    <row r="323" spans="1:25">
      <c r="A323" s="43">
        <v>8742</v>
      </c>
      <c r="B323" s="32" t="s">
        <v>878</v>
      </c>
      <c r="C323" s="32" t="s">
        <v>532</v>
      </c>
      <c r="D323" s="32" t="s">
        <v>994</v>
      </c>
      <c r="E323" s="32" t="s">
        <v>1081</v>
      </c>
      <c r="F323" s="47">
        <v>42359</v>
      </c>
      <c r="G323" s="47">
        <v>32483</v>
      </c>
      <c r="H323" s="32" t="s">
        <v>1451</v>
      </c>
      <c r="I323" s="55" t="s">
        <v>1117</v>
      </c>
      <c r="J323" s="68"/>
      <c r="K323" s="68"/>
      <c r="L323" s="54"/>
      <c r="M323" s="70"/>
      <c r="N323" s="56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4"/>
    </row>
    <row r="324" spans="1:25">
      <c r="A324" s="43">
        <v>8743</v>
      </c>
      <c r="B324" s="32" t="s">
        <v>879</v>
      </c>
      <c r="C324" s="32" t="s">
        <v>536</v>
      </c>
      <c r="D324" s="32" t="s">
        <v>994</v>
      </c>
      <c r="E324" s="32" t="s">
        <v>1081</v>
      </c>
      <c r="F324" s="47">
        <v>42359</v>
      </c>
      <c r="G324" s="47">
        <v>30673</v>
      </c>
      <c r="H324" s="32" t="s">
        <v>1452</v>
      </c>
      <c r="I324" s="55" t="s">
        <v>1117</v>
      </c>
      <c r="J324" s="68"/>
      <c r="K324" s="68"/>
      <c r="L324" s="54"/>
      <c r="M324" s="70"/>
      <c r="N324" s="56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4"/>
    </row>
    <row r="325" spans="1:25">
      <c r="A325" s="43">
        <v>8744</v>
      </c>
      <c r="B325" s="32" t="s">
        <v>880</v>
      </c>
      <c r="C325" s="32" t="s">
        <v>589</v>
      </c>
      <c r="D325" s="32" t="s">
        <v>996</v>
      </c>
      <c r="E325" s="32" t="s">
        <v>1150</v>
      </c>
      <c r="F325" s="47">
        <v>42366</v>
      </c>
      <c r="G325" s="47">
        <v>26388</v>
      </c>
      <c r="H325" s="32" t="s">
        <v>1453</v>
      </c>
      <c r="I325" s="55" t="s">
        <v>1080</v>
      </c>
      <c r="J325" s="68"/>
      <c r="K325" s="68"/>
      <c r="L325" s="54"/>
      <c r="M325" s="70"/>
      <c r="N325" s="56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4"/>
    </row>
    <row r="326" spans="1:25">
      <c r="A326" s="43">
        <v>8745</v>
      </c>
      <c r="B326" s="32" t="s">
        <v>881</v>
      </c>
      <c r="C326" s="32" t="s">
        <v>882</v>
      </c>
      <c r="D326" s="32" t="s">
        <v>1454</v>
      </c>
      <c r="E326" s="35"/>
      <c r="F326" s="47">
        <v>42366</v>
      </c>
      <c r="G326" s="47">
        <v>28114</v>
      </c>
      <c r="H326" s="32" t="s">
        <v>1455</v>
      </c>
      <c r="I326" s="55" t="s">
        <v>1262</v>
      </c>
      <c r="J326" s="68"/>
      <c r="K326" s="68"/>
      <c r="L326" s="54"/>
      <c r="M326" s="70"/>
      <c r="N326" s="56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4"/>
    </row>
    <row r="327" spans="1:25">
      <c r="A327" s="43">
        <v>8753</v>
      </c>
      <c r="B327" s="32" t="s">
        <v>883</v>
      </c>
      <c r="C327" s="32" t="s">
        <v>556</v>
      </c>
      <c r="D327" s="32" t="s">
        <v>994</v>
      </c>
      <c r="E327" s="32" t="s">
        <v>1081</v>
      </c>
      <c r="F327" s="47">
        <v>42473</v>
      </c>
      <c r="G327" s="47">
        <v>29434</v>
      </c>
      <c r="H327" s="32" t="s">
        <v>1456</v>
      </c>
      <c r="I327" s="55" t="s">
        <v>1117</v>
      </c>
      <c r="J327" s="68"/>
      <c r="K327" s="68"/>
      <c r="L327" s="54"/>
      <c r="M327" s="70"/>
      <c r="N327" s="56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4"/>
    </row>
    <row r="328" spans="1:25">
      <c r="A328" s="43">
        <v>8756</v>
      </c>
      <c r="B328" s="32" t="s">
        <v>884</v>
      </c>
      <c r="C328" s="32" t="s">
        <v>541</v>
      </c>
      <c r="D328" s="32" t="s">
        <v>994</v>
      </c>
      <c r="E328" s="32" t="s">
        <v>1081</v>
      </c>
      <c r="F328" s="47">
        <v>42473</v>
      </c>
      <c r="G328" s="47">
        <v>29469</v>
      </c>
      <c r="H328" s="32" t="s">
        <v>1457</v>
      </c>
      <c r="I328" s="55" t="s">
        <v>1117</v>
      </c>
      <c r="J328" s="68"/>
      <c r="K328" s="68"/>
      <c r="L328" s="54"/>
      <c r="M328" s="70"/>
      <c r="N328" s="56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4"/>
    </row>
    <row r="329" spans="1:25">
      <c r="A329" s="43">
        <v>8759</v>
      </c>
      <c r="B329" s="32" t="s">
        <v>885</v>
      </c>
      <c r="C329" s="32" t="s">
        <v>577</v>
      </c>
      <c r="D329" s="32" t="s">
        <v>996</v>
      </c>
      <c r="E329" s="35"/>
      <c r="F329" s="47">
        <v>42474</v>
      </c>
      <c r="G329" s="47">
        <v>34035</v>
      </c>
      <c r="H329" s="32" t="s">
        <v>1458</v>
      </c>
      <c r="I329" s="55" t="s">
        <v>1117</v>
      </c>
      <c r="J329" s="68"/>
      <c r="K329" s="68"/>
      <c r="L329" s="54"/>
      <c r="M329" s="70"/>
      <c r="N329" s="56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4"/>
    </row>
    <row r="330" spans="1:25">
      <c r="A330" s="43">
        <v>8760</v>
      </c>
      <c r="B330" s="32" t="s">
        <v>886</v>
      </c>
      <c r="C330" s="32" t="s">
        <v>577</v>
      </c>
      <c r="D330" s="32" t="s">
        <v>996</v>
      </c>
      <c r="E330" s="35"/>
      <c r="F330" s="47">
        <v>42474</v>
      </c>
      <c r="G330" s="47">
        <v>33204</v>
      </c>
      <c r="H330" s="32" t="s">
        <v>1459</v>
      </c>
      <c r="I330" s="55" t="s">
        <v>1117</v>
      </c>
      <c r="J330" s="68"/>
      <c r="K330" s="68"/>
      <c r="L330" s="54"/>
      <c r="M330" s="70"/>
      <c r="N330" s="56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4"/>
    </row>
    <row r="331" spans="1:25">
      <c r="A331" s="43">
        <v>8761</v>
      </c>
      <c r="B331" s="32" t="s">
        <v>887</v>
      </c>
      <c r="C331" s="32" t="s">
        <v>532</v>
      </c>
      <c r="D331" s="32" t="s">
        <v>994</v>
      </c>
      <c r="E331" s="32" t="s">
        <v>1081</v>
      </c>
      <c r="F331" s="47">
        <v>42474</v>
      </c>
      <c r="G331" s="47">
        <v>34766</v>
      </c>
      <c r="H331" s="32" t="s">
        <v>1460</v>
      </c>
      <c r="I331" s="55" t="s">
        <v>1117</v>
      </c>
      <c r="J331" s="68"/>
      <c r="K331" s="68"/>
      <c r="L331" s="54"/>
      <c r="M331" s="70"/>
      <c r="N331" s="56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4"/>
    </row>
    <row r="332" spans="1:25">
      <c r="A332" s="43">
        <v>8763</v>
      </c>
      <c r="B332" s="32" t="s">
        <v>888</v>
      </c>
      <c r="C332" s="32" t="s">
        <v>534</v>
      </c>
      <c r="D332" s="32" t="s">
        <v>994</v>
      </c>
      <c r="E332" s="32" t="s">
        <v>1081</v>
      </c>
      <c r="F332" s="47">
        <v>42768</v>
      </c>
      <c r="G332" s="47">
        <v>34460</v>
      </c>
      <c r="H332" s="32" t="s">
        <v>1461</v>
      </c>
      <c r="I332" s="55" t="s">
        <v>1117</v>
      </c>
      <c r="J332" s="68"/>
      <c r="K332" s="68"/>
      <c r="L332" s="54"/>
      <c r="M332" s="70"/>
      <c r="N332" s="56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4"/>
    </row>
    <row r="333" spans="1:25">
      <c r="A333" s="43">
        <v>8764</v>
      </c>
      <c r="B333" s="32" t="s">
        <v>585</v>
      </c>
      <c r="C333" s="32" t="s">
        <v>534</v>
      </c>
      <c r="D333" s="32" t="s">
        <v>994</v>
      </c>
      <c r="E333" s="32" t="s">
        <v>1081</v>
      </c>
      <c r="F333" s="47">
        <v>42768</v>
      </c>
      <c r="G333" s="47">
        <v>35171</v>
      </c>
      <c r="H333" s="32" t="s">
        <v>1462</v>
      </c>
      <c r="I333" s="55" t="s">
        <v>1117</v>
      </c>
      <c r="J333" s="68"/>
      <c r="K333" s="68"/>
      <c r="L333" s="54"/>
      <c r="M333" s="70"/>
      <c r="N333" s="56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4"/>
    </row>
    <row r="334" spans="1:25">
      <c r="A334" s="43">
        <v>8765</v>
      </c>
      <c r="B334" s="32" t="s">
        <v>889</v>
      </c>
      <c r="C334" s="32" t="s">
        <v>532</v>
      </c>
      <c r="D334" s="32" t="s">
        <v>994</v>
      </c>
      <c r="E334" s="32" t="s">
        <v>1081</v>
      </c>
      <c r="F334" s="47">
        <v>42773</v>
      </c>
      <c r="G334" s="47">
        <v>31946</v>
      </c>
      <c r="H334" s="32" t="s">
        <v>1463</v>
      </c>
      <c r="I334" s="55" t="s">
        <v>1117</v>
      </c>
      <c r="J334" s="68"/>
      <c r="K334" s="68"/>
      <c r="L334" s="54"/>
      <c r="M334" s="70"/>
      <c r="N334" s="56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4"/>
    </row>
    <row r="335" spans="1:25">
      <c r="A335" s="43">
        <v>8766</v>
      </c>
      <c r="B335" s="32" t="s">
        <v>890</v>
      </c>
      <c r="C335" s="32" t="s">
        <v>554</v>
      </c>
      <c r="D335" s="32" t="s">
        <v>994</v>
      </c>
      <c r="E335" s="32" t="s">
        <v>1081</v>
      </c>
      <c r="F335" s="47">
        <v>42773</v>
      </c>
      <c r="G335" s="47">
        <v>36063</v>
      </c>
      <c r="H335" s="32" t="s">
        <v>1464</v>
      </c>
      <c r="I335" s="55" t="s">
        <v>1117</v>
      </c>
      <c r="J335" s="68"/>
      <c r="K335" s="68"/>
      <c r="L335" s="54"/>
      <c r="M335" s="70"/>
      <c r="N335" s="56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4"/>
    </row>
    <row r="336" spans="1:25">
      <c r="A336" s="43">
        <v>8771</v>
      </c>
      <c r="B336" s="32" t="s">
        <v>891</v>
      </c>
      <c r="C336" s="32" t="s">
        <v>534</v>
      </c>
      <c r="D336" s="32" t="s">
        <v>994</v>
      </c>
      <c r="E336" s="32" t="s">
        <v>1081</v>
      </c>
      <c r="F336" s="47">
        <v>43446</v>
      </c>
      <c r="G336" s="47">
        <v>33249</v>
      </c>
      <c r="H336" s="32" t="s">
        <v>1465</v>
      </c>
      <c r="I336" s="55" t="s">
        <v>1115</v>
      </c>
      <c r="J336" s="68"/>
      <c r="K336" s="68"/>
      <c r="L336" s="54"/>
      <c r="M336" s="70"/>
      <c r="N336" s="56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4"/>
    </row>
    <row r="337" spans="1:25">
      <c r="A337" s="43">
        <v>8772</v>
      </c>
      <c r="B337" s="32" t="s">
        <v>892</v>
      </c>
      <c r="C337" s="35"/>
      <c r="D337" s="32" t="s">
        <v>994</v>
      </c>
      <c r="E337" s="32" t="s">
        <v>1174</v>
      </c>
      <c r="F337" s="47">
        <v>43473</v>
      </c>
      <c r="G337" s="47">
        <v>29175</v>
      </c>
      <c r="H337" s="32" t="s">
        <v>1466</v>
      </c>
      <c r="I337" s="55" t="s">
        <v>1182</v>
      </c>
      <c r="J337" s="68"/>
      <c r="K337" s="68"/>
      <c r="L337" s="54"/>
      <c r="M337" s="70"/>
      <c r="N337" s="56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4"/>
    </row>
    <row r="338" spans="1:25">
      <c r="A338" s="43">
        <v>8776</v>
      </c>
      <c r="B338" s="32" t="s">
        <v>893</v>
      </c>
      <c r="C338" s="32" t="s">
        <v>894</v>
      </c>
      <c r="D338" s="32" t="s">
        <v>996</v>
      </c>
      <c r="E338" s="32" t="s">
        <v>1317</v>
      </c>
      <c r="F338" s="47">
        <v>43525</v>
      </c>
      <c r="G338" s="47">
        <v>24451</v>
      </c>
      <c r="H338" s="32" t="s">
        <v>1467</v>
      </c>
      <c r="I338" s="55" t="s">
        <v>1262</v>
      </c>
      <c r="J338" s="68"/>
      <c r="K338" s="68"/>
      <c r="L338" s="54"/>
      <c r="M338" s="70"/>
      <c r="N338" s="56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4"/>
    </row>
    <row r="339" spans="1:25">
      <c r="A339" s="43">
        <v>8783</v>
      </c>
      <c r="B339" s="32" t="s">
        <v>895</v>
      </c>
      <c r="C339" s="32" t="s">
        <v>777</v>
      </c>
      <c r="D339" s="32" t="s">
        <v>996</v>
      </c>
      <c r="E339" s="32" t="s">
        <v>1150</v>
      </c>
      <c r="F339" s="47">
        <v>43703</v>
      </c>
      <c r="G339" s="47">
        <v>32926</v>
      </c>
      <c r="H339" s="32" t="s">
        <v>1468</v>
      </c>
      <c r="I339" s="55" t="s">
        <v>1145</v>
      </c>
      <c r="J339" s="68"/>
      <c r="K339" s="68"/>
      <c r="L339" s="54"/>
      <c r="M339" s="70"/>
      <c r="N339" s="56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4"/>
    </row>
    <row r="340" spans="1:25">
      <c r="A340" s="43">
        <v>8787</v>
      </c>
      <c r="B340" s="32" t="s">
        <v>896</v>
      </c>
      <c r="C340" s="32" t="s">
        <v>897</v>
      </c>
      <c r="D340" s="32" t="s">
        <v>996</v>
      </c>
      <c r="E340" s="32" t="s">
        <v>1317</v>
      </c>
      <c r="F340" s="47">
        <v>43802</v>
      </c>
      <c r="G340" s="47">
        <v>36816</v>
      </c>
      <c r="H340" s="32" t="s">
        <v>1469</v>
      </c>
      <c r="I340" s="55" t="s">
        <v>1470</v>
      </c>
      <c r="J340" s="68"/>
      <c r="K340" s="68"/>
      <c r="L340" s="54"/>
      <c r="M340" s="70"/>
      <c r="N340" s="56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4"/>
    </row>
    <row r="341" spans="1:25">
      <c r="A341" s="43">
        <v>8792</v>
      </c>
      <c r="B341" s="32" t="s">
        <v>898</v>
      </c>
      <c r="C341" s="32" t="s">
        <v>538</v>
      </c>
      <c r="D341" s="32" t="s">
        <v>994</v>
      </c>
      <c r="E341" s="32" t="s">
        <v>1078</v>
      </c>
      <c r="F341" s="47">
        <v>44018</v>
      </c>
      <c r="G341" s="47">
        <v>33133</v>
      </c>
      <c r="H341" s="32" t="s">
        <v>1471</v>
      </c>
      <c r="I341" s="55" t="s">
        <v>1472</v>
      </c>
      <c r="J341" s="68"/>
      <c r="K341" s="68"/>
      <c r="L341" s="54"/>
      <c r="M341" s="70"/>
      <c r="N341" s="56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4"/>
    </row>
    <row r="342" spans="1:25">
      <c r="A342" s="43">
        <v>8794</v>
      </c>
      <c r="B342" s="32" t="s">
        <v>899</v>
      </c>
      <c r="C342" s="32" t="s">
        <v>538</v>
      </c>
      <c r="D342" s="32" t="s">
        <v>994</v>
      </c>
      <c r="E342" s="32" t="s">
        <v>1078</v>
      </c>
      <c r="F342" s="47">
        <v>44020</v>
      </c>
      <c r="G342" s="47">
        <v>31772</v>
      </c>
      <c r="H342" s="32" t="s">
        <v>1473</v>
      </c>
      <c r="I342" s="55" t="s">
        <v>1210</v>
      </c>
      <c r="J342" s="68"/>
      <c r="K342" s="68"/>
      <c r="L342" s="54"/>
      <c r="M342" s="70"/>
      <c r="N342" s="56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4"/>
    </row>
    <row r="343" spans="1:25">
      <c r="A343" s="43">
        <v>8795</v>
      </c>
      <c r="B343" s="32" t="s">
        <v>900</v>
      </c>
      <c r="C343" s="32" t="s">
        <v>538</v>
      </c>
      <c r="D343" s="32" t="s">
        <v>994</v>
      </c>
      <c r="E343" s="32" t="s">
        <v>1078</v>
      </c>
      <c r="F343" s="47">
        <v>44020</v>
      </c>
      <c r="G343" s="47">
        <v>30348</v>
      </c>
      <c r="H343" s="32" t="s">
        <v>1474</v>
      </c>
      <c r="I343" s="55" t="s">
        <v>1210</v>
      </c>
      <c r="J343" s="68"/>
      <c r="K343" s="68"/>
      <c r="L343" s="54"/>
      <c r="M343" s="70"/>
      <c r="N343" s="56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4"/>
    </row>
    <row r="344" spans="1:25">
      <c r="A344" s="43">
        <v>8798</v>
      </c>
      <c r="B344" s="32" t="s">
        <v>901</v>
      </c>
      <c r="C344" s="32" t="s">
        <v>570</v>
      </c>
      <c r="D344" s="32" t="s">
        <v>996</v>
      </c>
      <c r="E344" s="35"/>
      <c r="F344" s="47">
        <v>44244</v>
      </c>
      <c r="G344" s="47">
        <v>30824</v>
      </c>
      <c r="H344" s="32" t="s">
        <v>1475</v>
      </c>
      <c r="I344" s="55" t="s">
        <v>1447</v>
      </c>
      <c r="J344" s="68"/>
      <c r="K344" s="68"/>
      <c r="L344" s="54"/>
      <c r="M344" s="70"/>
      <c r="N344" s="56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4"/>
    </row>
    <row r="345" spans="1:25">
      <c r="A345" s="43">
        <v>8802</v>
      </c>
      <c r="B345" s="32" t="s">
        <v>902</v>
      </c>
      <c r="C345" s="32" t="s">
        <v>532</v>
      </c>
      <c r="D345" s="32" t="s">
        <v>994</v>
      </c>
      <c r="E345" s="32" t="s">
        <v>1081</v>
      </c>
      <c r="F345" s="47">
        <v>44263</v>
      </c>
      <c r="G345" s="47">
        <v>37008</v>
      </c>
      <c r="H345" s="32" t="s">
        <v>1476</v>
      </c>
      <c r="I345" s="55" t="s">
        <v>1358</v>
      </c>
      <c r="J345" s="68"/>
      <c r="K345" s="68"/>
      <c r="L345" s="54"/>
      <c r="M345" s="70"/>
      <c r="N345" s="56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4"/>
    </row>
    <row r="346" spans="1:25">
      <c r="A346" s="43">
        <v>8805</v>
      </c>
      <c r="B346" s="32" t="s">
        <v>903</v>
      </c>
      <c r="C346" s="32" t="s">
        <v>838</v>
      </c>
      <c r="D346" s="32" t="s">
        <v>1103</v>
      </c>
      <c r="E346" s="35"/>
      <c r="F346" s="47">
        <v>44291</v>
      </c>
      <c r="G346" s="47">
        <v>35218</v>
      </c>
      <c r="H346" s="32" t="s">
        <v>1477</v>
      </c>
      <c r="I346" s="55" t="s">
        <v>1470</v>
      </c>
      <c r="J346" s="68"/>
      <c r="K346" s="68"/>
      <c r="L346" s="54"/>
      <c r="M346" s="70"/>
      <c r="N346" s="56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4"/>
    </row>
    <row r="347" spans="1:25">
      <c r="A347" s="43">
        <v>8808</v>
      </c>
      <c r="B347" s="32" t="s">
        <v>904</v>
      </c>
      <c r="C347" s="32" t="s">
        <v>536</v>
      </c>
      <c r="D347" s="32" t="s">
        <v>994</v>
      </c>
      <c r="E347" s="32" t="s">
        <v>1081</v>
      </c>
      <c r="F347" s="47">
        <v>44326</v>
      </c>
      <c r="G347" s="47">
        <v>33837</v>
      </c>
      <c r="H347" s="32" t="s">
        <v>1478</v>
      </c>
      <c r="I347" s="55" t="s">
        <v>1358</v>
      </c>
      <c r="J347" s="68"/>
      <c r="K347" s="68"/>
      <c r="L347" s="54"/>
      <c r="M347" s="70"/>
      <c r="N347" s="56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4"/>
    </row>
    <row r="348" spans="1:25">
      <c r="A348" s="43">
        <v>8810</v>
      </c>
      <c r="B348" s="32" t="s">
        <v>905</v>
      </c>
      <c r="C348" s="32" t="s">
        <v>541</v>
      </c>
      <c r="D348" s="32" t="s">
        <v>994</v>
      </c>
      <c r="E348" s="32" t="s">
        <v>1081</v>
      </c>
      <c r="F348" s="47">
        <v>44326</v>
      </c>
      <c r="G348" s="47">
        <v>26046</v>
      </c>
      <c r="H348" s="32" t="s">
        <v>1479</v>
      </c>
      <c r="I348" s="55" t="s">
        <v>1099</v>
      </c>
      <c r="J348" s="68"/>
      <c r="K348" s="68"/>
      <c r="L348" s="54"/>
      <c r="M348" s="70"/>
      <c r="N348" s="56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4"/>
    </row>
    <row r="349" spans="1:25">
      <c r="A349" s="43">
        <v>8814</v>
      </c>
      <c r="B349" s="32" t="s">
        <v>906</v>
      </c>
      <c r="C349" s="32" t="s">
        <v>541</v>
      </c>
      <c r="D349" s="32" t="s">
        <v>994</v>
      </c>
      <c r="E349" s="32" t="s">
        <v>1081</v>
      </c>
      <c r="F349" s="47">
        <v>44326</v>
      </c>
      <c r="G349" s="47">
        <v>30615</v>
      </c>
      <c r="H349" s="32" t="s">
        <v>1480</v>
      </c>
      <c r="I349" s="55" t="s">
        <v>1115</v>
      </c>
      <c r="J349" s="68"/>
      <c r="K349" s="68"/>
      <c r="L349" s="54"/>
      <c r="M349" s="70"/>
      <c r="N349" s="56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4"/>
    </row>
    <row r="350" spans="1:25">
      <c r="A350" s="43">
        <v>8816</v>
      </c>
      <c r="B350" s="32" t="s">
        <v>907</v>
      </c>
      <c r="C350" s="32" t="s">
        <v>577</v>
      </c>
      <c r="D350" s="32" t="s">
        <v>996</v>
      </c>
      <c r="E350" s="35"/>
      <c r="F350" s="47">
        <v>44326</v>
      </c>
      <c r="G350" s="47">
        <v>36298</v>
      </c>
      <c r="H350" s="32" t="s">
        <v>1481</v>
      </c>
      <c r="I350" s="55" t="s">
        <v>1358</v>
      </c>
      <c r="J350" s="68"/>
      <c r="K350" s="68"/>
      <c r="L350" s="54"/>
      <c r="M350" s="70"/>
      <c r="N350" s="56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4"/>
    </row>
    <row r="351" spans="1:25">
      <c r="A351" s="43">
        <v>8823</v>
      </c>
      <c r="B351" s="32" t="s">
        <v>908</v>
      </c>
      <c r="C351" s="32" t="s">
        <v>577</v>
      </c>
      <c r="D351" s="32" t="s">
        <v>996</v>
      </c>
      <c r="E351" s="35"/>
      <c r="F351" s="47">
        <v>44382</v>
      </c>
      <c r="G351" s="47">
        <v>37590</v>
      </c>
      <c r="H351" s="32" t="s">
        <v>1482</v>
      </c>
      <c r="I351" s="55" t="s">
        <v>1358</v>
      </c>
      <c r="J351" s="68"/>
      <c r="K351" s="68"/>
      <c r="L351" s="54"/>
      <c r="M351" s="70"/>
      <c r="N351" s="56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4"/>
    </row>
    <row r="352" spans="1:25">
      <c r="A352" s="43">
        <v>8824</v>
      </c>
      <c r="B352" s="32" t="s">
        <v>909</v>
      </c>
      <c r="C352" s="32" t="s">
        <v>604</v>
      </c>
      <c r="D352" s="32" t="s">
        <v>994</v>
      </c>
      <c r="E352" s="35"/>
      <c r="F352" s="47">
        <v>44382</v>
      </c>
      <c r="G352" s="47">
        <v>37510</v>
      </c>
      <c r="H352" s="32" t="s">
        <v>1483</v>
      </c>
      <c r="I352" s="55" t="s">
        <v>1484</v>
      </c>
      <c r="J352" s="68"/>
      <c r="K352" s="68"/>
      <c r="L352" s="54"/>
      <c r="M352" s="70"/>
      <c r="N352" s="56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4"/>
    </row>
    <row r="353" spans="1:25">
      <c r="A353" s="43">
        <v>8825</v>
      </c>
      <c r="B353" s="32" t="s">
        <v>910</v>
      </c>
      <c r="C353" s="32" t="s">
        <v>577</v>
      </c>
      <c r="D353" s="32" t="s">
        <v>996</v>
      </c>
      <c r="E353" s="35"/>
      <c r="F353" s="47">
        <v>44382</v>
      </c>
      <c r="G353" s="47">
        <v>35977</v>
      </c>
      <c r="H353" s="32" t="s">
        <v>1485</v>
      </c>
      <c r="I353" s="55" t="s">
        <v>1358</v>
      </c>
      <c r="J353" s="68"/>
      <c r="K353" s="68"/>
      <c r="L353" s="54"/>
      <c r="M353" s="70"/>
      <c r="N353" s="56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4"/>
    </row>
    <row r="354" spans="1:25">
      <c r="A354" s="43">
        <v>8826</v>
      </c>
      <c r="B354" s="32" t="s">
        <v>911</v>
      </c>
      <c r="C354" s="32" t="s">
        <v>554</v>
      </c>
      <c r="D354" s="32" t="s">
        <v>994</v>
      </c>
      <c r="E354" s="32" t="s">
        <v>1081</v>
      </c>
      <c r="F354" s="47">
        <v>44382</v>
      </c>
      <c r="G354" s="47">
        <v>28653</v>
      </c>
      <c r="H354" s="32" t="s">
        <v>1486</v>
      </c>
      <c r="I354" s="55" t="s">
        <v>1358</v>
      </c>
      <c r="J354" s="68"/>
      <c r="K354" s="68"/>
      <c r="L354" s="54"/>
      <c r="M354" s="70"/>
      <c r="N354" s="56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4"/>
    </row>
    <row r="355" spans="1:25">
      <c r="A355" s="43">
        <v>8827</v>
      </c>
      <c r="B355" s="32" t="s">
        <v>912</v>
      </c>
      <c r="C355" s="32" t="s">
        <v>534</v>
      </c>
      <c r="D355" s="32" t="s">
        <v>994</v>
      </c>
      <c r="E355" s="32" t="s">
        <v>1081</v>
      </c>
      <c r="F355" s="47">
        <v>44382</v>
      </c>
      <c r="G355" s="47">
        <v>37297</v>
      </c>
      <c r="H355" s="32" t="s">
        <v>1487</v>
      </c>
      <c r="I355" s="55" t="s">
        <v>1358</v>
      </c>
      <c r="J355" s="68"/>
      <c r="K355" s="68"/>
      <c r="L355" s="54"/>
      <c r="M355" s="70"/>
      <c r="N355" s="56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4"/>
    </row>
    <row r="356" spans="1:25">
      <c r="A356" s="43">
        <v>8829</v>
      </c>
      <c r="B356" s="32" t="s">
        <v>913</v>
      </c>
      <c r="C356" s="32" t="s">
        <v>530</v>
      </c>
      <c r="D356" s="32" t="s">
        <v>994</v>
      </c>
      <c r="E356" s="32" t="s">
        <v>1078</v>
      </c>
      <c r="F356" s="47">
        <v>44382</v>
      </c>
      <c r="G356" s="47">
        <v>36463</v>
      </c>
      <c r="H356" s="32" t="s">
        <v>1488</v>
      </c>
      <c r="I356" s="55" t="s">
        <v>1484</v>
      </c>
      <c r="J356" s="68"/>
      <c r="K356" s="68"/>
      <c r="L356" s="54"/>
      <c r="M356" s="70"/>
      <c r="N356" s="56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4"/>
    </row>
    <row r="357" spans="1:25">
      <c r="A357" s="43">
        <v>8830</v>
      </c>
      <c r="B357" s="32" t="s">
        <v>914</v>
      </c>
      <c r="C357" s="32" t="s">
        <v>538</v>
      </c>
      <c r="D357" s="32" t="s">
        <v>994</v>
      </c>
      <c r="E357" s="32" t="s">
        <v>1078</v>
      </c>
      <c r="F357" s="47">
        <v>44382</v>
      </c>
      <c r="G357" s="47">
        <v>36801</v>
      </c>
      <c r="H357" s="32" t="s">
        <v>1489</v>
      </c>
      <c r="I357" s="55" t="s">
        <v>1358</v>
      </c>
      <c r="J357" s="68"/>
      <c r="K357" s="68"/>
      <c r="L357" s="54"/>
      <c r="M357" s="70"/>
      <c r="N357" s="56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4"/>
    </row>
    <row r="358" spans="1:25">
      <c r="A358" s="43">
        <v>8831</v>
      </c>
      <c r="B358" s="32" t="s">
        <v>915</v>
      </c>
      <c r="C358" s="32" t="s">
        <v>654</v>
      </c>
      <c r="D358" s="32" t="s">
        <v>994</v>
      </c>
      <c r="E358" s="32" t="s">
        <v>1081</v>
      </c>
      <c r="F358" s="47">
        <v>44382</v>
      </c>
      <c r="G358" s="47">
        <v>31105</v>
      </c>
      <c r="H358" s="32" t="s">
        <v>1490</v>
      </c>
      <c r="I358" s="55" t="s">
        <v>1117</v>
      </c>
      <c r="J358" s="68"/>
      <c r="K358" s="68"/>
      <c r="L358" s="54"/>
      <c r="M358" s="70"/>
      <c r="N358" s="56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4"/>
    </row>
    <row r="359" spans="1:25">
      <c r="A359" s="43">
        <v>8832</v>
      </c>
      <c r="B359" s="32" t="s">
        <v>916</v>
      </c>
      <c r="C359" s="32" t="s">
        <v>556</v>
      </c>
      <c r="D359" s="32" t="s">
        <v>994</v>
      </c>
      <c r="E359" s="32" t="s">
        <v>1081</v>
      </c>
      <c r="F359" s="47">
        <v>44382</v>
      </c>
      <c r="G359" s="47">
        <v>32077</v>
      </c>
      <c r="H359" s="32" t="s">
        <v>1491</v>
      </c>
      <c r="I359" s="55" t="s">
        <v>1117</v>
      </c>
      <c r="J359" s="68"/>
      <c r="K359" s="68"/>
      <c r="L359" s="54"/>
      <c r="M359" s="70"/>
      <c r="N359" s="56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4"/>
    </row>
    <row r="360" spans="1:25">
      <c r="A360" s="43">
        <v>8833</v>
      </c>
      <c r="B360" s="32" t="s">
        <v>917</v>
      </c>
      <c r="C360" s="32" t="s">
        <v>534</v>
      </c>
      <c r="D360" s="32" t="s">
        <v>994</v>
      </c>
      <c r="E360" s="32" t="s">
        <v>1081</v>
      </c>
      <c r="F360" s="47">
        <v>44382</v>
      </c>
      <c r="G360" s="47">
        <v>29723</v>
      </c>
      <c r="H360" s="32" t="s">
        <v>1492</v>
      </c>
      <c r="I360" s="55" t="s">
        <v>1117</v>
      </c>
      <c r="J360" s="68"/>
      <c r="K360" s="68"/>
      <c r="L360" s="54"/>
      <c r="M360" s="70"/>
      <c r="N360" s="56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4"/>
    </row>
    <row r="361" spans="1:25">
      <c r="A361" s="43">
        <v>8834</v>
      </c>
      <c r="B361" s="32" t="s">
        <v>918</v>
      </c>
      <c r="C361" s="32" t="s">
        <v>554</v>
      </c>
      <c r="D361" s="32" t="s">
        <v>994</v>
      </c>
      <c r="E361" s="32" t="s">
        <v>1081</v>
      </c>
      <c r="F361" s="47">
        <v>44382</v>
      </c>
      <c r="G361" s="47">
        <v>33965</v>
      </c>
      <c r="H361" s="32" t="s">
        <v>1493</v>
      </c>
      <c r="I361" s="55" t="s">
        <v>1117</v>
      </c>
      <c r="J361" s="68"/>
      <c r="K361" s="68"/>
      <c r="L361" s="54"/>
      <c r="M361" s="70"/>
      <c r="N361" s="56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4"/>
    </row>
    <row r="362" spans="1:25">
      <c r="A362" s="43">
        <v>8841</v>
      </c>
      <c r="B362" s="32" t="s">
        <v>919</v>
      </c>
      <c r="C362" s="35"/>
      <c r="D362" s="32" t="s">
        <v>994</v>
      </c>
      <c r="E362" s="32" t="s">
        <v>1122</v>
      </c>
      <c r="F362" s="47">
        <v>44431</v>
      </c>
      <c r="G362" s="47">
        <v>31619</v>
      </c>
      <c r="H362" s="32" t="s">
        <v>1494</v>
      </c>
      <c r="I362" s="55" t="s">
        <v>1323</v>
      </c>
      <c r="J362" s="68"/>
      <c r="K362" s="68"/>
      <c r="L362" s="54"/>
      <c r="M362" s="70"/>
      <c r="N362" s="56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4"/>
    </row>
    <row r="363" spans="1:25">
      <c r="A363" s="43">
        <v>8842</v>
      </c>
      <c r="B363" s="32" t="s">
        <v>920</v>
      </c>
      <c r="C363" s="32" t="s">
        <v>534</v>
      </c>
      <c r="D363" s="32" t="s">
        <v>994</v>
      </c>
      <c r="E363" s="32" t="s">
        <v>1081</v>
      </c>
      <c r="F363" s="47">
        <v>44473</v>
      </c>
      <c r="G363" s="47">
        <v>34319</v>
      </c>
      <c r="H363" s="32" t="s">
        <v>1495</v>
      </c>
      <c r="I363" s="55" t="s">
        <v>1358</v>
      </c>
      <c r="J363" s="68"/>
      <c r="K363" s="68"/>
      <c r="L363" s="54"/>
      <c r="M363" s="70"/>
      <c r="N363" s="56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4"/>
    </row>
    <row r="364" spans="1:25">
      <c r="A364" s="43">
        <v>8843</v>
      </c>
      <c r="B364" s="32" t="s">
        <v>921</v>
      </c>
      <c r="C364" s="32" t="s">
        <v>534</v>
      </c>
      <c r="D364" s="32" t="s">
        <v>994</v>
      </c>
      <c r="E364" s="32" t="s">
        <v>1081</v>
      </c>
      <c r="F364" s="47">
        <v>44473</v>
      </c>
      <c r="G364" s="47">
        <v>35300</v>
      </c>
      <c r="H364" s="32" t="s">
        <v>1496</v>
      </c>
      <c r="I364" s="55" t="s">
        <v>1358</v>
      </c>
      <c r="J364" s="68"/>
      <c r="K364" s="68"/>
      <c r="L364" s="54"/>
      <c r="M364" s="70"/>
      <c r="N364" s="56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4"/>
    </row>
    <row r="365" spans="1:25">
      <c r="A365" s="43">
        <v>8847</v>
      </c>
      <c r="B365" s="32" t="s">
        <v>922</v>
      </c>
      <c r="C365" s="32" t="s">
        <v>552</v>
      </c>
      <c r="D365" s="32" t="s">
        <v>994</v>
      </c>
      <c r="E365" s="32" t="s">
        <v>1081</v>
      </c>
      <c r="F365" s="47">
        <v>44473</v>
      </c>
      <c r="G365" s="47">
        <v>37471</v>
      </c>
      <c r="H365" s="32" t="s">
        <v>1497</v>
      </c>
      <c r="I365" s="55" t="s">
        <v>1358</v>
      </c>
      <c r="J365" s="68"/>
      <c r="K365" s="68"/>
      <c r="L365" s="54"/>
      <c r="M365" s="70"/>
      <c r="N365" s="56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4"/>
    </row>
    <row r="366" spans="1:25">
      <c r="A366" s="43">
        <v>8848</v>
      </c>
      <c r="B366" s="32" t="s">
        <v>923</v>
      </c>
      <c r="C366" s="32" t="s">
        <v>541</v>
      </c>
      <c r="D366" s="32" t="s">
        <v>994</v>
      </c>
      <c r="E366" s="32" t="s">
        <v>1081</v>
      </c>
      <c r="F366" s="47">
        <v>44473</v>
      </c>
      <c r="G366" s="47">
        <v>35687</v>
      </c>
      <c r="H366" s="32" t="s">
        <v>1498</v>
      </c>
      <c r="I366" s="55" t="s">
        <v>1154</v>
      </c>
      <c r="J366" s="68"/>
      <c r="K366" s="68"/>
      <c r="L366" s="54"/>
      <c r="M366" s="70"/>
      <c r="N366" s="56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4"/>
    </row>
    <row r="367" spans="1:25">
      <c r="A367" s="43">
        <v>8849</v>
      </c>
      <c r="B367" s="32" t="s">
        <v>924</v>
      </c>
      <c r="C367" s="32" t="s">
        <v>577</v>
      </c>
      <c r="D367" s="32" t="s">
        <v>996</v>
      </c>
      <c r="E367" s="35"/>
      <c r="F367" s="47">
        <v>44473</v>
      </c>
      <c r="G367" s="47">
        <v>33283</v>
      </c>
      <c r="H367" s="32" t="s">
        <v>1499</v>
      </c>
      <c r="I367" s="55" t="s">
        <v>1358</v>
      </c>
      <c r="J367" s="68"/>
      <c r="K367" s="68"/>
      <c r="L367" s="54"/>
      <c r="M367" s="70"/>
      <c r="N367" s="56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4"/>
    </row>
    <row r="368" spans="1:25">
      <c r="A368" s="43">
        <v>8852</v>
      </c>
      <c r="B368" s="32" t="s">
        <v>925</v>
      </c>
      <c r="C368" s="32" t="s">
        <v>654</v>
      </c>
      <c r="D368" s="32" t="s">
        <v>994</v>
      </c>
      <c r="E368" s="32" t="s">
        <v>1081</v>
      </c>
      <c r="F368" s="47">
        <v>44481</v>
      </c>
      <c r="G368" s="47">
        <v>31396</v>
      </c>
      <c r="H368" s="32" t="s">
        <v>1500</v>
      </c>
      <c r="I368" s="55" t="s">
        <v>1358</v>
      </c>
      <c r="J368" s="68"/>
      <c r="K368" s="68"/>
      <c r="L368" s="54"/>
      <c r="M368" s="70"/>
      <c r="N368" s="56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4"/>
    </row>
    <row r="369" spans="1:25">
      <c r="A369" s="43">
        <v>8853</v>
      </c>
      <c r="B369" s="32" t="s">
        <v>926</v>
      </c>
      <c r="C369" s="32" t="s">
        <v>577</v>
      </c>
      <c r="D369" s="32" t="s">
        <v>996</v>
      </c>
      <c r="E369" s="35"/>
      <c r="F369" s="47">
        <v>44481</v>
      </c>
      <c r="G369" s="47">
        <v>32274</v>
      </c>
      <c r="H369" s="32" t="s">
        <v>1501</v>
      </c>
      <c r="I369" s="55" t="s">
        <v>1470</v>
      </c>
      <c r="J369" s="68"/>
      <c r="K369" s="68"/>
      <c r="L369" s="54"/>
      <c r="M369" s="70"/>
      <c r="N369" s="56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4"/>
    </row>
    <row r="370" spans="1:25">
      <c r="A370" s="43">
        <v>8854</v>
      </c>
      <c r="B370" s="32" t="s">
        <v>927</v>
      </c>
      <c r="C370" s="32" t="s">
        <v>556</v>
      </c>
      <c r="D370" s="32" t="s">
        <v>994</v>
      </c>
      <c r="E370" s="32" t="s">
        <v>1081</v>
      </c>
      <c r="F370" s="47">
        <v>44481</v>
      </c>
      <c r="G370" s="47">
        <v>36957</v>
      </c>
      <c r="H370" s="32" t="s">
        <v>1502</v>
      </c>
      <c r="I370" s="55" t="s">
        <v>1358</v>
      </c>
      <c r="J370" s="68"/>
      <c r="K370" s="68"/>
      <c r="L370" s="54"/>
      <c r="M370" s="70"/>
      <c r="N370" s="56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4"/>
    </row>
    <row r="371" spans="1:25">
      <c r="A371" s="43">
        <v>8855</v>
      </c>
      <c r="B371" s="32" t="s">
        <v>928</v>
      </c>
      <c r="C371" s="32" t="s">
        <v>577</v>
      </c>
      <c r="D371" s="32" t="s">
        <v>996</v>
      </c>
      <c r="E371" s="35"/>
      <c r="F371" s="47">
        <v>44481</v>
      </c>
      <c r="G371" s="47">
        <v>36602</v>
      </c>
      <c r="H371" s="32" t="s">
        <v>1503</v>
      </c>
      <c r="I371" s="55" t="s">
        <v>1358</v>
      </c>
      <c r="J371" s="68"/>
      <c r="K371" s="68"/>
      <c r="L371" s="54"/>
      <c r="M371" s="70"/>
      <c r="N371" s="56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4"/>
    </row>
    <row r="372" spans="1:25">
      <c r="A372" s="43">
        <v>8856</v>
      </c>
      <c r="B372" s="32" t="s">
        <v>929</v>
      </c>
      <c r="C372" s="32" t="s">
        <v>534</v>
      </c>
      <c r="D372" s="32" t="s">
        <v>994</v>
      </c>
      <c r="E372" s="32" t="s">
        <v>1081</v>
      </c>
      <c r="F372" s="47">
        <v>44501</v>
      </c>
      <c r="G372" s="47">
        <v>33094</v>
      </c>
      <c r="H372" s="32" t="s">
        <v>1504</v>
      </c>
      <c r="I372" s="55" t="s">
        <v>1154</v>
      </c>
      <c r="J372" s="68"/>
      <c r="K372" s="68"/>
      <c r="L372" s="54"/>
      <c r="M372" s="70"/>
      <c r="N372" s="56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4"/>
    </row>
    <row r="373" spans="1:25">
      <c r="A373" s="43">
        <v>8857</v>
      </c>
      <c r="B373" s="32" t="s">
        <v>930</v>
      </c>
      <c r="C373" s="32" t="s">
        <v>536</v>
      </c>
      <c r="D373" s="32" t="s">
        <v>994</v>
      </c>
      <c r="E373" s="32" t="s">
        <v>1081</v>
      </c>
      <c r="F373" s="47">
        <v>44501</v>
      </c>
      <c r="G373" s="47">
        <v>36777</v>
      </c>
      <c r="H373" s="32" t="s">
        <v>1505</v>
      </c>
      <c r="I373" s="55" t="s">
        <v>1154</v>
      </c>
      <c r="J373" s="68"/>
      <c r="K373" s="68"/>
      <c r="L373" s="54"/>
      <c r="M373" s="70"/>
      <c r="N373" s="56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4"/>
    </row>
    <row r="374" spans="1:25">
      <c r="A374" s="43">
        <v>8858</v>
      </c>
      <c r="B374" s="32" t="s">
        <v>931</v>
      </c>
      <c r="C374" s="32" t="s">
        <v>541</v>
      </c>
      <c r="D374" s="32" t="s">
        <v>994</v>
      </c>
      <c r="E374" s="32" t="s">
        <v>1081</v>
      </c>
      <c r="F374" s="47">
        <v>44501</v>
      </c>
      <c r="G374" s="47">
        <v>36826</v>
      </c>
      <c r="H374" s="32" t="s">
        <v>1506</v>
      </c>
      <c r="I374" s="55" t="s">
        <v>1154</v>
      </c>
      <c r="J374" s="68"/>
      <c r="K374" s="68"/>
      <c r="L374" s="54"/>
      <c r="M374" s="70"/>
      <c r="N374" s="56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4"/>
    </row>
    <row r="375" spans="1:25">
      <c r="A375" s="43">
        <v>8859</v>
      </c>
      <c r="B375" s="32" t="s">
        <v>932</v>
      </c>
      <c r="C375" s="32" t="s">
        <v>541</v>
      </c>
      <c r="D375" s="32" t="s">
        <v>994</v>
      </c>
      <c r="E375" s="32" t="s">
        <v>1081</v>
      </c>
      <c r="F375" s="47">
        <v>44501</v>
      </c>
      <c r="G375" s="47">
        <v>35872</v>
      </c>
      <c r="H375" s="32" t="s">
        <v>1507</v>
      </c>
      <c r="I375" s="55" t="s">
        <v>1154</v>
      </c>
      <c r="J375" s="68"/>
      <c r="K375" s="68"/>
      <c r="L375" s="54"/>
      <c r="M375" s="70"/>
      <c r="N375" s="56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4"/>
    </row>
    <row r="376" spans="1:25">
      <c r="A376" s="43">
        <v>8860</v>
      </c>
      <c r="B376" s="32" t="s">
        <v>933</v>
      </c>
      <c r="C376" s="35"/>
      <c r="D376" s="32" t="s">
        <v>994</v>
      </c>
      <c r="E376" s="32" t="s">
        <v>1146</v>
      </c>
      <c r="F376" s="47">
        <v>44531</v>
      </c>
      <c r="G376" s="47">
        <v>21442</v>
      </c>
      <c r="H376" s="32" t="s">
        <v>1508</v>
      </c>
      <c r="I376" s="55" t="s">
        <v>1142</v>
      </c>
      <c r="J376" s="68"/>
      <c r="K376" s="68"/>
      <c r="L376" s="54"/>
      <c r="M376" s="70"/>
      <c r="N376" s="56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4"/>
    </row>
    <row r="377" spans="1:25">
      <c r="A377" s="43">
        <v>8861</v>
      </c>
      <c r="B377" s="32" t="s">
        <v>934</v>
      </c>
      <c r="C377" s="32" t="s">
        <v>541</v>
      </c>
      <c r="D377" s="32" t="s">
        <v>994</v>
      </c>
      <c r="E377" s="32" t="s">
        <v>1081</v>
      </c>
      <c r="F377" s="47">
        <v>44642</v>
      </c>
      <c r="G377" s="47">
        <v>33486</v>
      </c>
      <c r="H377" s="32" t="s">
        <v>1509</v>
      </c>
      <c r="I377" s="55" t="s">
        <v>1258</v>
      </c>
      <c r="J377" s="68"/>
      <c r="K377" s="68"/>
      <c r="L377" s="54"/>
      <c r="M377" s="70"/>
      <c r="N377" s="56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4"/>
    </row>
    <row r="378" spans="1:25">
      <c r="A378" s="43">
        <v>8862</v>
      </c>
      <c r="B378" s="32" t="s">
        <v>935</v>
      </c>
      <c r="C378" s="32" t="s">
        <v>746</v>
      </c>
      <c r="D378" s="32" t="s">
        <v>996</v>
      </c>
      <c r="E378" s="32" t="s">
        <v>1317</v>
      </c>
      <c r="F378" s="47">
        <v>44697</v>
      </c>
      <c r="G378" s="47">
        <v>35801</v>
      </c>
      <c r="H378" s="32" t="s">
        <v>1510</v>
      </c>
      <c r="I378" s="55" t="s">
        <v>1511</v>
      </c>
      <c r="J378" s="68"/>
      <c r="K378" s="68"/>
      <c r="L378" s="54"/>
      <c r="M378" s="70"/>
      <c r="N378" s="56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4"/>
    </row>
    <row r="379" spans="1:25">
      <c r="A379" s="43">
        <v>8867</v>
      </c>
      <c r="B379" s="32" t="s">
        <v>936</v>
      </c>
      <c r="C379" s="32" t="s">
        <v>577</v>
      </c>
      <c r="D379" s="32" t="s">
        <v>996</v>
      </c>
      <c r="E379" s="35"/>
      <c r="F379" s="47">
        <v>44795</v>
      </c>
      <c r="G379" s="47">
        <v>35748</v>
      </c>
      <c r="H379" s="32" t="s">
        <v>1512</v>
      </c>
      <c r="I379" s="55" t="s">
        <v>1154</v>
      </c>
      <c r="J379" s="68"/>
      <c r="K379" s="68"/>
      <c r="L379" s="54"/>
      <c r="M379" s="70"/>
      <c r="N379" s="56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4"/>
    </row>
    <row r="380" spans="1:25">
      <c r="A380" s="43">
        <v>8872</v>
      </c>
      <c r="B380" s="32" t="s">
        <v>937</v>
      </c>
      <c r="C380" s="32" t="s">
        <v>567</v>
      </c>
      <c r="D380" s="32" t="s">
        <v>1103</v>
      </c>
      <c r="E380" s="35"/>
      <c r="F380" s="47">
        <v>44805</v>
      </c>
      <c r="G380" s="47">
        <v>34093</v>
      </c>
      <c r="H380" s="32" t="s">
        <v>1513</v>
      </c>
      <c r="I380" s="55" t="s">
        <v>1080</v>
      </c>
      <c r="J380" s="68"/>
      <c r="K380" s="68"/>
      <c r="L380" s="54"/>
      <c r="M380" s="70"/>
      <c r="N380" s="56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4"/>
    </row>
    <row r="381" spans="1:25">
      <c r="A381" s="43">
        <v>8875</v>
      </c>
      <c r="B381" s="32" t="s">
        <v>938</v>
      </c>
      <c r="C381" s="32" t="s">
        <v>534</v>
      </c>
      <c r="D381" s="32" t="s">
        <v>994</v>
      </c>
      <c r="E381" s="32" t="s">
        <v>1081</v>
      </c>
      <c r="F381" s="47">
        <v>44837</v>
      </c>
      <c r="G381" s="47">
        <v>34901</v>
      </c>
      <c r="H381" s="32" t="s">
        <v>1514</v>
      </c>
      <c r="I381" s="55" t="s">
        <v>1154</v>
      </c>
      <c r="J381" s="68"/>
      <c r="K381" s="68"/>
      <c r="L381" s="54"/>
      <c r="M381" s="70"/>
      <c r="N381" s="56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4"/>
    </row>
    <row r="382" spans="1:25">
      <c r="A382" s="43">
        <v>8878</v>
      </c>
      <c r="B382" s="32" t="s">
        <v>939</v>
      </c>
      <c r="C382" s="32" t="s">
        <v>718</v>
      </c>
      <c r="D382" s="32" t="s">
        <v>996</v>
      </c>
      <c r="E382" s="32" t="s">
        <v>1150</v>
      </c>
      <c r="F382" s="47">
        <v>44901</v>
      </c>
      <c r="G382" s="47">
        <v>31817</v>
      </c>
      <c r="H382" s="32" t="s">
        <v>1515</v>
      </c>
      <c r="I382" s="55" t="s">
        <v>1511</v>
      </c>
      <c r="J382" s="68"/>
      <c r="K382" s="68"/>
      <c r="L382" s="54"/>
      <c r="M382" s="70"/>
      <c r="N382" s="56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4"/>
    </row>
    <row r="383" spans="1:25">
      <c r="A383" s="43">
        <v>8879</v>
      </c>
      <c r="B383" s="32" t="s">
        <v>940</v>
      </c>
      <c r="C383" s="32" t="s">
        <v>570</v>
      </c>
      <c r="D383" s="32" t="s">
        <v>996</v>
      </c>
      <c r="E383" s="35"/>
      <c r="F383" s="47">
        <v>44928</v>
      </c>
      <c r="G383" s="47">
        <v>35909</v>
      </c>
      <c r="H383" s="32" t="s">
        <v>1516</v>
      </c>
      <c r="I383" s="55" t="s">
        <v>1517</v>
      </c>
      <c r="J383" s="68"/>
      <c r="K383" s="68"/>
      <c r="L383" s="54"/>
      <c r="M383" s="70"/>
      <c r="N383" s="56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4"/>
    </row>
    <row r="384" spans="1:25">
      <c r="A384" s="43">
        <v>8885</v>
      </c>
      <c r="B384" s="32" t="s">
        <v>941</v>
      </c>
      <c r="C384" s="32" t="s">
        <v>541</v>
      </c>
      <c r="D384" s="32" t="s">
        <v>994</v>
      </c>
      <c r="E384" s="32" t="s">
        <v>1081</v>
      </c>
      <c r="F384" s="47">
        <v>45019</v>
      </c>
      <c r="G384" s="47">
        <v>37480</v>
      </c>
      <c r="H384" s="32" t="s">
        <v>1518</v>
      </c>
      <c r="I384" s="55" t="s">
        <v>1154</v>
      </c>
      <c r="J384" s="68"/>
      <c r="K384" s="68"/>
      <c r="L384" s="54"/>
      <c r="M384" s="70"/>
      <c r="N384" s="56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4"/>
    </row>
    <row r="385" spans="1:25">
      <c r="A385" s="43">
        <v>8886</v>
      </c>
      <c r="B385" s="32" t="s">
        <v>942</v>
      </c>
      <c r="C385" s="32" t="s">
        <v>536</v>
      </c>
      <c r="D385" s="32" t="s">
        <v>994</v>
      </c>
      <c r="E385" s="32" t="s">
        <v>1081</v>
      </c>
      <c r="F385" s="47">
        <v>45110</v>
      </c>
      <c r="G385" s="47">
        <v>35086</v>
      </c>
      <c r="H385" s="32" t="s">
        <v>1519</v>
      </c>
      <c r="I385" s="55" t="s">
        <v>1358</v>
      </c>
      <c r="J385" s="68"/>
      <c r="K385" s="68"/>
      <c r="L385" s="54"/>
      <c r="M385" s="70"/>
      <c r="N385" s="56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4"/>
    </row>
    <row r="386" spans="1:25">
      <c r="A386" s="43">
        <v>8888</v>
      </c>
      <c r="B386" s="32" t="s">
        <v>943</v>
      </c>
      <c r="C386" s="32" t="s">
        <v>897</v>
      </c>
      <c r="D386" s="32" t="s">
        <v>996</v>
      </c>
      <c r="E386" s="32" t="s">
        <v>1317</v>
      </c>
      <c r="F386" s="47">
        <v>45672</v>
      </c>
      <c r="G386" s="47">
        <v>29195</v>
      </c>
      <c r="H386" s="32" t="s">
        <v>1520</v>
      </c>
      <c r="I386" s="55" t="s">
        <v>1511</v>
      </c>
      <c r="J386" s="68"/>
      <c r="K386" s="68"/>
      <c r="L386" s="54"/>
      <c r="M386" s="70"/>
      <c r="N386" s="56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4"/>
    </row>
    <row r="387" spans="1:25">
      <c r="A387" s="43">
        <v>8889</v>
      </c>
      <c r="B387" s="32" t="s">
        <v>944</v>
      </c>
      <c r="C387" s="32" t="s">
        <v>552</v>
      </c>
      <c r="D387" s="32" t="s">
        <v>994</v>
      </c>
      <c r="E387" s="32" t="s">
        <v>1081</v>
      </c>
      <c r="F387" s="47">
        <v>45174</v>
      </c>
      <c r="G387" s="47">
        <v>34748</v>
      </c>
      <c r="H387" s="32" t="s">
        <v>1521</v>
      </c>
      <c r="I387" s="55" t="s">
        <v>1358</v>
      </c>
      <c r="J387" s="68"/>
      <c r="K387" s="68"/>
      <c r="L387" s="54"/>
      <c r="M387" s="70"/>
      <c r="N387" s="56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4"/>
    </row>
    <row r="388" spans="1:25">
      <c r="A388" s="43">
        <v>8890</v>
      </c>
      <c r="B388" s="32" t="s">
        <v>945</v>
      </c>
      <c r="C388" s="32" t="s">
        <v>532</v>
      </c>
      <c r="D388" s="32" t="s">
        <v>994</v>
      </c>
      <c r="E388" s="32" t="s">
        <v>1081</v>
      </c>
      <c r="F388" s="47">
        <v>45174</v>
      </c>
      <c r="G388" s="47">
        <v>30709</v>
      </c>
      <c r="H388" s="32" t="s">
        <v>1522</v>
      </c>
      <c r="I388" s="55" t="s">
        <v>1154</v>
      </c>
      <c r="J388" s="68"/>
      <c r="K388" s="68"/>
      <c r="L388" s="54"/>
      <c r="M388" s="70"/>
      <c r="N388" s="56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4"/>
    </row>
    <row r="389" spans="1:25">
      <c r="A389" s="43">
        <v>8891</v>
      </c>
      <c r="B389" s="32" t="s">
        <v>946</v>
      </c>
      <c r="C389" s="32" t="s">
        <v>589</v>
      </c>
      <c r="D389" s="32" t="s">
        <v>996</v>
      </c>
      <c r="E389" s="32" t="s">
        <v>1150</v>
      </c>
      <c r="F389" s="47">
        <v>45208</v>
      </c>
      <c r="G389" s="47">
        <v>37766</v>
      </c>
      <c r="H389" s="32" t="s">
        <v>1523</v>
      </c>
      <c r="I389" s="55" t="s">
        <v>1524</v>
      </c>
      <c r="J389" s="68"/>
      <c r="K389" s="68"/>
      <c r="L389" s="54"/>
      <c r="M389" s="70"/>
      <c r="N389" s="56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4"/>
    </row>
    <row r="390" spans="1:25">
      <c r="A390" s="43">
        <v>8895</v>
      </c>
      <c r="B390" s="32" t="s">
        <v>947</v>
      </c>
      <c r="C390" s="32" t="s">
        <v>570</v>
      </c>
      <c r="D390" s="32" t="s">
        <v>996</v>
      </c>
      <c r="E390" s="35"/>
      <c r="F390" s="47">
        <v>45278</v>
      </c>
      <c r="G390" s="47">
        <v>29208</v>
      </c>
      <c r="H390" s="32" t="s">
        <v>1525</v>
      </c>
      <c r="I390" s="55" t="s">
        <v>1470</v>
      </c>
      <c r="J390" s="68"/>
      <c r="K390" s="68"/>
      <c r="L390" s="54"/>
      <c r="M390" s="70"/>
      <c r="N390" s="56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4"/>
    </row>
    <row r="391" spans="1:25">
      <c r="A391" s="43">
        <v>8896</v>
      </c>
      <c r="B391" s="32" t="s">
        <v>948</v>
      </c>
      <c r="C391" s="32" t="s">
        <v>897</v>
      </c>
      <c r="D391" s="32" t="s">
        <v>996</v>
      </c>
      <c r="E391" s="32" t="s">
        <v>1317</v>
      </c>
      <c r="F391" s="47">
        <v>45672</v>
      </c>
      <c r="G391" s="47">
        <v>32480</v>
      </c>
      <c r="H391" s="32" t="s">
        <v>1526</v>
      </c>
      <c r="I391" s="55" t="s">
        <v>1110</v>
      </c>
      <c r="J391" s="68"/>
      <c r="K391" s="68"/>
      <c r="L391" s="54"/>
      <c r="M391" s="70"/>
      <c r="N391" s="56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4"/>
    </row>
    <row r="392" spans="1:25">
      <c r="A392" s="43">
        <v>8897</v>
      </c>
      <c r="B392" s="32" t="s">
        <v>949</v>
      </c>
      <c r="C392" s="32" t="s">
        <v>554</v>
      </c>
      <c r="D392" s="32" t="s">
        <v>994</v>
      </c>
      <c r="E392" s="32" t="s">
        <v>1081</v>
      </c>
      <c r="F392" s="47">
        <v>45286</v>
      </c>
      <c r="G392" s="47">
        <v>35861</v>
      </c>
      <c r="H392" s="32" t="s">
        <v>1527</v>
      </c>
      <c r="I392" s="55" t="s">
        <v>1154</v>
      </c>
      <c r="J392" s="68"/>
      <c r="K392" s="68"/>
      <c r="L392" s="54"/>
      <c r="M392" s="70"/>
      <c r="N392" s="56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4"/>
    </row>
    <row r="393" spans="1:25">
      <c r="A393" s="43">
        <v>8900</v>
      </c>
      <c r="B393" s="32" t="s">
        <v>950</v>
      </c>
      <c r="C393" s="35"/>
      <c r="D393" s="32" t="s">
        <v>1103</v>
      </c>
      <c r="E393" s="35"/>
      <c r="F393" s="47">
        <v>45323</v>
      </c>
      <c r="G393" s="47">
        <v>31362</v>
      </c>
      <c r="H393" s="32" t="s">
        <v>1528</v>
      </c>
      <c r="I393" s="55" t="s">
        <v>1101</v>
      </c>
      <c r="J393" s="68"/>
      <c r="K393" s="68"/>
      <c r="L393" s="54"/>
      <c r="M393" s="70"/>
      <c r="N393" s="56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4"/>
    </row>
    <row r="394" spans="1:25">
      <c r="A394" s="43">
        <v>8908</v>
      </c>
      <c r="B394" s="32" t="s">
        <v>951</v>
      </c>
      <c r="C394" s="32" t="s">
        <v>952</v>
      </c>
      <c r="D394" s="32" t="s">
        <v>1103</v>
      </c>
      <c r="E394" s="32" t="s">
        <v>1218</v>
      </c>
      <c r="F394" s="47">
        <v>45618</v>
      </c>
      <c r="G394" s="47">
        <v>29285</v>
      </c>
      <c r="H394" s="32" t="s">
        <v>1529</v>
      </c>
      <c r="I394" s="55" t="s">
        <v>1101</v>
      </c>
      <c r="J394" s="68"/>
      <c r="K394" s="68"/>
      <c r="L394" s="54"/>
      <c r="M394" s="70"/>
      <c r="N394" s="56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4"/>
    </row>
    <row r="395" spans="1:25">
      <c r="A395" s="43">
        <v>8909</v>
      </c>
      <c r="B395" s="32" t="s">
        <v>953</v>
      </c>
      <c r="C395" s="35"/>
      <c r="D395" s="32" t="s">
        <v>1103</v>
      </c>
      <c r="E395" s="35"/>
      <c r="F395" s="47">
        <v>45635</v>
      </c>
      <c r="G395" s="47">
        <v>27870</v>
      </c>
      <c r="H395" s="32" t="s">
        <v>1530</v>
      </c>
      <c r="I395" s="55" t="s">
        <v>1531</v>
      </c>
      <c r="J395" s="68"/>
      <c r="K395" s="68"/>
      <c r="L395" s="54"/>
      <c r="M395" s="70"/>
      <c r="N395" s="56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4"/>
    </row>
    <row r="396" spans="1:25">
      <c r="A396" s="43">
        <v>8910</v>
      </c>
      <c r="B396" s="32" t="s">
        <v>954</v>
      </c>
      <c r="C396" s="35"/>
      <c r="D396" s="32" t="s">
        <v>996</v>
      </c>
      <c r="E396" s="35"/>
      <c r="F396" s="47">
        <v>45659</v>
      </c>
      <c r="G396" s="47">
        <v>26088</v>
      </c>
      <c r="H396" s="32" t="s">
        <v>1532</v>
      </c>
      <c r="I396" s="55" t="s">
        <v>1533</v>
      </c>
      <c r="J396" s="68"/>
      <c r="K396" s="68"/>
      <c r="L396" s="54"/>
      <c r="M396" s="70"/>
      <c r="N396" s="56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4"/>
    </row>
    <row r="397" spans="1:25">
      <c r="A397" s="43">
        <v>8912</v>
      </c>
      <c r="B397" s="32" t="s">
        <v>955</v>
      </c>
      <c r="C397" s="35"/>
      <c r="D397" s="32" t="s">
        <v>996</v>
      </c>
      <c r="E397" s="24" t="s">
        <v>1150</v>
      </c>
      <c r="F397" s="47">
        <v>45699</v>
      </c>
      <c r="G397" s="47">
        <v>29140</v>
      </c>
      <c r="H397" s="32" t="s">
        <v>1534</v>
      </c>
      <c r="I397" s="55" t="s">
        <v>1101</v>
      </c>
      <c r="J397" s="68"/>
      <c r="K397" s="68"/>
      <c r="L397" s="54"/>
      <c r="M397" s="70"/>
      <c r="N397" s="56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4"/>
    </row>
    <row r="398" spans="1:25">
      <c r="A398" s="43">
        <v>8913</v>
      </c>
      <c r="B398" s="32" t="s">
        <v>956</v>
      </c>
      <c r="C398" s="32" t="s">
        <v>829</v>
      </c>
      <c r="D398" s="32" t="s">
        <v>1103</v>
      </c>
      <c r="E398" s="32" t="s">
        <v>1104</v>
      </c>
      <c r="F398" s="47">
        <v>45741</v>
      </c>
      <c r="G398" s="47">
        <v>32023</v>
      </c>
      <c r="H398" s="32" t="s">
        <v>1535</v>
      </c>
      <c r="I398" s="55" t="s">
        <v>1101</v>
      </c>
      <c r="J398" s="68"/>
      <c r="K398" s="68"/>
      <c r="L398" s="54"/>
      <c r="M398" s="70"/>
      <c r="N398" s="56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4"/>
    </row>
    <row r="399" spans="1:25">
      <c r="A399" s="46">
        <v>8914</v>
      </c>
      <c r="B399" s="38" t="s">
        <v>957</v>
      </c>
      <c r="C399" s="38" t="s">
        <v>958</v>
      </c>
      <c r="D399" s="38" t="s">
        <v>91</v>
      </c>
      <c r="E399" s="38" t="s">
        <v>690</v>
      </c>
      <c r="F399" s="39"/>
      <c r="G399" s="39"/>
      <c r="H399" s="39"/>
      <c r="I399" s="60"/>
      <c r="J399" s="68"/>
      <c r="K399" s="68"/>
      <c r="L399" s="54"/>
      <c r="M399" s="70"/>
      <c r="N399" s="56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4"/>
    </row>
    <row r="400" spans="1:25">
      <c r="A400" s="43">
        <v>8916</v>
      </c>
      <c r="B400" s="32" t="s">
        <v>959</v>
      </c>
      <c r="C400" s="32" t="s">
        <v>549</v>
      </c>
      <c r="D400" s="32" t="s">
        <v>996</v>
      </c>
      <c r="E400" s="35"/>
      <c r="F400" s="47">
        <v>45768</v>
      </c>
      <c r="G400" s="47">
        <v>37191</v>
      </c>
      <c r="H400" s="32" t="s">
        <v>1536</v>
      </c>
      <c r="I400" s="55" t="s">
        <v>1101</v>
      </c>
      <c r="J400" s="68"/>
      <c r="K400" s="68"/>
      <c r="L400" s="54"/>
      <c r="M400" s="70"/>
      <c r="N400" s="56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4"/>
    </row>
    <row r="401" spans="1:25">
      <c r="A401" s="43">
        <v>8917</v>
      </c>
      <c r="B401" s="32" t="s">
        <v>960</v>
      </c>
      <c r="C401" s="32" t="s">
        <v>961</v>
      </c>
      <c r="D401" s="32" t="s">
        <v>996</v>
      </c>
      <c r="E401" s="32" t="s">
        <v>1317</v>
      </c>
      <c r="F401" s="47">
        <v>45757</v>
      </c>
      <c r="G401" s="47">
        <v>28384</v>
      </c>
      <c r="H401" s="32" t="s">
        <v>1537</v>
      </c>
      <c r="I401" s="55" t="s">
        <v>1538</v>
      </c>
      <c r="J401" s="68"/>
      <c r="K401" s="68"/>
      <c r="L401" s="54"/>
      <c r="M401" s="70"/>
      <c r="N401" s="56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4"/>
    </row>
    <row r="402" spans="1:25">
      <c r="A402" s="43">
        <v>8918</v>
      </c>
      <c r="B402" s="32" t="s">
        <v>962</v>
      </c>
      <c r="C402" s="35"/>
      <c r="D402" s="32" t="s">
        <v>1103</v>
      </c>
      <c r="E402" s="32" t="s">
        <v>1104</v>
      </c>
      <c r="F402" s="47">
        <v>45775</v>
      </c>
      <c r="G402" s="47">
        <v>31489</v>
      </c>
      <c r="H402" s="32" t="s">
        <v>1539</v>
      </c>
      <c r="I402" s="55" t="s">
        <v>1540</v>
      </c>
      <c r="J402" s="68"/>
      <c r="K402" s="68"/>
      <c r="L402" s="54"/>
      <c r="M402" s="70"/>
      <c r="N402" s="56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4"/>
    </row>
    <row r="403" spans="1:25">
      <c r="A403" s="43">
        <v>8919</v>
      </c>
      <c r="B403" s="32" t="s">
        <v>963</v>
      </c>
      <c r="C403" s="32" t="s">
        <v>829</v>
      </c>
      <c r="D403" s="32" t="s">
        <v>1103</v>
      </c>
      <c r="E403" s="32" t="s">
        <v>1104</v>
      </c>
      <c r="F403" s="47">
        <v>45782</v>
      </c>
      <c r="G403" s="47">
        <v>37224</v>
      </c>
      <c r="H403" s="32" t="s">
        <v>1541</v>
      </c>
      <c r="I403" s="55" t="s">
        <v>1350</v>
      </c>
      <c r="J403" s="68"/>
      <c r="K403" s="68"/>
      <c r="L403" s="54"/>
      <c r="M403" s="70"/>
      <c r="N403" s="56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4"/>
    </row>
    <row r="404" spans="1:25">
      <c r="A404" s="43">
        <v>8920</v>
      </c>
      <c r="B404" s="32" t="s">
        <v>964</v>
      </c>
      <c r="C404" s="32" t="s">
        <v>570</v>
      </c>
      <c r="D404" s="32" t="s">
        <v>996</v>
      </c>
      <c r="E404" s="35"/>
      <c r="F404" s="47">
        <v>45796</v>
      </c>
      <c r="G404" s="47">
        <v>32522</v>
      </c>
      <c r="H404" s="32" t="s">
        <v>1542</v>
      </c>
      <c r="I404" s="55" t="s">
        <v>1543</v>
      </c>
      <c r="J404" s="68"/>
      <c r="K404" s="68"/>
      <c r="L404" s="54"/>
      <c r="M404" s="70"/>
      <c r="N404" s="56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4"/>
    </row>
    <row r="405" spans="1:25">
      <c r="A405" s="43">
        <v>8922</v>
      </c>
      <c r="B405" s="32" t="s">
        <v>965</v>
      </c>
      <c r="C405" s="32" t="s">
        <v>552</v>
      </c>
      <c r="D405" s="32" t="s">
        <v>994</v>
      </c>
      <c r="E405" s="32" t="s">
        <v>1081</v>
      </c>
      <c r="F405" s="47">
        <v>45796</v>
      </c>
      <c r="G405" s="47">
        <v>33563</v>
      </c>
      <c r="H405" s="32" t="s">
        <v>1544</v>
      </c>
      <c r="I405" s="55" t="s">
        <v>1154</v>
      </c>
      <c r="J405" s="68"/>
      <c r="K405" s="68"/>
      <c r="L405" s="54"/>
      <c r="M405" s="70"/>
      <c r="N405" s="56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4"/>
    </row>
    <row r="406" spans="1:25">
      <c r="A406" s="43">
        <v>8923</v>
      </c>
      <c r="B406" s="32" t="s">
        <v>966</v>
      </c>
      <c r="C406" s="32" t="s">
        <v>552</v>
      </c>
      <c r="D406" s="32" t="s">
        <v>994</v>
      </c>
      <c r="E406" s="32" t="s">
        <v>1081</v>
      </c>
      <c r="F406" s="47">
        <v>45796</v>
      </c>
      <c r="G406" s="47">
        <v>35297</v>
      </c>
      <c r="H406" s="32" t="s">
        <v>1545</v>
      </c>
      <c r="I406" s="55" t="s">
        <v>1154</v>
      </c>
      <c r="J406" s="68"/>
      <c r="K406" s="68"/>
      <c r="L406" s="54"/>
      <c r="M406" s="70"/>
      <c r="N406" s="56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4"/>
    </row>
    <row r="407" spans="1:25">
      <c r="A407" s="43">
        <v>8924</v>
      </c>
      <c r="B407" s="32" t="s">
        <v>967</v>
      </c>
      <c r="C407" s="35"/>
      <c r="D407" s="32" t="s">
        <v>994</v>
      </c>
      <c r="E407" s="35"/>
      <c r="F407" s="47">
        <v>45809</v>
      </c>
      <c r="G407" s="47">
        <v>27579</v>
      </c>
      <c r="H407" s="32" t="s">
        <v>1546</v>
      </c>
      <c r="I407" s="55" t="s">
        <v>1547</v>
      </c>
      <c r="J407" s="68"/>
      <c r="K407" s="68"/>
      <c r="L407" s="54"/>
      <c r="M407" s="70"/>
      <c r="N407" s="56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4"/>
    </row>
    <row r="408" spans="1:25">
      <c r="A408" s="43">
        <v>8926</v>
      </c>
      <c r="B408" s="32" t="s">
        <v>968</v>
      </c>
      <c r="C408" s="32" t="s">
        <v>549</v>
      </c>
      <c r="D408" s="32" t="s">
        <v>996</v>
      </c>
      <c r="E408" s="35"/>
      <c r="F408" s="47">
        <v>45839</v>
      </c>
      <c r="G408" s="47">
        <v>37388</v>
      </c>
      <c r="H408" s="32" t="s">
        <v>1548</v>
      </c>
      <c r="I408" s="55" t="s">
        <v>1549</v>
      </c>
      <c r="J408" s="68"/>
      <c r="K408" s="68"/>
      <c r="L408" s="54"/>
      <c r="M408" s="70"/>
      <c r="N408" s="56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4"/>
    </row>
    <row r="409" spans="1:25">
      <c r="A409" s="43">
        <v>8927</v>
      </c>
      <c r="B409" s="32" t="s">
        <v>969</v>
      </c>
      <c r="C409" s="32" t="s">
        <v>552</v>
      </c>
      <c r="D409" s="32" t="s">
        <v>994</v>
      </c>
      <c r="E409" s="32" t="s">
        <v>1081</v>
      </c>
      <c r="F409" s="47">
        <v>45875</v>
      </c>
      <c r="G409" s="47">
        <v>38551</v>
      </c>
      <c r="H409" s="32" t="s">
        <v>1550</v>
      </c>
      <c r="I409" s="55" t="s">
        <v>1154</v>
      </c>
      <c r="J409" s="68"/>
      <c r="K409" s="68"/>
      <c r="L409" s="54"/>
      <c r="M409" s="70"/>
      <c r="N409" s="56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4"/>
    </row>
    <row r="410" spans="1:25">
      <c r="A410" s="43">
        <v>8928</v>
      </c>
      <c r="B410" s="32" t="s">
        <v>970</v>
      </c>
      <c r="C410" s="32" t="s">
        <v>552</v>
      </c>
      <c r="D410" s="32" t="s">
        <v>994</v>
      </c>
      <c r="E410" s="32" t="s">
        <v>1081</v>
      </c>
      <c r="F410" s="47">
        <v>45875</v>
      </c>
      <c r="G410" s="47">
        <v>37982</v>
      </c>
      <c r="H410" s="32" t="s">
        <v>1551</v>
      </c>
      <c r="I410" s="55" t="s">
        <v>1154</v>
      </c>
      <c r="J410" s="68"/>
      <c r="K410" s="68"/>
      <c r="L410" s="54"/>
      <c r="M410" s="70"/>
      <c r="N410" s="56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4"/>
    </row>
    <row r="411" spans="1:25">
      <c r="A411" s="43">
        <v>8929</v>
      </c>
      <c r="B411" s="32" t="s">
        <v>971</v>
      </c>
      <c r="C411" s="32" t="s">
        <v>552</v>
      </c>
      <c r="D411" s="32" t="s">
        <v>994</v>
      </c>
      <c r="E411" s="32" t="s">
        <v>1081</v>
      </c>
      <c r="F411" s="47">
        <v>45875</v>
      </c>
      <c r="G411" s="47">
        <v>36652</v>
      </c>
      <c r="H411" s="32" t="s">
        <v>1552</v>
      </c>
      <c r="I411" s="55" t="s">
        <v>1154</v>
      </c>
      <c r="J411" s="68"/>
      <c r="K411" s="68"/>
      <c r="L411" s="54"/>
      <c r="M411" s="70"/>
      <c r="N411" s="56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4"/>
    </row>
    <row r="412" spans="1:25">
      <c r="A412" s="43">
        <v>8930</v>
      </c>
      <c r="B412" s="32" t="s">
        <v>972</v>
      </c>
      <c r="C412" s="35"/>
      <c r="D412" s="32" t="s">
        <v>1454</v>
      </c>
      <c r="E412" s="32" t="s">
        <v>1553</v>
      </c>
      <c r="F412" s="47">
        <v>45880</v>
      </c>
      <c r="G412" s="47">
        <v>28742</v>
      </c>
      <c r="H412" s="32" t="s">
        <v>1554</v>
      </c>
      <c r="I412" s="55" t="s">
        <v>1555</v>
      </c>
      <c r="J412" s="68"/>
      <c r="K412" s="68"/>
      <c r="L412" s="54"/>
      <c r="M412" s="70"/>
      <c r="N412" s="56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4"/>
    </row>
    <row r="413" spans="1:25">
      <c r="A413" s="43">
        <v>8931</v>
      </c>
      <c r="B413" s="32" t="s">
        <v>973</v>
      </c>
      <c r="C413" s="32" t="s">
        <v>552</v>
      </c>
      <c r="D413" s="32" t="s">
        <v>994</v>
      </c>
      <c r="E413" s="32" t="s">
        <v>1081</v>
      </c>
      <c r="F413" s="47">
        <v>45894</v>
      </c>
      <c r="G413" s="47">
        <v>36219</v>
      </c>
      <c r="H413" s="32" t="s">
        <v>1556</v>
      </c>
      <c r="I413" s="55" t="s">
        <v>1154</v>
      </c>
      <c r="J413" s="68"/>
      <c r="K413" s="68"/>
      <c r="L413" s="54"/>
      <c r="M413" s="70"/>
      <c r="N413" s="56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4"/>
    </row>
    <row r="414" spans="1:25">
      <c r="A414" s="43">
        <v>8932</v>
      </c>
      <c r="B414" s="32" t="s">
        <v>974</v>
      </c>
      <c r="C414" s="32" t="s">
        <v>975</v>
      </c>
      <c r="D414" s="32" t="s">
        <v>994</v>
      </c>
      <c r="E414" s="35"/>
      <c r="F414" s="47">
        <v>45901</v>
      </c>
      <c r="G414" s="47">
        <v>31275</v>
      </c>
      <c r="H414" s="32" t="s">
        <v>1557</v>
      </c>
      <c r="I414" s="55" t="s">
        <v>1258</v>
      </c>
      <c r="J414" s="68"/>
      <c r="K414" s="68"/>
      <c r="L414" s="54"/>
      <c r="M414" s="70"/>
      <c r="N414" s="56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4"/>
    </row>
    <row r="415" spans="1:25">
      <c r="A415" s="43">
        <v>8933</v>
      </c>
      <c r="B415" s="32" t="s">
        <v>976</v>
      </c>
      <c r="C415" s="32" t="s">
        <v>534</v>
      </c>
      <c r="D415" s="32" t="s">
        <v>994</v>
      </c>
      <c r="E415" s="32" t="s">
        <v>1081</v>
      </c>
      <c r="F415" s="47">
        <v>45922</v>
      </c>
      <c r="G415" s="47">
        <v>38317</v>
      </c>
      <c r="H415" s="32" t="s">
        <v>1558</v>
      </c>
      <c r="I415" s="55" t="s">
        <v>1154</v>
      </c>
      <c r="J415" s="68"/>
      <c r="K415" s="68"/>
      <c r="L415" s="54"/>
      <c r="M415" s="70"/>
      <c r="N415" s="56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4"/>
    </row>
    <row r="416" spans="1:25">
      <c r="A416" s="43">
        <v>8934</v>
      </c>
      <c r="B416" s="32" t="s">
        <v>977</v>
      </c>
      <c r="C416" s="32" t="s">
        <v>552</v>
      </c>
      <c r="D416" s="32" t="s">
        <v>994</v>
      </c>
      <c r="E416" s="32" t="s">
        <v>1081</v>
      </c>
      <c r="F416" s="47">
        <v>45922</v>
      </c>
      <c r="G416" s="47">
        <v>37624</v>
      </c>
      <c r="H416" s="32" t="s">
        <v>1559</v>
      </c>
      <c r="I416" s="55" t="s">
        <v>1154</v>
      </c>
      <c r="J416" s="68"/>
      <c r="K416" s="68"/>
      <c r="L416" s="54"/>
      <c r="M416" s="70"/>
      <c r="N416" s="56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4"/>
    </row>
    <row r="417" spans="1:25">
      <c r="A417" s="43">
        <v>8935</v>
      </c>
      <c r="B417" s="32" t="s">
        <v>978</v>
      </c>
      <c r="C417" s="32" t="s">
        <v>554</v>
      </c>
      <c r="D417" s="32" t="s">
        <v>994</v>
      </c>
      <c r="E417" s="32" t="s">
        <v>1081</v>
      </c>
      <c r="F417" s="47">
        <v>45937</v>
      </c>
      <c r="G417" s="47">
        <v>38253</v>
      </c>
      <c r="H417" s="32" t="s">
        <v>1560</v>
      </c>
      <c r="I417" s="55" t="s">
        <v>1154</v>
      </c>
      <c r="J417" s="68"/>
      <c r="K417" s="68"/>
      <c r="L417" s="54"/>
      <c r="M417" s="70"/>
      <c r="N417" s="56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4"/>
    </row>
    <row r="418" spans="1:25">
      <c r="A418" s="43">
        <v>8936</v>
      </c>
      <c r="B418" s="32" t="s">
        <v>979</v>
      </c>
      <c r="C418" s="35"/>
      <c r="D418" s="32" t="s">
        <v>994</v>
      </c>
      <c r="E418" s="32" t="s">
        <v>1561</v>
      </c>
      <c r="F418" s="47">
        <v>45945</v>
      </c>
      <c r="G418" s="47">
        <v>23328</v>
      </c>
      <c r="H418" s="32" t="s">
        <v>1562</v>
      </c>
      <c r="I418" s="55" t="s">
        <v>1258</v>
      </c>
      <c r="J418" s="68"/>
      <c r="K418" s="68"/>
      <c r="L418" s="54"/>
      <c r="M418" s="70"/>
      <c r="N418" s="56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4"/>
    </row>
    <row r="419" spans="1:25">
      <c r="A419" s="43">
        <v>8937</v>
      </c>
      <c r="B419" s="32" t="s">
        <v>980</v>
      </c>
      <c r="C419" s="32" t="s">
        <v>981</v>
      </c>
      <c r="D419" s="32" t="s">
        <v>1103</v>
      </c>
      <c r="E419" s="32" t="s">
        <v>1104</v>
      </c>
      <c r="F419" s="47">
        <v>45950</v>
      </c>
      <c r="G419" s="47">
        <v>25912</v>
      </c>
      <c r="H419" s="32" t="s">
        <v>1563</v>
      </c>
      <c r="I419" s="55" t="s">
        <v>1564</v>
      </c>
      <c r="J419" s="68"/>
      <c r="K419" s="68"/>
      <c r="L419" s="54"/>
      <c r="M419" s="70"/>
      <c r="N419" s="56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4"/>
    </row>
    <row r="420" spans="1:25">
      <c r="A420" s="43">
        <v>8938</v>
      </c>
      <c r="B420" s="32" t="s">
        <v>982</v>
      </c>
      <c r="C420" s="35"/>
      <c r="D420" s="32" t="s">
        <v>994</v>
      </c>
      <c r="E420" s="32" t="s">
        <v>1081</v>
      </c>
      <c r="F420" s="47">
        <v>45971</v>
      </c>
      <c r="G420" s="47">
        <v>34641</v>
      </c>
      <c r="H420" s="32" t="s">
        <v>1565</v>
      </c>
      <c r="I420" s="55" t="s">
        <v>1566</v>
      </c>
      <c r="J420" s="68"/>
      <c r="K420" s="68"/>
      <c r="L420" s="54"/>
      <c r="M420" s="70"/>
      <c r="N420" s="56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4"/>
    </row>
    <row r="421" spans="1:25">
      <c r="A421" s="43">
        <v>8939</v>
      </c>
      <c r="B421" s="32" t="s">
        <v>983</v>
      </c>
      <c r="C421" s="32" t="s">
        <v>604</v>
      </c>
      <c r="D421" s="32" t="s">
        <v>994</v>
      </c>
      <c r="E421" s="35"/>
      <c r="F421" s="47">
        <v>45992</v>
      </c>
      <c r="G421" s="47">
        <v>35164</v>
      </c>
      <c r="H421" s="32" t="s">
        <v>1567</v>
      </c>
      <c r="I421" s="55" t="s">
        <v>1131</v>
      </c>
      <c r="J421" s="68"/>
      <c r="K421" s="68"/>
      <c r="L421" s="54"/>
      <c r="M421" s="70"/>
      <c r="N421" s="56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4"/>
    </row>
    <row r="422" spans="1:25">
      <c r="A422" s="43">
        <v>8940</v>
      </c>
      <c r="B422" s="32" t="s">
        <v>984</v>
      </c>
      <c r="C422" s="32" t="s">
        <v>570</v>
      </c>
      <c r="D422" s="32" t="s">
        <v>996</v>
      </c>
      <c r="E422" s="35"/>
      <c r="F422" s="47">
        <v>45992</v>
      </c>
      <c r="G422" s="47">
        <v>33543</v>
      </c>
      <c r="H422" s="32" t="s">
        <v>1568</v>
      </c>
      <c r="I422" s="55" t="s">
        <v>1511</v>
      </c>
      <c r="J422" s="68"/>
      <c r="K422" s="68"/>
      <c r="L422" s="54"/>
      <c r="M422" s="70"/>
      <c r="N422" s="56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4"/>
    </row>
    <row r="423" spans="1:25">
      <c r="A423" s="43">
        <v>8941</v>
      </c>
      <c r="B423" s="32" t="s">
        <v>985</v>
      </c>
      <c r="C423" s="32" t="s">
        <v>532</v>
      </c>
      <c r="D423" s="32" t="s">
        <v>994</v>
      </c>
      <c r="E423" s="32" t="s">
        <v>1081</v>
      </c>
      <c r="F423" s="47">
        <v>45992</v>
      </c>
      <c r="G423" s="47">
        <v>38754</v>
      </c>
      <c r="H423" s="32" t="s">
        <v>1569</v>
      </c>
      <c r="I423" s="55" t="s">
        <v>1154</v>
      </c>
      <c r="J423" s="68"/>
      <c r="K423" s="68"/>
      <c r="L423" s="54"/>
      <c r="M423" s="70"/>
      <c r="N423" s="56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4"/>
    </row>
    <row r="424" spans="1:25">
      <c r="A424" s="43">
        <v>8942</v>
      </c>
      <c r="B424" s="32" t="s">
        <v>986</v>
      </c>
      <c r="C424" s="32" t="s">
        <v>718</v>
      </c>
      <c r="D424" s="32" t="s">
        <v>996</v>
      </c>
      <c r="E424" s="32" t="s">
        <v>1150</v>
      </c>
      <c r="F424" s="47">
        <v>45992</v>
      </c>
      <c r="G424" s="47">
        <v>27793</v>
      </c>
      <c r="H424" s="32" t="s">
        <v>1570</v>
      </c>
      <c r="I424" s="55" t="s">
        <v>1571</v>
      </c>
      <c r="J424" s="68"/>
      <c r="K424" s="68"/>
      <c r="L424" s="54"/>
      <c r="M424" s="70"/>
      <c r="N424" s="56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4"/>
    </row>
    <row r="425" spans="1:25">
      <c r="A425" s="43">
        <v>8943</v>
      </c>
      <c r="B425" s="32" t="s">
        <v>987</v>
      </c>
      <c r="C425" s="32" t="s">
        <v>534</v>
      </c>
      <c r="D425" s="32" t="s">
        <v>994</v>
      </c>
      <c r="E425" s="32" t="s">
        <v>1081</v>
      </c>
      <c r="F425" s="47">
        <v>45994</v>
      </c>
      <c r="G425" s="47">
        <v>35752</v>
      </c>
      <c r="H425" s="32" t="s">
        <v>1572</v>
      </c>
      <c r="I425" s="55" t="s">
        <v>1117</v>
      </c>
      <c r="J425" s="68"/>
      <c r="K425" s="68"/>
      <c r="L425" s="54"/>
      <c r="M425" s="70"/>
      <c r="N425" s="56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4"/>
    </row>
    <row r="426" spans="1:25">
      <c r="A426" s="43">
        <v>8944</v>
      </c>
      <c r="B426" s="32" t="s">
        <v>988</v>
      </c>
      <c r="C426" s="35"/>
      <c r="D426" s="32" t="s">
        <v>994</v>
      </c>
      <c r="E426" s="32" t="s">
        <v>1174</v>
      </c>
      <c r="F426" s="47">
        <v>45996</v>
      </c>
      <c r="G426" s="47">
        <v>31900</v>
      </c>
      <c r="H426" s="32" t="s">
        <v>1573</v>
      </c>
      <c r="I426" s="55" t="s">
        <v>1574</v>
      </c>
      <c r="J426" s="68"/>
      <c r="K426" s="68"/>
      <c r="L426" s="54"/>
      <c r="M426" s="70"/>
      <c r="N426" s="56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4"/>
    </row>
    <row r="427" spans="1:25">
      <c r="A427" s="43">
        <v>8945</v>
      </c>
      <c r="B427" s="32" t="s">
        <v>989</v>
      </c>
      <c r="C427" s="32" t="s">
        <v>570</v>
      </c>
      <c r="D427" s="32" t="s">
        <v>996</v>
      </c>
      <c r="E427" s="35"/>
      <c r="F427" s="47">
        <v>46027</v>
      </c>
      <c r="G427" s="47">
        <v>39034</v>
      </c>
      <c r="H427" s="32" t="s">
        <v>1575</v>
      </c>
      <c r="I427" s="55" t="s">
        <v>1511</v>
      </c>
      <c r="J427" s="68"/>
      <c r="K427" s="68"/>
      <c r="L427" s="54"/>
      <c r="M427" s="70"/>
      <c r="N427" s="56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4"/>
    </row>
    <row r="428" spans="1:25">
      <c r="A428" s="43">
        <v>8946</v>
      </c>
      <c r="B428" s="32" t="s">
        <v>990</v>
      </c>
      <c r="C428" s="32" t="s">
        <v>570</v>
      </c>
      <c r="D428" s="32" t="s">
        <v>996</v>
      </c>
      <c r="E428" s="35"/>
      <c r="F428" s="47">
        <v>46027</v>
      </c>
      <c r="G428" s="47">
        <v>31221</v>
      </c>
      <c r="H428" s="32" t="s">
        <v>1576</v>
      </c>
      <c r="I428" s="55" t="s">
        <v>1258</v>
      </c>
      <c r="J428" s="68"/>
      <c r="K428" s="68"/>
      <c r="L428" s="54"/>
      <c r="M428" s="70"/>
      <c r="N428" s="56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4"/>
    </row>
    <row r="429" spans="1:25">
      <c r="A429" s="43">
        <v>8947</v>
      </c>
      <c r="B429" s="32" t="s">
        <v>991</v>
      </c>
      <c r="C429" s="32" t="s">
        <v>534</v>
      </c>
      <c r="D429" s="32" t="s">
        <v>994</v>
      </c>
      <c r="E429" s="32" t="s">
        <v>1081</v>
      </c>
      <c r="F429" s="47">
        <v>46041</v>
      </c>
      <c r="G429" s="47">
        <v>39392</v>
      </c>
      <c r="H429" s="32" t="s">
        <v>1577</v>
      </c>
      <c r="I429" s="55" t="s">
        <v>1154</v>
      </c>
      <c r="J429" s="68"/>
      <c r="K429" s="68"/>
      <c r="L429" s="54"/>
      <c r="M429" s="70"/>
      <c r="N429" s="56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4"/>
    </row>
    <row r="430" spans="1:25">
      <c r="A430" s="43">
        <v>8948</v>
      </c>
      <c r="B430" s="32" t="s">
        <v>992</v>
      </c>
      <c r="C430" s="32" t="s">
        <v>534</v>
      </c>
      <c r="D430" s="32" t="s">
        <v>994</v>
      </c>
      <c r="E430" s="32" t="s">
        <v>1081</v>
      </c>
      <c r="F430" s="75">
        <v>46041</v>
      </c>
      <c r="G430" s="75">
        <v>37897</v>
      </c>
      <c r="H430" s="74" t="s">
        <v>1578</v>
      </c>
      <c r="I430" s="76" t="s">
        <v>1154</v>
      </c>
      <c r="J430" s="68"/>
      <c r="K430" s="68"/>
      <c r="L430" s="54"/>
      <c r="M430" s="70"/>
      <c r="N430" s="56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4"/>
    </row>
    <row r="431" spans="1:25">
      <c r="A431" s="46">
        <v>8949</v>
      </c>
      <c r="B431" s="38" t="s">
        <v>993</v>
      </c>
      <c r="C431" s="38" t="s">
        <v>994</v>
      </c>
      <c r="D431" s="39"/>
      <c r="E431" s="60"/>
      <c r="F431" s="71"/>
      <c r="G431" s="71"/>
      <c r="H431" s="71"/>
      <c r="I431" s="71"/>
      <c r="J431" s="73"/>
      <c r="K431" s="68"/>
      <c r="L431" s="54"/>
      <c r="M431" s="70"/>
      <c r="N431" s="56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4"/>
    </row>
    <row r="432" spans="1:25">
      <c r="A432" s="46">
        <v>8950</v>
      </c>
      <c r="B432" s="38" t="s">
        <v>995</v>
      </c>
      <c r="C432" s="38" t="s">
        <v>996</v>
      </c>
      <c r="D432" s="39"/>
      <c r="E432" s="60"/>
      <c r="F432" s="71"/>
      <c r="G432" s="71"/>
      <c r="H432" s="71"/>
      <c r="I432" s="71"/>
      <c r="J432" s="73"/>
      <c r="K432" s="68"/>
      <c r="L432" s="54"/>
      <c r="M432" s="70"/>
      <c r="N432" s="56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4"/>
    </row>
    <row r="433" spans="1:25">
      <c r="A433" s="46">
        <v>8951</v>
      </c>
      <c r="B433" s="38" t="s">
        <v>997</v>
      </c>
      <c r="C433" s="38" t="s">
        <v>996</v>
      </c>
      <c r="D433" s="39"/>
      <c r="E433" s="72" t="s">
        <v>577</v>
      </c>
      <c r="F433" s="71"/>
      <c r="G433" s="71"/>
      <c r="H433" s="71"/>
      <c r="I433" s="71"/>
      <c r="J433" s="73"/>
      <c r="K433" s="68"/>
      <c r="L433" s="54"/>
      <c r="M433" s="70"/>
      <c r="N433" s="56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4"/>
    </row>
    <row r="434" spans="1:25">
      <c r="A434" s="40"/>
      <c r="B434" s="33"/>
      <c r="C434" s="33"/>
      <c r="D434" s="33"/>
      <c r="E434" s="33"/>
      <c r="F434" s="58"/>
      <c r="G434" s="58"/>
      <c r="H434" s="58"/>
      <c r="I434" s="58"/>
      <c r="J434" s="58"/>
      <c r="K434" s="58"/>
      <c r="L434" s="58"/>
      <c r="M434" s="58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4"/>
    </row>
    <row r="435" spans="1:25">
      <c r="A435" s="40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4"/>
    </row>
    <row r="436" spans="1:25">
      <c r="A436" s="40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4"/>
    </row>
    <row r="437" spans="1:25">
      <c r="A437" s="40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4"/>
    </row>
    <row r="438" spans="1:25">
      <c r="A438" s="40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4"/>
    </row>
    <row r="439" spans="1:25">
      <c r="A439" s="40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4"/>
    </row>
    <row r="440" spans="1:25">
      <c r="A440" s="40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4"/>
    </row>
    <row r="441" spans="1:25">
      <c r="A441" s="40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4"/>
    </row>
    <row r="442" spans="1:25">
      <c r="A442" s="40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4"/>
    </row>
    <row r="443" spans="1:25">
      <c r="A443" s="40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4"/>
    </row>
    <row r="444" spans="1:25">
      <c r="A444" s="40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4"/>
    </row>
    <row r="445" spans="1:25">
      <c r="A445" s="40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4"/>
    </row>
    <row r="446" spans="1:25">
      <c r="A446" s="40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4"/>
    </row>
    <row r="447" spans="1:25">
      <c r="A447" s="40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4"/>
    </row>
    <row r="448" spans="1:25">
      <c r="A448" s="40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4"/>
    </row>
    <row r="449" spans="1:25">
      <c r="A449" s="40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4"/>
    </row>
    <row r="450" spans="1:25">
      <c r="A450" s="40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4"/>
    </row>
    <row r="451" spans="1:25">
      <c r="A451" s="40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4"/>
    </row>
    <row r="452" spans="1:25">
      <c r="A452" s="40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4"/>
    </row>
    <row r="453" spans="1:25">
      <c r="A453" s="40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4"/>
    </row>
    <row r="454" spans="1:25">
      <c r="A454" s="40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4"/>
    </row>
    <row r="455" spans="1:25">
      <c r="A455" s="40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4"/>
    </row>
    <row r="456" spans="1:25">
      <c r="A456" s="40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4"/>
    </row>
    <row r="457" spans="1:25">
      <c r="A457" s="40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4"/>
    </row>
    <row r="458" spans="1:25">
      <c r="A458" s="40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4"/>
    </row>
    <row r="459" spans="1:25">
      <c r="A459" s="40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4"/>
    </row>
    <row r="460" spans="1:25">
      <c r="A460" s="40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4"/>
    </row>
    <row r="461" spans="1:25">
      <c r="A461" s="40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4"/>
    </row>
    <row r="462" spans="1:25">
      <c r="A462" s="40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4"/>
    </row>
    <row r="463" spans="1:25">
      <c r="A463" s="40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4"/>
    </row>
    <row r="464" spans="1:25">
      <c r="A464" s="40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4"/>
    </row>
    <row r="465" spans="1:25">
      <c r="A465" s="40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4"/>
    </row>
    <row r="466" spans="1:25">
      <c r="A466" s="40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4"/>
    </row>
    <row r="467" spans="1:25">
      <c r="A467" s="40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4"/>
    </row>
    <row r="468" spans="1:25">
      <c r="A468" s="40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4"/>
    </row>
    <row r="469" spans="1:25">
      <c r="A469" s="40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4"/>
    </row>
    <row r="470" spans="1:25">
      <c r="A470" s="40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4"/>
    </row>
    <row r="471" spans="1:25">
      <c r="A471" s="40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4"/>
    </row>
    <row r="472" spans="1:25">
      <c r="A472" s="40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4"/>
    </row>
    <row r="473" spans="1:25">
      <c r="A473" s="40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4"/>
    </row>
    <row r="474" spans="1:25">
      <c r="A474" s="40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4"/>
    </row>
    <row r="475" spans="1:25">
      <c r="A475" s="40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4"/>
    </row>
    <row r="476" spans="1:25">
      <c r="A476" s="40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4"/>
    </row>
    <row r="477" spans="1:25">
      <c r="A477" s="40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4"/>
    </row>
    <row r="478" spans="1:25">
      <c r="A478" s="40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4"/>
    </row>
    <row r="479" spans="1:25">
      <c r="A479" s="40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4"/>
    </row>
    <row r="480" spans="1:25">
      <c r="A480" s="40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4"/>
    </row>
    <row r="481" spans="1:25">
      <c r="A481" s="40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4"/>
    </row>
    <row r="482" spans="1:25">
      <c r="A482" s="40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4"/>
    </row>
    <row r="483" spans="1:25">
      <c r="A483" s="40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4"/>
    </row>
    <row r="484" spans="1:25">
      <c r="A484" s="40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4"/>
    </row>
    <row r="485" spans="1:25">
      <c r="A485" s="40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4"/>
    </row>
    <row r="486" spans="1:25">
      <c r="A486" s="40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4"/>
    </row>
    <row r="487" spans="1:25">
      <c r="A487" s="40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4"/>
    </row>
    <row r="488" spans="1:25">
      <c r="A488" s="40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4"/>
    </row>
    <row r="489" spans="1:25">
      <c r="A489" s="40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4"/>
    </row>
    <row r="490" spans="1:25">
      <c r="A490" s="40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4"/>
    </row>
    <row r="491" spans="1:25">
      <c r="A491" s="40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4"/>
    </row>
    <row r="492" spans="1:25">
      <c r="A492" s="40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4"/>
    </row>
    <row r="493" spans="1:25">
      <c r="A493" s="40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4"/>
    </row>
    <row r="494" spans="1:25">
      <c r="A494" s="40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4"/>
    </row>
    <row r="495" spans="1:25">
      <c r="A495" s="40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4"/>
    </row>
    <row r="496" spans="1:25">
      <c r="A496" s="40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4"/>
    </row>
    <row r="497" spans="1:25">
      <c r="A497" s="40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4"/>
    </row>
    <row r="498" spans="1:25">
      <c r="A498" s="40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4"/>
    </row>
    <row r="499" spans="1:25">
      <c r="A499" s="40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4"/>
    </row>
    <row r="500" spans="1:25">
      <c r="A500" s="40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4"/>
    </row>
    <row r="501" spans="1:25">
      <c r="A501" s="40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4"/>
    </row>
    <row r="502" spans="1:25">
      <c r="A502" s="40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4"/>
    </row>
    <row r="503" spans="1:25">
      <c r="A503" s="40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4"/>
    </row>
    <row r="504" spans="1:25">
      <c r="A504" s="40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4"/>
    </row>
    <row r="505" spans="1:25">
      <c r="A505" s="40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4"/>
    </row>
    <row r="506" spans="1:25">
      <c r="A506" s="40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4"/>
    </row>
    <row r="507" spans="1:25">
      <c r="A507" s="40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4"/>
    </row>
    <row r="508" spans="1:25">
      <c r="A508" s="40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4"/>
    </row>
    <row r="509" spans="1:25">
      <c r="A509" s="40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4"/>
    </row>
    <row r="510" spans="1:25">
      <c r="A510" s="40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4"/>
    </row>
    <row r="511" spans="1:25">
      <c r="A511" s="40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4"/>
    </row>
    <row r="512" spans="1:25">
      <c r="A512" s="40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4"/>
    </row>
    <row r="513" spans="1:25">
      <c r="A513" s="40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4"/>
    </row>
    <row r="514" spans="1:25">
      <c r="A514" s="40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4"/>
    </row>
    <row r="515" spans="1:25">
      <c r="A515" s="40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4"/>
    </row>
    <row r="516" spans="1:25">
      <c r="A516" s="40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4"/>
    </row>
    <row r="517" spans="1:25">
      <c r="A517" s="40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4"/>
    </row>
    <row r="518" spans="1:25">
      <c r="A518" s="40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4"/>
    </row>
    <row r="519" spans="1:25">
      <c r="A519" s="40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4"/>
    </row>
    <row r="520" spans="1:25">
      <c r="A520" s="40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4"/>
    </row>
    <row r="521" spans="1:25">
      <c r="A521" s="40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4"/>
    </row>
    <row r="522" spans="1:25">
      <c r="A522" s="40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4"/>
    </row>
    <row r="523" spans="1:25">
      <c r="A523" s="40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4"/>
    </row>
    <row r="524" spans="1:25">
      <c r="A524" s="40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4"/>
    </row>
    <row r="525" spans="1:25">
      <c r="A525" s="40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4"/>
    </row>
    <row r="526" spans="1:25">
      <c r="A526" s="40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4"/>
    </row>
    <row r="527" spans="1:25">
      <c r="A527" s="40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4"/>
    </row>
    <row r="528" spans="1:25">
      <c r="A528" s="40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4"/>
    </row>
    <row r="529" spans="1:25">
      <c r="A529" s="40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4"/>
    </row>
    <row r="530" spans="1:25">
      <c r="A530" s="40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4"/>
    </row>
    <row r="531" spans="1:25">
      <c r="A531" s="40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4"/>
    </row>
    <row r="532" spans="1:25">
      <c r="A532" s="40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4"/>
    </row>
    <row r="533" spans="1:25">
      <c r="A533" s="40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4"/>
    </row>
    <row r="534" spans="1:25">
      <c r="A534" s="40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4"/>
    </row>
    <row r="535" spans="1:25">
      <c r="A535" s="40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4"/>
    </row>
    <row r="536" spans="1:25">
      <c r="A536" s="40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4"/>
    </row>
    <row r="537" spans="1:25">
      <c r="A537" s="40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4"/>
    </row>
    <row r="538" spans="1:25">
      <c r="A538" s="40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4"/>
    </row>
    <row r="539" spans="1:25">
      <c r="A539" s="40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4"/>
    </row>
    <row r="540" spans="1:25">
      <c r="A540" s="40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4"/>
    </row>
    <row r="541" spans="1:25">
      <c r="A541" s="40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4"/>
    </row>
    <row r="542" spans="1:25">
      <c r="A542" s="40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4"/>
    </row>
    <row r="543" spans="1:25">
      <c r="A543" s="40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4"/>
    </row>
    <row r="544" spans="1:25">
      <c r="A544" s="40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4"/>
    </row>
    <row r="545" spans="1:25">
      <c r="A545" s="40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4"/>
    </row>
    <row r="546" spans="1:25">
      <c r="A546" s="40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4"/>
    </row>
    <row r="547" spans="1:25">
      <c r="A547" s="40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4"/>
    </row>
    <row r="548" spans="1:25">
      <c r="A548" s="40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4"/>
    </row>
    <row r="549" spans="1:25">
      <c r="A549" s="40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4"/>
    </row>
    <row r="550" spans="1:25">
      <c r="A550" s="40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4"/>
    </row>
    <row r="551" spans="1:25">
      <c r="A551" s="40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4"/>
    </row>
    <row r="552" spans="1:25">
      <c r="A552" s="40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4"/>
    </row>
    <row r="553" spans="1:25">
      <c r="A553" s="40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4"/>
    </row>
    <row r="554" spans="1:25">
      <c r="A554" s="40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4"/>
    </row>
    <row r="555" spans="1:25">
      <c r="A555" s="40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4"/>
    </row>
    <row r="556" spans="1:25">
      <c r="A556" s="40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4"/>
    </row>
    <row r="557" spans="1:25">
      <c r="A557" s="40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4"/>
    </row>
    <row r="558" spans="1:25">
      <c r="A558" s="40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4"/>
    </row>
    <row r="559" spans="1:25">
      <c r="A559" s="40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4"/>
    </row>
    <row r="560" spans="1:25">
      <c r="A560" s="40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4"/>
    </row>
    <row r="561" spans="1:25">
      <c r="A561" s="40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4"/>
    </row>
    <row r="562" spans="1:25">
      <c r="A562" s="40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4"/>
    </row>
    <row r="563" spans="1:25">
      <c r="A563" s="40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4"/>
    </row>
    <row r="564" spans="1:25">
      <c r="A564" s="40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4"/>
    </row>
    <row r="565" spans="1:25">
      <c r="A565" s="40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4"/>
    </row>
    <row r="566" spans="1:25">
      <c r="A566" s="40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4"/>
    </row>
    <row r="567" spans="1:25">
      <c r="A567" s="40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4"/>
    </row>
    <row r="568" spans="1:25">
      <c r="A568" s="40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4"/>
    </row>
    <row r="569" spans="1:25">
      <c r="A569" s="40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4"/>
    </row>
    <row r="570" spans="1:25">
      <c r="A570" s="40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4"/>
    </row>
    <row r="571" spans="1:25">
      <c r="A571" s="40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4"/>
    </row>
    <row r="572" spans="1:25">
      <c r="A572" s="40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4"/>
    </row>
    <row r="573" spans="1:25">
      <c r="A573" s="40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4"/>
    </row>
    <row r="574" spans="1:25">
      <c r="A574" s="40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4"/>
    </row>
    <row r="575" spans="1:25">
      <c r="A575" s="40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4"/>
    </row>
    <row r="576" spans="1:25">
      <c r="A576" s="40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4"/>
    </row>
    <row r="577" spans="1:25">
      <c r="A577" s="40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4"/>
    </row>
    <row r="578" spans="1:25">
      <c r="A578" s="40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4"/>
    </row>
    <row r="579" spans="1:25">
      <c r="A579" s="40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4"/>
    </row>
    <row r="580" spans="1:25">
      <c r="A580" s="40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4"/>
    </row>
    <row r="581" spans="1:25">
      <c r="A581" s="40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4"/>
    </row>
    <row r="582" spans="1:25">
      <c r="A582" s="40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4"/>
    </row>
    <row r="583" spans="1:25">
      <c r="A583" s="40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4"/>
    </row>
    <row r="584" spans="1:25">
      <c r="A584" s="40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4"/>
    </row>
    <row r="585" spans="1:25">
      <c r="A585" s="40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4"/>
    </row>
    <row r="586" spans="1:25">
      <c r="A586" s="40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4"/>
    </row>
    <row r="587" spans="1:25">
      <c r="A587" s="40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4"/>
    </row>
    <row r="588" spans="1:25">
      <c r="A588" s="40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4"/>
    </row>
    <row r="589" spans="1:25">
      <c r="A589" s="40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4"/>
    </row>
    <row r="590" spans="1:25">
      <c r="A590" s="40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4"/>
    </row>
    <row r="591" spans="1:25">
      <c r="A591" s="40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4"/>
    </row>
    <row r="592" spans="1:25">
      <c r="A592" s="40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4"/>
    </row>
    <row r="593" spans="1:25">
      <c r="A593" s="40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4"/>
    </row>
    <row r="594" spans="1:25">
      <c r="A594" s="40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4"/>
    </row>
    <row r="595" spans="1:25">
      <c r="A595" s="40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4"/>
    </row>
    <row r="596" spans="1:25">
      <c r="A596" s="40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4"/>
    </row>
    <row r="597" spans="1:25">
      <c r="A597" s="40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4"/>
    </row>
    <row r="598" spans="1:25">
      <c r="A598" s="40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4"/>
    </row>
    <row r="599" spans="1:25">
      <c r="A599" s="40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4"/>
    </row>
    <row r="600" spans="1:25">
      <c r="A600" s="40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4"/>
    </row>
    <row r="601" spans="1:25">
      <c r="A601" s="40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4"/>
    </row>
    <row r="602" spans="1:25">
      <c r="A602" s="40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4"/>
    </row>
    <row r="603" spans="1:25">
      <c r="A603" s="40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4"/>
    </row>
    <row r="604" spans="1:25">
      <c r="A604" s="40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4"/>
    </row>
    <row r="605" spans="1:25">
      <c r="A605" s="40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4"/>
    </row>
    <row r="606" spans="1:25">
      <c r="A606" s="40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4"/>
    </row>
    <row r="607" spans="1:25">
      <c r="A607" s="40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4"/>
    </row>
    <row r="608" spans="1:25">
      <c r="A608" s="40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4"/>
    </row>
    <row r="609" spans="1:25">
      <c r="A609" s="40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4"/>
    </row>
    <row r="610" spans="1:25">
      <c r="A610" s="40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4"/>
    </row>
    <row r="611" spans="1:25">
      <c r="A611" s="40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4"/>
    </row>
    <row r="612" spans="1:25">
      <c r="A612" s="40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4"/>
    </row>
    <row r="613" spans="1:25">
      <c r="A613" s="40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4"/>
    </row>
    <row r="614" spans="1:25">
      <c r="A614" s="40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4"/>
    </row>
    <row r="615" spans="1:25">
      <c r="A615" s="40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4"/>
    </row>
    <row r="616" spans="1:25">
      <c r="A616" s="40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4"/>
    </row>
    <row r="617" spans="1:25">
      <c r="A617" s="40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4"/>
    </row>
    <row r="618" spans="1:25">
      <c r="A618" s="40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4"/>
    </row>
    <row r="619" spans="1:25">
      <c r="A619" s="40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4"/>
    </row>
    <row r="620" spans="1:25">
      <c r="A620" s="40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4"/>
    </row>
    <row r="621" spans="1:25">
      <c r="A621" s="40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4"/>
    </row>
    <row r="622" spans="1:25">
      <c r="A622" s="40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4"/>
    </row>
    <row r="623" spans="1:25">
      <c r="A623" s="40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4"/>
    </row>
    <row r="624" spans="1:25">
      <c r="A624" s="40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4"/>
    </row>
    <row r="625" spans="1:25">
      <c r="A625" s="40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4"/>
    </row>
    <row r="626" spans="1:25">
      <c r="A626" s="40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4"/>
    </row>
    <row r="627" spans="1:25">
      <c r="A627" s="40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4"/>
    </row>
    <row r="628" spans="1:25">
      <c r="A628" s="40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4"/>
    </row>
    <row r="629" spans="1:25">
      <c r="A629" s="40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4"/>
    </row>
    <row r="630" spans="1:25">
      <c r="A630" s="40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4"/>
    </row>
    <row r="631" spans="1:25">
      <c r="A631" s="40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4"/>
    </row>
    <row r="632" spans="1:25">
      <c r="A632" s="40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4"/>
    </row>
    <row r="633" spans="1:25">
      <c r="A633" s="40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4"/>
    </row>
    <row r="634" spans="1:25">
      <c r="A634" s="40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4"/>
    </row>
    <row r="635" spans="1:25">
      <c r="A635" s="40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4"/>
    </row>
    <row r="636" spans="1:25">
      <c r="A636" s="40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4"/>
    </row>
    <row r="637" spans="1:25">
      <c r="A637" s="40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4"/>
    </row>
    <row r="638" spans="1:25">
      <c r="A638" s="40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4"/>
    </row>
    <row r="639" spans="1:25">
      <c r="A639" s="40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4"/>
    </row>
    <row r="640" spans="1:25">
      <c r="A640" s="40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4"/>
    </row>
    <row r="641" spans="1:25">
      <c r="A641" s="40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4"/>
    </row>
    <row r="642" spans="1:25">
      <c r="A642" s="40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4"/>
    </row>
    <row r="643" spans="1:25">
      <c r="A643" s="40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4"/>
    </row>
    <row r="644" spans="1:25">
      <c r="A644" s="40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4"/>
    </row>
    <row r="645" spans="1:25">
      <c r="A645" s="40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4"/>
    </row>
    <row r="646" spans="1:25">
      <c r="A646" s="40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4"/>
    </row>
    <row r="647" spans="1:25">
      <c r="A647" s="40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4"/>
    </row>
    <row r="648" spans="1:25">
      <c r="A648" s="40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4"/>
    </row>
    <row r="649" spans="1:25">
      <c r="A649" s="40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4"/>
    </row>
    <row r="650" spans="1:25">
      <c r="A650" s="40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4"/>
    </row>
    <row r="651" spans="1:25">
      <c r="A651" s="40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4"/>
    </row>
    <row r="652" spans="1:25">
      <c r="A652" s="40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4"/>
    </row>
    <row r="653" spans="1:25">
      <c r="A653" s="40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4"/>
    </row>
    <row r="654" spans="1:25">
      <c r="A654" s="40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4"/>
    </row>
    <row r="655" spans="1:25">
      <c r="A655" s="40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4"/>
    </row>
    <row r="656" spans="1:25">
      <c r="A656" s="40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4"/>
    </row>
    <row r="657" spans="1:25">
      <c r="A657" s="40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4"/>
    </row>
    <row r="658" spans="1:25">
      <c r="A658" s="40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4"/>
    </row>
    <row r="659" spans="1:25">
      <c r="A659" s="40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4"/>
    </row>
    <row r="660" spans="1:25">
      <c r="A660" s="40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4"/>
    </row>
    <row r="661" spans="1:25">
      <c r="A661" s="40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4"/>
    </row>
    <row r="662" spans="1:25">
      <c r="A662" s="40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4"/>
    </row>
    <row r="663" spans="1:25">
      <c r="A663" s="40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4"/>
    </row>
    <row r="664" spans="1:25">
      <c r="A664" s="40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4"/>
    </row>
    <row r="665" spans="1:25">
      <c r="A665" s="40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4"/>
    </row>
    <row r="666" spans="1:25">
      <c r="A666" s="40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4"/>
    </row>
    <row r="667" spans="1:25">
      <c r="A667" s="40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4"/>
    </row>
    <row r="668" spans="1:25">
      <c r="A668" s="40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4"/>
    </row>
    <row r="669" spans="1:25">
      <c r="A669" s="40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4"/>
    </row>
    <row r="670" spans="1:25">
      <c r="A670" s="40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4"/>
    </row>
    <row r="671" spans="1:25">
      <c r="A671" s="40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4"/>
    </row>
    <row r="672" spans="1:25">
      <c r="A672" s="40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4"/>
    </row>
    <row r="673" spans="1:25">
      <c r="A673" s="40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4"/>
    </row>
    <row r="674" spans="1:25">
      <c r="A674" s="40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4"/>
    </row>
    <row r="675" spans="1:25">
      <c r="A675" s="40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4"/>
    </row>
    <row r="676" spans="1:25">
      <c r="A676" s="40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4"/>
    </row>
    <row r="677" spans="1:25">
      <c r="A677" s="40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4"/>
    </row>
    <row r="678" spans="1:25">
      <c r="A678" s="40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4"/>
    </row>
    <row r="679" spans="1:25">
      <c r="A679" s="40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4"/>
    </row>
    <row r="680" spans="1:25">
      <c r="A680" s="40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4"/>
    </row>
    <row r="681" spans="1:25">
      <c r="A681" s="40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4"/>
    </row>
    <row r="682" spans="1:25">
      <c r="A682" s="40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4"/>
    </row>
    <row r="683" spans="1:25">
      <c r="A683" s="40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4"/>
    </row>
    <row r="684" spans="1:25">
      <c r="A684" s="40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4"/>
    </row>
    <row r="685" spans="1:25">
      <c r="A685" s="40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4"/>
    </row>
    <row r="686" spans="1:25">
      <c r="A686" s="40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4"/>
    </row>
    <row r="687" spans="1:25">
      <c r="A687" s="40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4"/>
    </row>
    <row r="688" spans="1:25">
      <c r="A688" s="40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4"/>
    </row>
    <row r="689" spans="1:25">
      <c r="A689" s="40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4"/>
    </row>
    <row r="690" spans="1:25">
      <c r="A690" s="40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4"/>
    </row>
    <row r="691" spans="1:25">
      <c r="A691" s="40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4"/>
    </row>
    <row r="692" spans="1:25">
      <c r="A692" s="40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4"/>
    </row>
    <row r="693" spans="1:25">
      <c r="A693" s="40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4"/>
    </row>
    <row r="694" spans="1:25">
      <c r="A694" s="40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4"/>
    </row>
    <row r="695" spans="1:25">
      <c r="A695" s="40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4"/>
    </row>
    <row r="696" spans="1:25">
      <c r="A696" s="40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4"/>
    </row>
    <row r="697" spans="1:25">
      <c r="A697" s="40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4"/>
    </row>
    <row r="698" spans="1:25">
      <c r="A698" s="40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4"/>
    </row>
    <row r="699" spans="1:25">
      <c r="A699" s="40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4"/>
    </row>
    <row r="700" spans="1:25">
      <c r="A700" s="40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4"/>
    </row>
    <row r="701" spans="1:25">
      <c r="A701" s="40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4"/>
    </row>
    <row r="702" spans="1:25">
      <c r="A702" s="40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4"/>
    </row>
    <row r="703" spans="1:25">
      <c r="A703" s="40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4"/>
    </row>
    <row r="704" spans="1:25">
      <c r="A704" s="40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4"/>
    </row>
    <row r="705" spans="1:25">
      <c r="A705" s="40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4"/>
    </row>
    <row r="706" spans="1:25">
      <c r="A706" s="40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4"/>
    </row>
    <row r="707" spans="1:25">
      <c r="A707" s="40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4"/>
    </row>
    <row r="708" spans="1:25">
      <c r="A708" s="40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4"/>
    </row>
    <row r="709" spans="1:25">
      <c r="A709" s="40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4"/>
    </row>
    <row r="710" spans="1:25">
      <c r="A710" s="40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4"/>
    </row>
    <row r="711" spans="1:25">
      <c r="A711" s="40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4"/>
    </row>
    <row r="712" spans="1:25">
      <c r="A712" s="40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4"/>
    </row>
    <row r="713" spans="1:25">
      <c r="A713" s="40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4"/>
    </row>
    <row r="714" spans="1:25">
      <c r="A714" s="40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4"/>
    </row>
    <row r="715" spans="1:25">
      <c r="A715" s="40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4"/>
    </row>
    <row r="716" spans="1:25">
      <c r="A716" s="40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4"/>
    </row>
    <row r="717" spans="1:25">
      <c r="A717" s="40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4"/>
    </row>
    <row r="718" spans="1:25">
      <c r="A718" s="40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4"/>
    </row>
    <row r="719" spans="1:25">
      <c r="A719" s="40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4"/>
    </row>
    <row r="720" spans="1:25">
      <c r="A720" s="40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4"/>
    </row>
    <row r="721" spans="1:25">
      <c r="A721" s="40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4"/>
    </row>
    <row r="722" spans="1:25">
      <c r="A722" s="40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4"/>
    </row>
    <row r="723" spans="1:25">
      <c r="A723" s="40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4"/>
    </row>
    <row r="724" spans="1:25">
      <c r="A724" s="40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4"/>
    </row>
    <row r="725" spans="1:25">
      <c r="A725" s="40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4"/>
    </row>
    <row r="726" spans="1:25">
      <c r="A726" s="40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4"/>
    </row>
    <row r="727" spans="1:25">
      <c r="A727" s="40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4"/>
    </row>
    <row r="728" spans="1:25">
      <c r="A728" s="40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4"/>
    </row>
    <row r="729" spans="1:25">
      <c r="A729" s="40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4"/>
    </row>
    <row r="730" spans="1:25">
      <c r="A730" s="40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4"/>
    </row>
    <row r="731" spans="1:25">
      <c r="A731" s="40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4"/>
    </row>
    <row r="732" spans="1:25">
      <c r="A732" s="40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4"/>
    </row>
    <row r="733" spans="1:25">
      <c r="A733" s="40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4"/>
    </row>
    <row r="734" spans="1:25">
      <c r="A734" s="40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4"/>
    </row>
    <row r="735" spans="1:25">
      <c r="A735" s="40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4"/>
    </row>
    <row r="736" spans="1:25">
      <c r="A736" s="40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4"/>
    </row>
    <row r="737" spans="1:25">
      <c r="A737" s="40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4"/>
    </row>
    <row r="738" spans="1:25">
      <c r="A738" s="40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4"/>
    </row>
    <row r="739" spans="1:25">
      <c r="A739" s="40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4"/>
    </row>
    <row r="740" spans="1:25">
      <c r="A740" s="40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4"/>
    </row>
    <row r="741" spans="1:25">
      <c r="A741" s="40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4"/>
    </row>
    <row r="742" spans="1:25">
      <c r="A742" s="40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4"/>
    </row>
    <row r="743" spans="1:25">
      <c r="A743" s="40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4"/>
    </row>
    <row r="744" spans="1:25">
      <c r="A744" s="40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4"/>
    </row>
    <row r="745" spans="1:25">
      <c r="A745" s="40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4"/>
    </row>
    <row r="746" spans="1:25">
      <c r="A746" s="40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4"/>
    </row>
    <row r="747" spans="1:25">
      <c r="A747" s="40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4"/>
    </row>
    <row r="748" spans="1:25">
      <c r="A748" s="40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4"/>
    </row>
    <row r="749" spans="1:25">
      <c r="A749" s="40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4"/>
    </row>
    <row r="750" spans="1:25">
      <c r="A750" s="40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4"/>
    </row>
    <row r="751" spans="1:25">
      <c r="A751" s="40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4"/>
    </row>
    <row r="752" spans="1:25">
      <c r="A752" s="40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4"/>
    </row>
    <row r="753" spans="1:25">
      <c r="A753" s="40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4"/>
    </row>
    <row r="754" spans="1:25">
      <c r="A754" s="40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4"/>
    </row>
    <row r="755" spans="1:25">
      <c r="A755" s="40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4"/>
    </row>
    <row r="756" spans="1:25">
      <c r="A756" s="40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4"/>
    </row>
    <row r="757" spans="1:25">
      <c r="A757" s="40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4"/>
    </row>
    <row r="758" spans="1:25">
      <c r="A758" s="40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4"/>
    </row>
    <row r="759" spans="1:25">
      <c r="A759" s="40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4"/>
    </row>
    <row r="760" spans="1:25">
      <c r="A760" s="40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4"/>
    </row>
    <row r="761" spans="1:25">
      <c r="A761" s="40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4"/>
    </row>
    <row r="762" spans="1:25">
      <c r="A762" s="40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4"/>
    </row>
    <row r="763" spans="1:25">
      <c r="A763" s="40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4"/>
    </row>
    <row r="764" spans="1:25">
      <c r="A764" s="40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4"/>
    </row>
    <row r="765" spans="1:25">
      <c r="A765" s="40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4"/>
    </row>
    <row r="766" spans="1:25">
      <c r="A766" s="40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4"/>
    </row>
    <row r="767" spans="1:25">
      <c r="A767" s="40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4"/>
    </row>
    <row r="768" spans="1:25">
      <c r="A768" s="40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4"/>
    </row>
    <row r="769" spans="1:25">
      <c r="A769" s="40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4"/>
    </row>
    <row r="770" spans="1:25">
      <c r="A770" s="40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4"/>
    </row>
    <row r="771" spans="1:25">
      <c r="A771" s="40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4"/>
    </row>
    <row r="772" spans="1:25">
      <c r="A772" s="40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4"/>
    </row>
    <row r="773" spans="1:25">
      <c r="A773" s="40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4"/>
    </row>
    <row r="774" spans="1:25">
      <c r="A774" s="40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4"/>
    </row>
    <row r="775" spans="1:25">
      <c r="A775" s="40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4"/>
    </row>
    <row r="776" spans="1:25">
      <c r="A776" s="40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4"/>
    </row>
    <row r="777" spans="1:25">
      <c r="A777" s="40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4"/>
    </row>
    <row r="778" spans="1:25">
      <c r="A778" s="40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4"/>
    </row>
    <row r="779" spans="1:25">
      <c r="A779" s="40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4"/>
    </row>
    <row r="780" spans="1:25">
      <c r="A780" s="40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4"/>
    </row>
    <row r="781" spans="1:25">
      <c r="A781" s="40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4"/>
    </row>
    <row r="782" spans="1:25">
      <c r="A782" s="40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4"/>
    </row>
    <row r="783" spans="1:25">
      <c r="A783" s="40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4"/>
    </row>
    <row r="784" spans="1:25">
      <c r="A784" s="40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4"/>
    </row>
    <row r="785" spans="1:25">
      <c r="A785" s="40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4"/>
    </row>
    <row r="786" spans="1:25">
      <c r="A786" s="40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4"/>
    </row>
    <row r="787" spans="1:25">
      <c r="A787" s="40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4"/>
    </row>
    <row r="788" spans="1:25">
      <c r="A788" s="40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4"/>
    </row>
    <row r="789" spans="1:25">
      <c r="A789" s="40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4"/>
    </row>
    <row r="790" spans="1:25">
      <c r="A790" s="40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4"/>
    </row>
    <row r="791" spans="1:25">
      <c r="A791" s="40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4"/>
    </row>
    <row r="792" spans="1:25">
      <c r="A792" s="40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4"/>
    </row>
    <row r="793" spans="1:25">
      <c r="A793" s="40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4"/>
    </row>
    <row r="794" spans="1:25">
      <c r="A794" s="40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4"/>
    </row>
    <row r="795" spans="1:25">
      <c r="A795" s="40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4"/>
    </row>
    <row r="796" spans="1:25">
      <c r="A796" s="40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4"/>
    </row>
    <row r="797" spans="1:25">
      <c r="A797" s="40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4"/>
    </row>
    <row r="798" spans="1:25">
      <c r="A798" s="40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4"/>
    </row>
    <row r="799" spans="1:25">
      <c r="A799" s="40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4"/>
    </row>
    <row r="800" spans="1:25">
      <c r="A800" s="40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4"/>
    </row>
    <row r="801" spans="1:25">
      <c r="A801" s="40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4"/>
    </row>
    <row r="802" spans="1:25">
      <c r="A802" s="40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4"/>
    </row>
    <row r="803" spans="1:25">
      <c r="A803" s="40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4"/>
    </row>
    <row r="804" spans="1:25">
      <c r="A804" s="40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4"/>
    </row>
    <row r="805" spans="1:25">
      <c r="A805" s="40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4"/>
    </row>
    <row r="806" spans="1:25">
      <c r="A806" s="40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4"/>
    </row>
    <row r="807" spans="1:25">
      <c r="A807" s="40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4"/>
    </row>
    <row r="808" spans="1:25">
      <c r="A808" s="40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4"/>
    </row>
    <row r="809" spans="1:25">
      <c r="A809" s="40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4"/>
    </row>
    <row r="810" spans="1:25">
      <c r="A810" s="40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4"/>
    </row>
    <row r="811" spans="1:25">
      <c r="A811" s="40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4"/>
    </row>
    <row r="812" spans="1:25">
      <c r="A812" s="40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4"/>
    </row>
    <row r="813" spans="1:25">
      <c r="A813" s="40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4"/>
    </row>
    <row r="814" spans="1:25">
      <c r="A814" s="40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4"/>
    </row>
    <row r="815" spans="1:25">
      <c r="A815" s="40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4"/>
    </row>
    <row r="816" spans="1:25">
      <c r="A816" s="40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4"/>
    </row>
    <row r="817" spans="1:25">
      <c r="A817" s="40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4"/>
    </row>
    <row r="818" spans="1:25">
      <c r="A818" s="40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4"/>
    </row>
    <row r="819" spans="1:25">
      <c r="A819" s="40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4"/>
    </row>
    <row r="820" spans="1:25">
      <c r="A820" s="40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4"/>
    </row>
    <row r="821" spans="1:25">
      <c r="A821" s="40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4"/>
    </row>
    <row r="822" spans="1:25">
      <c r="A822" s="40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4"/>
    </row>
    <row r="823" spans="1:25">
      <c r="A823" s="40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4"/>
    </row>
    <row r="824" spans="1:25">
      <c r="A824" s="40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4"/>
    </row>
    <row r="825" spans="1:25">
      <c r="A825" s="40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4"/>
    </row>
    <row r="826" spans="1:25">
      <c r="A826" s="40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4"/>
    </row>
    <row r="827" spans="1:25">
      <c r="A827" s="40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4"/>
    </row>
    <row r="828" spans="1:25">
      <c r="A828" s="40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4"/>
    </row>
    <row r="829" spans="1:25">
      <c r="A829" s="40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4"/>
    </row>
    <row r="830" spans="1:25">
      <c r="A830" s="40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4"/>
    </row>
    <row r="831" spans="1:25">
      <c r="A831" s="40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4"/>
    </row>
    <row r="832" spans="1:25">
      <c r="A832" s="40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4"/>
    </row>
    <row r="833" spans="1:25">
      <c r="A833" s="40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4"/>
    </row>
    <row r="834" spans="1:25">
      <c r="A834" s="40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4"/>
    </row>
    <row r="835" spans="1:25">
      <c r="A835" s="40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4"/>
    </row>
    <row r="836" spans="1:25">
      <c r="A836" s="40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4"/>
    </row>
    <row r="837" spans="1:25">
      <c r="A837" s="40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4"/>
    </row>
    <row r="838" spans="1:25">
      <c r="A838" s="40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4"/>
    </row>
    <row r="839" spans="1:25">
      <c r="A839" s="40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4"/>
    </row>
    <row r="840" spans="1:25">
      <c r="A840" s="40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4"/>
    </row>
    <row r="841" spans="1:25">
      <c r="A841" s="40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4"/>
    </row>
    <row r="842" spans="1:25">
      <c r="A842" s="40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4"/>
    </row>
    <row r="843" spans="1:25">
      <c r="A843" s="40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4"/>
    </row>
    <row r="844" spans="1:25">
      <c r="A844" s="40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4"/>
    </row>
    <row r="845" spans="1:25">
      <c r="A845" s="40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4"/>
    </row>
    <row r="846" spans="1:25">
      <c r="A846" s="40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4"/>
    </row>
    <row r="847" spans="1:25">
      <c r="A847" s="40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4"/>
    </row>
    <row r="848" spans="1:25">
      <c r="A848" s="40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4"/>
    </row>
    <row r="849" spans="1:25">
      <c r="A849" s="40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4"/>
    </row>
    <row r="850" spans="1:25">
      <c r="A850" s="40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4"/>
    </row>
    <row r="851" spans="1:25">
      <c r="A851" s="40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4"/>
    </row>
    <row r="852" spans="1:25">
      <c r="A852" s="40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4"/>
    </row>
    <row r="853" spans="1:25">
      <c r="A853" s="40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4"/>
    </row>
    <row r="854" spans="1:25">
      <c r="A854" s="40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4"/>
    </row>
    <row r="855" spans="1:25">
      <c r="A855" s="40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4"/>
    </row>
    <row r="856" spans="1:25">
      <c r="A856" s="40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4"/>
    </row>
    <row r="857" spans="1:25">
      <c r="A857" s="40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4"/>
    </row>
    <row r="858" spans="1:25">
      <c r="A858" s="40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4"/>
    </row>
    <row r="859" spans="1:25">
      <c r="A859" s="40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4"/>
    </row>
    <row r="860" spans="1:25">
      <c r="A860" s="40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4"/>
    </row>
    <row r="861" spans="1:25">
      <c r="A861" s="40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4"/>
    </row>
    <row r="862" spans="1:25">
      <c r="A862" s="40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4"/>
    </row>
    <row r="863" spans="1:25">
      <c r="A863" s="40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4"/>
    </row>
    <row r="864" spans="1:25">
      <c r="A864" s="40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4"/>
    </row>
    <row r="865" spans="1:25">
      <c r="A865" s="40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4"/>
    </row>
    <row r="866" spans="1:25">
      <c r="A866" s="40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4"/>
    </row>
    <row r="867" spans="1:25">
      <c r="A867" s="40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4"/>
    </row>
    <row r="868" spans="1:25">
      <c r="A868" s="40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4"/>
    </row>
    <row r="869" spans="1:25">
      <c r="A869" s="40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4"/>
    </row>
    <row r="870" spans="1:25">
      <c r="A870" s="40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4"/>
    </row>
    <row r="871" spans="1:25">
      <c r="A871" s="40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4"/>
    </row>
    <row r="872" spans="1:25">
      <c r="A872" s="40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4"/>
    </row>
    <row r="873" spans="1:25">
      <c r="A873" s="40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4"/>
    </row>
    <row r="874" spans="1:25">
      <c r="A874" s="40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4"/>
    </row>
    <row r="875" spans="1:25">
      <c r="A875" s="40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4"/>
    </row>
    <row r="876" spans="1:25">
      <c r="A876" s="40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4"/>
    </row>
    <row r="877" spans="1:25">
      <c r="A877" s="40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4"/>
    </row>
    <row r="878" spans="1:25">
      <c r="A878" s="40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4"/>
    </row>
    <row r="879" spans="1:25">
      <c r="A879" s="40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4"/>
    </row>
    <row r="880" spans="1:25">
      <c r="A880" s="40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4"/>
    </row>
    <row r="881" spans="1:25">
      <c r="A881" s="40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4"/>
    </row>
    <row r="882" spans="1:25">
      <c r="A882" s="40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4"/>
    </row>
    <row r="883" spans="1:25">
      <c r="A883" s="40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4"/>
    </row>
    <row r="884" spans="1:25">
      <c r="A884" s="40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4"/>
    </row>
    <row r="885" spans="1:25">
      <c r="A885" s="40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4"/>
    </row>
    <row r="886" spans="1:25">
      <c r="A886" s="40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4"/>
    </row>
    <row r="887" spans="1:25">
      <c r="A887" s="40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4"/>
    </row>
    <row r="888" spans="1:25">
      <c r="A888" s="40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4"/>
    </row>
    <row r="889" spans="1:25">
      <c r="A889" s="40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4"/>
    </row>
    <row r="890" spans="1:25">
      <c r="A890" s="40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4"/>
    </row>
    <row r="891" spans="1:25">
      <c r="A891" s="40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4"/>
    </row>
    <row r="892" spans="1:25">
      <c r="A892" s="40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4"/>
    </row>
    <row r="893" spans="1:25">
      <c r="A893" s="40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4"/>
    </row>
    <row r="894" spans="1:25">
      <c r="A894" s="40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4"/>
    </row>
    <row r="895" spans="1:25">
      <c r="A895" s="40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4"/>
    </row>
    <row r="896" spans="1:25">
      <c r="A896" s="40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4"/>
    </row>
    <row r="897" spans="1:25">
      <c r="A897" s="40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4"/>
    </row>
    <row r="898" spans="1:25">
      <c r="A898" s="40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4"/>
    </row>
    <row r="899" spans="1:25">
      <c r="A899" s="40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4"/>
    </row>
    <row r="900" spans="1:25">
      <c r="A900" s="40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4"/>
    </row>
    <row r="901" spans="1:25">
      <c r="A901" s="40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4"/>
    </row>
    <row r="902" spans="1:25">
      <c r="A902" s="40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4"/>
    </row>
    <row r="903" spans="1:25">
      <c r="A903" s="40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4"/>
    </row>
    <row r="904" spans="1:25">
      <c r="A904" s="40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4"/>
    </row>
    <row r="905" spans="1:25">
      <c r="A905" s="40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4"/>
    </row>
    <row r="906" spans="1:25">
      <c r="A906" s="40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4"/>
    </row>
    <row r="907" spans="1:25">
      <c r="A907" s="40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4"/>
    </row>
    <row r="908" spans="1:25">
      <c r="A908" s="40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4"/>
    </row>
    <row r="909" spans="1:25">
      <c r="A909" s="40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4"/>
    </row>
    <row r="910" spans="1:25">
      <c r="A910" s="40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4"/>
    </row>
    <row r="911" spans="1:25">
      <c r="A911" s="40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4"/>
    </row>
    <row r="912" spans="1:25">
      <c r="A912" s="40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4"/>
    </row>
    <row r="913" spans="1:25">
      <c r="A913" s="40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4"/>
    </row>
    <row r="914" spans="1:25">
      <c r="A914" s="40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4"/>
    </row>
    <row r="915" spans="1:25">
      <c r="A915" s="40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4"/>
    </row>
    <row r="916" spans="1:25">
      <c r="A916" s="40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4"/>
    </row>
    <row r="917" spans="1:25">
      <c r="A917" s="40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4"/>
    </row>
    <row r="918" spans="1:25">
      <c r="A918" s="40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4"/>
    </row>
    <row r="919" spans="1:25">
      <c r="A919" s="40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4"/>
    </row>
    <row r="920" spans="1:25">
      <c r="A920" s="40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4"/>
    </row>
    <row r="921" spans="1:25">
      <c r="A921" s="40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4"/>
    </row>
    <row r="922" spans="1:25">
      <c r="A922" s="40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4"/>
    </row>
    <row r="923" spans="1:25">
      <c r="A923" s="40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4"/>
    </row>
    <row r="924" spans="1:25">
      <c r="A924" s="40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4"/>
    </row>
    <row r="925" spans="1:25">
      <c r="A925" s="40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4"/>
    </row>
    <row r="926" spans="1:25">
      <c r="A926" s="40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4"/>
    </row>
    <row r="927" spans="1:25">
      <c r="A927" s="40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4"/>
    </row>
    <row r="928" spans="1:25">
      <c r="A928" s="40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4"/>
    </row>
    <row r="929" spans="1:25">
      <c r="A929" s="40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4"/>
    </row>
    <row r="930" spans="1:25">
      <c r="A930" s="40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4"/>
    </row>
    <row r="931" spans="1:25">
      <c r="A931" s="40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4"/>
    </row>
    <row r="932" spans="1:25">
      <c r="A932" s="40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4"/>
    </row>
    <row r="933" spans="1:25">
      <c r="A933" s="40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4"/>
    </row>
    <row r="934" spans="1:25">
      <c r="A934" s="40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4"/>
    </row>
    <row r="935" spans="1:25">
      <c r="A935" s="40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4"/>
    </row>
    <row r="936" spans="1:25">
      <c r="A936" s="40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4"/>
    </row>
    <row r="937" spans="1:25">
      <c r="A937" s="40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4"/>
    </row>
    <row r="938" spans="1:25">
      <c r="A938" s="40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4"/>
    </row>
    <row r="939" spans="1:25">
      <c r="A939" s="40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4"/>
    </row>
    <row r="940" spans="1:25">
      <c r="A940" s="40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4"/>
    </row>
    <row r="941" spans="1:25">
      <c r="A941" s="40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4"/>
    </row>
    <row r="942" spans="1:25">
      <c r="A942" s="40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4"/>
    </row>
    <row r="943" spans="1:25">
      <c r="A943" s="40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4"/>
    </row>
    <row r="944" spans="1:25">
      <c r="A944" s="40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4"/>
    </row>
    <row r="945" spans="1:25">
      <c r="A945" s="40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4"/>
    </row>
    <row r="946" spans="1:25">
      <c r="A946" s="40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4"/>
    </row>
    <row r="947" spans="1:25">
      <c r="A947" s="40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4"/>
    </row>
    <row r="948" spans="1:25">
      <c r="A948" s="40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4"/>
    </row>
    <row r="949" spans="1:25">
      <c r="A949" s="40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4"/>
    </row>
    <row r="950" spans="1:25">
      <c r="A950" s="40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4"/>
    </row>
    <row r="951" spans="1:25">
      <c r="A951" s="40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4"/>
    </row>
    <row r="952" spans="1:25">
      <c r="A952" s="40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4"/>
    </row>
    <row r="953" spans="1:25">
      <c r="A953" s="40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4"/>
    </row>
    <row r="954" spans="1:25">
      <c r="A954" s="40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4"/>
    </row>
    <row r="955" spans="1:25">
      <c r="A955" s="40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4"/>
    </row>
    <row r="956" spans="1:25">
      <c r="A956" s="40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4"/>
    </row>
    <row r="957" spans="1:25">
      <c r="A957" s="40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4"/>
    </row>
    <row r="958" spans="1:25">
      <c r="A958" s="40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4"/>
    </row>
    <row r="959" spans="1:25">
      <c r="A959" s="40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4"/>
    </row>
    <row r="960" spans="1:25">
      <c r="A960" s="40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4"/>
    </row>
    <row r="961" spans="1:25">
      <c r="A961" s="40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4"/>
    </row>
    <row r="962" spans="1:25">
      <c r="A962" s="40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4"/>
    </row>
    <row r="963" spans="1:25">
      <c r="A963" s="40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4"/>
    </row>
    <row r="964" spans="1:25">
      <c r="A964" s="40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4"/>
    </row>
    <row r="965" spans="1:25">
      <c r="A965" s="40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4"/>
    </row>
    <row r="966" spans="1:25">
      <c r="A966" s="40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4"/>
    </row>
    <row r="967" spans="1:25">
      <c r="A967" s="40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4"/>
    </row>
    <row r="968" spans="1:25">
      <c r="A968" s="40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4"/>
    </row>
    <row r="969" spans="1:25">
      <c r="A969" s="40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4"/>
    </row>
    <row r="970" spans="1:25">
      <c r="A970" s="40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4"/>
    </row>
    <row r="971" spans="1:25">
      <c r="A971" s="40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4"/>
    </row>
    <row r="972" spans="1:25">
      <c r="A972" s="40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4"/>
    </row>
    <row r="973" spans="1:25">
      <c r="A973" s="40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4"/>
    </row>
    <row r="974" spans="1:25">
      <c r="A974" s="40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4"/>
    </row>
    <row r="975" spans="1:25">
      <c r="A975" s="40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4"/>
    </row>
    <row r="976" spans="1:25">
      <c r="A976" s="40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4"/>
    </row>
    <row r="977" spans="1:25">
      <c r="A977" s="40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4"/>
    </row>
    <row r="978" spans="1:25">
      <c r="A978" s="40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4"/>
    </row>
    <row r="979" spans="1:25">
      <c r="A979" s="40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4"/>
    </row>
    <row r="980" spans="1:25">
      <c r="A980" s="40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4"/>
    </row>
    <row r="981" spans="1:25">
      <c r="A981" s="40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4"/>
    </row>
    <row r="982" spans="1:25">
      <c r="A982" s="40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4"/>
    </row>
    <row r="983" spans="1:25">
      <c r="A983" s="40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4"/>
    </row>
    <row r="984" spans="1:25">
      <c r="A984" s="40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4"/>
    </row>
    <row r="985" spans="1:25">
      <c r="A985" s="40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4"/>
    </row>
    <row r="986" spans="1:25">
      <c r="A986" s="40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4"/>
    </row>
    <row r="987" spans="1:25">
      <c r="A987" s="40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4"/>
    </row>
    <row r="988" spans="1:25">
      <c r="A988" s="40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4"/>
    </row>
    <row r="989" spans="1:25">
      <c r="A989" s="40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4"/>
    </row>
    <row r="990" spans="1:25">
      <c r="A990" s="40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4"/>
    </row>
    <row r="991" spans="1:25">
      <c r="A991" s="40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4"/>
    </row>
    <row r="992" spans="1:25">
      <c r="A992" s="40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4"/>
    </row>
    <row r="993" spans="1:25">
      <c r="A993" s="40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4"/>
    </row>
    <row r="994" spans="1:25">
      <c r="A994" s="40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4"/>
    </row>
    <row r="995" spans="1:25">
      <c r="A995" s="40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4"/>
    </row>
    <row r="996" spans="1:25">
      <c r="A996" s="40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4"/>
    </row>
    <row r="997" spans="1:25">
      <c r="A997" s="40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4"/>
    </row>
    <row r="998" spans="1:25">
      <c r="A998" s="40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4"/>
    </row>
    <row r="999" spans="1:25">
      <c r="A999" s="40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4"/>
    </row>
    <row r="1000" spans="1:25">
      <c r="A1000" s="40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4"/>
    </row>
    <row r="1001" spans="1:25">
      <c r="A1001" s="40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4"/>
    </row>
    <row r="1002" spans="1:25">
      <c r="A1002" s="41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35"/>
    </row>
  </sheetData>
  <autoFilter ref="A1:Y1" xr:uid="{E144F7D0-54AA-458A-A71B-7A9EF5D052BD}">
    <sortState xmlns:xlrd2="http://schemas.microsoft.com/office/spreadsheetml/2017/richdata2" ref="A2:Y43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DASHBOARD</vt:lpstr>
      <vt:lpstr>Dea</vt:lpstr>
      <vt:lpstr>Indicadores Dea</vt:lpstr>
      <vt:lpstr>BOTIQUINES</vt:lpstr>
      <vt:lpstr>indicadores bot</vt:lpstr>
      <vt:lpstr>Oxigeno</vt:lpstr>
      <vt:lpstr>Medicaciones en stock</vt:lpstr>
      <vt:lpstr>Medicacion Usadas Mens</vt:lpstr>
      <vt:lpstr>Ambulancias c-Paro stock</vt:lpstr>
      <vt:lpstr>Registro Accidentes</vt:lpstr>
      <vt:lpstr>Indice Acc</vt:lpstr>
      <vt:lpstr>Personal</vt:lpstr>
      <vt:lpstr>Antigripal 2026</vt:lpstr>
      <vt:lpstr>vacunacion</vt:lpstr>
      <vt:lpstr>Capacitaciones</vt:lpstr>
      <vt:lpstr>empleados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 Lechmann</dc:creator>
  <cp:keywords/>
  <dc:description/>
  <cp:lastModifiedBy>Caro Lechmann</cp:lastModifiedBy>
  <cp:revision/>
  <dcterms:created xsi:type="dcterms:W3CDTF">2026-05-28T01:41:56Z</dcterms:created>
  <dcterms:modified xsi:type="dcterms:W3CDTF">2026-10-07T12:36:40Z</dcterms:modified>
  <cp:category/>
  <cp:contentStatus/>
</cp:coreProperties>
</file>