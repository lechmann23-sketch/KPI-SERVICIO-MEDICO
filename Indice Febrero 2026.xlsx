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SENTISMO CONVENIO" sheetId="1" r:id="rId4"/>
    <sheet state="visible" name="AUSENTISMO FC" sheetId="2" r:id="rId5"/>
    <sheet state="visible" name="DISTRIBUCION MENSUAL DE HORAS" sheetId="3" r:id="rId6"/>
    <sheet state="visible" name="TOTAL POR SECTOR" sheetId="4" r:id="rId7"/>
    <sheet state="visible" name="INDICE ACCIDENTES" sheetId="5" r:id="rId8"/>
    <sheet state="visible" name="DATOS" sheetId="6" r:id="rId9"/>
    <sheet state="visible" name="DISTRIBUCION DE HORAS C" sheetId="7" r:id="rId10"/>
    <sheet state="visible" name="DISTRIBUCION DE HORAS FC" sheetId="8" r:id="rId11"/>
    <sheet state="visible" name="Apertura de Acc " sheetId="9" r:id="rId12"/>
    <sheet state="visible" name="APERTURA ACCIDENTES" sheetId="10" r:id="rId13"/>
    <sheet state="visible" name="ALTAS Y BAJAS" sheetId="11" r:id="rId14"/>
    <sheet state="hidden" name="Haberes" sheetId="12" r:id="rId15"/>
  </sheets>
  <definedNames>
    <definedName hidden="1" localSheetId="4" name="_xlnm._FilterDatabase">'INDICE ACCIDENTES'!$A$29:$FD$72</definedName>
  </definedNames>
  <calcPr/>
  <extLst>
    <ext uri="GoogleSheetsCustomDataVersion2">
      <go:sheetsCustomData xmlns:go="http://customooxmlschemas.google.com/" r:id="rId16" roundtripDataChecksum="oapXha3ov6tcRvgi2c8UnQhfWkGqw4afZwI/nL3imss="/>
    </ext>
  </extLst>
</workbook>
</file>

<file path=xl/sharedStrings.xml><?xml version="1.0" encoding="utf-8"?>
<sst xmlns="http://schemas.openxmlformats.org/spreadsheetml/2006/main" count="1883" uniqueCount="466">
  <si>
    <t>AUSENTISMO PERSONAL DE CONVENIO</t>
  </si>
  <si>
    <t xml:space="preserve">TOTAL PERSONAL </t>
  </si>
  <si>
    <t xml:space="preserve">APERTURA DE LAS HORAS DE AUSENTISMO - EN BASE AL PORCENTAJE </t>
  </si>
  <si>
    <t xml:space="preserve"> </t>
  </si>
  <si>
    <t>AUSENTISMO PERSONAL FUERA DE CONVENIO</t>
  </si>
  <si>
    <t>APERTURA DE LAS HORAS DE AUSENTISMO PERSONAL FUERA DE CONVENIO - EN BASE AL PORCENTAJE</t>
  </si>
  <si>
    <t>DISTRIBUCION DE HORAS  PERSONAL DE TANDANOR ( CONVENIO Y FUERA DE CONVENIO) - BASE DE CALCULO: HORAS REALES.</t>
  </si>
  <si>
    <t>RANKING DE ACCIDENTES POR CENTRO DE COSTOS  (NOMINA TOTAL)</t>
  </si>
  <si>
    <t>SECTOR / CANTIDAD</t>
  </si>
  <si>
    <t>ENE - 2013</t>
  </si>
  <si>
    <t>FEB - 2013</t>
  </si>
  <si>
    <t>MAR -2013</t>
  </si>
  <si>
    <t>ABRIL - 2013</t>
  </si>
  <si>
    <t>MAYO - 2013</t>
  </si>
  <si>
    <t>JUNIO - 2013</t>
  </si>
  <si>
    <t>JULIO - 2013</t>
  </si>
  <si>
    <t>AGOST - 2013</t>
  </si>
  <si>
    <t>SEPT - 2013</t>
  </si>
  <si>
    <t>OCT - 2013</t>
  </si>
  <si>
    <t>NOV - 2013</t>
  </si>
  <si>
    <t>DIC - 2013</t>
  </si>
  <si>
    <t>ENE - 2014</t>
  </si>
  <si>
    <t>FEB -2014</t>
  </si>
  <si>
    <t>MAR - 2014</t>
  </si>
  <si>
    <t>ABRIL -2014</t>
  </si>
  <si>
    <t>MAYO - 2014</t>
  </si>
  <si>
    <t>JUNIO - 2014</t>
  </si>
  <si>
    <t>JUL -2014</t>
  </si>
  <si>
    <t>AGOS - 2014</t>
  </si>
  <si>
    <t>SEP - 2014</t>
  </si>
  <si>
    <t>OCT - 2014</t>
  </si>
  <si>
    <t>NOV - 2014</t>
  </si>
  <si>
    <t>DIC - 2014</t>
  </si>
  <si>
    <t>ENERO - 2015</t>
  </si>
  <si>
    <t>FEB - 2015</t>
  </si>
  <si>
    <t>MAR - 2015</t>
  </si>
  <si>
    <t>ABRIL - 2015</t>
  </si>
  <si>
    <t>MAYO - 2015</t>
  </si>
  <si>
    <t>JUNIO - 2015</t>
  </si>
  <si>
    <t>JULIO - 2015</t>
  </si>
  <si>
    <t>AGOS - 2015</t>
  </si>
  <si>
    <t>SEPT - 2015</t>
  </si>
  <si>
    <t>OCT - 2015</t>
  </si>
  <si>
    <t>NOV - 2015</t>
  </si>
  <si>
    <t>DIC - 2015</t>
  </si>
  <si>
    <t>ENE - 2016</t>
  </si>
  <si>
    <t>FEB - 2016</t>
  </si>
  <si>
    <t>MAR - 2016</t>
  </si>
  <si>
    <t>ABRIL - 2016</t>
  </si>
  <si>
    <t>MAYO - 2016</t>
  </si>
  <si>
    <t>JUNIO - 2016</t>
  </si>
  <si>
    <t>JULIO - 2016</t>
  </si>
  <si>
    <t>AGOS - 2016</t>
  </si>
  <si>
    <t>SEPT - 2016</t>
  </si>
  <si>
    <t>OCT - 2016</t>
  </si>
  <si>
    <t>NOV - 2016</t>
  </si>
  <si>
    <t>DIC - 2016</t>
  </si>
  <si>
    <t>ENE- 2017</t>
  </si>
  <si>
    <t>FEB- 2017</t>
  </si>
  <si>
    <t>MAR- 2017</t>
  </si>
  <si>
    <t>ABRIL - 2017</t>
  </si>
  <si>
    <t>MAYO - 2017</t>
  </si>
  <si>
    <t>JUN - 2017</t>
  </si>
  <si>
    <t>JUL - 2017</t>
  </si>
  <si>
    <t>AGOS - 2017</t>
  </si>
  <si>
    <t>SEPT - 2017</t>
  </si>
  <si>
    <t>OCT - 2017</t>
  </si>
  <si>
    <t>NOV - 2017</t>
  </si>
  <si>
    <t>DIC - 2017</t>
  </si>
  <si>
    <t>ENE - 2018</t>
  </si>
  <si>
    <t>FEB - 2018</t>
  </si>
  <si>
    <t>MAR - 2018</t>
  </si>
  <si>
    <t>ABRIL - 2018</t>
  </si>
  <si>
    <t>MAYO - 2018</t>
  </si>
  <si>
    <t>JUNIO - 2018</t>
  </si>
  <si>
    <t>JULIO - 2018</t>
  </si>
  <si>
    <t>AGOS- 2018</t>
  </si>
  <si>
    <t>SEPT- 2018</t>
  </si>
  <si>
    <t>OCT- 2018</t>
  </si>
  <si>
    <t>NOV-2018</t>
  </si>
  <si>
    <t>DIC-2018</t>
  </si>
  <si>
    <t>ENERO-2019</t>
  </si>
  <si>
    <t>FEB-2019</t>
  </si>
  <si>
    <t>MAR-2019</t>
  </si>
  <si>
    <t>ABR-2019</t>
  </si>
  <si>
    <t>MAY-2019</t>
  </si>
  <si>
    <t>JUN-2019</t>
  </si>
  <si>
    <t>JUL-2019</t>
  </si>
  <si>
    <t>AGOS-2019</t>
  </si>
  <si>
    <t>SEPT-2019</t>
  </si>
  <si>
    <t>OCT-2019</t>
  </si>
  <si>
    <t>NOV-2019</t>
  </si>
  <si>
    <t>DIC-2019</t>
  </si>
  <si>
    <t>ENE-2020</t>
  </si>
  <si>
    <t>FEB-2020</t>
  </si>
  <si>
    <t>MAR-2020</t>
  </si>
  <si>
    <t>ABR-2020</t>
  </si>
  <si>
    <t>MAY-2020</t>
  </si>
  <si>
    <t>JUN-2020</t>
  </si>
  <si>
    <t>JUL-2020</t>
  </si>
  <si>
    <t>AGOS-2020</t>
  </si>
  <si>
    <t>SEP-2020</t>
  </si>
  <si>
    <t>OCT-2020</t>
  </si>
  <si>
    <t>NOV-2020</t>
  </si>
  <si>
    <t>DIC-2020</t>
  </si>
  <si>
    <t>ENE-2021</t>
  </si>
  <si>
    <t>FEB -2021</t>
  </si>
  <si>
    <t>MAR -2021</t>
  </si>
  <si>
    <t>ABR -2021</t>
  </si>
  <si>
    <t>MAY -2021</t>
  </si>
  <si>
    <t>JUN-2021</t>
  </si>
  <si>
    <t>JUL-2021</t>
  </si>
  <si>
    <t>AGOS-2021</t>
  </si>
  <si>
    <t>SEPT-2021</t>
  </si>
  <si>
    <t>OCT - 2021</t>
  </si>
  <si>
    <t>NOV - 2021</t>
  </si>
  <si>
    <t>DIC - 2021</t>
  </si>
  <si>
    <t>ENE - 2022</t>
  </si>
  <si>
    <t>FEB - 2022</t>
  </si>
  <si>
    <t>MAR - 2022</t>
  </si>
  <si>
    <t>ABR - 2022</t>
  </si>
  <si>
    <t>MAYO-2022</t>
  </si>
  <si>
    <t>JUN-2022</t>
  </si>
  <si>
    <t>JUL-2022</t>
  </si>
  <si>
    <t>AGOS-2022</t>
  </si>
  <si>
    <t>SEPT-2022</t>
  </si>
  <si>
    <t>OCT-2022</t>
  </si>
  <si>
    <t>NOV-2022</t>
  </si>
  <si>
    <t>DIC-2022</t>
  </si>
  <si>
    <t>ENE - 2023</t>
  </si>
  <si>
    <t>FEB - 2023</t>
  </si>
  <si>
    <t>MAR - 2023</t>
  </si>
  <si>
    <t>ABR - 2023</t>
  </si>
  <si>
    <t>MAYO-2023</t>
  </si>
  <si>
    <t>JUN-2023</t>
  </si>
  <si>
    <t>JUL-2023</t>
  </si>
  <si>
    <t>AGOS -2023</t>
  </si>
  <si>
    <t>SEPT-2023</t>
  </si>
  <si>
    <t>OCT - 2023</t>
  </si>
  <si>
    <t>NOV - 2023</t>
  </si>
  <si>
    <t>DIC-2023</t>
  </si>
  <si>
    <t>ENE - 2024</t>
  </si>
  <si>
    <t>FEB - 2024</t>
  </si>
  <si>
    <t>MAR - 2024</t>
  </si>
  <si>
    <t>ABRIL-2024</t>
  </si>
  <si>
    <t>MAYO-2024</t>
  </si>
  <si>
    <t>JUN-2024</t>
  </si>
  <si>
    <t>JUL-2024</t>
  </si>
  <si>
    <t>AGOS-2024</t>
  </si>
  <si>
    <t>SEP-2024</t>
  </si>
  <si>
    <t>OCT-2024</t>
  </si>
  <si>
    <t>NOV-2024</t>
  </si>
  <si>
    <t>DIC-2024</t>
  </si>
  <si>
    <t>ENE-2025</t>
  </si>
  <si>
    <t>FEB-2025</t>
  </si>
  <si>
    <t>MAR-2025</t>
  </si>
  <si>
    <t>ABRIL-2025</t>
  </si>
  <si>
    <t>MAYO-2025</t>
  </si>
  <si>
    <t>JUN-2025</t>
  </si>
  <si>
    <t>JUL-2025</t>
  </si>
  <si>
    <t>AGOS-2025</t>
  </si>
  <si>
    <t>SEPT-2025</t>
  </si>
  <si>
    <t>OCT-2025</t>
  </si>
  <si>
    <t>NOV-2025</t>
  </si>
  <si>
    <t>DIC-2025</t>
  </si>
  <si>
    <t>ENE-2026</t>
  </si>
  <si>
    <t>FEB-2026</t>
  </si>
  <si>
    <t>TOTAL</t>
  </si>
  <si>
    <t>CONSTRUCCIONES*</t>
  </si>
  <si>
    <t>ESTRUCTURAS - D.I.C.</t>
  </si>
  <si>
    <t>ALISTAMIENTO - D.I.C.</t>
  </si>
  <si>
    <t>CALDEDERIA</t>
  </si>
  <si>
    <t>DPTO. DE CASCO Y ACERO</t>
  </si>
  <si>
    <t>DPTO. MANIOBRAS Y TRANSPORTES</t>
  </si>
  <si>
    <t>TRANSPORTES - D.I.C.</t>
  </si>
  <si>
    <t>DPTO. BOMBEROS</t>
  </si>
  <si>
    <t>COMEDOR</t>
  </si>
  <si>
    <t xml:space="preserve">DPTO. SEGURIDAD INDUSTRIAL </t>
  </si>
  <si>
    <t>DPTO. CARENADO</t>
  </si>
  <si>
    <t>DPTO. MECÁNICA</t>
  </si>
  <si>
    <t>MECANICA - D.I.C.</t>
  </si>
  <si>
    <t>MANTENIMIENTO</t>
  </si>
  <si>
    <t>DPTO. ELECTRICIDAD</t>
  </si>
  <si>
    <t>ELECTRICIDAD - D.I.C.</t>
  </si>
  <si>
    <t>SUBMARINOS*</t>
  </si>
  <si>
    <t>INFRAESTRUCTURA Y CONSTRUCCION METALMECANICA</t>
  </si>
  <si>
    <t>DPTO. SERVICIOS GENERALES</t>
  </si>
  <si>
    <t>DPTO. SYNCROLIFT</t>
  </si>
  <si>
    <t>CONTRATACIONES / COMPRAS</t>
  </si>
  <si>
    <t>JEFATURA DE PROYECTOS - REPARACIONES</t>
  </si>
  <si>
    <t>CONTROL DE CONTRATISTAS</t>
  </si>
  <si>
    <t>DPTO. CHAPA FINA</t>
  </si>
  <si>
    <t>DPTO. COBRERIA</t>
  </si>
  <si>
    <t>DPTO. CONTABILIDAD</t>
  </si>
  <si>
    <t>DPTO. COBRANZAS Y PAGOS</t>
  </si>
  <si>
    <t>IRIZAR</t>
  </si>
  <si>
    <t>SERVICIO MEDICO</t>
  </si>
  <si>
    <t>PROYECTO BARCAZAS</t>
  </si>
  <si>
    <t>DPTO. CAPITAL HUMANO</t>
  </si>
  <si>
    <t>DPTO. RELACIONES INSTITUCIONALES</t>
  </si>
  <si>
    <t>DPTO. ALMACENES</t>
  </si>
  <si>
    <t>ABASTECIMIENTO</t>
  </si>
  <si>
    <t>CONTROL PATRIMONIAL</t>
  </si>
  <si>
    <t>DPTO. GESTIÓN DE CALIDAD</t>
  </si>
  <si>
    <t>PRESIDENCIA</t>
  </si>
  <si>
    <t>GCIA. DE PRODUCCIÓN</t>
  </si>
  <si>
    <t>GERENCIA DE PROYECTOS</t>
  </si>
  <si>
    <t>GERENCIA DE OPERACIONES *</t>
  </si>
  <si>
    <t>DESARROLLO DE NEGOCIOS</t>
  </si>
  <si>
    <t>COMERCIAL</t>
  </si>
  <si>
    <t>TOTAL MENSUAL</t>
  </si>
  <si>
    <t>AUSENTISMO CONVENIO (HORAS)</t>
  </si>
  <si>
    <t>AUSENTISMO FUERA DE CONVENIO (HORAS)</t>
  </si>
  <si>
    <t xml:space="preserve">HORAS NORMALES TEORICAS </t>
  </si>
  <si>
    <t xml:space="preserve">DIAS HABILES </t>
  </si>
  <si>
    <t xml:space="preserve">HORAS NORMALES TRABAJADAS </t>
  </si>
  <si>
    <t xml:space="preserve">HORAS NORMALES REALES TRABAJADAS </t>
  </si>
  <si>
    <t>PRESENTISMO TOTAL  %</t>
  </si>
  <si>
    <t>AUSENTISMO TOTAL %</t>
  </si>
  <si>
    <t xml:space="preserve">ENFERMEDAD </t>
  </si>
  <si>
    <t xml:space="preserve">ACCIDENTES </t>
  </si>
  <si>
    <t xml:space="preserve">LIC VARIAS </t>
  </si>
  <si>
    <t>COMPENSATORIOS (Pag/ Impag)</t>
  </si>
  <si>
    <t>COMPENSATORIOS (Pag)</t>
  </si>
  <si>
    <t xml:space="preserve">LICENCIA ANUAL </t>
  </si>
  <si>
    <t>SUSPENSIONES</t>
  </si>
  <si>
    <t>TOTAL AUSENCIAS INJUSTIFICADAS</t>
  </si>
  <si>
    <t xml:space="preserve">TOTAL AUSENCIA JUSTIFICADAS </t>
  </si>
  <si>
    <t>DISTRIBUCION DE HORAS CONVENIO Y FUERA DE CONVENIO</t>
  </si>
  <si>
    <t>CONCEPTO</t>
  </si>
  <si>
    <t>HORAS</t>
  </si>
  <si>
    <t xml:space="preserve">HORAS SUPLEMENTARIAS 55% </t>
  </si>
  <si>
    <t>HORAS SUPLEMENTARIAS 55% E</t>
  </si>
  <si>
    <t>HORAS EXTRAS 50%</t>
  </si>
  <si>
    <t>HORAS EXTRAS 50% E</t>
  </si>
  <si>
    <t>HORAS SUPLEMENTARIAS 100%</t>
  </si>
  <si>
    <t>HORAS SUPLEMENTARIAS 130% E</t>
  </si>
  <si>
    <t>HORAS EXTRAS 100%</t>
  </si>
  <si>
    <t>HORAS EXTRAS 100% E</t>
  </si>
  <si>
    <t>VACACIONES</t>
  </si>
  <si>
    <t>ENFERMEDAD</t>
  </si>
  <si>
    <t>ACCIDENTES</t>
  </si>
  <si>
    <t>COMPENSATORIOS</t>
  </si>
  <si>
    <t>AUSENCIAS JUSTIFICADAS</t>
  </si>
  <si>
    <t>AUSENCIAS INJUSTIFICADAS</t>
  </si>
  <si>
    <t xml:space="preserve">                                       DISTRIBUCION DE HORAS POR SECTOR - Convenio</t>
  </si>
  <si>
    <t>CONVENIO</t>
  </si>
  <si>
    <t>Control Patrimonial</t>
  </si>
  <si>
    <t>Control de Contratistas</t>
  </si>
  <si>
    <t>Depto. Almacenes</t>
  </si>
  <si>
    <t>Depto, Bomberos</t>
  </si>
  <si>
    <t>Dpto. Carenado</t>
  </si>
  <si>
    <t>Depto. Casco y Acero</t>
  </si>
  <si>
    <t>Depto. Habitabilidad</t>
  </si>
  <si>
    <t>Depto. Cobrería</t>
  </si>
  <si>
    <t>Depto. Control de Gestión</t>
  </si>
  <si>
    <t>Depto. Capital Humano</t>
  </si>
  <si>
    <t>Depto. Electricidad</t>
  </si>
  <si>
    <t>Depto. Control de Calidad</t>
  </si>
  <si>
    <t>Gestión de Calidad</t>
  </si>
  <si>
    <t>Depto. Maniobras y Transportes</t>
  </si>
  <si>
    <t>Depto. Mecánica</t>
  </si>
  <si>
    <t>Depto. Relaciones Institucionales</t>
  </si>
  <si>
    <t>Depto. Higiene y Seguridad Industrial</t>
  </si>
  <si>
    <t>Depto. Syncrolift</t>
  </si>
  <si>
    <t>Dirección Comercial</t>
  </si>
  <si>
    <t>Directorio</t>
  </si>
  <si>
    <t>Dirección de Operaciones</t>
  </si>
  <si>
    <t>Gcia. Administración y Finanzas</t>
  </si>
  <si>
    <t>Gcia. Asuntos legales</t>
  </si>
  <si>
    <t>Gcia de Compras y Contrataciones</t>
  </si>
  <si>
    <t>Gcia de Ingenieria</t>
  </si>
  <si>
    <t>Gcia de Producción</t>
  </si>
  <si>
    <t>Intendencia</t>
  </si>
  <si>
    <t>Jefatura de Proyectos</t>
  </si>
  <si>
    <t>Jefatura de Reparaciones</t>
  </si>
  <si>
    <t>Mantenimiento</t>
  </si>
  <si>
    <t>Mesa de Entrada</t>
  </si>
  <si>
    <t>Servicio Comedor</t>
  </si>
  <si>
    <t>Servicio Médico</t>
  </si>
  <si>
    <t>Licencias Varias</t>
  </si>
  <si>
    <t>Ausencias Injustificadas</t>
  </si>
  <si>
    <t>Enfermedad</t>
  </si>
  <si>
    <t>Accidentes</t>
  </si>
  <si>
    <t>Licencia Anual</t>
  </si>
  <si>
    <t>Suspensión</t>
  </si>
  <si>
    <t>Compensatorios</t>
  </si>
  <si>
    <t>Total horas</t>
  </si>
  <si>
    <t>Candtidad de Personal</t>
  </si>
  <si>
    <t xml:space="preserve">                                     DISTRIBUCION DE HORAS POR SECTOR - Fuera de convenio</t>
  </si>
  <si>
    <t xml:space="preserve">FUERA DE CONVENIO </t>
  </si>
  <si>
    <t>Depto. Desarrollo Tecnológico</t>
  </si>
  <si>
    <t>Depto. Metalmecánica y Gestión de Materi</t>
  </si>
  <si>
    <t>Dirección de Administración</t>
  </si>
  <si>
    <t>Dirección General</t>
  </si>
  <si>
    <t xml:space="preserve">Jefatura de Proyectos </t>
  </si>
  <si>
    <t>Planificación y Mantenimiento</t>
  </si>
  <si>
    <t>Unidad de Auditoria Interna</t>
  </si>
  <si>
    <t>Cantidad de Personal</t>
  </si>
  <si>
    <t>CLASIFICACION DE ACCIDENTES (NOMINA TOTAL)</t>
  </si>
  <si>
    <t>Mes</t>
  </si>
  <si>
    <t>Acc Menores</t>
  </si>
  <si>
    <t>Acc Leves</t>
  </si>
  <si>
    <t>Acc Moderados</t>
  </si>
  <si>
    <t>Acc graves</t>
  </si>
  <si>
    <t>Total</t>
  </si>
  <si>
    <t xml:space="preserve">Clasificacion de Accidentes: </t>
  </si>
  <si>
    <r>
      <rPr>
        <rFont val="Arial"/>
        <color theme="1"/>
        <sz val="10.0"/>
      </rPr>
      <t xml:space="preserve">1) </t>
    </r>
    <r>
      <rPr>
        <rFont val="Arial"/>
        <b/>
        <color theme="1"/>
        <sz val="10.0"/>
        <u/>
      </rPr>
      <t>Accidentes Menores:</t>
    </r>
    <r>
      <rPr>
        <rFont val="Arial"/>
        <b/>
        <color theme="1"/>
        <sz val="10.0"/>
      </rPr>
      <t xml:space="preserve"> </t>
    </r>
    <r>
      <rPr>
        <rFont val="Arial"/>
        <color theme="1"/>
        <sz val="10.0"/>
      </rPr>
      <t>Aquellos en los cuales el trabajador siniestrado luego de recibir asistencia sanitaria en el Serv. Médico de la empresa continuo desarrollando sus funciones laborativas habituales.</t>
    </r>
  </si>
  <si>
    <r>
      <rPr>
        <rFont val="Arial"/>
        <color theme="1"/>
        <sz val="10.0"/>
      </rPr>
      <t xml:space="preserve">2) </t>
    </r>
    <r>
      <rPr>
        <rFont val="Arial"/>
        <b/>
        <color theme="1"/>
        <sz val="10.0"/>
        <u/>
      </rPr>
      <t>Accidentes Leves/Moderados:</t>
    </r>
    <r>
      <rPr>
        <rFont val="Arial"/>
        <color theme="1"/>
        <sz val="10.0"/>
      </rPr>
      <t xml:space="preserve"> Baja laboral de 4 días o más.</t>
    </r>
  </si>
  <si>
    <r>
      <rPr>
        <rFont val="Arial"/>
        <color theme="1"/>
        <sz val="10.0"/>
      </rPr>
      <t xml:space="preserve">3) </t>
    </r>
    <r>
      <rPr>
        <rFont val="Arial"/>
        <b/>
        <color theme="1"/>
        <sz val="10.0"/>
        <u/>
      </rPr>
      <t xml:space="preserve">Accidentes Graves: </t>
    </r>
    <r>
      <rPr>
        <rFont val="Arial"/>
        <color theme="1"/>
        <sz val="10.0"/>
      </rPr>
      <t>Aquellos que, sin importar los días caídos por el siniestro, dejaron como secuela para el trabajador una incapacidad, sin importar el grado de la misma, de tipo permanente. Se incluye en este apartado el óbito.</t>
    </r>
  </si>
  <si>
    <t>ACCIDENTES MENSUALES</t>
  </si>
  <si>
    <t>MES</t>
  </si>
  <si>
    <t xml:space="preserve">CON DERIVACION ART </t>
  </si>
  <si>
    <t xml:space="preserve">SIN DERIVACION </t>
  </si>
  <si>
    <t>CANT PERS</t>
  </si>
  <si>
    <t>INDICE ACC DERIVADOS</t>
  </si>
  <si>
    <t>OBSERVACIONES</t>
  </si>
  <si>
    <t>1 In itinere</t>
  </si>
  <si>
    <t>2 in itinere</t>
  </si>
  <si>
    <t>5 Reingresos</t>
  </si>
  <si>
    <t>1 Reingreso</t>
  </si>
  <si>
    <t>1 Reingreso in itinere</t>
  </si>
  <si>
    <t>3 In itinere</t>
  </si>
  <si>
    <t>2 In itinere</t>
  </si>
  <si>
    <t>4 In itinere</t>
  </si>
  <si>
    <t>2 Reingresos</t>
  </si>
  <si>
    <t>5 In itinere</t>
  </si>
  <si>
    <t>4 Rechazados</t>
  </si>
  <si>
    <t>1 Rechazado</t>
  </si>
  <si>
    <t>1 reingreso</t>
  </si>
  <si>
    <t>2 Rechazos</t>
  </si>
  <si>
    <t xml:space="preserve"> 2 In Itinere</t>
  </si>
  <si>
    <t>1 RECHAZO</t>
  </si>
  <si>
    <t>1RECHAZO</t>
  </si>
  <si>
    <t>1 RECHAZADO</t>
  </si>
  <si>
    <t>1  Rechazado</t>
  </si>
  <si>
    <t>2 Rechazados</t>
  </si>
  <si>
    <t>2 Reingresos + 2 Rechazos</t>
  </si>
  <si>
    <t>1 reingreso / 1 Rechazo</t>
  </si>
  <si>
    <t>1 Reingreso / 2 In Itinere</t>
  </si>
  <si>
    <t xml:space="preserve">1 Rechazo </t>
  </si>
  <si>
    <t>2 Rechazados  / 2 In Itinere</t>
  </si>
  <si>
    <t>2 Rechazo / 1 In itinere</t>
  </si>
  <si>
    <t xml:space="preserve">1 Reingreso </t>
  </si>
  <si>
    <t>2 Rechazo / 1 Reingreso / 1 In itinere</t>
  </si>
  <si>
    <t>1 Rechazo / 3 In itinere</t>
  </si>
  <si>
    <t>4 In itinere - 1 Rechazo - 2 Reingresos</t>
  </si>
  <si>
    <t>2 in itinere - 1 Rechazo</t>
  </si>
  <si>
    <t>2 in itinere - 2 Rechazo</t>
  </si>
  <si>
    <t xml:space="preserve">2 in itinere </t>
  </si>
  <si>
    <t>1 In itinere - 1 Rechazo</t>
  </si>
  <si>
    <t xml:space="preserve">2 Rechazados </t>
  </si>
  <si>
    <t>3 In itinere - 2 Rechazos</t>
  </si>
  <si>
    <t>-</t>
  </si>
  <si>
    <t>1 In itinere - 2 Rechazos</t>
  </si>
  <si>
    <t>2 In Itinere - 3 rechazados</t>
  </si>
  <si>
    <t>1 Rechazo</t>
  </si>
  <si>
    <t>1 Reingreso rechazado - 2 In itinere</t>
  </si>
  <si>
    <t>2 In Itinere</t>
  </si>
  <si>
    <t>1 In Itinere</t>
  </si>
  <si>
    <t>3 In Itinere</t>
  </si>
  <si>
    <t>1 Rechazo - 1 Reingreso</t>
  </si>
  <si>
    <t>2 Rechazados - 2 Reingresos</t>
  </si>
  <si>
    <t xml:space="preserve">1 Rechazo - </t>
  </si>
  <si>
    <t>2 rechazos</t>
  </si>
  <si>
    <t>6 Rechazados</t>
  </si>
  <si>
    <t>1 Rechazado - 3 In Itinere</t>
  </si>
  <si>
    <t>3 In itineres - 3 Rechazados</t>
  </si>
  <si>
    <t>1 In Itinere - 6 Rechazados</t>
  </si>
  <si>
    <t xml:space="preserve">1 In Itinere </t>
  </si>
  <si>
    <t>1 In Itinere - 3 Rechazados</t>
  </si>
  <si>
    <t>ALTAS Y BAJAS PERSONAL DE TANDANOR (NOMINA TOTAL)</t>
  </si>
  <si>
    <t>ALTAS AL 28/02/2026</t>
  </si>
  <si>
    <t>Nº</t>
  </si>
  <si>
    <t>LEG.</t>
  </si>
  <si>
    <t>APELLIDO Y NOMBRE</t>
  </si>
  <si>
    <t>FECHA INGRESO</t>
  </si>
  <si>
    <t>SECTOR</t>
  </si>
  <si>
    <t>CATEGORIA</t>
  </si>
  <si>
    <t>PEREYRA JONATAN RAUL</t>
  </si>
  <si>
    <t>Gerente</t>
  </si>
  <si>
    <t>BAJAS AL 28/02/2026</t>
  </si>
  <si>
    <t>FECHA BAJA</t>
  </si>
  <si>
    <t>VIVAS GERMAN NICOLAS</t>
  </si>
  <si>
    <t>Especialista A</t>
  </si>
  <si>
    <t>BARRIOS HORACIO DANIEL</t>
  </si>
  <si>
    <t>Supervisor</t>
  </si>
  <si>
    <t>TIRALONGO RUBEN GABRIEL</t>
  </si>
  <si>
    <t>Técnico Especializado</t>
  </si>
  <si>
    <t>ROMERO DANIEL WALTER</t>
  </si>
  <si>
    <t>Oficial</t>
  </si>
  <si>
    <t>DETALLE DE SUELDOS HISTORICOS POR GERENCIA / SECTOR (SIN CONTRIBUCIONES)</t>
  </si>
  <si>
    <t>GERENCIA/SECTOR</t>
  </si>
  <si>
    <t>ENERO</t>
  </si>
  <si>
    <t>FEBRERO</t>
  </si>
  <si>
    <t>MARZO</t>
  </si>
  <si>
    <t>ABRIL</t>
  </si>
  <si>
    <t>MAYO</t>
  </si>
  <si>
    <t>JUNIO</t>
  </si>
  <si>
    <t>JULIO</t>
  </si>
  <si>
    <t>AGOSTO</t>
  </si>
  <si>
    <t>SEPTIEMBRE</t>
  </si>
  <si>
    <t>OCTUBRE</t>
  </si>
  <si>
    <t>NOVIEMBRE</t>
  </si>
  <si>
    <t>DICIEMBRE</t>
  </si>
  <si>
    <t>GCIA. DE FACTOR HUMANO</t>
  </si>
  <si>
    <t>CANT</t>
  </si>
  <si>
    <t>S. Bruto (sin extras)</t>
  </si>
  <si>
    <t>Horas Sup.</t>
  </si>
  <si>
    <t>S.A.C.</t>
  </si>
  <si>
    <t>Premio 2/2</t>
  </si>
  <si>
    <t>Suma Única no rem.</t>
  </si>
  <si>
    <t>Suma No Rem.</t>
  </si>
  <si>
    <t>FACTOR HUMANO</t>
  </si>
  <si>
    <t>SEGURIDAD PATRIMONIAL</t>
  </si>
  <si>
    <t>SERV. MEDICO</t>
  </si>
  <si>
    <t>SUB-TOTAL G/S</t>
  </si>
  <si>
    <t>GERENCIA DE ASUNTOS LEGALES</t>
  </si>
  <si>
    <t>PRODUCCION</t>
  </si>
  <si>
    <t>ELECTRICIDAD</t>
  </si>
  <si>
    <t>SYNCROLIFT</t>
  </si>
  <si>
    <t>CALDERERIA</t>
  </si>
  <si>
    <t>MECANICA</t>
  </si>
  <si>
    <t>COBRERIA</t>
  </si>
  <si>
    <t>TRANSPORTES</t>
  </si>
  <si>
    <t>CARENADO</t>
  </si>
  <si>
    <t>CONSTRUCCIONES</t>
  </si>
  <si>
    <t>SERV. GENERALES</t>
  </si>
  <si>
    <t>ALISTAMIENTO</t>
  </si>
  <si>
    <t>HABITABILIDAD</t>
  </si>
  <si>
    <t>GOBIERNO CORPORATIVO Y BUENAS PRÁCTICAS</t>
  </si>
  <si>
    <t>AUDITORIA</t>
  </si>
  <si>
    <t>GCIA. DE COMERCIAL</t>
  </si>
  <si>
    <t>JEFATURA DE BUQUES</t>
  </si>
  <si>
    <t>GERENCIA GENERAL</t>
  </si>
  <si>
    <t xml:space="preserve">CONTROL DE GESTION </t>
  </si>
  <si>
    <t>INGENIERIA DE PROYECTO</t>
  </si>
  <si>
    <t>MODIFICACION DE BARCAZA</t>
  </si>
  <si>
    <t>INFRAESTRUCTURA</t>
  </si>
  <si>
    <t>SEGURIDAD INDUSTRIAL</t>
  </si>
  <si>
    <t>BOMBEROS</t>
  </si>
  <si>
    <t>DOMECQ</t>
  </si>
  <si>
    <t>CONTROL DE CALIDAD</t>
  </si>
  <si>
    <t>ADMINISTRACION</t>
  </si>
  <si>
    <t xml:space="preserve">ADMINISTRACION </t>
  </si>
  <si>
    <t>FINANZAS</t>
  </si>
  <si>
    <t>RELACIONES INSTITUCIONALES</t>
  </si>
  <si>
    <t>SISTEMAS</t>
  </si>
  <si>
    <t>ALMACENES</t>
  </si>
  <si>
    <t>PROYECTOS ESPECIALES</t>
  </si>
  <si>
    <t>PROYECTOS ARA</t>
  </si>
  <si>
    <t>SUBMARINOS</t>
  </si>
  <si>
    <t>PROY MANTILLA</t>
  </si>
  <si>
    <t>ALMIRANTE IRIZAR</t>
  </si>
  <si>
    <t>DIVISION FERROVIARIA</t>
  </si>
  <si>
    <t>DIRECCION DE ING. Y CONST.</t>
  </si>
  <si>
    <t>D.I.C.</t>
  </si>
  <si>
    <t>GCIA. DE PROYECTOS MILITARES</t>
  </si>
  <si>
    <t>GCIA. DE GESTIÓN DE PROYECTOS</t>
  </si>
  <si>
    <t>GCIA. DE INGENIERIA</t>
  </si>
  <si>
    <t>GCIA. DE OPERACIONES</t>
  </si>
  <si>
    <t>GCIA. DE BUQUE POLAR - D.I.C.</t>
  </si>
  <si>
    <t>MECÁNICA - D.I.C.</t>
  </si>
  <si>
    <t>HABITABILIDAD - D.I.C.</t>
  </si>
  <si>
    <t>GCIA. DE TÉCNICA</t>
  </si>
  <si>
    <t>TOTAL DOTACION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</si>
</sst>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0.0000"/>
    <numFmt numFmtId="166" formatCode="_ * #,##0_ ;_ * \-#,##0_ ;_ * &quot;-&quot;??_ ;_ @_ "/>
    <numFmt numFmtId="167" formatCode="[$-C0A]dd\-mmm\-yy"/>
    <numFmt numFmtId="168" formatCode="D/M/YYYY"/>
    <numFmt numFmtId="169" formatCode="_ * #,##0_ ;_ * \-#,##0_ ;_ * &quot;-&quot;_ ;_ @_ "/>
  </numFmts>
  <fonts count="27">
    <font>
      <sz val="10.0"/>
      <color rgb="FF000000"/>
      <name val="Arial"/>
      <scheme val="minor"/>
    </font>
    <font>
      <b/>
      <sz val="12.0"/>
      <color rgb="FFFFFFFF"/>
      <name val="Arial"/>
    </font>
    <font>
      <color theme="1"/>
      <name val="Arial"/>
      <scheme val="minor"/>
    </font>
    <font>
      <sz val="10.0"/>
      <color theme="1"/>
      <name val="Arial"/>
    </font>
    <font>
      <sz val="12.0"/>
      <color theme="1"/>
      <name val="Arial"/>
      <scheme val="minor"/>
    </font>
    <font/>
    <font>
      <sz val="14.0"/>
      <color rgb="FFFFFFFF"/>
      <name val="Arial"/>
    </font>
    <font>
      <sz val="12.0"/>
      <color rgb="FFFFFFFF"/>
      <name val="Arial"/>
    </font>
    <font>
      <sz val="12.0"/>
      <color theme="1"/>
      <name val="Arial"/>
    </font>
    <font>
      <b/>
      <sz val="12.0"/>
      <color theme="1"/>
      <name val="Arial"/>
    </font>
    <font>
      <b/>
      <sz val="10.0"/>
      <color rgb="FFFFFFFF"/>
      <name val="Arial"/>
    </font>
    <font>
      <sz val="10.0"/>
      <color rgb="FFFFFFFF"/>
      <name val="Arial"/>
    </font>
    <font>
      <b/>
      <sz val="10.0"/>
      <color theme="0"/>
      <name val="Arial"/>
    </font>
    <font>
      <sz val="10.0"/>
      <color rgb="FFFF0000"/>
      <name val="Arial"/>
    </font>
    <font>
      <b/>
      <sz val="10.0"/>
      <color theme="1"/>
      <name val="Arial"/>
    </font>
    <font>
      <b/>
      <sz val="12.0"/>
      <color theme="0"/>
      <name val="Arial"/>
    </font>
    <font>
      <b/>
      <sz val="11.0"/>
      <color theme="1"/>
      <name val="Calibri"/>
    </font>
    <font>
      <b/>
      <u/>
      <sz val="10.0"/>
      <color theme="0"/>
      <name val="Arial"/>
    </font>
    <font>
      <b/>
      <sz val="11.0"/>
      <color rgb="FFFFFFFF"/>
      <name val="Arial"/>
    </font>
    <font>
      <b/>
      <u/>
      <sz val="12.0"/>
      <color rgb="FFFFFFFF"/>
      <name val="Arial"/>
    </font>
    <font>
      <b/>
      <u/>
      <sz val="10.0"/>
      <color rgb="FFFFFFFF"/>
      <name val="Arial"/>
    </font>
    <font>
      <b/>
      <sz val="12.0"/>
      <color rgb="FF000000"/>
      <name val="Calibri"/>
    </font>
    <font>
      <b/>
      <sz val="11.0"/>
      <color rgb="FF000000"/>
      <name val="Calibri"/>
    </font>
    <font>
      <b/>
      <sz val="10.0"/>
      <color rgb="FF000000"/>
      <name val="Arial"/>
    </font>
    <font>
      <sz val="10.0"/>
      <color rgb="FF000000"/>
      <name val="Arial"/>
    </font>
    <font>
      <sz val="11.0"/>
      <color theme="1"/>
      <name val="Calibri"/>
    </font>
    <font>
      <b/>
      <u/>
      <sz val="10.0"/>
      <color theme="1"/>
      <name val="Arial"/>
    </font>
  </fonts>
  <fills count="15">
    <fill>
      <patternFill patternType="none"/>
    </fill>
    <fill>
      <patternFill patternType="lightGray"/>
    </fill>
    <fill>
      <patternFill patternType="solid">
        <fgColor rgb="FF000000"/>
        <bgColor rgb="FF000000"/>
      </patternFill>
    </fill>
    <fill>
      <patternFill patternType="solid">
        <fgColor theme="0"/>
        <bgColor theme="0"/>
      </patternFill>
    </fill>
    <fill>
      <patternFill patternType="solid">
        <fgColor rgb="FF993300"/>
        <bgColor rgb="FF993300"/>
      </patternFill>
    </fill>
    <fill>
      <patternFill patternType="solid">
        <fgColor rgb="FF953734"/>
        <bgColor rgb="FF953734"/>
      </patternFill>
    </fill>
    <fill>
      <patternFill patternType="solid">
        <fgColor rgb="FFFFFFFF"/>
        <bgColor rgb="FFFFFFFF"/>
      </patternFill>
    </fill>
    <fill>
      <patternFill patternType="solid">
        <fgColor rgb="FFE5B8B7"/>
        <bgColor rgb="FFE5B8B7"/>
      </patternFill>
    </fill>
    <fill>
      <patternFill patternType="solid">
        <fgColor theme="5"/>
        <bgColor theme="5"/>
      </patternFill>
    </fill>
    <fill>
      <patternFill patternType="solid">
        <fgColor rgb="FFFFFF00"/>
        <bgColor rgb="FFFFFF00"/>
      </patternFill>
    </fill>
    <fill>
      <patternFill patternType="solid">
        <fgColor rgb="FFD99594"/>
        <bgColor rgb="FFD99594"/>
      </patternFill>
    </fill>
    <fill>
      <patternFill patternType="solid">
        <fgColor rgb="FFCCCCFF"/>
        <bgColor rgb="FFCCCCFF"/>
      </patternFill>
    </fill>
    <fill>
      <patternFill patternType="solid">
        <fgColor rgb="FFB2A1C7"/>
        <bgColor rgb="FFB2A1C7"/>
      </patternFill>
    </fill>
    <fill>
      <patternFill patternType="solid">
        <fgColor rgb="FF92CDDC"/>
        <bgColor rgb="FF92CDDC"/>
      </patternFill>
    </fill>
    <fill>
      <patternFill patternType="solid">
        <fgColor rgb="FFFF99CC"/>
        <bgColor rgb="FFFF99CC"/>
      </patternFill>
    </fill>
  </fills>
  <borders count="56">
    <border/>
    <border>
      <left/>
      <top/>
      <bottom/>
    </border>
    <border>
      <top/>
      <bottom/>
    </border>
    <border>
      <right/>
      <top/>
      <bottom/>
    </border>
    <border>
      <left style="medium">
        <color rgb="FF000000"/>
      </left>
      <top/>
      <bottom/>
    </border>
    <border>
      <left style="medium">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left/>
      <top/>
    </border>
    <border>
      <top/>
    </border>
    <border>
      <right style="thin">
        <color rgb="FF000000"/>
      </right>
      <top/>
    </border>
    <border>
      <left style="thin">
        <color rgb="FF000000"/>
      </left>
    </border>
    <border>
      <left/>
    </border>
    <border>
      <left/>
      <bottom/>
    </border>
    <border>
      <bottom/>
    </border>
    <border>
      <right style="thin">
        <color rgb="FF000000"/>
      </right>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top/>
    </border>
    <border>
      <right/>
      <top/>
    </border>
    <border>
      <left style="thin">
        <color rgb="FF000000"/>
      </left>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style="thin">
        <color rgb="FF000000"/>
      </left>
      <right style="medium">
        <color rgb="FF000000"/>
      </right>
      <top style="medium">
        <color rgb="FF000000"/>
      </top>
      <bottom/>
    </border>
    <border>
      <left/>
      <top/>
      <bottom style="thin">
        <color rgb="FF000000"/>
      </bottom>
    </border>
    <border>
      <right/>
      <top style="thin">
        <color rgb="FF000000"/>
      </top>
      <bottom style="thin">
        <color rgb="FF000000"/>
      </bottom>
    </border>
    <border>
      <left/>
      <right style="thin">
        <color rgb="FF000000"/>
      </right>
      <top style="thin">
        <color rgb="FF000000"/>
      </top>
      <bottom/>
    </border>
    <border>
      <left/>
      <right style="thin">
        <color rgb="FF000000"/>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2" fontId="1" numFmtId="0" xfId="0" applyAlignment="1" applyFill="1" applyFont="1">
      <alignment horizontal="center"/>
    </xf>
    <xf borderId="0" fillId="3" fontId="2" numFmtId="0" xfId="0" applyFill="1" applyFont="1"/>
    <xf borderId="0" fillId="0" fontId="3" numFmtId="0" xfId="0" applyAlignment="1" applyFont="1">
      <alignment horizontal="left"/>
    </xf>
    <xf borderId="0" fillId="0" fontId="3" numFmtId="4" xfId="0" applyFont="1" applyNumberFormat="1"/>
    <xf borderId="0" fillId="0" fontId="3" numFmtId="0" xfId="0" applyFont="1"/>
    <xf borderId="0" fillId="3" fontId="4" numFmtId="0" xfId="0" applyFont="1"/>
    <xf borderId="1" fillId="2" fontId="1" numFmtId="0" xfId="0" applyAlignment="1" applyBorder="1" applyFont="1">
      <alignment horizontal="center"/>
    </xf>
    <xf borderId="2" fillId="0" fontId="5" numFmtId="0" xfId="0" applyBorder="1" applyFont="1"/>
    <xf borderId="3" fillId="0" fontId="5" numFmtId="0" xfId="0" applyBorder="1" applyFont="1"/>
    <xf borderId="4" fillId="2" fontId="1" numFmtId="0" xfId="0" applyAlignment="1" applyBorder="1" applyFont="1">
      <alignment horizontal="center"/>
    </xf>
    <xf borderId="1" fillId="2" fontId="6" numFmtId="0" xfId="0" applyAlignment="1" applyBorder="1" applyFont="1">
      <alignment horizontal="center"/>
    </xf>
    <xf borderId="5" fillId="0" fontId="3" numFmtId="0" xfId="0" applyBorder="1" applyFont="1"/>
    <xf borderId="6" fillId="0" fontId="3" numFmtId="0" xfId="0" applyBorder="1" applyFont="1"/>
    <xf borderId="7" fillId="4" fontId="7" numFmtId="0" xfId="0" applyBorder="1" applyFill="1" applyFont="1"/>
    <xf borderId="8" fillId="4" fontId="7" numFmtId="49" xfId="0" applyAlignment="1" applyBorder="1" applyFont="1" applyNumberFormat="1">
      <alignment horizontal="center"/>
    </xf>
    <xf borderId="7" fillId="4" fontId="7" numFmtId="49" xfId="0" applyAlignment="1" applyBorder="1" applyFont="1" applyNumberFormat="1">
      <alignment horizontal="center"/>
    </xf>
    <xf borderId="7" fillId="0" fontId="8" numFmtId="0" xfId="0" applyBorder="1" applyFont="1"/>
    <xf borderId="9" fillId="0" fontId="8" numFmtId="1" xfId="0" applyAlignment="1" applyBorder="1" applyFont="1" applyNumberFormat="1">
      <alignment horizontal="center"/>
    </xf>
    <xf borderId="10" fillId="4" fontId="7" numFmtId="1" xfId="0" applyAlignment="1" applyBorder="1" applyFont="1" applyNumberFormat="1">
      <alignment horizontal="center"/>
    </xf>
    <xf borderId="7" fillId="0" fontId="9" numFmtId="0" xfId="0" applyBorder="1" applyFont="1"/>
    <xf borderId="7" fillId="0" fontId="9" numFmtId="0" xfId="0" applyAlignment="1" applyBorder="1" applyFont="1">
      <alignment shrinkToFit="0" vertical="center" wrapText="1"/>
    </xf>
    <xf borderId="7" fillId="4" fontId="1" numFmtId="0" xfId="0" applyBorder="1" applyFont="1"/>
    <xf borderId="7" fillId="4" fontId="1" numFmtId="1" xfId="0" applyAlignment="1" applyBorder="1" applyFont="1" applyNumberFormat="1">
      <alignment horizontal="center"/>
    </xf>
    <xf borderId="11" fillId="5" fontId="10" numFmtId="0" xfId="0" applyAlignment="1" applyBorder="1" applyFill="1" applyFont="1">
      <alignment horizontal="center"/>
    </xf>
    <xf borderId="12" fillId="0" fontId="5" numFmtId="0" xfId="0" applyBorder="1" applyFont="1"/>
    <xf borderId="13" fillId="0" fontId="5" numFmtId="0" xfId="0" applyBorder="1" applyFont="1"/>
    <xf borderId="7" fillId="0" fontId="3" numFmtId="0" xfId="0" applyAlignment="1" applyBorder="1" applyFont="1">
      <alignment horizontal="left"/>
    </xf>
    <xf borderId="7" fillId="0" fontId="3" numFmtId="0" xfId="0" applyAlignment="1" applyBorder="1" applyFont="1">
      <alignment horizontal="right"/>
    </xf>
    <xf borderId="7" fillId="6" fontId="3" numFmtId="4" xfId="0" applyBorder="1" applyFill="1" applyFont="1" applyNumberFormat="1"/>
    <xf borderId="7" fillId="0" fontId="3" numFmtId="0" xfId="0" applyBorder="1" applyFont="1"/>
    <xf borderId="0" fillId="0" fontId="3" numFmtId="164" xfId="0" applyFont="1" applyNumberFormat="1"/>
    <xf borderId="7" fillId="0" fontId="3" numFmtId="4" xfId="0" applyBorder="1" applyFont="1" applyNumberFormat="1"/>
    <xf borderId="7" fillId="5" fontId="11" numFmtId="0" xfId="0" applyAlignment="1" applyBorder="1" applyFont="1">
      <alignment horizontal="left"/>
    </xf>
    <xf borderId="7" fillId="5" fontId="12" numFmtId="3" xfId="0" applyBorder="1" applyFont="1" applyNumberFormat="1"/>
    <xf borderId="0" fillId="0" fontId="13" numFmtId="4" xfId="0" applyFont="1" applyNumberFormat="1"/>
    <xf borderId="7" fillId="5" fontId="11" numFmtId="0" xfId="0" applyBorder="1" applyFont="1"/>
    <xf borderId="7" fillId="5" fontId="10" numFmtId="4" xfId="0" applyBorder="1" applyFont="1" applyNumberFormat="1"/>
    <xf borderId="0" fillId="0" fontId="3" numFmtId="165" xfId="0" applyFont="1" applyNumberFormat="1"/>
    <xf borderId="7" fillId="0" fontId="14" numFmtId="0" xfId="0" applyAlignment="1" applyBorder="1" applyFont="1">
      <alignment horizontal="left"/>
    </xf>
    <xf borderId="7" fillId="0" fontId="3" numFmtId="3" xfId="0" applyBorder="1" applyFont="1" applyNumberFormat="1"/>
    <xf borderId="0" fillId="0" fontId="14" numFmtId="4" xfId="0" applyFont="1" applyNumberFormat="1"/>
    <xf borderId="0" fillId="0" fontId="14" numFmtId="0" xfId="0" applyFont="1"/>
    <xf borderId="0" fillId="0" fontId="14" numFmtId="3" xfId="0" applyFont="1" applyNumberFormat="1"/>
    <xf borderId="7" fillId="5" fontId="10" numFmtId="0" xfId="0" applyAlignment="1" applyBorder="1" applyFont="1">
      <alignment horizontal="left"/>
    </xf>
    <xf borderId="7" fillId="5" fontId="10" numFmtId="3" xfId="0" applyAlignment="1" applyBorder="1" applyFont="1" applyNumberFormat="1">
      <alignment horizontal="right"/>
    </xf>
    <xf borderId="7" fillId="5" fontId="10" numFmtId="4" xfId="0" applyAlignment="1" applyBorder="1" applyFont="1" applyNumberFormat="1">
      <alignment horizontal="right"/>
    </xf>
    <xf borderId="14" fillId="5" fontId="10" numFmtId="0" xfId="0" applyAlignment="1" applyBorder="1" applyFont="1">
      <alignment horizontal="center"/>
    </xf>
    <xf borderId="7" fillId="5" fontId="10" numFmtId="0" xfId="0" applyAlignment="1" applyBorder="1" applyFont="1">
      <alignment horizontal="center"/>
    </xf>
    <xf borderId="9" fillId="0" fontId="14" numFmtId="0" xfId="0" applyBorder="1" applyFont="1"/>
    <xf borderId="9" fillId="0" fontId="3" numFmtId="0" xfId="0" applyBorder="1" applyFont="1"/>
    <xf borderId="7" fillId="7" fontId="14" numFmtId="3" xfId="0" applyBorder="1" applyFill="1" applyFont="1" applyNumberFormat="1"/>
    <xf borderId="7" fillId="0" fontId="14" numFmtId="0" xfId="0" applyBorder="1" applyFont="1"/>
    <xf borderId="0" fillId="0" fontId="3" numFmtId="17" xfId="0" applyFont="1" applyNumberFormat="1"/>
    <xf borderId="0" fillId="0" fontId="2" numFmtId="0" xfId="0" applyFont="1"/>
    <xf borderId="0" fillId="0" fontId="3" numFmtId="1" xfId="0" applyFont="1" applyNumberFormat="1"/>
    <xf borderId="15" fillId="8" fontId="15" numFmtId="0" xfId="0" applyAlignment="1" applyBorder="1" applyFill="1" applyFont="1">
      <alignment vertical="center"/>
    </xf>
    <xf borderId="0" fillId="0" fontId="3" numFmtId="0" xfId="0" applyAlignment="1" applyFont="1">
      <alignment horizontal="center"/>
    </xf>
    <xf borderId="16" fillId="8" fontId="10" numFmtId="0" xfId="0" applyAlignment="1" applyBorder="1" applyFont="1">
      <alignment horizontal="left" vertical="center"/>
    </xf>
    <xf borderId="17" fillId="0" fontId="5" numFmtId="0" xfId="0" applyBorder="1" applyFont="1"/>
    <xf borderId="18" fillId="0" fontId="5" numFmtId="0" xfId="0" applyBorder="1" applyFont="1"/>
    <xf borderId="7" fillId="8" fontId="11" numFmtId="0" xfId="0" applyAlignment="1" applyBorder="1" applyFont="1">
      <alignment horizontal="center" vertical="center"/>
    </xf>
    <xf borderId="7" fillId="0" fontId="3" numFmtId="166" xfId="0" applyAlignment="1" applyBorder="1" applyFont="1" applyNumberFormat="1">
      <alignment horizontal="center" vertical="center"/>
    </xf>
    <xf borderId="7" fillId="8" fontId="11" numFmtId="2" xfId="0" applyAlignment="1" applyBorder="1" applyFont="1" applyNumberFormat="1">
      <alignment horizontal="center" vertical="center"/>
    </xf>
    <xf borderId="7" fillId="0" fontId="14" numFmtId="166" xfId="0" applyAlignment="1" applyBorder="1" applyFont="1" applyNumberFormat="1">
      <alignment horizontal="center" vertical="center"/>
    </xf>
    <xf borderId="7" fillId="0" fontId="14" numFmtId="0" xfId="0" applyAlignment="1" applyBorder="1" applyFont="1">
      <alignment horizontal="center" vertical="center"/>
    </xf>
    <xf borderId="0" fillId="0" fontId="3" numFmtId="166" xfId="0" applyAlignment="1" applyFont="1" applyNumberFormat="1">
      <alignment horizontal="center"/>
    </xf>
    <xf borderId="1" fillId="8" fontId="15" numFmtId="0" xfId="0" applyAlignment="1" applyBorder="1" applyFont="1">
      <alignment horizontal="left" vertical="center"/>
    </xf>
    <xf borderId="16" fillId="8" fontId="10" numFmtId="0" xfId="0" applyAlignment="1" applyBorder="1" applyFont="1">
      <alignment horizontal="center" vertical="center"/>
    </xf>
    <xf borderId="17" fillId="8" fontId="10" numFmtId="0" xfId="0" applyAlignment="1" applyBorder="1" applyFont="1">
      <alignment horizontal="center" vertical="center"/>
    </xf>
    <xf borderId="18" fillId="8" fontId="10" numFmtId="0" xfId="0" applyAlignment="1" applyBorder="1" applyFont="1">
      <alignment horizontal="center" vertical="center"/>
    </xf>
    <xf borderId="7" fillId="0" fontId="3" numFmtId="166" xfId="0" applyBorder="1" applyFont="1" applyNumberFormat="1"/>
    <xf borderId="7" fillId="8" fontId="12" numFmtId="0" xfId="0" applyAlignment="1" applyBorder="1" applyFont="1">
      <alignment horizontal="center" vertical="center"/>
    </xf>
    <xf borderId="0" fillId="0" fontId="16" numFmtId="0" xfId="0" applyFont="1"/>
    <xf borderId="1" fillId="8" fontId="17" numFmtId="0" xfId="0" applyAlignment="1" applyBorder="1" applyFont="1">
      <alignment horizontal="center"/>
    </xf>
    <xf borderId="19" fillId="8" fontId="10" numFmtId="0" xfId="0" applyAlignment="1" applyBorder="1" applyFont="1">
      <alignment horizontal="center"/>
    </xf>
    <xf borderId="7" fillId="0" fontId="3" numFmtId="17" xfId="0" applyAlignment="1" applyBorder="1" applyFont="1" applyNumberFormat="1">
      <alignment horizontal="center"/>
    </xf>
    <xf borderId="7" fillId="0" fontId="3" numFmtId="0" xfId="0" applyAlignment="1" applyBorder="1" applyFont="1">
      <alignment horizontal="center"/>
    </xf>
    <xf borderId="20" fillId="0" fontId="3" numFmtId="17" xfId="0" applyAlignment="1" applyBorder="1" applyFont="1" applyNumberFormat="1">
      <alignment horizontal="center"/>
    </xf>
    <xf borderId="20" fillId="0" fontId="3" numFmtId="0" xfId="0" applyAlignment="1" applyBorder="1" applyFont="1">
      <alignment horizontal="center"/>
    </xf>
    <xf borderId="21" fillId="0" fontId="3" numFmtId="0" xfId="0" applyAlignment="1" applyBorder="1" applyFont="1">
      <alignment horizontal="center"/>
    </xf>
    <xf borderId="22" fillId="0" fontId="3" numFmtId="0" xfId="0" applyAlignment="1" applyBorder="1" applyFont="1">
      <alignment horizontal="center"/>
    </xf>
    <xf borderId="7" fillId="8" fontId="18" numFmtId="0" xfId="0" applyAlignment="1" applyBorder="1" applyFont="1">
      <alignment horizontal="center"/>
    </xf>
    <xf borderId="23" fillId="0" fontId="3" numFmtId="0" xfId="0" applyBorder="1" applyFont="1"/>
    <xf borderId="24" fillId="0" fontId="14" numFmtId="0" xfId="0" applyAlignment="1" applyBorder="1" applyFont="1">
      <alignment horizontal="center" shrinkToFit="0" vertical="center" wrapText="1"/>
    </xf>
    <xf borderId="21" fillId="0" fontId="5" numFmtId="0" xfId="0" applyBorder="1" applyFont="1"/>
    <xf borderId="22" fillId="0" fontId="5" numFmtId="0" xfId="0" applyBorder="1" applyFont="1"/>
    <xf borderId="25" fillId="0" fontId="5" numFmtId="0" xfId="0" applyBorder="1" applyFont="1"/>
    <xf borderId="6" fillId="0" fontId="5" numFmtId="0" xfId="0" applyBorder="1" applyFont="1"/>
    <xf borderId="26" fillId="0" fontId="5" numFmtId="0" xfId="0" applyBorder="1" applyFont="1"/>
    <xf borderId="27" fillId="3" fontId="3" numFmtId="0" xfId="0" applyAlignment="1" applyBorder="1" applyFont="1">
      <alignment horizontal="left" shrinkToFit="0" vertical="center" wrapText="1"/>
    </xf>
    <xf borderId="28" fillId="0" fontId="5" numFmtId="0" xfId="0" applyBorder="1" applyFont="1"/>
    <xf borderId="29" fillId="0" fontId="5" numFmtId="0" xfId="0" applyBorder="1" applyFont="1"/>
    <xf borderId="30" fillId="0" fontId="3" numFmtId="0" xfId="0" applyBorder="1" applyFont="1"/>
    <xf borderId="31" fillId="0" fontId="5" numFmtId="0" xfId="0" applyBorder="1" applyFont="1"/>
    <xf borderId="23"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3" fontId="3" numFmtId="0" xfId="0" applyAlignment="1" applyBorder="1" applyFont="1">
      <alignment horizontal="left" shrinkToFit="0" vertical="center" wrapText="1"/>
    </xf>
    <xf borderId="15" fillId="3" fontId="3" numFmtId="0" xfId="0" applyAlignment="1" applyBorder="1" applyFont="1">
      <alignment horizontal="left" shrinkToFit="0" vertical="center" wrapText="1"/>
    </xf>
    <xf borderId="36" fillId="3" fontId="3" numFmtId="0" xfId="0" applyAlignment="1" applyBorder="1" applyFont="1">
      <alignment horizontal="left" shrinkToFit="0" vertical="center" wrapText="1"/>
    </xf>
    <xf borderId="37" fillId="3" fontId="3" numFmtId="0" xfId="0" applyAlignment="1" applyBorder="1" applyFont="1">
      <alignment horizontal="left" shrinkToFit="0" vertical="center" wrapText="1"/>
    </xf>
    <xf borderId="38" fillId="0" fontId="5" numFmtId="0" xfId="0" applyBorder="1" applyFont="1"/>
    <xf borderId="39" fillId="3" fontId="3" numFmtId="0" xfId="0" applyAlignment="1" applyBorder="1" applyFont="1">
      <alignment horizontal="left" shrinkToFit="0" vertical="center" wrapText="1"/>
    </xf>
    <xf borderId="30" fillId="0" fontId="5" numFmtId="0" xfId="0" applyBorder="1" applyFont="1"/>
    <xf borderId="39" fillId="8" fontId="19" numFmtId="0" xfId="0" applyAlignment="1" applyBorder="1" applyFont="1">
      <alignment horizontal="center" vertical="center"/>
    </xf>
    <xf borderId="40" fillId="0" fontId="5" numFmtId="0" xfId="0" applyBorder="1" applyFont="1"/>
    <xf borderId="41" fillId="0" fontId="5" numFmtId="0" xfId="0" applyBorder="1" applyFont="1"/>
    <xf borderId="42" fillId="0" fontId="5" numFmtId="0" xfId="0" applyBorder="1" applyFont="1"/>
    <xf borderId="7" fillId="8" fontId="20" numFmtId="0" xfId="0" applyAlignment="1" applyBorder="1" applyFont="1">
      <alignment horizontal="center" vertical="center"/>
    </xf>
    <xf borderId="7" fillId="0" fontId="3" numFmtId="10" xfId="0" applyAlignment="1" applyBorder="1" applyFont="1" applyNumberFormat="1">
      <alignment horizontal="center"/>
    </xf>
    <xf borderId="7" fillId="6" fontId="3" numFmtId="0" xfId="0" applyBorder="1" applyFont="1"/>
    <xf borderId="7" fillId="9" fontId="3" numFmtId="0" xfId="0" applyBorder="1" applyFill="1" applyFont="1"/>
    <xf borderId="15" fillId="9" fontId="3" numFmtId="0" xfId="0" applyBorder="1" applyFont="1"/>
    <xf borderId="7" fillId="8" fontId="12" numFmtId="17" xfId="0" applyAlignment="1" applyBorder="1" applyFont="1" applyNumberFormat="1">
      <alignment horizontal="center"/>
    </xf>
    <xf borderId="7" fillId="8" fontId="12" numFmtId="0" xfId="0" applyAlignment="1" applyBorder="1" applyFont="1">
      <alignment horizontal="center"/>
    </xf>
    <xf borderId="7" fillId="8" fontId="12" numFmtId="2" xfId="0" applyAlignment="1" applyBorder="1" applyFont="1" applyNumberFormat="1">
      <alignment horizontal="center"/>
    </xf>
    <xf borderId="7" fillId="8" fontId="12" numFmtId="0" xfId="0" applyBorder="1" applyFont="1"/>
    <xf borderId="1" fillId="10" fontId="21" numFmtId="0" xfId="0" applyAlignment="1" applyBorder="1" applyFill="1" applyFont="1">
      <alignment horizontal="center" vertical="center"/>
    </xf>
    <xf borderId="43" fillId="10" fontId="22" numFmtId="0" xfId="0" applyAlignment="1" applyBorder="1" applyFont="1">
      <alignment horizontal="center"/>
    </xf>
    <xf borderId="44" fillId="0" fontId="5" numFmtId="0" xfId="0" applyBorder="1" applyFont="1"/>
    <xf borderId="45" fillId="0" fontId="5" numFmtId="0" xfId="0" applyBorder="1" applyFont="1"/>
    <xf borderId="46" fillId="0" fontId="3" numFmtId="0" xfId="0" applyBorder="1" applyFont="1"/>
    <xf borderId="0" fillId="0" fontId="3" numFmtId="3" xfId="0" applyAlignment="1" applyFont="1" applyNumberFormat="1">
      <alignment horizontal="center"/>
    </xf>
    <xf borderId="47" fillId="10" fontId="23" numFmtId="0" xfId="0" applyAlignment="1" applyBorder="1" applyFont="1">
      <alignment horizontal="center" vertical="center"/>
    </xf>
    <xf borderId="48" fillId="10" fontId="23" numFmtId="0" xfId="0" applyAlignment="1" applyBorder="1" applyFont="1">
      <alignment horizontal="center" vertical="center"/>
    </xf>
    <xf borderId="49" fillId="10" fontId="23" numFmtId="0" xfId="0" applyAlignment="1" applyBorder="1" applyFont="1">
      <alignment horizontal="center" vertical="center"/>
    </xf>
    <xf borderId="50" fillId="10" fontId="23" numFmtId="0" xfId="0" applyAlignment="1" applyBorder="1" applyFont="1">
      <alignment horizontal="center" vertical="center"/>
    </xf>
    <xf borderId="0" fillId="0" fontId="23" numFmtId="0" xfId="0" applyFont="1"/>
    <xf borderId="7" fillId="6" fontId="23" numFmtId="0" xfId="0" applyAlignment="1" applyBorder="1" applyFont="1">
      <alignment horizontal="center"/>
    </xf>
    <xf borderId="7" fillId="10" fontId="24" numFmtId="0" xfId="0" applyAlignment="1" applyBorder="1" applyFont="1">
      <alignment horizontal="center"/>
    </xf>
    <xf borderId="7" fillId="0" fontId="25" numFmtId="0" xfId="0" applyAlignment="1" applyBorder="1" applyFont="1">
      <alignment horizontal="center" vertical="center"/>
    </xf>
    <xf borderId="7" fillId="0" fontId="3" numFmtId="167" xfId="0" applyAlignment="1" applyBorder="1" applyFont="1" applyNumberFormat="1">
      <alignment horizontal="center" vertical="center"/>
    </xf>
    <xf borderId="15" fillId="6" fontId="24" numFmtId="0" xfId="0" applyAlignment="1" applyBorder="1" applyFont="1">
      <alignment horizontal="center"/>
    </xf>
    <xf borderId="15" fillId="3" fontId="3" numFmtId="0" xfId="0" applyAlignment="1" applyBorder="1" applyFont="1">
      <alignment horizontal="center" vertical="center"/>
    </xf>
    <xf borderId="0" fillId="0" fontId="3" numFmtId="0" xfId="0" applyAlignment="1" applyFont="1">
      <alignment vertical="center"/>
    </xf>
    <xf borderId="0" fillId="0" fontId="3" numFmtId="168" xfId="0" applyAlignment="1" applyFont="1" applyNumberFormat="1">
      <alignment horizontal="center" vertical="center"/>
    </xf>
    <xf borderId="0" fillId="0" fontId="3" numFmtId="0" xfId="0" applyAlignment="1" applyFont="1">
      <alignment horizontal="center" vertical="center"/>
    </xf>
    <xf borderId="15" fillId="6" fontId="22" numFmtId="168" xfId="0" applyAlignment="1" applyBorder="1" applyFont="1" applyNumberFormat="1">
      <alignment horizontal="center"/>
    </xf>
    <xf borderId="15" fillId="6" fontId="22" numFmtId="0" xfId="0" applyAlignment="1" applyBorder="1" applyFont="1">
      <alignment horizontal="center"/>
    </xf>
    <xf borderId="19" fillId="10" fontId="23" numFmtId="0" xfId="0" applyAlignment="1" applyBorder="1" applyFont="1">
      <alignment horizontal="center" vertical="center"/>
    </xf>
    <xf borderId="7" fillId="0" fontId="14" numFmtId="0" xfId="0" applyAlignment="1" applyBorder="1" applyFont="1">
      <alignment horizontal="center"/>
    </xf>
    <xf borderId="0" fillId="0" fontId="14" numFmtId="0" xfId="0" applyAlignment="1" applyFont="1">
      <alignment horizontal="center"/>
    </xf>
    <xf borderId="8" fillId="11" fontId="26" numFmtId="0" xfId="0" applyAlignment="1" applyBorder="1" applyFill="1" applyFont="1">
      <alignment vertical="center"/>
    </xf>
    <xf borderId="51" fillId="12" fontId="14" numFmtId="0" xfId="0" applyAlignment="1" applyBorder="1" applyFill="1" applyFont="1">
      <alignment horizontal="center"/>
    </xf>
    <xf borderId="15" fillId="13" fontId="14" numFmtId="0" xfId="0" applyAlignment="1" applyBorder="1" applyFill="1" applyFont="1">
      <alignment horizontal="center"/>
    </xf>
    <xf borderId="7" fillId="11" fontId="22" numFmtId="0" xfId="0" applyAlignment="1" applyBorder="1" applyFont="1">
      <alignment vertical="center"/>
    </xf>
    <xf borderId="11" fillId="9" fontId="21" numFmtId="4" xfId="0" applyAlignment="1" applyBorder="1" applyFont="1" applyNumberFormat="1">
      <alignment horizontal="center" vertical="center"/>
    </xf>
    <xf borderId="52" fillId="0" fontId="5" numFmtId="0" xfId="0" applyBorder="1" applyFont="1"/>
    <xf borderId="53" fillId="9" fontId="16" numFmtId="4" xfId="0" applyAlignment="1" applyBorder="1" applyFont="1" applyNumberFormat="1">
      <alignment horizontal="center" vertical="center"/>
    </xf>
    <xf borderId="19" fillId="9" fontId="14" numFmtId="4" xfId="0" applyAlignment="1" applyBorder="1" applyFont="1" applyNumberFormat="1">
      <alignment horizontal="center"/>
    </xf>
    <xf borderId="7" fillId="9" fontId="14" numFmtId="4" xfId="0" applyAlignment="1" applyBorder="1" applyFont="1" applyNumberFormat="1">
      <alignment horizontal="center"/>
    </xf>
    <xf borderId="7" fillId="0" fontId="3" numFmtId="0" xfId="0" applyAlignment="1" applyBorder="1" applyFont="1">
      <alignment vertical="center"/>
    </xf>
    <xf borderId="13" fillId="0" fontId="25" numFmtId="169" xfId="0" applyAlignment="1" applyBorder="1" applyFont="1" applyNumberFormat="1">
      <alignment horizontal="center"/>
    </xf>
    <xf borderId="7" fillId="0" fontId="25" numFmtId="169" xfId="0" applyAlignment="1" applyBorder="1" applyFont="1" applyNumberFormat="1">
      <alignment horizontal="center"/>
    </xf>
    <xf borderId="23" fillId="0" fontId="25" numFmtId="169" xfId="0" applyAlignment="1" applyBorder="1" applyFont="1" applyNumberFormat="1">
      <alignment horizontal="center"/>
    </xf>
    <xf borderId="54" fillId="14" fontId="16" numFmtId="169" xfId="0" applyAlignment="1" applyBorder="1" applyFill="1" applyFont="1" applyNumberFormat="1">
      <alignment horizontal="center" vertical="center"/>
    </xf>
    <xf borderId="7" fillId="14" fontId="22" numFmtId="4" xfId="0" applyAlignment="1" applyBorder="1" applyFont="1" applyNumberFormat="1">
      <alignment horizontal="center" vertical="center"/>
    </xf>
    <xf borderId="0" fillId="0" fontId="3" numFmtId="4" xfId="0" applyAlignment="1" applyFont="1" applyNumberFormat="1">
      <alignment horizontal="center"/>
    </xf>
    <xf borderId="22" fillId="0" fontId="16" numFmtId="4" xfId="0" applyAlignment="1" applyBorder="1" applyFont="1" applyNumberFormat="1">
      <alignment horizontal="center" vertical="center"/>
    </xf>
    <xf borderId="20" fillId="0" fontId="14" numFmtId="4" xfId="0" applyAlignment="1" applyBorder="1" applyFont="1" applyNumberFormat="1">
      <alignment horizontal="center"/>
    </xf>
    <xf borderId="7" fillId="14" fontId="22" numFmtId="3" xfId="0" applyAlignment="1" applyBorder="1" applyFont="1" applyNumberFormat="1">
      <alignment horizontal="center" vertical="center"/>
    </xf>
    <xf borderId="54" fillId="9" fontId="16" numFmtId="4" xfId="0" applyAlignment="1" applyBorder="1" applyFont="1" applyNumberFormat="1">
      <alignment horizontal="center" vertical="center"/>
    </xf>
    <xf borderId="54" fillId="6" fontId="3" numFmtId="4" xfId="0" applyAlignment="1" applyBorder="1" applyFont="1" applyNumberFormat="1">
      <alignment horizontal="center"/>
    </xf>
    <xf borderId="7" fillId="6" fontId="3" numFmtId="4" xfId="0" applyAlignment="1" applyBorder="1" applyFont="1" applyNumberFormat="1">
      <alignment horizontal="center"/>
    </xf>
    <xf borderId="54" fillId="14" fontId="16" numFmtId="0" xfId="0" applyAlignment="1" applyBorder="1" applyFont="1">
      <alignment horizontal="center" vertical="center"/>
    </xf>
    <xf borderId="55" fillId="6" fontId="3" numFmtId="4" xfId="0" applyAlignment="1" applyBorder="1" applyFont="1" applyNumberFormat="1">
      <alignment horizontal="center"/>
    </xf>
    <xf borderId="54" fillId="6" fontId="3" numFmtId="0" xfId="0" applyAlignment="1" applyBorder="1" applyFont="1">
      <alignment horizontal="center"/>
    </xf>
    <xf borderId="13" fillId="0" fontId="3" numFmtId="0" xfId="0" applyAlignment="1" applyBorder="1" applyFont="1">
      <alignment horizontal="center"/>
    </xf>
    <xf borderId="15" fillId="6" fontId="22" numFmtId="0" xfId="0" applyAlignment="1" applyBorder="1" applyFont="1">
      <alignment vertical="center"/>
    </xf>
    <xf borderId="15" fillId="6" fontId="16" numFmtId="4" xfId="0" applyAlignment="1" applyBorder="1" applyFont="1" applyNumberFormat="1">
      <alignment horizontal="center" vertical="center"/>
    </xf>
    <xf borderId="15" fillId="6" fontId="22" numFmtId="4" xfId="0" applyAlignment="1" applyBorder="1" applyFont="1" applyNumberFormat="1">
      <alignment horizontal="center" vertical="center"/>
    </xf>
    <xf borderId="12" fillId="0" fontId="25" numFmtId="169" xfId="0" applyAlignment="1" applyBorder="1" applyFont="1" applyNumberFormat="1">
      <alignment horizontal="center"/>
    </xf>
    <xf borderId="7" fillId="0" fontId="3" numFmtId="4" xfId="0" applyAlignment="1" applyBorder="1" applyFont="1" applyNumberFormat="1">
      <alignment horizontal="center"/>
    </xf>
    <xf borderId="54" fillId="6" fontId="25" numFmtId="169" xfId="0" applyAlignment="1" applyBorder="1" applyFont="1" applyNumberFormat="1">
      <alignment horizontal="center"/>
    </xf>
    <xf borderId="7" fillId="14" fontId="22" numFmtId="0" xfId="0" applyAlignment="1" applyBorder="1" applyFont="1">
      <alignment horizontal="center" vertical="center"/>
    </xf>
    <xf borderId="53" fillId="9" fontId="14" numFmtId="4" xfId="0" applyAlignment="1" applyBorder="1" applyFont="1" applyNumberFormat="1">
      <alignment horizontal="center"/>
    </xf>
    <xf borderId="54" fillId="6" fontId="16" numFmtId="4" xfId="0" applyAlignment="1" applyBorder="1" applyFont="1" applyNumberFormat="1">
      <alignment horizontal="center" vertical="center"/>
    </xf>
    <xf borderId="7" fillId="6" fontId="22" numFmtId="4" xfId="0" applyAlignment="1" applyBorder="1" applyFont="1" applyNumberFormat="1">
      <alignment horizontal="center" vertical="center"/>
    </xf>
    <xf borderId="9" fillId="0" fontId="3" numFmtId="0" xfId="0" applyAlignment="1" applyBorder="1" applyFont="1">
      <alignment vertical="center"/>
    </xf>
    <xf borderId="7" fillId="0" fontId="22" numFmtId="0" xfId="0" applyAlignment="1" applyBorder="1" applyFont="1">
      <alignment vertical="center"/>
    </xf>
    <xf borderId="13" fillId="0" fontId="16" numFmtId="169"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50632911392405146"/>
          <c:y val="0.0"/>
          <c:w val="0.786631239550991"/>
          <c:h val="0.9783197831978347"/>
        </c:manualLayout>
      </c:layout>
      <c:pie3DChart>
        <c:varyColors val="1"/>
        <c:ser>
          <c:idx val="0"/>
          <c:order val="0"/>
          <c:dPt>
            <c:idx val="0"/>
            <c:spPr>
              <a:solidFill>
                <a:srgbClr val="4F81BD"/>
              </a:solidFill>
            </c:spPr>
          </c:dPt>
          <c:dPt>
            <c:idx val="1"/>
            <c:spPr>
              <a:solidFill>
                <a:srgbClr val="C0504D"/>
              </a:solidFill>
            </c:spPr>
          </c:dPt>
          <c:dLbls>
            <c:dLbl>
              <c:idx val="0"/>
              <c:txPr>
                <a:bodyPr/>
                <a:lstStyle/>
                <a:p>
                  <a:pPr lvl="0">
                    <a:defRPr b="0" i="0" sz="1500">
                      <a:solidFill>
                        <a:srgbClr val="000000"/>
                      </a:solidFill>
                      <a:latin typeface="Calibri"/>
                    </a:defRPr>
                  </a:pPr>
                </a:p>
              </c:txPr>
              <c:showLegendKey val="0"/>
              <c:showVal val="0"/>
              <c:showCatName val="0"/>
              <c:showSerName val="0"/>
              <c:showPercent val="1"/>
              <c:showBubbleSize val="0"/>
            </c:dLbl>
            <c:dLbl>
              <c:idx val="1"/>
              <c:txPr>
                <a:bodyPr/>
                <a:lstStyle/>
                <a:p>
                  <a:pPr lvl="0">
                    <a:defRPr b="0" i="0" sz="15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DATOS!$A$8:$A$9</c:f>
            </c:strRef>
          </c:cat>
          <c:val>
            <c:numRef>
              <c:f>DATOS!$C$8:$C$9</c:f>
              <c:numCache/>
            </c:numRef>
          </c:val>
        </c:ser>
        <c:dLbls>
          <c:showLegendKey val="0"/>
          <c:showVal val="0"/>
          <c:showCatName val="0"/>
          <c:showSerName val="0"/>
          <c:showPercent val="0"/>
          <c:showBubbleSize val="0"/>
        </c:dLbls>
      </c:pie3DChart>
    </c:plotArea>
    <c:legend>
      <c:legendPos val="r"/>
      <c:layout>
        <c:manualLayout>
          <c:xMode val="edge"/>
          <c:yMode val="edge"/>
          <c:x val="0.6967467703030309"/>
          <c:y val="0.09874370444933839"/>
        </c:manualLayout>
      </c:layout>
      <c:overlay val="0"/>
      <c:txPr>
        <a:bodyPr/>
        <a:lstStyle/>
        <a:p>
          <a:pPr lvl="0">
            <a:defRPr b="0" i="0" sz="1400">
              <a:solidFill>
                <a:srgbClr val="000000"/>
              </a:solidFill>
              <a:latin typeface="Calibri"/>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11325635193000878"/>
          <c:y val="0.0"/>
          <c:w val="0.850046545258127"/>
          <c:h val="0.9971252541330067"/>
        </c:manualLayout>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Lbls>
            <c:dLbl>
              <c:idx val="0"/>
              <c:txPr>
                <a:bodyPr/>
                <a:lstStyle/>
                <a:p>
                  <a:pPr lvl="0">
                    <a:defRPr b="0" i="0" sz="1000">
                      <a:solidFill>
                        <a:srgbClr val="000000"/>
                      </a:solidFill>
                      <a:latin typeface="Calibri"/>
                    </a:defRPr>
                  </a:pPr>
                </a:p>
              </c:txPr>
              <c:showLegendKey val="0"/>
              <c:showVal val="0"/>
              <c:showCatName val="0"/>
              <c:showSerName val="0"/>
              <c:showPercent val="1"/>
              <c:showBubbleSize val="0"/>
            </c:dLbl>
            <c:dLbl>
              <c:idx val="1"/>
              <c:txPr>
                <a:bodyPr/>
                <a:lstStyle/>
                <a:p>
                  <a:pPr lvl="0">
                    <a:defRPr b="0" i="0" sz="1000">
                      <a:solidFill>
                        <a:srgbClr val="000000"/>
                      </a:solidFill>
                      <a:latin typeface="Calibri"/>
                    </a:defRPr>
                  </a:pPr>
                </a:p>
              </c:txPr>
              <c:showLegendKey val="0"/>
              <c:showVal val="0"/>
              <c:showCatName val="0"/>
              <c:showSerName val="0"/>
              <c:showPercent val="1"/>
              <c:showBubbleSize val="0"/>
            </c:dLbl>
            <c:dLbl>
              <c:idx val="2"/>
              <c:txPr>
                <a:bodyPr/>
                <a:lstStyle/>
                <a:p>
                  <a:pPr lvl="0">
                    <a:defRPr b="0" i="0" sz="1000">
                      <a:solidFill>
                        <a:srgbClr val="000000"/>
                      </a:solidFill>
                      <a:latin typeface="Calibri"/>
                    </a:defRPr>
                  </a:pPr>
                </a:p>
              </c:txPr>
              <c:showLegendKey val="0"/>
              <c:showVal val="0"/>
              <c:showCatName val="0"/>
              <c:showSerName val="0"/>
              <c:showPercent val="1"/>
              <c:showBubbleSize val="0"/>
            </c:dLbl>
            <c:dLbl>
              <c:idx val="3"/>
              <c:txPr>
                <a:bodyPr/>
                <a:lstStyle/>
                <a:p>
                  <a:pPr lvl="0">
                    <a:defRPr b="0" i="0" sz="1000">
                      <a:solidFill>
                        <a:srgbClr val="000000"/>
                      </a:solidFill>
                      <a:latin typeface="Calibri"/>
                    </a:defRPr>
                  </a:pPr>
                </a:p>
              </c:txPr>
              <c:showLegendKey val="0"/>
              <c:showVal val="0"/>
              <c:showCatName val="0"/>
              <c:showSerName val="0"/>
              <c:showPercent val="1"/>
              <c:showBubbleSize val="0"/>
            </c:dLbl>
            <c:dLbl>
              <c:idx val="4"/>
              <c:txPr>
                <a:bodyPr/>
                <a:lstStyle/>
                <a:p>
                  <a:pPr lvl="0">
                    <a:defRPr b="0" i="0" sz="1000">
                      <a:solidFill>
                        <a:srgbClr val="000000"/>
                      </a:solidFill>
                      <a:latin typeface="Calibri"/>
                    </a:defRPr>
                  </a:pPr>
                </a:p>
              </c:txPr>
              <c:showLegendKey val="0"/>
              <c:showVal val="0"/>
              <c:showCatName val="0"/>
              <c:showSerName val="0"/>
              <c:showPercent val="1"/>
              <c:showBubbleSize val="0"/>
            </c:dLbl>
            <c:dLbl>
              <c:idx val="5"/>
              <c:txPr>
                <a:bodyPr/>
                <a:lstStyle/>
                <a:p>
                  <a:pPr lvl="0">
                    <a:defRPr b="0" i="0" sz="1000">
                      <a:solidFill>
                        <a:srgbClr val="000000"/>
                      </a:solidFill>
                      <a:latin typeface="Calibri"/>
                    </a:defRPr>
                  </a:pPr>
                </a:p>
              </c:txPr>
              <c:showLegendKey val="0"/>
              <c:showVal val="0"/>
              <c:showCatName val="0"/>
              <c:showSerName val="0"/>
              <c:showPercent val="1"/>
              <c:showBubbleSize val="0"/>
            </c:dLbl>
            <c:dLbl>
              <c:idx val="6"/>
              <c:txPr>
                <a:bodyPr/>
                <a:lstStyle/>
                <a:p>
                  <a:pPr lvl="0">
                    <a:defRPr b="0" i="0" sz="10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DATOS!$A$11:$A$17</c:f>
            </c:strRef>
          </c:cat>
          <c:val>
            <c:numRef>
              <c:f>DATOS!$C$11:$C$17</c:f>
              <c:numCache/>
            </c:numRef>
          </c:val>
        </c:ser>
        <c:dLbls>
          <c:showLegendKey val="0"/>
          <c:showVal val="0"/>
          <c:showCatName val="0"/>
          <c:showSerName val="0"/>
          <c:showPercent val="0"/>
          <c:showBubbleSize val="0"/>
        </c:dLbls>
      </c:pie3DChart>
    </c:plotArea>
    <c:legend>
      <c:legendPos val="r"/>
      <c:layout>
        <c:manualLayout>
          <c:xMode val="edge"/>
          <c:yMode val="edge"/>
          <c:x val="0.7416084471695735"/>
          <c:y val="0.02714298824535045"/>
        </c:manualLayout>
      </c:layout>
      <c:overlay val="0"/>
      <c:txPr>
        <a:bodyPr/>
        <a:lstStyle/>
        <a:p>
          <a:pPr lvl="0">
            <a:defRPr b="0" i="0" sz="1600">
              <a:solidFill>
                <a:srgbClr val="000000"/>
              </a:solidFill>
              <a:latin typeface="Calibri"/>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39726261211213615"/>
          <c:y val="0.011936810163939658"/>
          <c:w val="0.6779841106087473"/>
          <c:h val="0.9602957831705402"/>
        </c:manualLayout>
      </c:layout>
      <c:pie3DChart>
        <c:varyColors val="1"/>
        <c:ser>
          <c:idx val="0"/>
          <c:order val="0"/>
          <c:dPt>
            <c:idx val="0"/>
            <c:spPr>
              <a:solidFill>
                <a:srgbClr val="4F81BD"/>
              </a:solidFill>
            </c:spPr>
          </c:dPt>
          <c:dPt>
            <c:idx val="1"/>
            <c:spPr>
              <a:solidFill>
                <a:srgbClr val="C0504D"/>
              </a:solidFill>
            </c:spPr>
          </c:dPt>
          <c:dLbls>
            <c:dLbl>
              <c:idx val="0"/>
              <c:txPr>
                <a:bodyPr/>
                <a:lstStyle/>
                <a:p>
                  <a:pPr lvl="0">
                    <a:defRPr b="0" i="0" sz="1300">
                      <a:solidFill>
                        <a:srgbClr val="000000"/>
                      </a:solidFill>
                      <a:latin typeface="Calibri"/>
                    </a:defRPr>
                  </a:pPr>
                </a:p>
              </c:txPr>
              <c:showLegendKey val="0"/>
              <c:showVal val="0"/>
              <c:showCatName val="0"/>
              <c:showSerName val="0"/>
              <c:showPercent val="1"/>
              <c:showBubbleSize val="0"/>
            </c:dLbl>
            <c:dLbl>
              <c:idx val="1"/>
              <c:txPr>
                <a:bodyPr/>
                <a:lstStyle/>
                <a:p>
                  <a:pPr lvl="0">
                    <a:defRPr b="0" i="0" sz="13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DATOS!$E$8:$E$9</c:f>
            </c:strRef>
          </c:cat>
          <c:val>
            <c:numRef>
              <c:f>DATOS!$G$8:$G$9</c:f>
              <c:numCache/>
            </c:numRef>
          </c:val>
        </c:ser>
        <c:dLbls>
          <c:showLegendKey val="0"/>
          <c:showVal val="0"/>
          <c:showCatName val="0"/>
          <c:showSerName val="0"/>
          <c:showPercent val="0"/>
          <c:showBubbleSize val="0"/>
        </c:dLbls>
      </c:pie3DChart>
    </c:plotArea>
    <c:legend>
      <c:legendPos val="r"/>
      <c:layout>
        <c:manualLayout>
          <c:xMode val="edge"/>
          <c:yMode val="edge"/>
          <c:x val="0.7626472626472627"/>
          <c:y val="0.0738017975025849"/>
        </c:manualLayout>
      </c:layout>
      <c:overlay val="0"/>
      <c:txPr>
        <a:bodyPr/>
        <a:lstStyle/>
        <a:p>
          <a:pPr lvl="0">
            <a:defRPr b="0" i="0" sz="1400">
              <a:solidFill>
                <a:srgbClr val="000000"/>
              </a:solidFill>
              <a:latin typeface="Calibri"/>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
          <c:y val="0.012387387387387387"/>
          <c:w val="0.6447923225833359"/>
          <c:h val="0.9876126126126126"/>
        </c:manualLayout>
      </c:layout>
      <c:pie3DChart>
        <c:varyColors val="1"/>
        <c:ser>
          <c:idx val="0"/>
          <c:order val="0"/>
          <c:dPt>
            <c:idx val="0"/>
            <c:explosion val="5"/>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explosion val="7"/>
            <c:spPr>
              <a:solidFill>
                <a:srgbClr val="F79646"/>
              </a:solidFill>
            </c:spPr>
          </c:dPt>
          <c:dLbls>
            <c:dLbl>
              <c:idx val="0"/>
              <c:tx>
                <c:rich>
                  <a:bodyPr/>
                  <a:lstStyle/>
                  <a:p>
                    <a:pPr lvl="0">
                      <a:defRPr b="0" i="0" sz="1000">
                        <a:solidFill>
                          <a:srgbClr val="000000"/>
                        </a:solidFill>
                        <a:latin typeface="Calibri"/>
                      </a:defRPr>
                    </a:pPr>
                    <a:r>
                      <a:rPr b="0" i="0" sz="1000">
                        <a:solidFill>
                          <a:srgbClr val="000000"/>
                        </a:solidFill>
                        <a:latin typeface="Calibri"/>
                      </a:rPr>
                      <a:t>ENFERMEDAD 
4,73 %</a:t>
                    </a:r>
                  </a:p>
                </c:rich>
              </c:tx>
              <c:showLegendKey val="0"/>
              <c:showVal val="0"/>
              <c:showCatName val="0"/>
              <c:showSerName val="0"/>
              <c:showPercent val="1"/>
              <c:showBubbleSize val="0"/>
            </c:dLbl>
            <c:dLbl>
              <c:idx val="1"/>
              <c:tx>
                <c:rich>
                  <a:bodyPr/>
                  <a:lstStyle/>
                  <a:p>
                    <a:pPr lvl="0">
                      <a:defRPr b="0" i="0" sz="1000">
                        <a:solidFill>
                          <a:srgbClr val="000000"/>
                        </a:solidFill>
                        <a:latin typeface="Calibri"/>
                      </a:defRPr>
                    </a:pPr>
                    <a:r>
                      <a:rPr b="0" i="0" sz="1000">
                        <a:solidFill>
                          <a:srgbClr val="000000"/>
                        </a:solidFill>
                        <a:latin typeface="Calibri"/>
                      </a:rPr>
                      <a:t>ACCIDENTES 
0,00 %</a:t>
                    </a:r>
                  </a:p>
                </c:rich>
              </c:tx>
              <c:showLegendKey val="0"/>
              <c:showVal val="0"/>
              <c:showCatName val="0"/>
              <c:showSerName val="0"/>
              <c:showPercent val="1"/>
              <c:showBubbleSize val="0"/>
            </c:dLbl>
            <c:dLbl>
              <c:idx val="2"/>
              <c:tx>
                <c:rich>
                  <a:bodyPr/>
                  <a:lstStyle/>
                  <a:p>
                    <a:pPr lvl="0">
                      <a:defRPr b="0" i="0" sz="1000">
                        <a:solidFill>
                          <a:srgbClr val="000000"/>
                        </a:solidFill>
                        <a:latin typeface="Calibri"/>
                      </a:defRPr>
                    </a:pPr>
                    <a:r>
                      <a:rPr b="0" i="0" sz="1000">
                        <a:solidFill>
                          <a:srgbClr val="000000"/>
                        </a:solidFill>
                        <a:latin typeface="Calibri"/>
                      </a:rPr>
                      <a:t>LIC VARIAS 
7,36 %</a:t>
                    </a:r>
                  </a:p>
                </c:rich>
              </c:tx>
              <c:showLegendKey val="0"/>
              <c:showVal val="0"/>
              <c:showCatName val="0"/>
              <c:showSerName val="0"/>
              <c:showPercent val="1"/>
              <c:showBubbleSize val="0"/>
            </c:dLbl>
            <c:dLbl>
              <c:idx val="3"/>
              <c:txPr>
                <a:bodyPr/>
                <a:lstStyle/>
                <a:p>
                  <a:pPr lvl="0">
                    <a:defRPr b="0" i="0" sz="1000">
                      <a:solidFill>
                        <a:srgbClr val="000000"/>
                      </a:solidFill>
                      <a:latin typeface="Calibri"/>
                    </a:defRPr>
                  </a:pPr>
                </a:p>
              </c:txPr>
              <c:showLegendKey val="0"/>
              <c:showVal val="0"/>
              <c:showCatName val="0"/>
              <c:showSerName val="0"/>
              <c:showPercent val="1"/>
              <c:showBubbleSize val="0"/>
            </c:dLbl>
            <c:dLbl>
              <c:idx val="4"/>
              <c:txPr>
                <a:bodyPr/>
                <a:lstStyle/>
                <a:p>
                  <a:pPr lvl="0">
                    <a:defRPr b="0" i="0" sz="1000">
                      <a:solidFill>
                        <a:srgbClr val="000000"/>
                      </a:solidFill>
                      <a:latin typeface="Calibri"/>
                    </a:defRPr>
                  </a:pPr>
                </a:p>
              </c:txPr>
              <c:showLegendKey val="0"/>
              <c:showVal val="0"/>
              <c:showCatName val="0"/>
              <c:showSerName val="0"/>
              <c:showPercent val="1"/>
              <c:showBubbleSize val="0"/>
            </c:dLbl>
            <c:dLbl>
              <c:idx val="5"/>
              <c:txPr>
                <a:bodyPr/>
                <a:lstStyle/>
                <a:p>
                  <a:pPr lvl="0">
                    <a:defRPr b="0" i="0" sz="10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DATOS!$E$11:$E$16</c:f>
            </c:strRef>
          </c:cat>
          <c:val>
            <c:numRef>
              <c:f>DATOS!$G$11:$G$16</c:f>
              <c:numCache/>
            </c:numRef>
          </c:val>
        </c:ser>
        <c:dLbls>
          <c:showLegendKey val="0"/>
          <c:showVal val="0"/>
          <c:showCatName val="0"/>
          <c:showSerName val="0"/>
          <c:showPercent val="0"/>
          <c:showBubbleSize val="0"/>
        </c:dLbls>
      </c:pie3DChart>
    </c:plotArea>
    <c:legend>
      <c:legendPos val="r"/>
      <c:layout>
        <c:manualLayout>
          <c:xMode val="edge"/>
          <c:yMode val="edge"/>
          <c:x val="0.6912876941879315"/>
          <c:y val="0.05861363239263149"/>
        </c:manualLayout>
      </c:layout>
      <c:overlay val="0"/>
      <c:txPr>
        <a:bodyPr/>
        <a:lstStyle/>
        <a:p>
          <a:pPr lvl="0">
            <a:defRPr b="0" i="0" sz="1400">
              <a:solidFill>
                <a:srgbClr val="000000"/>
              </a:solidFill>
              <a:latin typeface="Calibri"/>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3.291313763218733E-4"/>
          <c:y val="0.010601120958199074"/>
          <c:w val="0.7888946080064025"/>
          <c:h val="0.7773034787010854"/>
        </c:manualLayout>
      </c:layout>
      <c:pieChart>
        <c:varyColors val="1"/>
        <c:ser>
          <c:idx val="0"/>
          <c:order val="0"/>
          <c:dPt>
            <c:idx val="0"/>
            <c:explosion val="35"/>
            <c:spPr>
              <a:solidFill>
                <a:srgbClr val="4F81BD"/>
              </a:solidFill>
            </c:spPr>
          </c:dPt>
          <c:dPt>
            <c:idx val="1"/>
            <c:spPr>
              <a:solidFill>
                <a:srgbClr val="C0504D"/>
              </a:solidFill>
            </c:spPr>
          </c:dPt>
          <c:dPt>
            <c:idx val="2"/>
            <c:spPr>
              <a:solidFill>
                <a:srgbClr val="9BBB59"/>
              </a:solidFill>
            </c:spPr>
          </c:dPt>
          <c:dPt>
            <c:idx val="3"/>
            <c:spPr>
              <a:solidFill>
                <a:srgbClr val="71588F"/>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99CC00"/>
              </a:solidFill>
            </c:spPr>
          </c:dPt>
          <c:dPt>
            <c:idx val="11"/>
            <c:spPr>
              <a:solidFill>
                <a:srgbClr val="F9B67E"/>
              </a:solidFill>
            </c:spPr>
          </c:dPt>
          <c:dPt>
            <c:idx val="12"/>
            <c:spPr>
              <a:solidFill>
                <a:srgbClr val="B9CDE5"/>
              </a:solidFill>
            </c:spPr>
          </c:dPt>
          <c:dPt>
            <c:idx val="13"/>
            <c:spPr>
              <a:solidFill>
                <a:srgbClr val="E6B9B8"/>
              </a:solidFill>
            </c:spPr>
          </c:dPt>
          <c:dPt>
            <c:idx val="14"/>
            <c:spPr>
              <a:solidFill>
                <a:srgbClr val="D7E4BD"/>
              </a:solidFill>
            </c:spPr>
          </c:dPt>
          <c:dPt>
            <c:idx val="15"/>
            <c:spPr>
              <a:solidFill>
                <a:srgbClr val="CCC1DA"/>
              </a:solidFill>
            </c:spPr>
          </c:dPt>
          <c:dLbls>
            <c:dLbl>
              <c:idx val="0"/>
              <c:txPr>
                <a:bodyPr/>
                <a:lstStyle/>
                <a:p>
                  <a:pPr lvl="0">
                    <a:defRPr b="0" i="0" sz="1200">
                      <a:solidFill>
                        <a:srgbClr val="000000"/>
                      </a:solidFill>
                      <a:latin typeface="Calibri"/>
                    </a:defRPr>
                  </a:pPr>
                </a:p>
              </c:txPr>
              <c:showLegendKey val="0"/>
              <c:showVal val="0"/>
              <c:showCatName val="0"/>
              <c:showSerName val="0"/>
              <c:showPercent val="1"/>
              <c:showBubbleSize val="0"/>
            </c:dLbl>
            <c:dLbl>
              <c:idx val="1"/>
              <c:tx>
                <c:rich>
                  <a:bodyPr/>
                  <a:lstStyle/>
                  <a:p>
                    <a:pPr lvl="0">
                      <a:defRPr b="0" i="0" sz="1200">
                        <a:solidFill>
                          <a:srgbClr val="000000"/>
                        </a:solidFill>
                        <a:latin typeface="Calibri"/>
                      </a:defRPr>
                    </a:pPr>
                    <a:r>
                      <a:rPr b="0" i="0" sz="1200">
                        <a:solidFill>
                          <a:srgbClr val="000000"/>
                        </a:solidFill>
                        <a:latin typeface="Calibri"/>
                      </a:rPr>
                      <a:t>HS SUPL. AL 55% 
3,10%</a:t>
                    </a:r>
                  </a:p>
                </c:rich>
              </c:tx>
              <c:showLegendKey val="0"/>
              <c:showVal val="0"/>
              <c:showCatName val="0"/>
              <c:showSerName val="0"/>
              <c:showPercent val="1"/>
              <c:showBubbleSize val="0"/>
            </c:dLbl>
            <c:dLbl>
              <c:idx val="2"/>
              <c:tx>
                <c:rich>
                  <a:bodyPr/>
                  <a:lstStyle/>
                  <a:p>
                    <a:pPr lvl="0">
                      <a:defRPr b="0" i="0" sz="1200">
                        <a:solidFill>
                          <a:srgbClr val="000000"/>
                        </a:solidFill>
                        <a:latin typeface="Calibri"/>
                      </a:defRPr>
                    </a:pPr>
                    <a:r>
                      <a:rPr b="0" i="0" sz="1200">
                        <a:solidFill>
                          <a:srgbClr val="000000"/>
                        </a:solidFill>
                        <a:latin typeface="Calibri"/>
                      </a:rPr>
                      <a:t>HS SUPL. AL 55% E
0,67%</a:t>
                    </a:r>
                  </a:p>
                </c:rich>
              </c:tx>
              <c:showLegendKey val="0"/>
              <c:showVal val="0"/>
              <c:showCatName val="0"/>
              <c:showSerName val="0"/>
              <c:showPercent val="1"/>
              <c:showBubbleSize val="0"/>
            </c:dLbl>
            <c:dLbl>
              <c:idx val="3"/>
              <c:tx>
                <c:rich>
                  <a:bodyPr/>
                  <a:lstStyle/>
                  <a:p>
                    <a:pPr lvl="0">
                      <a:defRPr b="0" i="0" sz="1200">
                        <a:solidFill>
                          <a:srgbClr val="000000"/>
                        </a:solidFill>
                        <a:latin typeface="Calibri"/>
                      </a:defRPr>
                    </a:pPr>
                    <a:r>
                      <a:rPr b="0" i="0" sz="1200">
                        <a:solidFill>
                          <a:srgbClr val="000000"/>
                        </a:solidFill>
                        <a:latin typeface="Calibri"/>
                      </a:rPr>
                      <a:t>HS EXTRAS AL 50%
0,30%</a:t>
                    </a:r>
                  </a:p>
                </c:rich>
              </c:tx>
              <c:showLegendKey val="0"/>
              <c:showVal val="0"/>
              <c:showCatName val="0"/>
              <c:showSerName val="0"/>
              <c:showPercent val="1"/>
              <c:showBubbleSize val="0"/>
            </c:dLbl>
            <c:dLbl>
              <c:idx val="4"/>
              <c:tx>
                <c:rich>
                  <a:bodyPr/>
                  <a:lstStyle/>
                  <a:p>
                    <a:pPr lvl="0">
                      <a:defRPr b="0" i="0" sz="1000">
                        <a:solidFill>
                          <a:srgbClr val="000000"/>
                        </a:solidFill>
                        <a:latin typeface="Calibri"/>
                      </a:defRPr>
                    </a:pPr>
                    <a:r>
                      <a:rPr b="0" i="0" sz="1000">
                        <a:solidFill>
                          <a:srgbClr val="000000"/>
                        </a:solidFill>
                        <a:latin typeface="Calibri"/>
                      </a:rPr>
                      <a:t>HS EXTRAS AL 50% E0,12%</a:t>
                    </a:r>
                  </a:p>
                </c:rich>
              </c:tx>
              <c:showLegendKey val="0"/>
              <c:showVal val="0"/>
              <c:showCatName val="0"/>
              <c:showSerName val="0"/>
              <c:showPercent val="1"/>
              <c:showBubbleSize val="0"/>
            </c:dLbl>
            <c:dLbl>
              <c:idx val="5"/>
              <c:tx>
                <c:rich>
                  <a:bodyPr/>
                  <a:lstStyle/>
                  <a:p>
                    <a:pPr lvl="0">
                      <a:defRPr b="0" i="0" sz="1200">
                        <a:solidFill>
                          <a:srgbClr val="000000"/>
                        </a:solidFill>
                        <a:latin typeface="Calibri"/>
                      </a:defRPr>
                    </a:pPr>
                    <a:r>
                      <a:rPr b="0" i="0" sz="1200">
                        <a:solidFill>
                          <a:srgbClr val="000000"/>
                        </a:solidFill>
                        <a:latin typeface="Calibri"/>
                      </a:rPr>
                      <a:t>HS SUP AL. 100%
0,05%</a:t>
                    </a:r>
                  </a:p>
                </c:rich>
              </c:tx>
              <c:showLegendKey val="0"/>
              <c:showVal val="0"/>
              <c:showCatName val="0"/>
              <c:showSerName val="0"/>
              <c:showPercent val="1"/>
              <c:showBubbleSize val="0"/>
            </c:dLbl>
            <c:dLbl>
              <c:idx val="6"/>
              <c:tx>
                <c:rich>
                  <a:bodyPr/>
                  <a:lstStyle/>
                  <a:p>
                    <a:pPr lvl="0">
                      <a:defRPr b="0" i="0" sz="1200">
                        <a:solidFill>
                          <a:srgbClr val="000000"/>
                        </a:solidFill>
                        <a:latin typeface="Calibri"/>
                      </a:defRPr>
                    </a:pPr>
                    <a:r>
                      <a:rPr b="0" i="0" sz="1200">
                        <a:solidFill>
                          <a:srgbClr val="000000"/>
                        </a:solidFill>
                        <a:latin typeface="Calibri"/>
                      </a:rPr>
                      <a:t>HS SUPL. AL 130% E
3,42%</a:t>
                    </a:r>
                  </a:p>
                </c:rich>
              </c:tx>
              <c:showLegendKey val="0"/>
              <c:showVal val="0"/>
              <c:showCatName val="0"/>
              <c:showSerName val="0"/>
              <c:showPercent val="1"/>
              <c:showBubbleSize val="0"/>
            </c:dLbl>
            <c:dLbl>
              <c:idx val="7"/>
              <c:tx>
                <c:rich>
                  <a:bodyPr/>
                  <a:lstStyle/>
                  <a:p>
                    <a:pPr lvl="0">
                      <a:defRPr b="0" i="0" sz="1200">
                        <a:solidFill>
                          <a:srgbClr val="000000"/>
                        </a:solidFill>
                        <a:latin typeface="Calibri"/>
                      </a:defRPr>
                    </a:pPr>
                    <a:r>
                      <a:rPr b="0" i="0" sz="1200">
                        <a:solidFill>
                          <a:srgbClr val="000000"/>
                        </a:solidFill>
                        <a:latin typeface="Calibri"/>
                      </a:rPr>
                      <a:t>HS EXTRAS AL 100%
0,00%</a:t>
                    </a:r>
                  </a:p>
                </c:rich>
              </c:tx>
              <c:showLegendKey val="0"/>
              <c:showVal val="0"/>
              <c:showCatName val="0"/>
              <c:showSerName val="0"/>
              <c:showPercent val="1"/>
              <c:showBubbleSize val="0"/>
            </c:dLbl>
            <c:dLbl>
              <c:idx val="8"/>
              <c:tx>
                <c:rich>
                  <a:bodyPr/>
                  <a:lstStyle/>
                  <a:p>
                    <a:pPr lvl="0">
                      <a:defRPr b="0" i="0" sz="1200">
                        <a:solidFill>
                          <a:srgbClr val="000000"/>
                        </a:solidFill>
                        <a:latin typeface="Calibri"/>
                      </a:defRPr>
                    </a:pPr>
                    <a:r>
                      <a:rPr b="0" i="0" sz="1200">
                        <a:solidFill>
                          <a:srgbClr val="000000"/>
                        </a:solidFill>
                        <a:latin typeface="Calibri"/>
                      </a:rPr>
                      <a:t>HS EXTRAS AL 100% E
0,42%</a:t>
                    </a:r>
                  </a:p>
                </c:rich>
              </c:tx>
              <c:showLegendKey val="0"/>
              <c:showVal val="0"/>
              <c:showCatName val="0"/>
              <c:showSerName val="0"/>
              <c:showPercent val="1"/>
              <c:showBubbleSize val="0"/>
            </c:dLbl>
            <c:dLbl>
              <c:idx val="9"/>
              <c:txPr>
                <a:bodyPr/>
                <a:lstStyle/>
                <a:p>
                  <a:pPr lvl="0">
                    <a:defRPr b="0" i="0" sz="1200">
                      <a:solidFill>
                        <a:srgbClr val="000000"/>
                      </a:solidFill>
                      <a:latin typeface="Calibri"/>
                    </a:defRPr>
                  </a:pPr>
                </a:p>
              </c:txPr>
              <c:showLegendKey val="0"/>
              <c:showVal val="0"/>
              <c:showCatName val="0"/>
              <c:showSerName val="0"/>
              <c:showPercent val="1"/>
              <c:showBubbleSize val="0"/>
            </c:dLbl>
            <c:dLbl>
              <c:idx val="10"/>
              <c:txPr>
                <a:bodyPr/>
                <a:lstStyle/>
                <a:p>
                  <a:pPr lvl="0">
                    <a:defRPr b="0" i="0" sz="1200">
                      <a:solidFill>
                        <a:srgbClr val="000000"/>
                      </a:solidFill>
                      <a:latin typeface="Calibri"/>
                    </a:defRPr>
                  </a:pPr>
                </a:p>
              </c:txPr>
              <c:showLegendKey val="0"/>
              <c:showVal val="0"/>
              <c:showCatName val="0"/>
              <c:showSerName val="0"/>
              <c:showPercent val="1"/>
              <c:showBubbleSize val="0"/>
            </c:dLbl>
            <c:dLbl>
              <c:idx val="11"/>
              <c:txPr>
                <a:bodyPr/>
                <a:lstStyle/>
                <a:p>
                  <a:pPr lvl="0">
                    <a:defRPr b="0" i="0" sz="1200">
                      <a:solidFill>
                        <a:srgbClr val="000000"/>
                      </a:solidFill>
                      <a:latin typeface="Calibri"/>
                    </a:defRPr>
                  </a:pPr>
                </a:p>
              </c:txPr>
              <c:showLegendKey val="0"/>
              <c:showVal val="0"/>
              <c:showCatName val="0"/>
              <c:showSerName val="0"/>
              <c:showPercent val="1"/>
              <c:showBubbleSize val="0"/>
            </c:dLbl>
            <c:dLbl>
              <c:idx val="12"/>
              <c:txPr>
                <a:bodyPr/>
                <a:lstStyle/>
                <a:p>
                  <a:pPr lvl="0">
                    <a:defRPr b="0" i="0" sz="1200">
                      <a:solidFill>
                        <a:srgbClr val="000000"/>
                      </a:solidFill>
                      <a:latin typeface="Calibri"/>
                    </a:defRPr>
                  </a:pPr>
                </a:p>
              </c:txPr>
              <c:showLegendKey val="0"/>
              <c:showVal val="0"/>
              <c:showCatName val="0"/>
              <c:showSerName val="0"/>
              <c:showPercent val="1"/>
              <c:showBubbleSize val="0"/>
            </c:dLbl>
            <c:dLbl>
              <c:idx val="14"/>
              <c:tx>
                <c:rich>
                  <a:bodyPr/>
                  <a:lstStyle/>
                  <a:p>
                    <a:pPr lvl="0">
                      <a:defRPr b="0" i="0" sz="1200">
                        <a:solidFill>
                          <a:srgbClr val="000000"/>
                        </a:solidFill>
                        <a:latin typeface="Calibri"/>
                      </a:defRPr>
                    </a:pPr>
                    <a:r>
                      <a:rPr b="0" i="0" sz="1200">
                        <a:solidFill>
                          <a:srgbClr val="000000"/>
                        </a:solidFill>
                        <a:latin typeface="Calibri"/>
                      </a:rPr>
                      <a:t>AU. INJUSTIFICADAS
0,45%</a:t>
                    </a:r>
                  </a:p>
                </c:rich>
              </c:tx>
              <c:showLegendKey val="0"/>
              <c:showVal val="0"/>
              <c:showCatName val="0"/>
              <c:showSerName val="0"/>
              <c:showPercent val="1"/>
              <c:showBubbleSize val="0"/>
            </c:dLbl>
            <c:dLbl>
              <c:idx val="15"/>
              <c:txPr>
                <a:bodyPr/>
                <a:lstStyle/>
                <a:p>
                  <a:pPr lvl="0">
                    <a:defRPr b="0" i="0" sz="12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DATOS!$A$23:$A$38</c:f>
            </c:strRef>
          </c:cat>
          <c:val>
            <c:numRef>
              <c:f>DATOS!$C$23:$C$38</c:f>
              <c:numCache/>
            </c:numRef>
          </c:val>
        </c:ser>
        <c:dLbls>
          <c:showLegendKey val="0"/>
          <c:showVal val="0"/>
          <c:showCatName val="0"/>
          <c:showSerName val="0"/>
          <c:showPercent val="0"/>
          <c:showBubbleSize val="0"/>
        </c:dLbls>
        <c:firstSliceAng val="0"/>
      </c:pieChart>
    </c:plotArea>
    <c:legend>
      <c:legendPos val="r"/>
      <c:layout>
        <c:manualLayout>
          <c:xMode val="edge"/>
          <c:yMode val="edge"/>
          <c:x val="0.7120922688368811"/>
          <c:y val="0.05148698126484303"/>
        </c:manualLayout>
      </c:layout>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TOTAL DE ACCIDENTES POR SECTOR ENERO 2013 - FEBRERO 2026 (NOMINA TOTAL)</a:t>
            </a:r>
          </a:p>
        </c:rich>
      </c:tx>
      <c:layout>
        <c:manualLayout>
          <c:xMode val="edge"/>
          <c:yMode val="edge"/>
          <c:x val="0.03661287343301954"/>
          <c:y val="0.022190133712926184"/>
        </c:manualLayout>
      </c:layout>
      <c:overlay val="0"/>
    </c:title>
    <c:plotArea>
      <c:layout>
        <c:manualLayout>
          <c:xMode val="edge"/>
          <c:yMode val="edge"/>
          <c:x val="0.09483576771178817"/>
          <c:y val="0.09909927347141306"/>
          <c:w val="0.8291087414802867"/>
          <c:h val="0.5603613463565357"/>
        </c:manualLayout>
      </c:layout>
      <c:barChart>
        <c:barDir val="col"/>
        <c:ser>
          <c:idx val="0"/>
          <c:order val="0"/>
          <c:spPr>
            <a:solidFill>
              <a:schemeClr val="accent1"/>
            </a:solidFill>
            <a:ln cmpd="sng">
              <a:solidFill>
                <a:srgbClr val="000000"/>
              </a:solidFill>
            </a:ln>
          </c:spPr>
          <c:dLbls>
            <c:numFmt formatCode="General" sourceLinked="1"/>
            <c:txPr>
              <a:bodyPr/>
              <a:lstStyle/>
              <a:p>
                <a:pPr lvl="0">
                  <a:defRPr b="1" i="0" sz="1100"/>
                </a:pPr>
              </a:p>
            </c:txPr>
            <c:showLegendKey val="0"/>
            <c:showVal val="1"/>
            <c:showCatName val="0"/>
            <c:showSerName val="0"/>
            <c:showPercent val="0"/>
            <c:showBubbleSize val="0"/>
          </c:dLbls>
          <c:cat>
            <c:strRef>
              <c:f>'INDICE ACCIDENTES'!$A$30:$A$71</c:f>
            </c:strRef>
          </c:cat>
          <c:val>
            <c:numRef>
              <c:f>'INDICE ACCIDENTES'!$FD$30:$FD$71</c:f>
              <c:numCache/>
            </c:numRef>
          </c:val>
        </c:ser>
        <c:axId val="596052641"/>
        <c:axId val="958918914"/>
      </c:barChart>
      <c:catAx>
        <c:axId val="596052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2700000"/>
          <a:lstStyle/>
          <a:p>
            <a:pPr lvl="0">
              <a:defRPr b="1" i="0" sz="1100">
                <a:solidFill>
                  <a:srgbClr val="000000"/>
                </a:solidFill>
                <a:latin typeface="+mn-lt"/>
              </a:defRPr>
            </a:pPr>
          </a:p>
        </c:txPr>
        <c:crossAx val="958918914"/>
      </c:catAx>
      <c:valAx>
        <c:axId val="95891891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1" i="0">
                <a:solidFill>
                  <a:srgbClr val="000000"/>
                </a:solidFill>
                <a:latin typeface="+mn-lt"/>
              </a:defRPr>
            </a:pPr>
          </a:p>
        </c:txPr>
        <c:crossAx val="596052641"/>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Tipo de Accidente</a:t>
            </a:r>
          </a:p>
        </c:rich>
      </c:tx>
      <c:layout>
        <c:manualLayout>
          <c:xMode val="edge"/>
          <c:yMode val="edge"/>
          <c:x val="0.3865671971183782"/>
          <c:y val="0.019774085830894173"/>
        </c:manualLayout>
      </c:layout>
      <c:overlay val="0"/>
    </c:title>
    <c:plotArea>
      <c:layout>
        <c:manualLayout>
          <c:xMode val="edge"/>
          <c:yMode val="edge"/>
          <c:x val="0.053651266766020785"/>
          <c:y val="0.15686317419241938"/>
          <c:w val="0.8524590163934453"/>
          <c:h val="0.7254921806399374"/>
        </c:manualLayout>
      </c:layout>
      <c:barChart>
        <c:barDir val="col"/>
        <c:ser>
          <c:idx val="0"/>
          <c:order val="0"/>
          <c:spPr>
            <a:solidFill>
              <a:schemeClr val="accent1"/>
            </a:solidFill>
            <a:ln cmpd="sng">
              <a:solidFill>
                <a:srgbClr val="000000"/>
              </a:solidFill>
            </a:ln>
          </c:spPr>
          <c:dPt>
            <c:idx val="0"/>
          </c:dPt>
          <c:dPt>
            <c:idx val="1"/>
          </c:dPt>
          <c:dPt>
            <c:idx val="2"/>
          </c:dPt>
          <c:dPt>
            <c:idx val="3"/>
          </c:dPt>
          <c:dLbls>
            <c:dLbl>
              <c:idx val="0"/>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dLbl>
              <c:idx val="1"/>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dLbl>
              <c:idx val="2"/>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dLbl>
              <c:idx val="3"/>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s>
          <c:cat>
            <c:strRef>
              <c:f>'Apertura de Acc '!$C$2:$F$2</c:f>
            </c:strRef>
          </c:cat>
          <c:val>
            <c:numRef>
              <c:f>'Apertura de Acc '!$C$160:$F$160</c:f>
              <c:numCache/>
            </c:numRef>
          </c:val>
        </c:ser>
        <c:axId val="722838042"/>
        <c:axId val="339018736"/>
      </c:barChart>
      <c:catAx>
        <c:axId val="722838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1200">
                <a:solidFill>
                  <a:srgbClr val="000000"/>
                </a:solidFill>
                <a:latin typeface="Calibri"/>
              </a:defRPr>
            </a:pPr>
          </a:p>
        </c:txPr>
        <c:crossAx val="339018736"/>
      </c:catAx>
      <c:valAx>
        <c:axId val="3390187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rot="0"/>
          <a:lstStyle/>
          <a:p>
            <a:pPr lvl="0">
              <a:defRPr b="0" i="0" sz="1000">
                <a:solidFill>
                  <a:srgbClr val="000000"/>
                </a:solidFill>
                <a:latin typeface="Calibri"/>
              </a:defRPr>
            </a:pPr>
          </a:p>
        </c:txPr>
        <c:crossAx val="722838042"/>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INDICE ACCIDENTES DERIVADOS</a:t>
            </a:r>
          </a:p>
        </c:rich>
      </c:tx>
      <c:layout>
        <c:manualLayout>
          <c:xMode val="edge"/>
          <c:yMode val="edge"/>
          <c:x val="0.33366834602700585"/>
          <c:y val="0.01295333487725799"/>
        </c:manualLayout>
      </c:layout>
      <c:overlay val="0"/>
    </c:title>
    <c:plotArea>
      <c:layout>
        <c:manualLayout>
          <c:xMode val="edge"/>
          <c:yMode val="edge"/>
          <c:x val="0.05025125628140704"/>
          <c:y val="0.09326424870466321"/>
          <c:w val="0.9236180904522613"/>
          <c:h val="0.8160621761658031"/>
        </c:manualLayout>
      </c:layout>
      <c:lineChart>
        <c:varyColors val="0"/>
        <c:ser>
          <c:idx val="0"/>
          <c:order val="0"/>
          <c:spPr>
            <a:ln cmpd="sng">
              <a:solidFill>
                <a:srgbClr val="4F81BD"/>
              </a:solidFill>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'APERTURA ACCIDENTES'!$A$134:$A$161</c:f>
            </c:strRef>
          </c:cat>
          <c:val>
            <c:numRef>
              <c:f>'APERTURA ACCIDENTES'!$E$134:$E$161</c:f>
              <c:numCache/>
            </c:numRef>
          </c:val>
          <c:smooth val="0"/>
        </c:ser>
        <c:axId val="1066533118"/>
        <c:axId val="1710107244"/>
      </c:lineChart>
      <c:catAx>
        <c:axId val="10665331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c:txPr>
          <a:bodyPr rot="0"/>
          <a:lstStyle/>
          <a:p>
            <a:pPr lvl="0">
              <a:defRPr b="0" i="0" sz="1000">
                <a:solidFill>
                  <a:srgbClr val="000000"/>
                </a:solidFill>
                <a:latin typeface="Calibri"/>
              </a:defRPr>
            </a:pPr>
          </a:p>
        </c:txPr>
        <c:crossAx val="1710107244"/>
      </c:catAx>
      <c:valAx>
        <c:axId val="17101072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1000">
                <a:solidFill>
                  <a:srgbClr val="000000"/>
                </a:solidFill>
                <a:latin typeface="Calibri"/>
              </a:defRPr>
            </a:pPr>
          </a:p>
        </c:txPr>
        <c:crossAx val="1066533118"/>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Chart7.png"/></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152400</xdr:rowOff>
    </xdr:from>
    <xdr:ext cx="10096500" cy="3829050"/>
    <xdr:graphicFrame>
      <xdr:nvGraphicFramePr>
        <xdr:cNvPr id="809863212"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29</xdr:row>
      <xdr:rowOff>180975</xdr:rowOff>
    </xdr:from>
    <xdr:ext cx="10134600" cy="4400550"/>
    <xdr:graphicFrame>
      <xdr:nvGraphicFramePr>
        <xdr:cNvPr id="533679535"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9648825" cy="3667125"/>
    <xdr:graphicFrame>
      <xdr:nvGraphicFramePr>
        <xdr:cNvPr id="729338540"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25</xdr:row>
      <xdr:rowOff>257175</xdr:rowOff>
    </xdr:from>
    <xdr:ext cx="9648825" cy="4162425"/>
    <xdr:graphicFrame>
      <xdr:nvGraphicFramePr>
        <xdr:cNvPr id="153551958"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209550</xdr:rowOff>
    </xdr:from>
    <xdr:ext cx="15192375" cy="5591175"/>
    <xdr:graphicFrame>
      <xdr:nvGraphicFramePr>
        <xdr:cNvPr id="955826049"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953750" cy="5848350"/>
    <xdr:graphicFrame>
      <xdr:nvGraphicFramePr>
        <xdr:cNvPr id="558264186"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306300" cy="4305300"/>
    <xdr:pic>
      <xdr:nvPicPr>
        <xdr:cNvPr id="259505217" name="Chart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266700</xdr:colOff>
      <xdr:row>0</xdr:row>
      <xdr:rowOff>142875</xdr:rowOff>
    </xdr:from>
    <xdr:ext cx="7038975" cy="3638550"/>
    <xdr:graphicFrame>
      <xdr:nvGraphicFramePr>
        <xdr:cNvPr id="1034829519"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162</xdr:row>
      <xdr:rowOff>28575</xdr:rowOff>
    </xdr:from>
    <xdr:ext cx="15706725" cy="5086350"/>
    <xdr:graphicFrame>
      <xdr:nvGraphicFramePr>
        <xdr:cNvPr id="1609588888"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showGridLines="0" workbookViewId="0"/>
  </sheetViews>
  <sheetFormatPr customHeight="1" defaultColWidth="12.63" defaultRowHeight="15.0"/>
  <cols>
    <col customWidth="1" min="1" max="1" width="37.63"/>
    <col customWidth="1" min="2" max="26" width="10.63"/>
  </cols>
  <sheetData>
    <row r="1" ht="12.75" customHeight="1">
      <c r="A1" s="1" t="s">
        <v>0</v>
      </c>
      <c r="K1" s="2"/>
      <c r="L1" s="2"/>
      <c r="M1" s="2"/>
      <c r="N1" s="2"/>
      <c r="O1" s="2"/>
      <c r="P1" s="2"/>
      <c r="Q1" s="2"/>
      <c r="R1" s="2"/>
      <c r="S1" s="2"/>
    </row>
    <row r="2" ht="12.75" customHeight="1">
      <c r="K2" s="2"/>
      <c r="L2" s="2"/>
      <c r="M2" s="2"/>
      <c r="N2" s="2"/>
      <c r="O2" s="2"/>
      <c r="P2" s="2"/>
      <c r="Q2" s="2"/>
      <c r="R2" s="2"/>
      <c r="S2" s="2"/>
    </row>
    <row r="3" ht="12.75" hidden="1" customHeight="1">
      <c r="A3" s="3" t="s">
        <v>1</v>
      </c>
      <c r="B3" s="4">
        <v>361.0</v>
      </c>
      <c r="K3" s="2"/>
      <c r="L3" s="2"/>
      <c r="M3" s="2"/>
      <c r="N3" s="2"/>
      <c r="O3" s="2"/>
      <c r="P3" s="2"/>
      <c r="Q3" s="2"/>
      <c r="R3" s="2"/>
      <c r="S3" s="2"/>
    </row>
    <row r="4" ht="12.75" customHeight="1">
      <c r="K4" s="2"/>
      <c r="L4" s="2"/>
      <c r="M4" s="2"/>
      <c r="N4" s="2"/>
      <c r="O4" s="2"/>
      <c r="P4" s="2"/>
      <c r="Q4" s="2"/>
      <c r="R4" s="2"/>
      <c r="S4" s="2"/>
    </row>
    <row r="5" ht="12.75" hidden="1" customHeight="1">
      <c r="K5" s="2"/>
      <c r="L5" s="2"/>
      <c r="M5" s="2"/>
      <c r="N5" s="2"/>
      <c r="O5" s="2"/>
      <c r="P5" s="2"/>
      <c r="Q5" s="2"/>
      <c r="R5" s="2"/>
      <c r="S5" s="2"/>
    </row>
    <row r="6" ht="12.75" hidden="1" customHeight="1">
      <c r="K6" s="2"/>
      <c r="L6" s="2"/>
      <c r="M6" s="2"/>
      <c r="N6" s="2"/>
      <c r="O6" s="2"/>
      <c r="P6" s="2"/>
      <c r="Q6" s="2"/>
      <c r="R6" s="2"/>
      <c r="S6" s="2"/>
    </row>
    <row r="7" ht="12.75" customHeight="1">
      <c r="K7" s="2"/>
      <c r="L7" s="2"/>
      <c r="M7" s="2"/>
      <c r="N7" s="2"/>
      <c r="O7" s="2"/>
      <c r="P7" s="2"/>
      <c r="Q7" s="2"/>
      <c r="R7" s="2"/>
      <c r="S7" s="2"/>
    </row>
    <row r="8" ht="12.75" customHeight="1">
      <c r="K8" s="2"/>
      <c r="L8" s="2"/>
      <c r="M8" s="2"/>
      <c r="N8" s="2"/>
      <c r="O8" s="2"/>
      <c r="P8" s="2"/>
      <c r="Q8" s="2"/>
      <c r="R8" s="2"/>
      <c r="S8" s="2"/>
    </row>
    <row r="9" ht="12.75" customHeight="1">
      <c r="K9" s="2"/>
      <c r="L9" s="2"/>
      <c r="M9" s="2"/>
      <c r="N9" s="2"/>
      <c r="O9" s="2"/>
      <c r="P9" s="2"/>
      <c r="Q9" s="2"/>
      <c r="R9" s="2"/>
      <c r="S9" s="2"/>
    </row>
    <row r="10" ht="12.75" customHeight="1">
      <c r="K10" s="2"/>
      <c r="L10" s="2"/>
      <c r="M10" s="2"/>
      <c r="N10" s="2"/>
      <c r="O10" s="2"/>
      <c r="P10" s="2"/>
      <c r="Q10" s="2"/>
      <c r="R10" s="2"/>
      <c r="S10" s="2"/>
    </row>
    <row r="11" ht="12.75" customHeight="1">
      <c r="K11" s="2"/>
      <c r="L11" s="2"/>
      <c r="M11" s="2"/>
      <c r="N11" s="2"/>
      <c r="O11" s="2"/>
      <c r="P11" s="2"/>
      <c r="Q11" s="2"/>
      <c r="R11" s="2"/>
      <c r="S11" s="2"/>
    </row>
    <row r="12" ht="12.75" customHeight="1">
      <c r="K12" s="2"/>
      <c r="L12" s="2"/>
      <c r="M12" s="2"/>
      <c r="N12" s="2"/>
      <c r="O12" s="2"/>
      <c r="P12" s="2"/>
      <c r="Q12" s="2"/>
      <c r="R12" s="2"/>
      <c r="S12" s="2"/>
    </row>
    <row r="13" ht="12.75" customHeight="1">
      <c r="K13" s="2"/>
      <c r="L13" s="2"/>
      <c r="M13" s="2"/>
      <c r="N13" s="2"/>
      <c r="O13" s="2"/>
      <c r="P13" s="2"/>
      <c r="Q13" s="2"/>
      <c r="R13" s="2"/>
      <c r="S13" s="2"/>
    </row>
    <row r="14" ht="12.75" customHeight="1">
      <c r="K14" s="2"/>
      <c r="L14" s="2"/>
      <c r="M14" s="2"/>
      <c r="N14" s="2"/>
      <c r="O14" s="2"/>
      <c r="P14" s="2"/>
      <c r="Q14" s="2"/>
      <c r="R14" s="2"/>
      <c r="S14" s="2"/>
    </row>
    <row r="15" ht="12.75" customHeight="1">
      <c r="K15" s="2"/>
      <c r="L15" s="2"/>
      <c r="M15" s="2"/>
      <c r="N15" s="2"/>
      <c r="O15" s="2"/>
      <c r="P15" s="2"/>
      <c r="Q15" s="2"/>
      <c r="R15" s="2"/>
      <c r="S15" s="2"/>
    </row>
    <row r="16" ht="12.75" customHeight="1">
      <c r="K16" s="2"/>
      <c r="L16" s="2"/>
      <c r="M16" s="2"/>
      <c r="N16" s="2"/>
      <c r="O16" s="2"/>
      <c r="P16" s="2"/>
      <c r="Q16" s="2"/>
      <c r="R16" s="2"/>
      <c r="S16" s="2"/>
    </row>
    <row r="17" ht="12.75" customHeight="1">
      <c r="I17" s="5"/>
      <c r="K17" s="2"/>
      <c r="L17" s="2"/>
      <c r="M17" s="2"/>
      <c r="N17" s="2"/>
      <c r="O17" s="2"/>
      <c r="P17" s="2"/>
      <c r="Q17" s="2"/>
      <c r="R17" s="2"/>
      <c r="S17" s="2"/>
    </row>
    <row r="18" ht="12.75" customHeight="1">
      <c r="K18" s="2"/>
      <c r="L18" s="2"/>
      <c r="M18" s="2"/>
      <c r="N18" s="2"/>
      <c r="O18" s="2"/>
      <c r="P18" s="2"/>
      <c r="Q18" s="2"/>
      <c r="R18" s="2"/>
      <c r="S18" s="2"/>
    </row>
    <row r="19" ht="12.75" customHeight="1">
      <c r="K19" s="2"/>
      <c r="L19" s="2"/>
      <c r="M19" s="2"/>
      <c r="N19" s="2"/>
      <c r="O19" s="2"/>
      <c r="P19" s="2"/>
      <c r="Q19" s="2"/>
      <c r="R19" s="2"/>
      <c r="S19" s="2"/>
    </row>
    <row r="20" ht="12.75" customHeight="1">
      <c r="K20" s="2"/>
      <c r="L20" s="2"/>
      <c r="M20" s="2"/>
      <c r="N20" s="2"/>
      <c r="O20" s="2"/>
      <c r="P20" s="2"/>
      <c r="Q20" s="2"/>
      <c r="R20" s="2"/>
      <c r="S20" s="2"/>
    </row>
    <row r="21" ht="12.75" customHeight="1">
      <c r="K21" s="2"/>
      <c r="L21" s="2"/>
      <c r="M21" s="2"/>
      <c r="N21" s="2"/>
      <c r="O21" s="2"/>
      <c r="P21" s="2"/>
      <c r="Q21" s="2"/>
      <c r="R21" s="2"/>
      <c r="S21" s="2"/>
    </row>
    <row r="22" ht="12.75" customHeight="1">
      <c r="K22" s="2"/>
      <c r="L22" s="2"/>
      <c r="M22" s="2"/>
      <c r="N22" s="2"/>
      <c r="O22" s="2"/>
      <c r="P22" s="2"/>
      <c r="Q22" s="2"/>
      <c r="R22" s="2"/>
      <c r="S22" s="2"/>
    </row>
    <row r="23" ht="12.75" customHeight="1">
      <c r="K23" s="2"/>
      <c r="L23" s="2"/>
      <c r="M23" s="2"/>
      <c r="N23" s="2"/>
      <c r="O23" s="2"/>
      <c r="P23" s="2"/>
      <c r="Q23" s="2"/>
      <c r="R23" s="2"/>
      <c r="S23" s="2"/>
    </row>
    <row r="24" ht="12.75" customHeight="1">
      <c r="K24" s="2"/>
      <c r="L24" s="2"/>
      <c r="M24" s="2"/>
      <c r="N24" s="2"/>
      <c r="O24" s="2"/>
      <c r="P24" s="2"/>
      <c r="Q24" s="2"/>
      <c r="R24" s="2"/>
      <c r="S24" s="2"/>
    </row>
    <row r="25" ht="12.75" customHeight="1">
      <c r="K25" s="2"/>
      <c r="L25" s="2"/>
      <c r="M25" s="2"/>
      <c r="N25" s="2"/>
      <c r="O25" s="2"/>
      <c r="P25" s="2"/>
      <c r="Q25" s="2"/>
      <c r="R25" s="2"/>
      <c r="S25" s="2"/>
    </row>
    <row r="26" ht="12.75" customHeight="1">
      <c r="K26" s="2"/>
      <c r="L26" s="2"/>
      <c r="M26" s="2"/>
      <c r="N26" s="2"/>
      <c r="O26" s="2"/>
      <c r="P26" s="2"/>
      <c r="Q26" s="2"/>
      <c r="R26" s="2"/>
      <c r="S26" s="2"/>
    </row>
    <row r="27" ht="12.75" customHeight="1">
      <c r="K27" s="2"/>
      <c r="L27" s="2"/>
      <c r="M27" s="2"/>
      <c r="N27" s="2"/>
      <c r="O27" s="2"/>
      <c r="P27" s="2"/>
      <c r="Q27" s="2"/>
      <c r="R27" s="2"/>
      <c r="S27" s="2"/>
    </row>
    <row r="28" ht="12.75" customHeight="1">
      <c r="A28" s="1"/>
      <c r="B28" s="1"/>
      <c r="C28" s="1"/>
      <c r="D28" s="1"/>
      <c r="E28" s="1"/>
      <c r="F28" s="1"/>
      <c r="G28" s="1"/>
      <c r="H28" s="1"/>
      <c r="I28" s="1"/>
      <c r="J28" s="1"/>
      <c r="K28" s="2"/>
      <c r="L28" s="2"/>
      <c r="M28" s="2"/>
      <c r="N28" s="2"/>
      <c r="O28" s="2"/>
      <c r="P28" s="2"/>
      <c r="Q28" s="2"/>
      <c r="R28" s="2"/>
      <c r="S28" s="2"/>
    </row>
    <row r="29">
      <c r="A29" s="1"/>
      <c r="B29" s="1"/>
      <c r="C29" s="1"/>
      <c r="D29" s="1"/>
      <c r="E29" s="1"/>
      <c r="F29" s="1"/>
      <c r="G29" s="1"/>
      <c r="H29" s="1"/>
      <c r="I29" s="1"/>
      <c r="J29" s="1"/>
      <c r="K29" s="2"/>
      <c r="L29" s="2"/>
      <c r="M29" s="2"/>
      <c r="N29" s="2"/>
      <c r="O29" s="2"/>
      <c r="P29" s="2"/>
      <c r="Q29" s="2"/>
      <c r="R29" s="2"/>
      <c r="S29" s="2"/>
    </row>
    <row r="30">
      <c r="A30" s="1" t="s">
        <v>2</v>
      </c>
      <c r="K30" s="2"/>
      <c r="L30" s="2"/>
      <c r="M30" s="2"/>
      <c r="N30" s="2"/>
      <c r="O30" s="2"/>
      <c r="P30" s="2"/>
      <c r="Q30" s="2"/>
      <c r="R30" s="2"/>
      <c r="S30" s="2"/>
    </row>
    <row r="31" ht="12.75" customHeight="1">
      <c r="K31" s="2"/>
      <c r="L31" s="2"/>
      <c r="M31" s="2"/>
      <c r="N31" s="2"/>
      <c r="O31" s="2"/>
      <c r="P31" s="2"/>
      <c r="Q31" s="2"/>
      <c r="R31" s="2"/>
      <c r="S31" s="2"/>
    </row>
    <row r="32" ht="12.75" customHeight="1">
      <c r="K32" s="2"/>
      <c r="L32" s="2" t="s">
        <v>3</v>
      </c>
      <c r="M32" s="2"/>
      <c r="N32" s="2"/>
      <c r="O32" s="2"/>
      <c r="P32" s="2"/>
      <c r="Q32" s="2"/>
      <c r="R32" s="2"/>
      <c r="S32" s="2"/>
    </row>
    <row r="33" ht="12.75" customHeight="1">
      <c r="K33" s="2"/>
      <c r="L33" s="2"/>
      <c r="M33" s="2"/>
      <c r="N33" s="2"/>
      <c r="O33" s="2"/>
      <c r="P33" s="2"/>
      <c r="Q33" s="2"/>
      <c r="R33" s="2"/>
      <c r="S33" s="2"/>
    </row>
    <row r="34" ht="12.75" customHeight="1">
      <c r="K34" s="2"/>
      <c r="L34" s="2"/>
      <c r="M34" s="2"/>
      <c r="N34" s="2"/>
      <c r="O34" s="2"/>
      <c r="P34" s="2"/>
      <c r="Q34" s="2"/>
      <c r="R34" s="2"/>
      <c r="S34" s="2"/>
    </row>
    <row r="35" ht="12.75" customHeight="1">
      <c r="K35" s="2"/>
      <c r="L35" s="2"/>
      <c r="M35" s="2"/>
      <c r="N35" s="2"/>
      <c r="O35" s="2"/>
      <c r="P35" s="2"/>
      <c r="Q35" s="2"/>
      <c r="R35" s="2"/>
      <c r="S35" s="2"/>
    </row>
    <row r="36" ht="12.75" customHeight="1">
      <c r="K36" s="2"/>
      <c r="L36" s="2"/>
      <c r="M36" s="2"/>
      <c r="N36" s="2"/>
      <c r="O36" s="2"/>
      <c r="P36" s="2"/>
      <c r="Q36" s="2"/>
      <c r="R36" s="2"/>
      <c r="S36" s="2"/>
    </row>
    <row r="37" ht="12.75" customHeight="1">
      <c r="K37" s="2"/>
      <c r="L37" s="2"/>
      <c r="M37" s="2"/>
      <c r="N37" s="2"/>
      <c r="O37" s="2"/>
      <c r="P37" s="2"/>
      <c r="Q37" s="2"/>
      <c r="R37" s="2"/>
      <c r="S37" s="2"/>
    </row>
    <row r="38" ht="12.75" customHeight="1">
      <c r="K38" s="2"/>
      <c r="L38" s="2"/>
      <c r="M38" s="2"/>
      <c r="N38" s="2"/>
      <c r="O38" s="2"/>
      <c r="P38" s="2"/>
      <c r="Q38" s="2"/>
      <c r="R38" s="2"/>
      <c r="S38" s="2"/>
    </row>
    <row r="39" ht="12.75" customHeight="1">
      <c r="K39" s="2"/>
      <c r="L39" s="2"/>
      <c r="M39" s="2"/>
      <c r="N39" s="2"/>
      <c r="O39" s="2"/>
      <c r="P39" s="2"/>
      <c r="Q39" s="2"/>
      <c r="R39" s="2"/>
      <c r="S39" s="2"/>
    </row>
    <row r="40" ht="12.75" customHeight="1">
      <c r="K40" s="2"/>
      <c r="L40" s="2"/>
      <c r="M40" s="2"/>
      <c r="N40" s="2"/>
      <c r="O40" s="2"/>
      <c r="P40" s="2"/>
      <c r="Q40" s="2"/>
      <c r="R40" s="2"/>
      <c r="S40" s="2"/>
    </row>
    <row r="41" ht="12.75" customHeight="1">
      <c r="K41" s="2"/>
      <c r="L41" s="6"/>
      <c r="M41" s="2"/>
      <c r="N41" s="2"/>
      <c r="O41" s="2"/>
      <c r="P41" s="2"/>
      <c r="Q41" s="2"/>
      <c r="R41" s="2"/>
      <c r="S41" s="2"/>
    </row>
    <row r="42" ht="12.75" customHeight="1">
      <c r="K42" s="2"/>
      <c r="L42" s="2"/>
      <c r="M42" s="2"/>
      <c r="N42" s="2"/>
      <c r="O42" s="2"/>
      <c r="P42" s="2"/>
      <c r="Q42" s="2"/>
      <c r="R42" s="2"/>
      <c r="S42" s="2"/>
    </row>
    <row r="43" ht="12.75" customHeight="1">
      <c r="K43" s="2"/>
      <c r="L43" s="2"/>
      <c r="M43" s="2"/>
      <c r="N43" s="2"/>
      <c r="O43" s="2"/>
      <c r="P43" s="2"/>
      <c r="Q43" s="2"/>
      <c r="R43" s="2"/>
      <c r="S43" s="2"/>
    </row>
    <row r="44" ht="12.75" customHeight="1">
      <c r="K44" s="2"/>
      <c r="L44" s="2"/>
      <c r="M44" s="2"/>
      <c r="N44" s="2"/>
      <c r="O44" s="2"/>
      <c r="P44" s="2"/>
      <c r="Q44" s="2"/>
      <c r="R44" s="2"/>
      <c r="S44" s="2"/>
    </row>
    <row r="45" ht="12.75" customHeight="1">
      <c r="K45" s="2"/>
      <c r="L45" s="2"/>
      <c r="M45" s="2"/>
      <c r="N45" s="2"/>
      <c r="O45" s="2"/>
      <c r="P45" s="2"/>
      <c r="Q45" s="2"/>
      <c r="R45" s="2"/>
      <c r="S45" s="2"/>
    </row>
    <row r="46" ht="12.75" customHeight="1">
      <c r="K46" s="2"/>
      <c r="L46" s="2"/>
      <c r="M46" s="2"/>
      <c r="N46" s="2"/>
      <c r="O46" s="2"/>
      <c r="P46" s="2"/>
      <c r="Q46" s="2"/>
      <c r="R46" s="2"/>
      <c r="S46" s="2"/>
    </row>
    <row r="47" ht="12.75" customHeight="1">
      <c r="K47" s="2"/>
      <c r="L47" s="2"/>
      <c r="M47" s="2"/>
      <c r="N47" s="2"/>
      <c r="O47" s="2"/>
      <c r="P47" s="2"/>
      <c r="Q47" s="2"/>
      <c r="R47" s="2"/>
      <c r="S47" s="2"/>
    </row>
    <row r="48" ht="12.75" customHeight="1">
      <c r="K48" s="2"/>
      <c r="L48" s="2"/>
      <c r="M48" s="2"/>
      <c r="N48" s="2"/>
      <c r="O48" s="2"/>
      <c r="P48" s="2"/>
      <c r="Q48" s="2"/>
      <c r="R48" s="2"/>
      <c r="S48" s="2"/>
    </row>
    <row r="49" ht="12.75" customHeight="1">
      <c r="K49" s="2"/>
      <c r="L49" s="2"/>
      <c r="M49" s="2"/>
      <c r="N49" s="2"/>
      <c r="O49" s="2"/>
      <c r="P49" s="2"/>
      <c r="Q49" s="2"/>
      <c r="R49" s="2"/>
      <c r="S49" s="2"/>
    </row>
    <row r="50" ht="12.75" customHeight="1">
      <c r="K50" s="2"/>
      <c r="L50" s="2"/>
      <c r="M50" s="2"/>
      <c r="N50" s="2"/>
      <c r="O50" s="2"/>
      <c r="P50" s="2"/>
      <c r="Q50" s="2"/>
      <c r="R50" s="2"/>
      <c r="S50" s="2"/>
    </row>
    <row r="51" ht="12.75" customHeight="1">
      <c r="K51" s="2"/>
      <c r="L51" s="2"/>
      <c r="M51" s="2"/>
      <c r="N51" s="2"/>
      <c r="O51" s="2"/>
      <c r="P51" s="2"/>
      <c r="Q51" s="2"/>
      <c r="R51" s="2"/>
      <c r="S51" s="2"/>
    </row>
    <row r="52" ht="12.75" customHeight="1">
      <c r="K52" s="2"/>
      <c r="L52" s="2"/>
      <c r="M52" s="2"/>
      <c r="N52" s="2"/>
      <c r="O52" s="2"/>
      <c r="P52" s="2"/>
      <c r="Q52" s="2"/>
      <c r="R52" s="2"/>
      <c r="S52" s="2"/>
    </row>
    <row r="53" ht="12.75" customHeight="1">
      <c r="K53" s="2"/>
      <c r="L53" s="2"/>
      <c r="M53" s="2"/>
      <c r="N53" s="2"/>
      <c r="O53" s="2"/>
      <c r="P53" s="2"/>
      <c r="Q53" s="2"/>
      <c r="R53" s="2"/>
      <c r="S53" s="2"/>
    </row>
    <row r="54" ht="12.75" customHeight="1">
      <c r="K54" s="2"/>
      <c r="L54" s="2"/>
      <c r="M54" s="2"/>
      <c r="N54" s="2"/>
      <c r="O54" s="2"/>
      <c r="P54" s="2"/>
      <c r="Q54" s="2"/>
      <c r="R54" s="2"/>
      <c r="S54" s="2"/>
    </row>
    <row r="55" ht="12.75" customHeight="1">
      <c r="K55" s="2"/>
      <c r="L55" s="2"/>
      <c r="M55" s="2"/>
      <c r="N55" s="2"/>
      <c r="O55" s="2"/>
      <c r="P55" s="2"/>
      <c r="Q55" s="2"/>
      <c r="R55" s="2"/>
      <c r="S55" s="2"/>
    </row>
    <row r="56" ht="12.75" customHeight="1">
      <c r="K56" s="2"/>
      <c r="L56" s="2"/>
      <c r="M56" s="2"/>
      <c r="N56" s="2"/>
      <c r="O56" s="2"/>
      <c r="P56" s="2"/>
      <c r="Q56" s="2"/>
      <c r="R56" s="2"/>
      <c r="S56" s="2"/>
    </row>
    <row r="57" ht="12.75" customHeight="1">
      <c r="K57" s="2"/>
      <c r="L57" s="2"/>
      <c r="M57" s="2"/>
      <c r="N57" s="2"/>
      <c r="O57" s="2"/>
      <c r="P57" s="2"/>
      <c r="Q57" s="2"/>
      <c r="R57" s="2"/>
      <c r="S57" s="2"/>
    </row>
    <row r="58" ht="12.75" customHeight="1">
      <c r="K58" s="2"/>
      <c r="L58" s="2"/>
      <c r="M58" s="2"/>
      <c r="N58" s="2"/>
      <c r="O58" s="2"/>
      <c r="P58" s="2"/>
      <c r="Q58" s="2"/>
      <c r="R58" s="2"/>
      <c r="S58" s="2"/>
    </row>
    <row r="59" ht="12.75" customHeight="1">
      <c r="K59" s="2"/>
      <c r="L59" s="2"/>
      <c r="M59" s="2"/>
      <c r="N59" s="2"/>
      <c r="O59" s="2"/>
      <c r="P59" s="2"/>
      <c r="Q59" s="2"/>
      <c r="R59" s="2"/>
      <c r="S59" s="2"/>
    </row>
    <row r="60" ht="12.75" customHeight="1">
      <c r="K60" s="2"/>
      <c r="L60" s="2"/>
      <c r="M60" s="2"/>
      <c r="N60" s="2"/>
      <c r="O60" s="2"/>
      <c r="P60" s="2"/>
      <c r="Q60" s="2"/>
      <c r="R60" s="2"/>
      <c r="S60" s="2"/>
    </row>
    <row r="61" ht="12.75" customHeight="1">
      <c r="K61" s="2"/>
      <c r="L61" s="2"/>
      <c r="M61" s="2"/>
      <c r="N61" s="2"/>
      <c r="O61" s="2"/>
      <c r="P61" s="2"/>
      <c r="Q61" s="2"/>
      <c r="R61" s="2"/>
      <c r="S61" s="2"/>
    </row>
    <row r="62" ht="12.75" customHeight="1">
      <c r="K62" s="2"/>
      <c r="L62" s="2"/>
      <c r="M62" s="2"/>
      <c r="N62" s="2"/>
      <c r="O62" s="2"/>
      <c r="P62" s="2"/>
      <c r="Q62" s="2"/>
      <c r="R62" s="2"/>
      <c r="S62" s="2"/>
    </row>
    <row r="63" ht="12.75" customHeight="1">
      <c r="K63" s="2"/>
      <c r="L63" s="2"/>
      <c r="M63" s="2"/>
      <c r="N63" s="2"/>
      <c r="O63" s="2"/>
      <c r="P63" s="2"/>
      <c r="Q63" s="2"/>
      <c r="R63" s="2"/>
      <c r="S63" s="2"/>
    </row>
    <row r="64" ht="12.75" customHeight="1">
      <c r="K64" s="2"/>
      <c r="L64" s="2"/>
      <c r="M64" s="2"/>
      <c r="N64" s="2"/>
      <c r="O64" s="2"/>
      <c r="P64" s="2"/>
      <c r="Q64" s="2"/>
      <c r="R64" s="2"/>
      <c r="S64" s="2"/>
    </row>
    <row r="65" ht="12.75" customHeight="1">
      <c r="K65" s="2"/>
      <c r="L65" s="2"/>
      <c r="M65" s="2"/>
      <c r="N65" s="2"/>
      <c r="O65" s="2"/>
      <c r="P65" s="2"/>
      <c r="Q65" s="2"/>
      <c r="R65" s="2"/>
      <c r="S65" s="2"/>
    </row>
    <row r="66" ht="12.75" customHeight="1">
      <c r="K66" s="2"/>
      <c r="L66" s="2"/>
      <c r="M66" s="2"/>
      <c r="N66" s="2"/>
      <c r="O66" s="2"/>
      <c r="P66" s="2"/>
      <c r="Q66" s="2"/>
      <c r="R66" s="2"/>
      <c r="S66" s="2"/>
    </row>
    <row r="67" ht="12.75" customHeight="1">
      <c r="K67" s="2"/>
      <c r="L67" s="2"/>
      <c r="M67" s="2"/>
      <c r="N67" s="2"/>
      <c r="O67" s="2"/>
      <c r="P67" s="2"/>
      <c r="Q67" s="2"/>
      <c r="R67" s="2"/>
      <c r="S67" s="2"/>
    </row>
    <row r="68" ht="12.75" customHeight="1">
      <c r="K68" s="2"/>
      <c r="L68" s="2"/>
      <c r="M68" s="2"/>
      <c r="N68" s="2"/>
      <c r="O68" s="2"/>
      <c r="P68" s="2"/>
      <c r="Q68" s="2"/>
      <c r="R68" s="2"/>
      <c r="S68" s="2"/>
    </row>
    <row r="69" ht="12.75" customHeight="1">
      <c r="K69" s="2"/>
      <c r="L69" s="2"/>
      <c r="M69" s="2"/>
      <c r="N69" s="2"/>
      <c r="O69" s="2"/>
      <c r="P69" s="2"/>
      <c r="Q69" s="2"/>
      <c r="R69" s="2"/>
      <c r="S69" s="2"/>
    </row>
    <row r="70" ht="12.75" customHeight="1">
      <c r="K70" s="2"/>
      <c r="L70" s="2"/>
      <c r="M70" s="2"/>
      <c r="N70" s="2"/>
      <c r="O70" s="2"/>
      <c r="P70" s="2"/>
      <c r="Q70" s="2"/>
      <c r="R70" s="2"/>
      <c r="S70" s="2"/>
    </row>
    <row r="71" ht="12.75" customHeight="1">
      <c r="K71" s="2"/>
      <c r="L71" s="2"/>
      <c r="M71" s="2"/>
      <c r="N71" s="2"/>
      <c r="O71" s="2"/>
      <c r="P71" s="2"/>
      <c r="Q71" s="2"/>
      <c r="R71" s="2"/>
      <c r="S71" s="2"/>
    </row>
    <row r="72" ht="12.75" customHeight="1">
      <c r="K72" s="2"/>
      <c r="L72" s="2"/>
      <c r="M72" s="2"/>
      <c r="N72" s="2"/>
      <c r="O72" s="2"/>
      <c r="P72" s="2"/>
      <c r="Q72" s="2"/>
      <c r="R72" s="2"/>
      <c r="S72" s="2"/>
    </row>
    <row r="73" ht="12.75" customHeight="1">
      <c r="K73" s="2"/>
      <c r="L73" s="2"/>
      <c r="M73" s="2"/>
      <c r="N73" s="2"/>
      <c r="O73" s="2"/>
      <c r="P73" s="2"/>
      <c r="Q73" s="2"/>
      <c r="R73" s="2"/>
      <c r="S73" s="2"/>
    </row>
    <row r="74" ht="12.75" customHeight="1">
      <c r="K74" s="2"/>
      <c r="L74" s="2"/>
      <c r="M74" s="2"/>
      <c r="N74" s="2"/>
      <c r="O74" s="2"/>
      <c r="P74" s="2"/>
      <c r="Q74" s="2"/>
      <c r="R74" s="2"/>
      <c r="S74" s="2"/>
    </row>
    <row r="75" ht="12.75" customHeight="1">
      <c r="K75" s="2"/>
      <c r="L75" s="2"/>
      <c r="M75" s="2"/>
      <c r="N75" s="2"/>
      <c r="O75" s="2"/>
      <c r="P75" s="2"/>
      <c r="Q75" s="2"/>
      <c r="R75" s="2"/>
      <c r="S75" s="2"/>
    </row>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2">
    <mergeCell ref="A1:J1"/>
    <mergeCell ref="A30:J30"/>
  </mergeCells>
  <printOptions/>
  <pageMargins bottom="0.3937007874015748" footer="0.0" header="0.0" left="1.5748031496062993" right="0.7480314960629921" top="0.3937007874015748"/>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showGridLines="0" workbookViewId="0"/>
  </sheetViews>
  <sheetFormatPr customHeight="1" defaultColWidth="12.63" defaultRowHeight="15.0"/>
  <cols>
    <col customWidth="1" min="1" max="26" width="10.63"/>
  </cols>
  <sheetData>
    <row r="1" ht="24.0" customHeight="1">
      <c r="A1" s="7" t="s">
        <v>4</v>
      </c>
      <c r="B1" s="8"/>
      <c r="C1" s="8"/>
      <c r="D1" s="8"/>
      <c r="E1" s="8"/>
      <c r="F1" s="8"/>
      <c r="G1" s="8"/>
      <c r="H1" s="8"/>
      <c r="I1" s="8"/>
      <c r="J1" s="8"/>
      <c r="K1" s="8"/>
      <c r="L1" s="9"/>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21.75" customHeight="1">
      <c r="A26" s="10" t="s">
        <v>5</v>
      </c>
      <c r="B26" s="8"/>
      <c r="C26" s="8"/>
      <c r="D26" s="8"/>
      <c r="E26" s="8"/>
      <c r="F26" s="8"/>
      <c r="G26" s="8"/>
      <c r="H26" s="8"/>
      <c r="I26" s="8"/>
      <c r="J26" s="8"/>
      <c r="K26" s="8"/>
      <c r="L26" s="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L1"/>
    <mergeCell ref="A26:L26"/>
  </mergeCells>
  <printOptions/>
  <pageMargins bottom="0.15748031496062992" footer="0.0" header="0.0" left="0.7086614173228347" right="0.7086614173228347" top="0.15748031496062992"/>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showGridLines="0" workbookViewId="0"/>
  </sheetViews>
  <sheetFormatPr customHeight="1" defaultColWidth="12.63" defaultRowHeight="15.0"/>
  <cols>
    <col customWidth="1" min="1" max="1" width="32.38"/>
    <col customWidth="1" min="2" max="10" width="10.63"/>
    <col customWidth="1" min="11" max="11" width="7.25"/>
    <col customWidth="1" min="12" max="26" width="10.63"/>
  </cols>
  <sheetData>
    <row r="1" ht="12.75" customHeight="1">
      <c r="A1" s="11" t="s">
        <v>6</v>
      </c>
      <c r="B1" s="8"/>
      <c r="C1" s="8"/>
      <c r="D1" s="8"/>
      <c r="E1" s="8"/>
      <c r="F1" s="8"/>
      <c r="G1" s="8"/>
      <c r="H1" s="8"/>
      <c r="I1" s="8"/>
      <c r="J1" s="8"/>
      <c r="K1" s="8"/>
      <c r="L1" s="8"/>
      <c r="M1" s="8"/>
      <c r="N1" s="8"/>
      <c r="O1" s="8"/>
      <c r="P1" s="8"/>
      <c r="Q1" s="9"/>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Q1"/>
  </mergeCells>
  <printOptions/>
  <pageMargins bottom="0.984251968503937" footer="0.0" header="0.0" left="0.7874015748031497" right="0.0" top="0.984251968503937"/>
  <pageSetup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showGridLines="0" workbookViewId="0"/>
  </sheetViews>
  <sheetFormatPr customHeight="1" defaultColWidth="12.63" defaultRowHeight="15.0"/>
  <cols>
    <col customWidth="1" min="1" max="26" width="10.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showGridLines="0" workbookViewId="0"/>
  </sheetViews>
  <sheetFormatPr customHeight="1" defaultColWidth="12.63" defaultRowHeight="15.0"/>
  <cols>
    <col customWidth="1" min="1" max="1" width="58.75"/>
    <col customWidth="1" hidden="1" min="2" max="3" width="13.38"/>
    <col customWidth="1" hidden="1" min="4" max="4" width="13.75"/>
    <col customWidth="1" hidden="1" min="5" max="5" width="15.88"/>
    <col customWidth="1" hidden="1" min="6" max="6" width="16.13"/>
    <col customWidth="1" hidden="1" min="7" max="7" width="15.88"/>
    <col customWidth="1" hidden="1" min="8" max="8" width="15.63"/>
    <col customWidth="1" hidden="1" min="9" max="9" width="17.63"/>
    <col customWidth="1" hidden="1" min="10" max="10" width="15.13"/>
    <col customWidth="1" hidden="1" min="11" max="11" width="14.0"/>
    <col customWidth="1" hidden="1" min="12" max="12" width="14.13"/>
    <col customWidth="1" hidden="1" min="13" max="13" width="12.75"/>
    <col customWidth="1" hidden="1" min="14" max="14" width="13.38"/>
    <col customWidth="1" hidden="1" min="15" max="15" width="13.0"/>
    <col customWidth="1" hidden="1" min="16" max="16" width="14.13"/>
    <col customWidth="1" hidden="1" min="17" max="17" width="15.38"/>
    <col customWidth="1" hidden="1" min="18" max="18" width="16.13"/>
    <col customWidth="1" hidden="1" min="19" max="19" width="15.88"/>
    <col customWidth="1" hidden="1" min="20" max="20" width="12.75"/>
    <col customWidth="1" hidden="1" min="21" max="21" width="16.13"/>
    <col customWidth="1" hidden="1" min="22" max="22" width="13.75"/>
    <col customWidth="1" hidden="1" min="23" max="23" width="14.0"/>
    <col customWidth="1" hidden="1" min="24" max="24" width="14.13"/>
    <col customWidth="1" hidden="1" min="25" max="25" width="12.75"/>
    <col customWidth="1" hidden="1" min="26" max="26" width="17.0"/>
    <col customWidth="1" hidden="1" min="27" max="27" width="13.38"/>
    <col customWidth="1" hidden="1" min="28" max="28" width="14.13"/>
    <col customWidth="1" hidden="1" min="29" max="29" width="15.88"/>
    <col customWidth="1" hidden="1" min="30" max="30" width="16.13"/>
    <col customWidth="1" hidden="1" min="31" max="31" width="15.88"/>
    <col customWidth="1" hidden="1" min="32" max="32" width="15.63"/>
    <col customWidth="1" hidden="1" min="33" max="33" width="16.13"/>
    <col customWidth="1" hidden="1" min="34" max="34" width="15.13"/>
    <col customWidth="1" hidden="1" min="35" max="35" width="14.0"/>
    <col customWidth="1" hidden="1" min="36" max="36" width="14.13"/>
    <col customWidth="1" hidden="1" min="37" max="37" width="12.75"/>
    <col customWidth="1" hidden="1" min="38" max="39" width="13.38"/>
    <col customWidth="1" hidden="1" min="40" max="40" width="14.13"/>
    <col customWidth="1" hidden="1" min="41" max="41" width="15.88"/>
    <col customWidth="1" hidden="1" min="42" max="42" width="16.13"/>
    <col customWidth="1" hidden="1" min="43" max="43" width="15.88"/>
    <col customWidth="1" hidden="1" min="44" max="44" width="15.63"/>
    <col customWidth="1" hidden="1" min="45" max="45" width="16.13"/>
    <col customWidth="1" hidden="1" min="46" max="46" width="15.13"/>
    <col customWidth="1" hidden="1" min="47" max="47" width="14.0"/>
    <col customWidth="1" hidden="1" min="48" max="48" width="14.13"/>
    <col customWidth="1" hidden="1" min="49" max="49" width="12.75"/>
    <col customWidth="1" hidden="1" min="50" max="51" width="13.0"/>
    <col customWidth="1" hidden="1" min="52" max="52" width="13.75"/>
    <col customWidth="1" hidden="1" min="53" max="53" width="15.88"/>
    <col customWidth="1" hidden="1" min="54" max="54" width="16.13"/>
    <col customWidth="1" hidden="1" min="55" max="55" width="13.38"/>
    <col customWidth="1" hidden="1" min="56" max="56" width="13.25"/>
    <col customWidth="1" hidden="1" min="57" max="57" width="16.13"/>
    <col customWidth="1" hidden="1" min="58" max="58" width="15.13"/>
    <col customWidth="1" hidden="1" min="59" max="59" width="14.0"/>
    <col customWidth="1" hidden="1" min="60" max="60" width="14.13"/>
    <col customWidth="1" hidden="1" min="61" max="61" width="12.75"/>
    <col customWidth="1" hidden="1" min="62" max="63" width="13.38"/>
    <col customWidth="1" hidden="1" min="64" max="64" width="14.13"/>
    <col customWidth="1" hidden="1" min="65" max="65" width="15.88"/>
    <col customWidth="1" hidden="1" min="66" max="66" width="16.13"/>
    <col customWidth="1" hidden="1" min="67" max="67" width="15.88"/>
    <col customWidth="1" hidden="1" min="68" max="69" width="15.63"/>
    <col customWidth="1" hidden="1" min="70" max="70" width="14.75"/>
    <col customWidth="1" hidden="1" min="71" max="71" width="13.38"/>
    <col customWidth="1" hidden="1" min="72" max="72" width="13.25"/>
    <col customWidth="1" hidden="1" min="73" max="73" width="11.88"/>
    <col customWidth="1" hidden="1" min="74" max="74" width="16.13"/>
    <col customWidth="1" hidden="1" min="75" max="75" width="12.63"/>
    <col customWidth="1" hidden="1" min="76" max="76" width="13.25"/>
    <col customWidth="1" hidden="1" min="77" max="77" width="13.0"/>
    <col customWidth="1" hidden="1" min="78" max="78" width="13.25"/>
    <col customWidth="1" hidden="1" min="79" max="79" width="12.63"/>
    <col customWidth="1" hidden="1" min="80" max="80" width="12.25"/>
    <col customWidth="1" hidden="1" min="81" max="81" width="15.13"/>
    <col customWidth="1" hidden="1" min="82" max="82" width="14.13"/>
    <col customWidth="1" hidden="1" min="83" max="83" width="13.0"/>
    <col customWidth="1" hidden="1" min="84" max="84" width="13.25"/>
    <col customWidth="1" hidden="1" min="85" max="85" width="11.88"/>
    <col customWidth="1" hidden="1" min="86" max="87" width="13.0"/>
    <col customWidth="1" hidden="1" min="88" max="88" width="13.75"/>
    <col customWidth="1" hidden="1" min="89" max="89" width="13.38"/>
    <col customWidth="1" hidden="1" min="90" max="90" width="13.75"/>
    <col customWidth="1" hidden="1" min="91" max="91" width="13.0"/>
    <col customWidth="1" hidden="1" min="92" max="92" width="12.75"/>
    <col customWidth="1" hidden="1" min="93" max="93" width="15.63"/>
    <col customWidth="1" hidden="1" min="94" max="94" width="13.25"/>
    <col customWidth="1" hidden="1" min="95" max="95" width="13.38"/>
    <col customWidth="1" hidden="1" min="96" max="96" width="13.75"/>
    <col customWidth="1" hidden="1" min="97" max="97" width="12.25"/>
    <col customWidth="1" hidden="1" min="98" max="98" width="12.63"/>
    <col customWidth="1" hidden="1" min="99" max="99" width="13.0"/>
    <col customWidth="1" hidden="1" min="100" max="100" width="13.75"/>
    <col customWidth="1" hidden="1" min="101" max="104" width="13.38"/>
    <col customWidth="1" hidden="1" min="105" max="135" width="15.13"/>
    <col customWidth="1" hidden="1" min="136" max="136" width="14.75"/>
    <col customWidth="1" hidden="1" min="137" max="137" width="15.38"/>
    <col customWidth="1" hidden="1" min="138" max="146" width="15.63"/>
    <col customWidth="1" min="147" max="147" width="12.63"/>
    <col customWidth="1" min="148" max="148" width="13.13"/>
    <col customWidth="1" min="149" max="149" width="14.75"/>
    <col customWidth="1" min="150" max="150" width="14.38"/>
    <col customWidth="1" min="151" max="151" width="12.63"/>
    <col customWidth="1" min="152" max="152" width="12.38"/>
    <col customWidth="1" min="153" max="153" width="14.5"/>
    <col customWidth="1" min="154" max="154" width="13.75"/>
    <col customWidth="1" min="155" max="155" width="12.75"/>
    <col customWidth="1" min="156" max="156" width="12.88"/>
    <col customWidth="1" min="157" max="157" width="12.0"/>
    <col customWidth="1" min="158" max="158" width="12.75"/>
    <col customWidth="1" min="159" max="159" width="12.63"/>
    <col customWidth="1" min="160" max="160" width="10.0"/>
  </cols>
  <sheetData>
    <row r="1" ht="12.75" customHeight="1"/>
    <row r="2" ht="12.75" customHeight="1"/>
    <row r="3" ht="25.5" customHeight="1"/>
    <row r="4" ht="17.2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c r="A27" s="12" t="s">
        <v>7</v>
      </c>
    </row>
    <row r="28" ht="12.75" customHeight="1">
      <c r="A28" s="13"/>
    </row>
    <row r="29" ht="12.75" customHeight="1">
      <c r="A29" s="14" t="s">
        <v>8</v>
      </c>
      <c r="B29" s="15" t="s">
        <v>9</v>
      </c>
      <c r="C29" s="15" t="s">
        <v>10</v>
      </c>
      <c r="D29" s="15" t="s">
        <v>11</v>
      </c>
      <c r="E29" s="15" t="s">
        <v>12</v>
      </c>
      <c r="F29" s="15" t="s">
        <v>13</v>
      </c>
      <c r="G29" s="15" t="s">
        <v>14</v>
      </c>
      <c r="H29" s="15" t="s">
        <v>15</v>
      </c>
      <c r="I29" s="15" t="s">
        <v>16</v>
      </c>
      <c r="J29" s="15" t="s">
        <v>17</v>
      </c>
      <c r="K29" s="15" t="s">
        <v>18</v>
      </c>
      <c r="L29" s="15" t="s">
        <v>19</v>
      </c>
      <c r="M29" s="15" t="s">
        <v>20</v>
      </c>
      <c r="N29" s="15" t="s">
        <v>21</v>
      </c>
      <c r="O29" s="15" t="s">
        <v>22</v>
      </c>
      <c r="P29" s="15" t="s">
        <v>23</v>
      </c>
      <c r="Q29" s="15" t="s">
        <v>24</v>
      </c>
      <c r="R29" s="15" t="s">
        <v>25</v>
      </c>
      <c r="S29" s="15" t="s">
        <v>26</v>
      </c>
      <c r="T29" s="15" t="s">
        <v>27</v>
      </c>
      <c r="U29" s="15" t="s">
        <v>28</v>
      </c>
      <c r="V29" s="15" t="s">
        <v>29</v>
      </c>
      <c r="W29" s="15" t="s">
        <v>30</v>
      </c>
      <c r="X29" s="15" t="s">
        <v>31</v>
      </c>
      <c r="Y29" s="15" t="s">
        <v>32</v>
      </c>
      <c r="Z29" s="15" t="s">
        <v>33</v>
      </c>
      <c r="AA29" s="15" t="s">
        <v>34</v>
      </c>
      <c r="AB29" s="15" t="s">
        <v>35</v>
      </c>
      <c r="AC29" s="15" t="s">
        <v>36</v>
      </c>
      <c r="AD29" s="15" t="s">
        <v>37</v>
      </c>
      <c r="AE29" s="15" t="s">
        <v>38</v>
      </c>
      <c r="AF29" s="15" t="s">
        <v>39</v>
      </c>
      <c r="AG29" s="15" t="s">
        <v>40</v>
      </c>
      <c r="AH29" s="15" t="s">
        <v>41</v>
      </c>
      <c r="AI29" s="15" t="s">
        <v>42</v>
      </c>
      <c r="AJ29" s="15" t="s">
        <v>43</v>
      </c>
      <c r="AK29" s="15" t="s">
        <v>44</v>
      </c>
      <c r="AL29" s="15" t="s">
        <v>45</v>
      </c>
      <c r="AM29" s="15" t="s">
        <v>46</v>
      </c>
      <c r="AN29" s="15" t="s">
        <v>47</v>
      </c>
      <c r="AO29" s="15" t="s">
        <v>48</v>
      </c>
      <c r="AP29" s="15" t="s">
        <v>49</v>
      </c>
      <c r="AQ29" s="15" t="s">
        <v>50</v>
      </c>
      <c r="AR29" s="15" t="s">
        <v>51</v>
      </c>
      <c r="AS29" s="15" t="s">
        <v>52</v>
      </c>
      <c r="AT29" s="15" t="s">
        <v>53</v>
      </c>
      <c r="AU29" s="15" t="s">
        <v>54</v>
      </c>
      <c r="AV29" s="15" t="s">
        <v>55</v>
      </c>
      <c r="AW29" s="15" t="s">
        <v>56</v>
      </c>
      <c r="AX29" s="15" t="s">
        <v>57</v>
      </c>
      <c r="AY29" s="15" t="s">
        <v>58</v>
      </c>
      <c r="AZ29" s="15" t="s">
        <v>59</v>
      </c>
      <c r="BA29" s="15" t="s">
        <v>60</v>
      </c>
      <c r="BB29" s="15" t="s">
        <v>61</v>
      </c>
      <c r="BC29" s="15" t="s">
        <v>62</v>
      </c>
      <c r="BD29" s="15" t="s">
        <v>63</v>
      </c>
      <c r="BE29" s="15" t="s">
        <v>64</v>
      </c>
      <c r="BF29" s="15" t="s">
        <v>65</v>
      </c>
      <c r="BG29" s="15" t="s">
        <v>66</v>
      </c>
      <c r="BH29" s="15" t="s">
        <v>67</v>
      </c>
      <c r="BI29" s="15" t="s">
        <v>68</v>
      </c>
      <c r="BJ29" s="15" t="s">
        <v>69</v>
      </c>
      <c r="BK29" s="15" t="s">
        <v>70</v>
      </c>
      <c r="BL29" s="15" t="s">
        <v>71</v>
      </c>
      <c r="BM29" s="15" t="s">
        <v>72</v>
      </c>
      <c r="BN29" s="15" t="s">
        <v>73</v>
      </c>
      <c r="BO29" s="15" t="s">
        <v>74</v>
      </c>
      <c r="BP29" s="15" t="s">
        <v>75</v>
      </c>
      <c r="BQ29" s="15" t="s">
        <v>76</v>
      </c>
      <c r="BR29" s="15" t="s">
        <v>77</v>
      </c>
      <c r="BS29" s="15" t="s">
        <v>78</v>
      </c>
      <c r="BT29" s="15" t="s">
        <v>79</v>
      </c>
      <c r="BU29" s="15" t="s">
        <v>80</v>
      </c>
      <c r="BV29" s="15" t="s">
        <v>81</v>
      </c>
      <c r="BW29" s="15" t="s">
        <v>82</v>
      </c>
      <c r="BX29" s="15" t="s">
        <v>83</v>
      </c>
      <c r="BY29" s="15" t="s">
        <v>84</v>
      </c>
      <c r="BZ29" s="15" t="s">
        <v>85</v>
      </c>
      <c r="CA29" s="15" t="s">
        <v>86</v>
      </c>
      <c r="CB29" s="15" t="s">
        <v>87</v>
      </c>
      <c r="CC29" s="15" t="s">
        <v>88</v>
      </c>
      <c r="CD29" s="15" t="s">
        <v>89</v>
      </c>
      <c r="CE29" s="15" t="s">
        <v>90</v>
      </c>
      <c r="CF29" s="15" t="s">
        <v>91</v>
      </c>
      <c r="CG29" s="15" t="s">
        <v>92</v>
      </c>
      <c r="CH29" s="15" t="s">
        <v>93</v>
      </c>
      <c r="CI29" s="15" t="s">
        <v>94</v>
      </c>
      <c r="CJ29" s="15" t="s">
        <v>95</v>
      </c>
      <c r="CK29" s="15" t="s">
        <v>96</v>
      </c>
      <c r="CL29" s="15" t="s">
        <v>97</v>
      </c>
      <c r="CM29" s="15" t="s">
        <v>98</v>
      </c>
      <c r="CN29" s="15" t="s">
        <v>99</v>
      </c>
      <c r="CO29" s="15" t="s">
        <v>100</v>
      </c>
      <c r="CP29" s="15" t="s">
        <v>101</v>
      </c>
      <c r="CQ29" s="15" t="s">
        <v>102</v>
      </c>
      <c r="CR29" s="15" t="s">
        <v>103</v>
      </c>
      <c r="CS29" s="15" t="s">
        <v>104</v>
      </c>
      <c r="CT29" s="15" t="s">
        <v>105</v>
      </c>
      <c r="CU29" s="15" t="s">
        <v>106</v>
      </c>
      <c r="CV29" s="15" t="s">
        <v>107</v>
      </c>
      <c r="CW29" s="15" t="s">
        <v>108</v>
      </c>
      <c r="CX29" s="15" t="s">
        <v>109</v>
      </c>
      <c r="CY29" s="15" t="s">
        <v>110</v>
      </c>
      <c r="CZ29" s="15" t="s">
        <v>111</v>
      </c>
      <c r="DA29" s="15" t="s">
        <v>112</v>
      </c>
      <c r="DB29" s="15" t="s">
        <v>113</v>
      </c>
      <c r="DC29" s="15" t="s">
        <v>114</v>
      </c>
      <c r="DD29" s="15" t="s">
        <v>115</v>
      </c>
      <c r="DE29" s="15" t="s">
        <v>116</v>
      </c>
      <c r="DF29" s="15" t="s">
        <v>117</v>
      </c>
      <c r="DG29" s="15" t="s">
        <v>118</v>
      </c>
      <c r="DH29" s="15" t="s">
        <v>119</v>
      </c>
      <c r="DI29" s="15" t="s">
        <v>120</v>
      </c>
      <c r="DJ29" s="15" t="s">
        <v>121</v>
      </c>
      <c r="DK29" s="15" t="s">
        <v>122</v>
      </c>
      <c r="DL29" s="15" t="s">
        <v>123</v>
      </c>
      <c r="DM29" s="15" t="s">
        <v>124</v>
      </c>
      <c r="DN29" s="15" t="s">
        <v>125</v>
      </c>
      <c r="DO29" s="15" t="s">
        <v>126</v>
      </c>
      <c r="DP29" s="15" t="s">
        <v>127</v>
      </c>
      <c r="DQ29" s="15" t="s">
        <v>128</v>
      </c>
      <c r="DR29" s="15" t="s">
        <v>129</v>
      </c>
      <c r="DS29" s="15" t="s">
        <v>130</v>
      </c>
      <c r="DT29" s="15" t="s">
        <v>131</v>
      </c>
      <c r="DU29" s="15" t="s">
        <v>132</v>
      </c>
      <c r="DV29" s="15" t="s">
        <v>133</v>
      </c>
      <c r="DW29" s="15" t="s">
        <v>134</v>
      </c>
      <c r="DX29" s="15" t="s">
        <v>135</v>
      </c>
      <c r="DY29" s="15" t="s">
        <v>136</v>
      </c>
      <c r="DZ29" s="15" t="s">
        <v>137</v>
      </c>
      <c r="EA29" s="15" t="s">
        <v>138</v>
      </c>
      <c r="EB29" s="15" t="s">
        <v>139</v>
      </c>
      <c r="EC29" s="15" t="s">
        <v>140</v>
      </c>
      <c r="ED29" s="15" t="s">
        <v>141</v>
      </c>
      <c r="EE29" s="15" t="s">
        <v>142</v>
      </c>
      <c r="EF29" s="15" t="s">
        <v>143</v>
      </c>
      <c r="EG29" s="15" t="s">
        <v>144</v>
      </c>
      <c r="EH29" s="15" t="s">
        <v>145</v>
      </c>
      <c r="EI29" s="15" t="s">
        <v>146</v>
      </c>
      <c r="EJ29" s="15" t="s">
        <v>147</v>
      </c>
      <c r="EK29" s="15" t="s">
        <v>148</v>
      </c>
      <c r="EL29" s="15" t="s">
        <v>149</v>
      </c>
      <c r="EM29" s="15" t="s">
        <v>150</v>
      </c>
      <c r="EN29" s="15" t="s">
        <v>151</v>
      </c>
      <c r="EO29" s="15" t="s">
        <v>152</v>
      </c>
      <c r="EP29" s="15" t="s">
        <v>153</v>
      </c>
      <c r="EQ29" s="15" t="s">
        <v>154</v>
      </c>
      <c r="ER29" s="15" t="s">
        <v>155</v>
      </c>
      <c r="ES29" s="15" t="s">
        <v>156</v>
      </c>
      <c r="ET29" s="15" t="s">
        <v>157</v>
      </c>
      <c r="EU29" s="15" t="s">
        <v>158</v>
      </c>
      <c r="EV29" s="15" t="s">
        <v>159</v>
      </c>
      <c r="EW29" s="15" t="s">
        <v>160</v>
      </c>
      <c r="EX29" s="15" t="s">
        <v>161</v>
      </c>
      <c r="EY29" s="15" t="s">
        <v>162</v>
      </c>
      <c r="EZ29" s="15" t="s">
        <v>163</v>
      </c>
      <c r="FA29" s="15" t="s">
        <v>164</v>
      </c>
      <c r="FB29" s="15" t="s">
        <v>165</v>
      </c>
      <c r="FC29" s="15" t="s">
        <v>166</v>
      </c>
      <c r="FD29" s="16" t="s">
        <v>167</v>
      </c>
    </row>
    <row r="30" ht="19.5" customHeight="1">
      <c r="A30" s="17" t="s">
        <v>168</v>
      </c>
      <c r="B30" s="18">
        <v>6.0</v>
      </c>
      <c r="C30" s="18">
        <v>2.0</v>
      </c>
      <c r="D30" s="18">
        <v>5.0</v>
      </c>
      <c r="E30" s="18">
        <v>3.0</v>
      </c>
      <c r="F30" s="18">
        <v>3.0</v>
      </c>
      <c r="G30" s="18">
        <v>0.0</v>
      </c>
      <c r="H30" s="18">
        <v>3.0</v>
      </c>
      <c r="I30" s="18">
        <v>1.0</v>
      </c>
      <c r="J30" s="18">
        <v>1.0</v>
      </c>
      <c r="K30" s="18">
        <v>1.0</v>
      </c>
      <c r="L30" s="18">
        <v>1.0</v>
      </c>
      <c r="M30" s="18">
        <v>3.0</v>
      </c>
      <c r="N30" s="18">
        <v>4.0</v>
      </c>
      <c r="O30" s="18">
        <v>3.0</v>
      </c>
      <c r="P30" s="18">
        <v>3.0</v>
      </c>
      <c r="Q30" s="18">
        <v>3.0</v>
      </c>
      <c r="R30" s="18">
        <v>1.0</v>
      </c>
      <c r="S30" s="18">
        <v>3.0</v>
      </c>
      <c r="T30" s="18">
        <v>7.0</v>
      </c>
      <c r="U30" s="18">
        <v>1.0</v>
      </c>
      <c r="V30" s="18">
        <v>2.0</v>
      </c>
      <c r="W30" s="18">
        <v>2.0</v>
      </c>
      <c r="X30" s="18">
        <v>1.0</v>
      </c>
      <c r="Y30" s="18">
        <v>4.0</v>
      </c>
      <c r="Z30" s="18">
        <v>3.0</v>
      </c>
      <c r="AA30" s="18">
        <v>1.0</v>
      </c>
      <c r="AB30" s="18">
        <v>3.0</v>
      </c>
      <c r="AC30" s="18">
        <v>1.0</v>
      </c>
      <c r="AD30" s="18">
        <v>1.0</v>
      </c>
      <c r="AE30" s="18">
        <v>1.0</v>
      </c>
      <c r="AF30" s="18">
        <v>0.0</v>
      </c>
      <c r="AG30" s="18">
        <v>3.0</v>
      </c>
      <c r="AH30" s="18">
        <v>1.0</v>
      </c>
      <c r="AI30" s="18">
        <v>2.0</v>
      </c>
      <c r="AJ30" s="18">
        <v>0.0</v>
      </c>
      <c r="AK30" s="18">
        <v>1.0</v>
      </c>
      <c r="AL30" s="18">
        <v>0.0</v>
      </c>
      <c r="AM30" s="18">
        <v>0.0</v>
      </c>
      <c r="AN30" s="18">
        <v>0.0</v>
      </c>
      <c r="AO30" s="18">
        <v>1.0</v>
      </c>
      <c r="AP30" s="18">
        <v>7.0</v>
      </c>
      <c r="AQ30" s="18">
        <v>2.0</v>
      </c>
      <c r="AR30" s="18">
        <v>0.0</v>
      </c>
      <c r="AS30" s="18">
        <v>0.0</v>
      </c>
      <c r="AT30" s="18">
        <v>1.0</v>
      </c>
      <c r="AU30" s="18">
        <v>2.0</v>
      </c>
      <c r="AV30" s="18">
        <v>3.0</v>
      </c>
      <c r="AW30" s="18">
        <v>4.0</v>
      </c>
      <c r="AX30" s="18">
        <v>2.0</v>
      </c>
      <c r="AY30" s="18">
        <v>1.0</v>
      </c>
      <c r="AZ30" s="18">
        <v>1.0</v>
      </c>
      <c r="BA30" s="18">
        <v>0.0</v>
      </c>
      <c r="BB30" s="18">
        <v>0.0</v>
      </c>
      <c r="BC30" s="18">
        <v>1.0</v>
      </c>
      <c r="BD30" s="18">
        <v>1.0</v>
      </c>
      <c r="BE30" s="18">
        <v>1.0</v>
      </c>
      <c r="BF30" s="18">
        <v>1.0</v>
      </c>
      <c r="BG30" s="18">
        <v>1.0</v>
      </c>
      <c r="BH30" s="18">
        <v>1.0</v>
      </c>
      <c r="BI30" s="18">
        <v>1.0</v>
      </c>
      <c r="BJ30" s="18">
        <v>1.0</v>
      </c>
      <c r="BK30" s="18">
        <v>2.0</v>
      </c>
      <c r="BL30" s="18">
        <v>3.0</v>
      </c>
      <c r="BM30" s="18">
        <v>0.0</v>
      </c>
      <c r="BN30" s="18">
        <v>1.0</v>
      </c>
      <c r="BO30" s="18">
        <v>0.0</v>
      </c>
      <c r="BP30" s="18">
        <v>1.0</v>
      </c>
      <c r="BQ30" s="18">
        <v>1.0</v>
      </c>
      <c r="BR30" s="18">
        <v>0.0</v>
      </c>
      <c r="BS30" s="18">
        <v>1.0</v>
      </c>
      <c r="BT30" s="18">
        <v>2.0</v>
      </c>
      <c r="BU30" s="18">
        <v>1.0</v>
      </c>
      <c r="BV30" s="18">
        <v>0.0</v>
      </c>
      <c r="BW30" s="18">
        <v>0.0</v>
      </c>
      <c r="BX30" s="18">
        <v>3.0</v>
      </c>
      <c r="BY30" s="18">
        <v>1.0</v>
      </c>
      <c r="BZ30" s="18">
        <v>1.0</v>
      </c>
      <c r="CA30" s="18">
        <v>1.0</v>
      </c>
      <c r="CB30" s="18">
        <v>0.0</v>
      </c>
      <c r="CC30" s="18">
        <v>0.0</v>
      </c>
      <c r="CD30" s="18">
        <v>0.0</v>
      </c>
      <c r="CE30" s="18">
        <v>1.0</v>
      </c>
      <c r="CF30" s="18">
        <v>1.0</v>
      </c>
      <c r="CG30" s="18">
        <v>0.0</v>
      </c>
      <c r="CH30" s="18">
        <v>1.0</v>
      </c>
      <c r="CI30" s="18">
        <v>0.0</v>
      </c>
      <c r="CJ30" s="18">
        <v>1.0</v>
      </c>
      <c r="CK30" s="18">
        <v>0.0</v>
      </c>
      <c r="CL30" s="18">
        <v>0.0</v>
      </c>
      <c r="CM30" s="18">
        <v>0.0</v>
      </c>
      <c r="CN30" s="18">
        <v>0.0</v>
      </c>
      <c r="CO30" s="18">
        <v>0.0</v>
      </c>
      <c r="CP30" s="18">
        <v>0.0</v>
      </c>
      <c r="CQ30" s="18">
        <v>0.0</v>
      </c>
      <c r="CR30" s="18">
        <v>0.0</v>
      </c>
      <c r="CS30" s="18">
        <v>0.0</v>
      </c>
      <c r="CT30" s="18">
        <v>0.0</v>
      </c>
      <c r="CU30" s="18">
        <v>0.0</v>
      </c>
      <c r="CV30" s="18">
        <v>0.0</v>
      </c>
      <c r="CW30" s="18">
        <v>0.0</v>
      </c>
      <c r="CX30" s="18">
        <v>0.0</v>
      </c>
      <c r="CY30" s="18">
        <v>0.0</v>
      </c>
      <c r="CZ30" s="18">
        <v>0.0</v>
      </c>
      <c r="DA30" s="18">
        <v>0.0</v>
      </c>
      <c r="DB30" s="18">
        <v>0.0</v>
      </c>
      <c r="DC30" s="18">
        <v>0.0</v>
      </c>
      <c r="DD30" s="18">
        <v>0.0</v>
      </c>
      <c r="DE30" s="18">
        <v>0.0</v>
      </c>
      <c r="DF30" s="18">
        <v>0.0</v>
      </c>
      <c r="DG30" s="18">
        <v>0.0</v>
      </c>
      <c r="DH30" s="18">
        <v>0.0</v>
      </c>
      <c r="DI30" s="18">
        <v>0.0</v>
      </c>
      <c r="DJ30" s="18">
        <v>0.0</v>
      </c>
      <c r="DK30" s="18">
        <v>0.0</v>
      </c>
      <c r="DL30" s="18">
        <v>0.0</v>
      </c>
      <c r="DM30" s="18">
        <v>0.0</v>
      </c>
      <c r="DN30" s="18">
        <v>0.0</v>
      </c>
      <c r="DO30" s="18">
        <v>0.0</v>
      </c>
      <c r="DP30" s="18">
        <v>0.0</v>
      </c>
      <c r="DQ30" s="18">
        <v>0.0</v>
      </c>
      <c r="DR30" s="18">
        <v>0.0</v>
      </c>
      <c r="DS30" s="18">
        <v>0.0</v>
      </c>
      <c r="DT30" s="18">
        <v>0.0</v>
      </c>
      <c r="DU30" s="18">
        <v>0.0</v>
      </c>
      <c r="DV30" s="18">
        <v>0.0</v>
      </c>
      <c r="DW30" s="18">
        <v>0.0</v>
      </c>
      <c r="DX30" s="18">
        <v>0.0</v>
      </c>
      <c r="DY30" s="18">
        <v>0.0</v>
      </c>
      <c r="DZ30" s="18">
        <v>0.0</v>
      </c>
      <c r="EA30" s="18">
        <v>0.0</v>
      </c>
      <c r="EB30" s="18">
        <v>0.0</v>
      </c>
      <c r="EC30" s="18">
        <v>0.0</v>
      </c>
      <c r="ED30" s="18">
        <v>0.0</v>
      </c>
      <c r="EE30" s="18">
        <v>0.0</v>
      </c>
      <c r="EF30" s="18">
        <v>0.0</v>
      </c>
      <c r="EG30" s="18">
        <v>0.0</v>
      </c>
      <c r="EH30" s="18">
        <v>0.0</v>
      </c>
      <c r="EI30" s="18">
        <v>0.0</v>
      </c>
      <c r="EJ30" s="18">
        <v>0.0</v>
      </c>
      <c r="EK30" s="18">
        <v>0.0</v>
      </c>
      <c r="EL30" s="18">
        <v>0.0</v>
      </c>
      <c r="EM30" s="18">
        <v>0.0</v>
      </c>
      <c r="EN30" s="18">
        <v>0.0</v>
      </c>
      <c r="EO30" s="18">
        <v>0.0</v>
      </c>
      <c r="EP30" s="18">
        <v>0.0</v>
      </c>
      <c r="EQ30" s="18">
        <v>0.0</v>
      </c>
      <c r="ER30" s="18">
        <v>0.0</v>
      </c>
      <c r="ES30" s="18">
        <v>0.0</v>
      </c>
      <c r="ET30" s="18">
        <v>0.0</v>
      </c>
      <c r="EU30" s="18">
        <v>0.0</v>
      </c>
      <c r="EV30" s="18">
        <v>0.0</v>
      </c>
      <c r="EW30" s="18">
        <v>0.0</v>
      </c>
      <c r="EX30" s="18">
        <v>0.0</v>
      </c>
      <c r="EY30" s="18">
        <v>0.0</v>
      </c>
      <c r="EZ30" s="18">
        <v>0.0</v>
      </c>
      <c r="FA30" s="18">
        <v>0.0</v>
      </c>
      <c r="FB30" s="18">
        <v>0.0</v>
      </c>
      <c r="FC30" s="18">
        <v>0.0</v>
      </c>
      <c r="FD30" s="19">
        <f t="shared" ref="FD30:FD71" si="1">SUM(B30:FC30)</f>
        <v>134</v>
      </c>
    </row>
    <row r="31" ht="19.5" customHeight="1">
      <c r="A31" s="17" t="s">
        <v>169</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v>0.0</v>
      </c>
      <c r="CN31" s="18">
        <v>0.0</v>
      </c>
      <c r="CO31" s="18">
        <v>0.0</v>
      </c>
      <c r="CP31" s="18">
        <v>0.0</v>
      </c>
      <c r="CQ31" s="18">
        <v>0.0</v>
      </c>
      <c r="CR31" s="18">
        <v>0.0</v>
      </c>
      <c r="CS31" s="18">
        <v>0.0</v>
      </c>
      <c r="CT31" s="18">
        <v>0.0</v>
      </c>
      <c r="CU31" s="18">
        <v>0.0</v>
      </c>
      <c r="CV31" s="18">
        <v>0.0</v>
      </c>
      <c r="CW31" s="18">
        <v>0.0</v>
      </c>
      <c r="CX31" s="18">
        <v>0.0</v>
      </c>
      <c r="CY31" s="18">
        <v>0.0</v>
      </c>
      <c r="CZ31" s="18">
        <v>0.0</v>
      </c>
      <c r="DA31" s="18">
        <v>1.0</v>
      </c>
      <c r="DB31" s="18">
        <v>0.0</v>
      </c>
      <c r="DC31" s="18">
        <v>0.0</v>
      </c>
      <c r="DD31" s="18">
        <v>0.0</v>
      </c>
      <c r="DE31" s="18">
        <v>0.0</v>
      </c>
      <c r="DF31" s="18">
        <v>1.0</v>
      </c>
      <c r="DG31" s="18">
        <v>1.0</v>
      </c>
      <c r="DH31" s="18">
        <v>1.0</v>
      </c>
      <c r="DI31" s="18">
        <v>1.0</v>
      </c>
      <c r="DJ31" s="18">
        <v>0.0</v>
      </c>
      <c r="DK31" s="18">
        <v>0.0</v>
      </c>
      <c r="DL31" s="18">
        <v>1.0</v>
      </c>
      <c r="DM31" s="18">
        <v>1.0</v>
      </c>
      <c r="DN31" s="18">
        <v>0.0</v>
      </c>
      <c r="DO31" s="18">
        <v>0.0</v>
      </c>
      <c r="DP31" s="18">
        <v>0.0</v>
      </c>
      <c r="DQ31" s="18">
        <v>0.0</v>
      </c>
      <c r="DR31" s="18">
        <v>2.0</v>
      </c>
      <c r="DS31" s="18">
        <v>0.0</v>
      </c>
      <c r="DT31" s="18">
        <v>1.0</v>
      </c>
      <c r="DU31" s="18">
        <v>0.0</v>
      </c>
      <c r="DV31" s="18">
        <v>0.0</v>
      </c>
      <c r="DW31" s="18">
        <v>0.0</v>
      </c>
      <c r="DX31" s="18">
        <v>1.0</v>
      </c>
      <c r="DY31" s="18">
        <v>2.0</v>
      </c>
      <c r="DZ31" s="18">
        <v>0.0</v>
      </c>
      <c r="EA31" s="18">
        <v>1.0</v>
      </c>
      <c r="EB31" s="18">
        <v>0.0</v>
      </c>
      <c r="EC31" s="18">
        <v>0.0</v>
      </c>
      <c r="ED31" s="18">
        <v>0.0</v>
      </c>
      <c r="EE31" s="18">
        <v>0.0</v>
      </c>
      <c r="EF31" s="18">
        <v>1.0</v>
      </c>
      <c r="EG31" s="18">
        <v>0.0</v>
      </c>
      <c r="EH31" s="18">
        <v>0.0</v>
      </c>
      <c r="EI31" s="18">
        <v>0.0</v>
      </c>
      <c r="EJ31" s="18">
        <v>0.0</v>
      </c>
      <c r="EK31" s="18">
        <v>1.0</v>
      </c>
      <c r="EL31" s="18">
        <v>1.0</v>
      </c>
      <c r="EM31" s="18">
        <v>0.0</v>
      </c>
      <c r="EN31" s="18">
        <v>0.0</v>
      </c>
      <c r="EO31" s="18">
        <v>0.0</v>
      </c>
      <c r="EP31" s="18">
        <v>0.0</v>
      </c>
      <c r="EQ31" s="18">
        <v>0.0</v>
      </c>
      <c r="ER31" s="18">
        <v>0.0</v>
      </c>
      <c r="ES31" s="18">
        <v>0.0</v>
      </c>
      <c r="ET31" s="18">
        <v>0.0</v>
      </c>
      <c r="EU31" s="18">
        <v>0.0</v>
      </c>
      <c r="EV31" s="18">
        <v>0.0</v>
      </c>
      <c r="EW31" s="18">
        <v>0.0</v>
      </c>
      <c r="EX31" s="18">
        <v>0.0</v>
      </c>
      <c r="EY31" s="18">
        <v>0.0</v>
      </c>
      <c r="EZ31" s="18">
        <v>0.0</v>
      </c>
      <c r="FA31" s="18">
        <v>0.0</v>
      </c>
      <c r="FB31" s="18">
        <v>0.0</v>
      </c>
      <c r="FC31" s="18">
        <v>0.0</v>
      </c>
      <c r="FD31" s="19">
        <f t="shared" si="1"/>
        <v>17</v>
      </c>
    </row>
    <row r="32" ht="19.5" customHeight="1">
      <c r="A32" s="17" t="s">
        <v>170</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v>0.0</v>
      </c>
      <c r="DF32" s="18">
        <v>0.0</v>
      </c>
      <c r="DG32" s="18">
        <v>0.0</v>
      </c>
      <c r="DH32" s="18">
        <v>0.0</v>
      </c>
      <c r="DI32" s="18">
        <v>0.0</v>
      </c>
      <c r="DJ32" s="18">
        <v>0.0</v>
      </c>
      <c r="DK32" s="18">
        <v>0.0</v>
      </c>
      <c r="DL32" s="18">
        <v>0.0</v>
      </c>
      <c r="DM32" s="18">
        <v>0.0</v>
      </c>
      <c r="DN32" s="18">
        <v>0.0</v>
      </c>
      <c r="DO32" s="18">
        <v>0.0</v>
      </c>
      <c r="DP32" s="18">
        <v>0.0</v>
      </c>
      <c r="DQ32" s="18">
        <v>1.0</v>
      </c>
      <c r="DR32" s="18">
        <v>1.0</v>
      </c>
      <c r="DS32" s="18">
        <v>0.0</v>
      </c>
      <c r="DT32" s="18">
        <v>0.0</v>
      </c>
      <c r="DU32" s="18">
        <v>1.0</v>
      </c>
      <c r="DV32" s="18">
        <v>0.0</v>
      </c>
      <c r="DW32" s="18">
        <v>1.0</v>
      </c>
      <c r="DX32" s="18">
        <v>1.0</v>
      </c>
      <c r="DY32" s="18">
        <v>0.0</v>
      </c>
      <c r="DZ32" s="18">
        <v>1.0</v>
      </c>
      <c r="EA32" s="18">
        <v>3.0</v>
      </c>
      <c r="EB32" s="18">
        <v>0.0</v>
      </c>
      <c r="EC32" s="18">
        <v>0.0</v>
      </c>
      <c r="ED32" s="18">
        <v>0.0</v>
      </c>
      <c r="EE32" s="18">
        <v>0.0</v>
      </c>
      <c r="EF32" s="18">
        <v>0.0</v>
      </c>
      <c r="EG32" s="18">
        <v>0.0</v>
      </c>
      <c r="EH32" s="18">
        <v>0.0</v>
      </c>
      <c r="EI32" s="18">
        <v>0.0</v>
      </c>
      <c r="EJ32" s="18">
        <v>0.0</v>
      </c>
      <c r="EK32" s="18">
        <v>0.0</v>
      </c>
      <c r="EL32" s="18">
        <v>0.0</v>
      </c>
      <c r="EM32" s="18">
        <v>0.0</v>
      </c>
      <c r="EN32" s="18">
        <v>0.0</v>
      </c>
      <c r="EO32" s="18">
        <v>0.0</v>
      </c>
      <c r="EP32" s="18">
        <v>0.0</v>
      </c>
      <c r="EQ32" s="18">
        <v>0.0</v>
      </c>
      <c r="ER32" s="18">
        <v>0.0</v>
      </c>
      <c r="ES32" s="18">
        <v>0.0</v>
      </c>
      <c r="ET32" s="18">
        <v>0.0</v>
      </c>
      <c r="EU32" s="18">
        <v>0.0</v>
      </c>
      <c r="EV32" s="18">
        <v>0.0</v>
      </c>
      <c r="EW32" s="18">
        <v>0.0</v>
      </c>
      <c r="EX32" s="18">
        <v>0.0</v>
      </c>
      <c r="EY32" s="18">
        <v>0.0</v>
      </c>
      <c r="EZ32" s="18">
        <v>0.0</v>
      </c>
      <c r="FA32" s="18">
        <v>0.0</v>
      </c>
      <c r="FB32" s="18">
        <v>0.0</v>
      </c>
      <c r="FC32" s="18">
        <v>0.0</v>
      </c>
      <c r="FD32" s="19">
        <f t="shared" si="1"/>
        <v>9</v>
      </c>
    </row>
    <row r="33" ht="19.5" customHeight="1">
      <c r="A33" s="17" t="s">
        <v>171</v>
      </c>
      <c r="B33" s="18">
        <v>2.0</v>
      </c>
      <c r="C33" s="18">
        <v>2.0</v>
      </c>
      <c r="D33" s="18">
        <v>1.0</v>
      </c>
      <c r="E33" s="18">
        <v>2.0</v>
      </c>
      <c r="F33" s="18">
        <v>5.0</v>
      </c>
      <c r="G33" s="18">
        <v>1.0</v>
      </c>
      <c r="H33" s="18">
        <v>3.0</v>
      </c>
      <c r="I33" s="18">
        <v>1.0</v>
      </c>
      <c r="J33" s="18">
        <v>2.0</v>
      </c>
      <c r="K33" s="18">
        <v>2.0</v>
      </c>
      <c r="L33" s="18">
        <v>5.0</v>
      </c>
      <c r="M33" s="18">
        <v>5.0</v>
      </c>
      <c r="N33" s="18">
        <v>6.0</v>
      </c>
      <c r="O33" s="18">
        <v>2.0</v>
      </c>
      <c r="P33" s="18">
        <v>0.0</v>
      </c>
      <c r="Q33" s="18">
        <v>0.0</v>
      </c>
      <c r="R33" s="18">
        <v>0.0</v>
      </c>
      <c r="S33" s="18">
        <v>1.0</v>
      </c>
      <c r="T33" s="18">
        <v>1.0</v>
      </c>
      <c r="U33" s="18">
        <v>1.0</v>
      </c>
      <c r="V33" s="18">
        <v>1.0</v>
      </c>
      <c r="W33" s="18">
        <v>0.0</v>
      </c>
      <c r="X33" s="18">
        <v>4.0</v>
      </c>
      <c r="Y33" s="18">
        <v>0.0</v>
      </c>
      <c r="Z33" s="18">
        <v>1.0</v>
      </c>
      <c r="AA33" s="18">
        <v>0.0</v>
      </c>
      <c r="AB33" s="18">
        <v>2.0</v>
      </c>
      <c r="AC33" s="18">
        <v>0.0</v>
      </c>
      <c r="AD33" s="18">
        <v>2.0</v>
      </c>
      <c r="AE33" s="18">
        <v>1.0</v>
      </c>
      <c r="AF33" s="18">
        <v>0.0</v>
      </c>
      <c r="AG33" s="18">
        <v>2.0</v>
      </c>
      <c r="AH33" s="18">
        <v>2.0</v>
      </c>
      <c r="AI33" s="18">
        <v>1.0</v>
      </c>
      <c r="AJ33" s="18">
        <v>0.0</v>
      </c>
      <c r="AK33" s="18">
        <v>0.0</v>
      </c>
      <c r="AL33" s="18">
        <v>2.0</v>
      </c>
      <c r="AM33" s="18">
        <v>1.0</v>
      </c>
      <c r="AN33" s="18">
        <v>0.0</v>
      </c>
      <c r="AO33" s="18">
        <v>2.0</v>
      </c>
      <c r="AP33" s="18">
        <v>2.0</v>
      </c>
      <c r="AQ33" s="18">
        <v>1.0</v>
      </c>
      <c r="AR33" s="18">
        <v>1.0</v>
      </c>
      <c r="AS33" s="18">
        <v>1.0</v>
      </c>
      <c r="AT33" s="18">
        <v>4.0</v>
      </c>
      <c r="AU33" s="18">
        <v>2.0</v>
      </c>
      <c r="AV33" s="18">
        <v>3.0</v>
      </c>
      <c r="AW33" s="18">
        <v>0.0</v>
      </c>
      <c r="AX33" s="18">
        <v>5.0</v>
      </c>
      <c r="AY33" s="18">
        <v>0.0</v>
      </c>
      <c r="AZ33" s="18">
        <v>2.0</v>
      </c>
      <c r="BA33" s="18">
        <v>1.0</v>
      </c>
      <c r="BB33" s="18">
        <v>2.0</v>
      </c>
      <c r="BC33" s="18">
        <v>1.0</v>
      </c>
      <c r="BD33" s="18">
        <v>0.0</v>
      </c>
      <c r="BE33" s="18">
        <v>1.0</v>
      </c>
      <c r="BF33" s="18">
        <v>6.0</v>
      </c>
      <c r="BG33" s="18">
        <v>0.0</v>
      </c>
      <c r="BH33" s="18">
        <v>2.0</v>
      </c>
      <c r="BI33" s="18">
        <v>1.0</v>
      </c>
      <c r="BJ33" s="18">
        <v>0.0</v>
      </c>
      <c r="BK33" s="18">
        <v>0.0</v>
      </c>
      <c r="BL33" s="18">
        <v>0.0</v>
      </c>
      <c r="BM33" s="18">
        <v>1.0</v>
      </c>
      <c r="BN33" s="18">
        <v>1.0</v>
      </c>
      <c r="BO33" s="18">
        <v>0.0</v>
      </c>
      <c r="BP33" s="18">
        <v>2.0</v>
      </c>
      <c r="BQ33" s="18">
        <v>0.0</v>
      </c>
      <c r="BR33" s="18">
        <v>0.0</v>
      </c>
      <c r="BS33" s="18">
        <v>1.0</v>
      </c>
      <c r="BT33" s="18">
        <v>0.0</v>
      </c>
      <c r="BU33" s="18">
        <v>0.0</v>
      </c>
      <c r="BV33" s="18">
        <v>0.0</v>
      </c>
      <c r="BW33" s="18">
        <v>0.0</v>
      </c>
      <c r="BX33" s="18">
        <v>1.0</v>
      </c>
      <c r="BY33" s="18">
        <v>1.0</v>
      </c>
      <c r="BZ33" s="18">
        <v>3.0</v>
      </c>
      <c r="CA33" s="18">
        <v>1.0</v>
      </c>
      <c r="CB33" s="18">
        <v>3.0</v>
      </c>
      <c r="CC33" s="18">
        <v>1.0</v>
      </c>
      <c r="CD33" s="18">
        <v>1.0</v>
      </c>
      <c r="CE33" s="18">
        <v>0.0</v>
      </c>
      <c r="CF33" s="18">
        <v>1.0</v>
      </c>
      <c r="CG33" s="18">
        <v>0.0</v>
      </c>
      <c r="CH33" s="18">
        <v>0.0</v>
      </c>
      <c r="CI33" s="18">
        <v>0.0</v>
      </c>
      <c r="CJ33" s="18">
        <v>0.0</v>
      </c>
      <c r="CK33" s="18">
        <v>0.0</v>
      </c>
      <c r="CL33" s="18">
        <v>0.0</v>
      </c>
      <c r="CM33" s="18">
        <v>0.0</v>
      </c>
      <c r="CN33" s="18">
        <v>0.0</v>
      </c>
      <c r="CO33" s="18">
        <v>0.0</v>
      </c>
      <c r="CP33" s="18">
        <v>0.0</v>
      </c>
      <c r="CQ33" s="18">
        <v>1.0</v>
      </c>
      <c r="CR33" s="18">
        <v>0.0</v>
      </c>
      <c r="CS33" s="18">
        <v>0.0</v>
      </c>
      <c r="CT33" s="18">
        <v>1.0</v>
      </c>
      <c r="CU33" s="18">
        <v>0.0</v>
      </c>
      <c r="CV33" s="18">
        <v>1.0</v>
      </c>
      <c r="CW33" s="18">
        <v>8.0</v>
      </c>
      <c r="CX33" s="18">
        <v>4.0</v>
      </c>
      <c r="CY33" s="18">
        <v>2.0</v>
      </c>
      <c r="CZ33" s="18">
        <v>0.0</v>
      </c>
      <c r="DA33" s="18">
        <v>1.0</v>
      </c>
      <c r="DB33" s="18">
        <v>0.0</v>
      </c>
      <c r="DC33" s="18">
        <v>1.0</v>
      </c>
      <c r="DD33" s="18">
        <v>0.0</v>
      </c>
      <c r="DE33" s="18">
        <v>1.0</v>
      </c>
      <c r="DF33" s="18">
        <v>0.0</v>
      </c>
      <c r="DG33" s="18">
        <v>2.0</v>
      </c>
      <c r="DH33" s="18">
        <v>2.0</v>
      </c>
      <c r="DI33" s="18">
        <v>2.0</v>
      </c>
      <c r="DJ33" s="18">
        <v>0.0</v>
      </c>
      <c r="DK33" s="18">
        <v>2.0</v>
      </c>
      <c r="DL33" s="18">
        <v>0.0</v>
      </c>
      <c r="DM33" s="18">
        <v>1.0</v>
      </c>
      <c r="DN33" s="18">
        <v>1.0</v>
      </c>
      <c r="DO33" s="18">
        <v>0.0</v>
      </c>
      <c r="DP33" s="18">
        <v>0.0</v>
      </c>
      <c r="DQ33" s="18">
        <v>0.0</v>
      </c>
      <c r="DR33" s="18">
        <v>1.0</v>
      </c>
      <c r="DS33" s="18">
        <v>0.0</v>
      </c>
      <c r="DT33" s="18">
        <v>1.0</v>
      </c>
      <c r="DU33" s="18">
        <v>1.0</v>
      </c>
      <c r="DV33" s="18">
        <v>0.0</v>
      </c>
      <c r="DW33" s="18">
        <v>0.0</v>
      </c>
      <c r="DX33" s="18">
        <v>2.0</v>
      </c>
      <c r="DY33" s="18">
        <v>2.0</v>
      </c>
      <c r="DZ33" s="18">
        <v>0.0</v>
      </c>
      <c r="EA33" s="18">
        <v>0.0</v>
      </c>
      <c r="EB33" s="18">
        <v>1.0</v>
      </c>
      <c r="EC33" s="18">
        <v>0.0</v>
      </c>
      <c r="ED33" s="18">
        <v>0.0</v>
      </c>
      <c r="EE33" s="18">
        <v>0.0</v>
      </c>
      <c r="EF33" s="18">
        <v>1.0</v>
      </c>
      <c r="EG33" s="18">
        <v>0.0</v>
      </c>
      <c r="EH33" s="18">
        <v>0.0</v>
      </c>
      <c r="EI33" s="18">
        <v>1.0</v>
      </c>
      <c r="EJ33" s="18">
        <v>0.0</v>
      </c>
      <c r="EK33" s="18">
        <v>3.0</v>
      </c>
      <c r="EL33" s="18">
        <v>0.0</v>
      </c>
      <c r="EM33" s="18">
        <v>1.0</v>
      </c>
      <c r="EN33" s="18">
        <v>2.0</v>
      </c>
      <c r="EO33" s="18">
        <v>1.0</v>
      </c>
      <c r="EP33" s="18">
        <v>0.0</v>
      </c>
      <c r="EQ33" s="18">
        <v>0.0</v>
      </c>
      <c r="ER33" s="18">
        <v>0.0</v>
      </c>
      <c r="ES33" s="18">
        <v>0.0</v>
      </c>
      <c r="ET33" s="18">
        <v>0.0</v>
      </c>
      <c r="EU33" s="18">
        <v>0.0</v>
      </c>
      <c r="EV33" s="18">
        <v>0.0</v>
      </c>
      <c r="EW33" s="18">
        <v>0.0</v>
      </c>
      <c r="EX33" s="18">
        <v>0.0</v>
      </c>
      <c r="EY33" s="18">
        <v>0.0</v>
      </c>
      <c r="EZ33" s="18">
        <v>0.0</v>
      </c>
      <c r="FA33" s="18">
        <v>0.0</v>
      </c>
      <c r="FB33" s="18">
        <v>0.0</v>
      </c>
      <c r="FC33" s="18">
        <v>0.0</v>
      </c>
      <c r="FD33" s="19">
        <f t="shared" si="1"/>
        <v>162</v>
      </c>
    </row>
    <row r="34" ht="19.5" customHeight="1">
      <c r="A34" s="20" t="s">
        <v>172</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v>0.0</v>
      </c>
      <c r="EE34" s="18">
        <v>0.0</v>
      </c>
      <c r="EF34" s="18">
        <v>0.0</v>
      </c>
      <c r="EG34" s="18">
        <v>0.0</v>
      </c>
      <c r="EH34" s="18">
        <v>0.0</v>
      </c>
      <c r="EI34" s="18">
        <v>0.0</v>
      </c>
      <c r="EJ34" s="18">
        <v>0.0</v>
      </c>
      <c r="EK34" s="18">
        <v>0.0</v>
      </c>
      <c r="EL34" s="18">
        <v>0.0</v>
      </c>
      <c r="EM34" s="18">
        <v>0.0</v>
      </c>
      <c r="EN34" s="18">
        <v>0.0</v>
      </c>
      <c r="EO34" s="18">
        <v>0.0</v>
      </c>
      <c r="EP34" s="18">
        <v>1.0</v>
      </c>
      <c r="EQ34" s="18">
        <v>1.0</v>
      </c>
      <c r="ER34" s="18">
        <v>1.0</v>
      </c>
      <c r="ES34" s="18">
        <v>0.0</v>
      </c>
      <c r="ET34" s="18">
        <v>1.0</v>
      </c>
      <c r="EU34" s="18">
        <v>5.0</v>
      </c>
      <c r="EV34" s="18">
        <v>5.0</v>
      </c>
      <c r="EW34" s="18">
        <v>8.0</v>
      </c>
      <c r="EX34" s="18">
        <v>1.0</v>
      </c>
      <c r="EY34" s="18">
        <v>1.0</v>
      </c>
      <c r="EZ34" s="18">
        <v>1.0</v>
      </c>
      <c r="FA34" s="18">
        <v>3.0</v>
      </c>
      <c r="FB34" s="18">
        <v>0.0</v>
      </c>
      <c r="FC34" s="18">
        <v>0.0</v>
      </c>
      <c r="FD34" s="19">
        <f t="shared" si="1"/>
        <v>28</v>
      </c>
    </row>
    <row r="35" ht="19.5" customHeight="1">
      <c r="A35" s="20" t="s">
        <v>173</v>
      </c>
      <c r="B35" s="18">
        <v>0.0</v>
      </c>
      <c r="C35" s="18">
        <v>0.0</v>
      </c>
      <c r="D35" s="18">
        <v>0.0</v>
      </c>
      <c r="E35" s="18">
        <v>0.0</v>
      </c>
      <c r="F35" s="18">
        <v>0.0</v>
      </c>
      <c r="G35" s="18">
        <v>1.0</v>
      </c>
      <c r="H35" s="18">
        <v>0.0</v>
      </c>
      <c r="I35" s="18">
        <v>0.0</v>
      </c>
      <c r="J35" s="18">
        <v>0.0</v>
      </c>
      <c r="K35" s="18">
        <v>0.0</v>
      </c>
      <c r="L35" s="18">
        <v>0.0</v>
      </c>
      <c r="M35" s="18">
        <v>0.0</v>
      </c>
      <c r="N35" s="18">
        <v>0.0</v>
      </c>
      <c r="O35" s="18">
        <v>0.0</v>
      </c>
      <c r="P35" s="18">
        <v>0.0</v>
      </c>
      <c r="Q35" s="18">
        <v>0.0</v>
      </c>
      <c r="R35" s="18">
        <v>0.0</v>
      </c>
      <c r="S35" s="18">
        <v>1.0</v>
      </c>
      <c r="T35" s="18">
        <v>0.0</v>
      </c>
      <c r="U35" s="18">
        <v>0.0</v>
      </c>
      <c r="V35" s="18">
        <v>0.0</v>
      </c>
      <c r="W35" s="18">
        <v>0.0</v>
      </c>
      <c r="X35" s="18">
        <v>2.0</v>
      </c>
      <c r="Y35" s="18">
        <v>0.0</v>
      </c>
      <c r="Z35" s="18">
        <v>0.0</v>
      </c>
      <c r="AA35" s="18">
        <v>0.0</v>
      </c>
      <c r="AB35" s="18">
        <v>1.0</v>
      </c>
      <c r="AC35" s="18">
        <v>1.0</v>
      </c>
      <c r="AD35" s="18">
        <v>0.0</v>
      </c>
      <c r="AE35" s="18">
        <v>2.0</v>
      </c>
      <c r="AF35" s="18">
        <v>0.0</v>
      </c>
      <c r="AG35" s="18">
        <v>0.0</v>
      </c>
      <c r="AH35" s="18">
        <v>0.0</v>
      </c>
      <c r="AI35" s="18">
        <v>0.0</v>
      </c>
      <c r="AJ35" s="18">
        <v>0.0</v>
      </c>
      <c r="AK35" s="18">
        <v>0.0</v>
      </c>
      <c r="AL35" s="18">
        <v>0.0</v>
      </c>
      <c r="AM35" s="18">
        <v>0.0</v>
      </c>
      <c r="AN35" s="18">
        <v>0.0</v>
      </c>
      <c r="AO35" s="18">
        <v>0.0</v>
      </c>
      <c r="AP35" s="18">
        <v>0.0</v>
      </c>
      <c r="AQ35" s="18">
        <v>0.0</v>
      </c>
      <c r="AR35" s="18">
        <v>0.0</v>
      </c>
      <c r="AS35" s="18">
        <v>0.0</v>
      </c>
      <c r="AT35" s="18">
        <v>0.0</v>
      </c>
      <c r="AU35" s="18">
        <v>0.0</v>
      </c>
      <c r="AV35" s="18">
        <v>0.0</v>
      </c>
      <c r="AW35" s="18">
        <v>0.0</v>
      </c>
      <c r="AX35" s="18">
        <v>0.0</v>
      </c>
      <c r="AY35" s="18">
        <v>0.0</v>
      </c>
      <c r="AZ35" s="18">
        <v>0.0</v>
      </c>
      <c r="BA35" s="18">
        <v>0.0</v>
      </c>
      <c r="BB35" s="18">
        <v>0.0</v>
      </c>
      <c r="BC35" s="18">
        <v>1.0</v>
      </c>
      <c r="BD35" s="18">
        <v>0.0</v>
      </c>
      <c r="BE35" s="18">
        <v>0.0</v>
      </c>
      <c r="BF35" s="18">
        <v>0.0</v>
      </c>
      <c r="BG35" s="18">
        <v>0.0</v>
      </c>
      <c r="BH35" s="18">
        <v>1.0</v>
      </c>
      <c r="BI35" s="18">
        <v>0.0</v>
      </c>
      <c r="BJ35" s="18">
        <v>0.0</v>
      </c>
      <c r="BK35" s="18">
        <v>0.0</v>
      </c>
      <c r="BL35" s="18">
        <v>1.0</v>
      </c>
      <c r="BM35" s="18">
        <v>0.0</v>
      </c>
      <c r="BN35" s="18">
        <v>1.0</v>
      </c>
      <c r="BO35" s="18">
        <v>0.0</v>
      </c>
      <c r="BP35" s="18">
        <v>0.0</v>
      </c>
      <c r="BQ35" s="18">
        <v>0.0</v>
      </c>
      <c r="BR35" s="18">
        <v>0.0</v>
      </c>
      <c r="BS35" s="18">
        <v>0.0</v>
      </c>
      <c r="BT35" s="18">
        <v>1.0</v>
      </c>
      <c r="BU35" s="18">
        <v>0.0</v>
      </c>
      <c r="BV35" s="18">
        <v>0.0</v>
      </c>
      <c r="BW35" s="18">
        <v>0.0</v>
      </c>
      <c r="BX35" s="18">
        <v>0.0</v>
      </c>
      <c r="BY35" s="18">
        <v>0.0</v>
      </c>
      <c r="BZ35" s="18">
        <v>0.0</v>
      </c>
      <c r="CA35" s="18">
        <v>0.0</v>
      </c>
      <c r="CB35" s="18">
        <v>0.0</v>
      </c>
      <c r="CC35" s="18">
        <v>0.0</v>
      </c>
      <c r="CD35" s="18">
        <v>0.0</v>
      </c>
      <c r="CE35" s="18">
        <v>1.0</v>
      </c>
      <c r="CF35" s="18">
        <v>0.0</v>
      </c>
      <c r="CG35" s="18">
        <v>0.0</v>
      </c>
      <c r="CH35" s="18">
        <v>0.0</v>
      </c>
      <c r="CI35" s="18">
        <v>0.0</v>
      </c>
      <c r="CJ35" s="18">
        <v>0.0</v>
      </c>
      <c r="CK35" s="18">
        <v>0.0</v>
      </c>
      <c r="CL35" s="18">
        <v>0.0</v>
      </c>
      <c r="CM35" s="18">
        <v>0.0</v>
      </c>
      <c r="CN35" s="18">
        <v>0.0</v>
      </c>
      <c r="CO35" s="18">
        <v>0.0</v>
      </c>
      <c r="CP35" s="18">
        <v>0.0</v>
      </c>
      <c r="CQ35" s="18">
        <v>0.0</v>
      </c>
      <c r="CR35" s="18">
        <v>0.0</v>
      </c>
      <c r="CS35" s="18">
        <v>0.0</v>
      </c>
      <c r="CT35" s="18">
        <v>0.0</v>
      </c>
      <c r="CU35" s="18">
        <v>0.0</v>
      </c>
      <c r="CV35" s="18">
        <v>2.0</v>
      </c>
      <c r="CW35" s="18">
        <v>1.0</v>
      </c>
      <c r="CX35" s="18">
        <v>1.0</v>
      </c>
      <c r="CY35" s="18">
        <v>0.0</v>
      </c>
      <c r="CZ35" s="18">
        <v>0.0</v>
      </c>
      <c r="DA35" s="18">
        <v>0.0</v>
      </c>
      <c r="DB35" s="18">
        <v>0.0</v>
      </c>
      <c r="DC35" s="18">
        <v>0.0</v>
      </c>
      <c r="DD35" s="18">
        <v>0.0</v>
      </c>
      <c r="DE35" s="18">
        <v>0.0</v>
      </c>
      <c r="DF35" s="18">
        <v>0.0</v>
      </c>
      <c r="DG35" s="18">
        <v>0.0</v>
      </c>
      <c r="DH35" s="18">
        <v>2.0</v>
      </c>
      <c r="DI35" s="18">
        <v>0.0</v>
      </c>
      <c r="DJ35" s="18">
        <v>0.0</v>
      </c>
      <c r="DK35" s="18">
        <v>0.0</v>
      </c>
      <c r="DL35" s="18">
        <v>0.0</v>
      </c>
      <c r="DM35" s="18">
        <v>0.0</v>
      </c>
      <c r="DN35" s="18">
        <v>0.0</v>
      </c>
      <c r="DO35" s="18">
        <v>0.0</v>
      </c>
      <c r="DP35" s="18">
        <v>0.0</v>
      </c>
      <c r="DQ35" s="18">
        <v>0.0</v>
      </c>
      <c r="DR35" s="18">
        <v>1.0</v>
      </c>
      <c r="DS35" s="18">
        <v>0.0</v>
      </c>
      <c r="DT35" s="18">
        <v>0.0</v>
      </c>
      <c r="DU35" s="18">
        <v>0.0</v>
      </c>
      <c r="DV35" s="18">
        <v>0.0</v>
      </c>
      <c r="DW35" s="18">
        <v>0.0</v>
      </c>
      <c r="DX35" s="18">
        <v>0.0</v>
      </c>
      <c r="DY35" s="18">
        <v>0.0</v>
      </c>
      <c r="DZ35" s="18">
        <v>0.0</v>
      </c>
      <c r="EA35" s="18">
        <v>0.0</v>
      </c>
      <c r="EB35" s="18">
        <v>0.0</v>
      </c>
      <c r="EC35" s="18">
        <v>0.0</v>
      </c>
      <c r="ED35" s="18">
        <v>0.0</v>
      </c>
      <c r="EE35" s="18">
        <v>0.0</v>
      </c>
      <c r="EF35" s="18">
        <v>0.0</v>
      </c>
      <c r="EG35" s="18">
        <v>0.0</v>
      </c>
      <c r="EH35" s="18">
        <v>0.0</v>
      </c>
      <c r="EI35" s="18">
        <v>0.0</v>
      </c>
      <c r="EJ35" s="18">
        <v>0.0</v>
      </c>
      <c r="EK35" s="18">
        <v>1.0</v>
      </c>
      <c r="EL35" s="18">
        <v>0.0</v>
      </c>
      <c r="EM35" s="18">
        <v>0.0</v>
      </c>
      <c r="EN35" s="18">
        <v>0.0</v>
      </c>
      <c r="EO35" s="18">
        <v>0.0</v>
      </c>
      <c r="EP35" s="18">
        <v>0.0</v>
      </c>
      <c r="EQ35" s="18">
        <v>2.0</v>
      </c>
      <c r="ER35" s="18">
        <v>1.0</v>
      </c>
      <c r="ES35" s="18">
        <v>0.0</v>
      </c>
      <c r="ET35" s="18">
        <v>0.0</v>
      </c>
      <c r="EU35" s="18">
        <v>0.0</v>
      </c>
      <c r="EV35" s="18">
        <v>0.0</v>
      </c>
      <c r="EW35" s="18">
        <v>1.0</v>
      </c>
      <c r="EX35" s="18">
        <v>0.0</v>
      </c>
      <c r="EY35" s="18">
        <v>0.0</v>
      </c>
      <c r="EZ35" s="18">
        <v>1.0</v>
      </c>
      <c r="FA35" s="18">
        <v>0.0</v>
      </c>
      <c r="FB35" s="18">
        <v>1.0</v>
      </c>
      <c r="FC35" s="18">
        <v>1.0</v>
      </c>
      <c r="FD35" s="19">
        <f t="shared" si="1"/>
        <v>29</v>
      </c>
    </row>
    <row r="36" ht="19.5" customHeight="1">
      <c r="A36" s="17" t="s">
        <v>174</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v>0.0</v>
      </c>
      <c r="CN36" s="18">
        <v>0.0</v>
      </c>
      <c r="CO36" s="18">
        <v>0.0</v>
      </c>
      <c r="CP36" s="18">
        <v>0.0</v>
      </c>
      <c r="CQ36" s="18">
        <v>0.0</v>
      </c>
      <c r="CR36" s="18">
        <v>0.0</v>
      </c>
      <c r="CS36" s="18">
        <v>0.0</v>
      </c>
      <c r="CT36" s="18">
        <v>0.0</v>
      </c>
      <c r="CU36" s="18">
        <v>0.0</v>
      </c>
      <c r="CV36" s="18">
        <v>0.0</v>
      </c>
      <c r="CW36" s="18">
        <v>0.0</v>
      </c>
      <c r="CX36" s="18">
        <v>0.0</v>
      </c>
      <c r="CY36" s="18">
        <v>1.0</v>
      </c>
      <c r="CZ36" s="18">
        <v>0.0</v>
      </c>
      <c r="DA36" s="18">
        <v>0.0</v>
      </c>
      <c r="DB36" s="18">
        <v>0.0</v>
      </c>
      <c r="DC36" s="18">
        <v>1.0</v>
      </c>
      <c r="DD36" s="18">
        <v>0.0</v>
      </c>
      <c r="DE36" s="18">
        <v>1.0</v>
      </c>
      <c r="DF36" s="18">
        <v>0.0</v>
      </c>
      <c r="DG36" s="18">
        <v>1.0</v>
      </c>
      <c r="DH36" s="18">
        <v>2.0</v>
      </c>
      <c r="DI36" s="18">
        <v>1.0</v>
      </c>
      <c r="DJ36" s="18">
        <v>0.0</v>
      </c>
      <c r="DK36" s="18">
        <v>0.0</v>
      </c>
      <c r="DL36" s="18">
        <v>0.0</v>
      </c>
      <c r="DM36" s="18">
        <v>0.0</v>
      </c>
      <c r="DN36" s="18">
        <v>1.0</v>
      </c>
      <c r="DO36" s="18">
        <v>1.0</v>
      </c>
      <c r="DP36" s="18">
        <v>1.0</v>
      </c>
      <c r="DQ36" s="18">
        <v>0.0</v>
      </c>
      <c r="DR36" s="18">
        <v>0.0</v>
      </c>
      <c r="DS36" s="18">
        <v>0.0</v>
      </c>
      <c r="DT36" s="18">
        <v>0.0</v>
      </c>
      <c r="DU36" s="18">
        <v>0.0</v>
      </c>
      <c r="DV36" s="18">
        <v>0.0</v>
      </c>
      <c r="DW36" s="18">
        <v>0.0</v>
      </c>
      <c r="DX36" s="18">
        <v>0.0</v>
      </c>
      <c r="DY36" s="18">
        <v>0.0</v>
      </c>
      <c r="DZ36" s="18">
        <v>0.0</v>
      </c>
      <c r="EA36" s="18">
        <v>1.0</v>
      </c>
      <c r="EB36" s="18">
        <v>0.0</v>
      </c>
      <c r="EC36" s="18">
        <v>0.0</v>
      </c>
      <c r="ED36" s="18">
        <v>0.0</v>
      </c>
      <c r="EE36" s="18">
        <v>0.0</v>
      </c>
      <c r="EF36" s="18">
        <v>0.0</v>
      </c>
      <c r="EG36" s="18">
        <v>0.0</v>
      </c>
      <c r="EH36" s="18">
        <v>0.0</v>
      </c>
      <c r="EI36" s="18">
        <v>0.0</v>
      </c>
      <c r="EJ36" s="18">
        <v>0.0</v>
      </c>
      <c r="EK36" s="18">
        <v>0.0</v>
      </c>
      <c r="EL36" s="18">
        <v>0.0</v>
      </c>
      <c r="EM36" s="18">
        <v>0.0</v>
      </c>
      <c r="EN36" s="18">
        <v>0.0</v>
      </c>
      <c r="EO36" s="18">
        <v>0.0</v>
      </c>
      <c r="EP36" s="18">
        <v>0.0</v>
      </c>
      <c r="EQ36" s="18">
        <v>0.0</v>
      </c>
      <c r="ER36" s="18">
        <v>0.0</v>
      </c>
      <c r="ES36" s="18">
        <v>0.0</v>
      </c>
      <c r="ET36" s="18">
        <v>0.0</v>
      </c>
      <c r="EU36" s="18">
        <v>0.0</v>
      </c>
      <c r="EV36" s="18">
        <v>0.0</v>
      </c>
      <c r="EW36" s="18">
        <v>0.0</v>
      </c>
      <c r="EX36" s="18">
        <v>0.0</v>
      </c>
      <c r="EY36" s="18">
        <v>0.0</v>
      </c>
      <c r="EZ36" s="18">
        <v>0.0</v>
      </c>
      <c r="FA36" s="18">
        <v>0.0</v>
      </c>
      <c r="FB36" s="18">
        <v>0.0</v>
      </c>
      <c r="FC36" s="18">
        <v>0.0</v>
      </c>
      <c r="FD36" s="19">
        <f t="shared" si="1"/>
        <v>11</v>
      </c>
    </row>
    <row r="37" ht="19.5" customHeight="1">
      <c r="A37" s="20" t="s">
        <v>175</v>
      </c>
      <c r="B37" s="18">
        <v>0.0</v>
      </c>
      <c r="C37" s="18">
        <v>1.0</v>
      </c>
      <c r="D37" s="18">
        <v>2.0</v>
      </c>
      <c r="E37" s="18">
        <v>0.0</v>
      </c>
      <c r="F37" s="18">
        <v>1.0</v>
      </c>
      <c r="G37" s="18">
        <v>3.0</v>
      </c>
      <c r="H37" s="18">
        <v>0.0</v>
      </c>
      <c r="I37" s="18">
        <v>1.0</v>
      </c>
      <c r="J37" s="18">
        <v>0.0</v>
      </c>
      <c r="K37" s="18">
        <v>0.0</v>
      </c>
      <c r="L37" s="18">
        <v>0.0</v>
      </c>
      <c r="M37" s="18">
        <v>0.0</v>
      </c>
      <c r="N37" s="18">
        <v>1.0</v>
      </c>
      <c r="O37" s="18">
        <v>0.0</v>
      </c>
      <c r="P37" s="18">
        <v>0.0</v>
      </c>
      <c r="Q37" s="18">
        <v>0.0</v>
      </c>
      <c r="R37" s="18">
        <v>0.0</v>
      </c>
      <c r="S37" s="18">
        <v>0.0</v>
      </c>
      <c r="T37" s="18">
        <v>0.0</v>
      </c>
      <c r="U37" s="18">
        <v>0.0</v>
      </c>
      <c r="V37" s="18">
        <v>0.0</v>
      </c>
      <c r="W37" s="18">
        <v>0.0</v>
      </c>
      <c r="X37" s="18">
        <v>0.0</v>
      </c>
      <c r="Y37" s="18">
        <v>0.0</v>
      </c>
      <c r="Z37" s="18">
        <v>2.0</v>
      </c>
      <c r="AA37" s="18">
        <v>0.0</v>
      </c>
      <c r="AB37" s="18">
        <v>1.0</v>
      </c>
      <c r="AC37" s="18">
        <v>0.0</v>
      </c>
      <c r="AD37" s="18">
        <v>0.0</v>
      </c>
      <c r="AE37" s="18">
        <v>0.0</v>
      </c>
      <c r="AF37" s="18">
        <v>0.0</v>
      </c>
      <c r="AG37" s="18">
        <v>1.0</v>
      </c>
      <c r="AH37" s="18">
        <v>1.0</v>
      </c>
      <c r="AI37" s="18">
        <v>0.0</v>
      </c>
      <c r="AJ37" s="18">
        <v>0.0</v>
      </c>
      <c r="AK37" s="18">
        <v>0.0</v>
      </c>
      <c r="AL37" s="18">
        <v>1.0</v>
      </c>
      <c r="AM37" s="18">
        <v>1.0</v>
      </c>
      <c r="AN37" s="18">
        <v>0.0</v>
      </c>
      <c r="AO37" s="18">
        <v>0.0</v>
      </c>
      <c r="AP37" s="18">
        <v>0.0</v>
      </c>
      <c r="AQ37" s="18">
        <v>0.0</v>
      </c>
      <c r="AR37" s="18">
        <v>0.0</v>
      </c>
      <c r="AS37" s="18">
        <v>1.0</v>
      </c>
      <c r="AT37" s="18">
        <v>0.0</v>
      </c>
      <c r="AU37" s="18">
        <v>1.0</v>
      </c>
      <c r="AV37" s="18">
        <v>1.0</v>
      </c>
      <c r="AW37" s="18">
        <v>0.0</v>
      </c>
      <c r="AX37" s="18">
        <v>0.0</v>
      </c>
      <c r="AY37" s="18">
        <v>0.0</v>
      </c>
      <c r="AZ37" s="18">
        <v>0.0</v>
      </c>
      <c r="BA37" s="18">
        <v>0.0</v>
      </c>
      <c r="BB37" s="18">
        <v>0.0</v>
      </c>
      <c r="BC37" s="18">
        <v>2.0</v>
      </c>
      <c r="BD37" s="18">
        <v>0.0</v>
      </c>
      <c r="BE37" s="18">
        <v>0.0</v>
      </c>
      <c r="BF37" s="18">
        <v>0.0</v>
      </c>
      <c r="BG37" s="18">
        <v>0.0</v>
      </c>
      <c r="BH37" s="18">
        <v>2.0</v>
      </c>
      <c r="BI37" s="18">
        <v>0.0</v>
      </c>
      <c r="BJ37" s="18">
        <v>0.0</v>
      </c>
      <c r="BK37" s="18">
        <v>0.0</v>
      </c>
      <c r="BL37" s="18">
        <v>0.0</v>
      </c>
      <c r="BM37" s="18">
        <v>0.0</v>
      </c>
      <c r="BN37" s="18">
        <v>0.0</v>
      </c>
      <c r="BO37" s="18">
        <v>0.0</v>
      </c>
      <c r="BP37" s="18">
        <v>0.0</v>
      </c>
      <c r="BQ37" s="18">
        <v>1.0</v>
      </c>
      <c r="BR37" s="18">
        <v>0.0</v>
      </c>
      <c r="BS37" s="18">
        <v>1.0</v>
      </c>
      <c r="BT37" s="18">
        <v>0.0</v>
      </c>
      <c r="BU37" s="18">
        <v>0.0</v>
      </c>
      <c r="BV37" s="18">
        <v>0.0</v>
      </c>
      <c r="BW37" s="18">
        <v>1.0</v>
      </c>
      <c r="BX37" s="18">
        <v>0.0</v>
      </c>
      <c r="BY37" s="18">
        <v>0.0</v>
      </c>
      <c r="BZ37" s="18">
        <v>0.0</v>
      </c>
      <c r="CA37" s="18">
        <v>0.0</v>
      </c>
      <c r="CB37" s="18">
        <v>1.0</v>
      </c>
      <c r="CC37" s="18">
        <v>0.0</v>
      </c>
      <c r="CD37" s="18">
        <v>0.0</v>
      </c>
      <c r="CE37" s="18">
        <v>1.0</v>
      </c>
      <c r="CF37" s="18">
        <v>1.0</v>
      </c>
      <c r="CG37" s="18">
        <v>0.0</v>
      </c>
      <c r="CH37" s="18">
        <v>0.0</v>
      </c>
      <c r="CI37" s="18">
        <v>0.0</v>
      </c>
      <c r="CJ37" s="18">
        <v>0.0</v>
      </c>
      <c r="CK37" s="18">
        <v>0.0</v>
      </c>
      <c r="CL37" s="18">
        <v>0.0</v>
      </c>
      <c r="CM37" s="18">
        <v>1.0</v>
      </c>
      <c r="CN37" s="18">
        <v>1.0</v>
      </c>
      <c r="CO37" s="18">
        <v>0.0</v>
      </c>
      <c r="CP37" s="18">
        <v>1.0</v>
      </c>
      <c r="CQ37" s="18">
        <v>1.0</v>
      </c>
      <c r="CR37" s="18">
        <v>0.0</v>
      </c>
      <c r="CS37" s="18">
        <v>0.0</v>
      </c>
      <c r="CT37" s="18">
        <v>0.0</v>
      </c>
      <c r="CU37" s="18">
        <v>0.0</v>
      </c>
      <c r="CV37" s="18">
        <v>0.0</v>
      </c>
      <c r="CW37" s="18">
        <v>5.0</v>
      </c>
      <c r="CX37" s="18">
        <v>0.0</v>
      </c>
      <c r="CY37" s="18">
        <v>0.0</v>
      </c>
      <c r="CZ37" s="18">
        <v>1.0</v>
      </c>
      <c r="DA37" s="18">
        <v>0.0</v>
      </c>
      <c r="DB37" s="18">
        <v>0.0</v>
      </c>
      <c r="DC37" s="18">
        <v>0.0</v>
      </c>
      <c r="DD37" s="18">
        <v>0.0</v>
      </c>
      <c r="DE37" s="18">
        <v>0.0</v>
      </c>
      <c r="DF37" s="18">
        <v>0.0</v>
      </c>
      <c r="DG37" s="18">
        <v>0.0</v>
      </c>
      <c r="DH37" s="18">
        <v>0.0</v>
      </c>
      <c r="DI37" s="18">
        <v>0.0</v>
      </c>
      <c r="DJ37" s="18">
        <v>0.0</v>
      </c>
      <c r="DK37" s="18">
        <v>0.0</v>
      </c>
      <c r="DL37" s="18">
        <v>0.0</v>
      </c>
      <c r="DM37" s="18">
        <v>0.0</v>
      </c>
      <c r="DN37" s="18">
        <v>0.0</v>
      </c>
      <c r="DO37" s="18">
        <v>1.0</v>
      </c>
      <c r="DP37" s="18">
        <v>0.0</v>
      </c>
      <c r="DQ37" s="18">
        <v>1.0</v>
      </c>
      <c r="DR37" s="18">
        <v>0.0</v>
      </c>
      <c r="DS37" s="18">
        <v>0.0</v>
      </c>
      <c r="DT37" s="18">
        <v>1.0</v>
      </c>
      <c r="DU37" s="18">
        <v>1.0</v>
      </c>
      <c r="DV37" s="18">
        <v>0.0</v>
      </c>
      <c r="DW37" s="18">
        <v>0.0</v>
      </c>
      <c r="DX37" s="18">
        <v>0.0</v>
      </c>
      <c r="DY37" s="18">
        <v>0.0</v>
      </c>
      <c r="DZ37" s="18">
        <v>0.0</v>
      </c>
      <c r="EA37" s="18">
        <v>0.0</v>
      </c>
      <c r="EB37" s="18">
        <v>0.0</v>
      </c>
      <c r="EC37" s="18">
        <v>1.0</v>
      </c>
      <c r="ED37" s="18">
        <v>2.0</v>
      </c>
      <c r="EE37" s="18">
        <v>0.0</v>
      </c>
      <c r="EF37" s="18">
        <v>0.0</v>
      </c>
      <c r="EG37" s="18">
        <v>0.0</v>
      </c>
      <c r="EH37" s="18">
        <v>0.0</v>
      </c>
      <c r="EI37" s="18">
        <v>0.0</v>
      </c>
      <c r="EJ37" s="18">
        <v>0.0</v>
      </c>
      <c r="EK37" s="18">
        <v>0.0</v>
      </c>
      <c r="EL37" s="18">
        <v>0.0</v>
      </c>
      <c r="EM37" s="18">
        <v>0.0</v>
      </c>
      <c r="EN37" s="18">
        <v>0.0</v>
      </c>
      <c r="EO37" s="18">
        <v>0.0</v>
      </c>
      <c r="EP37" s="18">
        <v>0.0</v>
      </c>
      <c r="EQ37" s="18">
        <v>0.0</v>
      </c>
      <c r="ER37" s="18">
        <v>0.0</v>
      </c>
      <c r="ES37" s="18">
        <v>0.0</v>
      </c>
      <c r="ET37" s="18">
        <v>0.0</v>
      </c>
      <c r="EU37" s="18">
        <v>0.0</v>
      </c>
      <c r="EV37" s="18">
        <v>0.0</v>
      </c>
      <c r="EW37" s="18">
        <v>0.0</v>
      </c>
      <c r="EX37" s="18">
        <v>1.0</v>
      </c>
      <c r="EY37" s="18">
        <v>0.0</v>
      </c>
      <c r="EZ37" s="18">
        <v>0.0</v>
      </c>
      <c r="FA37" s="18">
        <v>0.0</v>
      </c>
      <c r="FB37" s="18">
        <v>0.0</v>
      </c>
      <c r="FC37" s="18">
        <v>0.0</v>
      </c>
      <c r="FD37" s="19">
        <f t="shared" si="1"/>
        <v>47</v>
      </c>
    </row>
    <row r="38" ht="19.5" customHeight="1">
      <c r="A38" s="20" t="s">
        <v>176</v>
      </c>
      <c r="B38" s="18">
        <v>0.0</v>
      </c>
      <c r="C38" s="18">
        <v>0.0</v>
      </c>
      <c r="D38" s="18">
        <v>1.0</v>
      </c>
      <c r="E38" s="18">
        <v>1.0</v>
      </c>
      <c r="F38" s="18">
        <v>0.0</v>
      </c>
      <c r="G38" s="18">
        <v>2.0</v>
      </c>
      <c r="H38" s="18">
        <v>0.0</v>
      </c>
      <c r="I38" s="18">
        <v>1.0</v>
      </c>
      <c r="J38" s="18">
        <v>0.0</v>
      </c>
      <c r="K38" s="18">
        <v>0.0</v>
      </c>
      <c r="L38" s="18">
        <v>1.0</v>
      </c>
      <c r="M38" s="18">
        <v>0.0</v>
      </c>
      <c r="N38" s="18">
        <v>0.0</v>
      </c>
      <c r="O38" s="18">
        <v>1.0</v>
      </c>
      <c r="P38" s="18">
        <v>0.0</v>
      </c>
      <c r="Q38" s="18">
        <v>0.0</v>
      </c>
      <c r="R38" s="18">
        <v>0.0</v>
      </c>
      <c r="S38" s="18">
        <v>0.0</v>
      </c>
      <c r="T38" s="18">
        <v>0.0</v>
      </c>
      <c r="U38" s="18">
        <v>0.0</v>
      </c>
      <c r="V38" s="18">
        <v>0.0</v>
      </c>
      <c r="W38" s="18">
        <v>0.0</v>
      </c>
      <c r="X38" s="18">
        <v>0.0</v>
      </c>
      <c r="Y38" s="18">
        <v>1.0</v>
      </c>
      <c r="Z38" s="18">
        <v>0.0</v>
      </c>
      <c r="AA38" s="18">
        <v>0.0</v>
      </c>
      <c r="AB38" s="18">
        <v>0.0</v>
      </c>
      <c r="AC38" s="18">
        <v>1.0</v>
      </c>
      <c r="AD38" s="18">
        <v>0.0</v>
      </c>
      <c r="AE38" s="18">
        <v>0.0</v>
      </c>
      <c r="AF38" s="18">
        <v>0.0</v>
      </c>
      <c r="AG38" s="18">
        <v>0.0</v>
      </c>
      <c r="AH38" s="18">
        <v>0.0</v>
      </c>
      <c r="AI38" s="18">
        <v>0.0</v>
      </c>
      <c r="AJ38" s="18">
        <v>1.0</v>
      </c>
      <c r="AK38" s="18">
        <v>0.0</v>
      </c>
      <c r="AL38" s="18">
        <v>0.0</v>
      </c>
      <c r="AM38" s="18">
        <v>0.0</v>
      </c>
      <c r="AN38" s="18">
        <v>0.0</v>
      </c>
      <c r="AO38" s="18">
        <v>0.0</v>
      </c>
      <c r="AP38" s="18">
        <v>0.0</v>
      </c>
      <c r="AQ38" s="18">
        <v>0.0</v>
      </c>
      <c r="AR38" s="18">
        <v>0.0</v>
      </c>
      <c r="AS38" s="18">
        <v>0.0</v>
      </c>
      <c r="AT38" s="18">
        <v>1.0</v>
      </c>
      <c r="AU38" s="18">
        <v>1.0</v>
      </c>
      <c r="AV38" s="18">
        <v>0.0</v>
      </c>
      <c r="AW38" s="18">
        <v>0.0</v>
      </c>
      <c r="AX38" s="18">
        <v>1.0</v>
      </c>
      <c r="AY38" s="18">
        <v>1.0</v>
      </c>
      <c r="AZ38" s="18">
        <v>0.0</v>
      </c>
      <c r="BA38" s="18">
        <v>0.0</v>
      </c>
      <c r="BB38" s="18">
        <v>1.0</v>
      </c>
      <c r="BC38" s="18">
        <v>0.0</v>
      </c>
      <c r="BD38" s="18">
        <v>1.0</v>
      </c>
      <c r="BE38" s="18">
        <v>0.0</v>
      </c>
      <c r="BF38" s="18">
        <v>1.0</v>
      </c>
      <c r="BG38" s="18">
        <v>0.0</v>
      </c>
      <c r="BH38" s="18">
        <v>0.0</v>
      </c>
      <c r="BI38" s="18">
        <v>0.0</v>
      </c>
      <c r="BJ38" s="18">
        <v>0.0</v>
      </c>
      <c r="BK38" s="18">
        <v>0.0</v>
      </c>
      <c r="BL38" s="18">
        <v>0.0</v>
      </c>
      <c r="BM38" s="18">
        <v>1.0</v>
      </c>
      <c r="BN38" s="18">
        <v>0.0</v>
      </c>
      <c r="BO38" s="18">
        <v>0.0</v>
      </c>
      <c r="BP38" s="18">
        <v>0.0</v>
      </c>
      <c r="BQ38" s="18">
        <v>0.0</v>
      </c>
      <c r="BR38" s="18">
        <v>0.0</v>
      </c>
      <c r="BS38" s="18">
        <v>0.0</v>
      </c>
      <c r="BT38" s="18">
        <v>0.0</v>
      </c>
      <c r="BU38" s="18">
        <v>0.0</v>
      </c>
      <c r="BV38" s="18">
        <v>0.0</v>
      </c>
      <c r="BW38" s="18">
        <v>0.0</v>
      </c>
      <c r="BX38" s="18">
        <v>0.0</v>
      </c>
      <c r="BY38" s="18">
        <v>0.0</v>
      </c>
      <c r="BZ38" s="18">
        <v>0.0</v>
      </c>
      <c r="CA38" s="18">
        <v>0.0</v>
      </c>
      <c r="CB38" s="18">
        <v>0.0</v>
      </c>
      <c r="CC38" s="18">
        <v>0.0</v>
      </c>
      <c r="CD38" s="18">
        <v>0.0</v>
      </c>
      <c r="CE38" s="18">
        <v>0.0</v>
      </c>
      <c r="CF38" s="18">
        <v>0.0</v>
      </c>
      <c r="CG38" s="18">
        <v>0.0</v>
      </c>
      <c r="CH38" s="18">
        <v>0.0</v>
      </c>
      <c r="CI38" s="18">
        <v>0.0</v>
      </c>
      <c r="CJ38" s="18">
        <v>0.0</v>
      </c>
      <c r="CK38" s="18">
        <v>0.0</v>
      </c>
      <c r="CL38" s="18">
        <v>0.0</v>
      </c>
      <c r="CM38" s="18">
        <v>0.0</v>
      </c>
      <c r="CN38" s="18">
        <v>0.0</v>
      </c>
      <c r="CO38" s="18">
        <v>0.0</v>
      </c>
      <c r="CP38" s="18">
        <v>0.0</v>
      </c>
      <c r="CQ38" s="18">
        <v>0.0</v>
      </c>
      <c r="CR38" s="18">
        <v>0.0</v>
      </c>
      <c r="CS38" s="18">
        <v>0.0</v>
      </c>
      <c r="CT38" s="18">
        <v>0.0</v>
      </c>
      <c r="CU38" s="18">
        <v>0.0</v>
      </c>
      <c r="CV38" s="18">
        <v>0.0</v>
      </c>
      <c r="CW38" s="18">
        <v>1.0</v>
      </c>
      <c r="CX38" s="18">
        <v>0.0</v>
      </c>
      <c r="CY38" s="18">
        <v>0.0</v>
      </c>
      <c r="CZ38" s="18">
        <v>1.0</v>
      </c>
      <c r="DA38" s="18">
        <v>1.0</v>
      </c>
      <c r="DB38" s="18">
        <v>0.0</v>
      </c>
      <c r="DC38" s="18">
        <v>0.0</v>
      </c>
      <c r="DD38" s="18">
        <v>0.0</v>
      </c>
      <c r="DE38" s="18">
        <v>0.0</v>
      </c>
      <c r="DF38" s="18">
        <v>0.0</v>
      </c>
      <c r="DG38" s="18">
        <v>0.0</v>
      </c>
      <c r="DH38" s="18">
        <v>0.0</v>
      </c>
      <c r="DI38" s="18">
        <v>0.0</v>
      </c>
      <c r="DJ38" s="18">
        <v>0.0</v>
      </c>
      <c r="DK38" s="18">
        <v>0.0</v>
      </c>
      <c r="DL38" s="18">
        <v>0.0</v>
      </c>
      <c r="DM38" s="18">
        <v>0.0</v>
      </c>
      <c r="DN38" s="18">
        <v>0.0</v>
      </c>
      <c r="DO38" s="18">
        <v>0.0</v>
      </c>
      <c r="DP38" s="18">
        <v>0.0</v>
      </c>
      <c r="DQ38" s="18">
        <v>0.0</v>
      </c>
      <c r="DR38" s="18">
        <v>0.0</v>
      </c>
      <c r="DS38" s="18">
        <v>0.0</v>
      </c>
      <c r="DT38" s="18">
        <v>0.0</v>
      </c>
      <c r="DU38" s="18">
        <v>0.0</v>
      </c>
      <c r="DV38" s="18">
        <v>0.0</v>
      </c>
      <c r="DW38" s="18">
        <v>0.0</v>
      </c>
      <c r="DX38" s="18">
        <v>0.0</v>
      </c>
      <c r="DY38" s="18">
        <v>0.0</v>
      </c>
      <c r="DZ38" s="18">
        <v>0.0</v>
      </c>
      <c r="EA38" s="18">
        <v>0.0</v>
      </c>
      <c r="EB38" s="18">
        <v>0.0</v>
      </c>
      <c r="EC38" s="18">
        <v>0.0</v>
      </c>
      <c r="ED38" s="18">
        <v>0.0</v>
      </c>
      <c r="EE38" s="18">
        <v>0.0</v>
      </c>
      <c r="EF38" s="18">
        <v>0.0</v>
      </c>
      <c r="EG38" s="18">
        <v>0.0</v>
      </c>
      <c r="EH38" s="18">
        <v>0.0</v>
      </c>
      <c r="EI38" s="18">
        <v>0.0</v>
      </c>
      <c r="EJ38" s="18">
        <v>0.0</v>
      </c>
      <c r="EK38" s="18">
        <v>0.0</v>
      </c>
      <c r="EL38" s="18">
        <v>0.0</v>
      </c>
      <c r="EM38" s="18">
        <v>0.0</v>
      </c>
      <c r="EN38" s="18">
        <v>0.0</v>
      </c>
      <c r="EO38" s="18">
        <v>0.0</v>
      </c>
      <c r="EP38" s="18">
        <v>0.0</v>
      </c>
      <c r="EQ38" s="18">
        <v>0.0</v>
      </c>
      <c r="ER38" s="18">
        <v>0.0</v>
      </c>
      <c r="ES38" s="18">
        <v>0.0</v>
      </c>
      <c r="ET38" s="18">
        <v>0.0</v>
      </c>
      <c r="EU38" s="18">
        <v>0.0</v>
      </c>
      <c r="EV38" s="18">
        <v>1.0</v>
      </c>
      <c r="EW38" s="18">
        <v>0.0</v>
      </c>
      <c r="EX38" s="18">
        <v>0.0</v>
      </c>
      <c r="EY38" s="18">
        <v>0.0</v>
      </c>
      <c r="EZ38" s="18">
        <v>0.0</v>
      </c>
      <c r="FA38" s="18">
        <v>0.0</v>
      </c>
      <c r="FB38" s="18">
        <v>0.0</v>
      </c>
      <c r="FC38" s="18">
        <v>0.0</v>
      </c>
      <c r="FD38" s="19">
        <f t="shared" si="1"/>
        <v>22</v>
      </c>
    </row>
    <row r="39" ht="19.5" customHeight="1">
      <c r="A39" s="20" t="s">
        <v>177</v>
      </c>
      <c r="B39" s="18">
        <v>0.0</v>
      </c>
      <c r="C39" s="18">
        <v>1.0</v>
      </c>
      <c r="D39" s="18">
        <v>0.0</v>
      </c>
      <c r="E39" s="18">
        <v>0.0</v>
      </c>
      <c r="F39" s="18">
        <v>0.0</v>
      </c>
      <c r="G39" s="18">
        <v>0.0</v>
      </c>
      <c r="H39" s="18">
        <v>1.0</v>
      </c>
      <c r="I39" s="18">
        <v>0.0</v>
      </c>
      <c r="J39" s="18">
        <v>1.0</v>
      </c>
      <c r="K39" s="18">
        <v>0.0</v>
      </c>
      <c r="L39" s="18">
        <v>1.0</v>
      </c>
      <c r="M39" s="18">
        <v>0.0</v>
      </c>
      <c r="N39" s="18">
        <v>1.0</v>
      </c>
      <c r="O39" s="18">
        <v>1.0</v>
      </c>
      <c r="P39" s="18">
        <v>0.0</v>
      </c>
      <c r="Q39" s="18">
        <v>0.0</v>
      </c>
      <c r="R39" s="18">
        <v>0.0</v>
      </c>
      <c r="S39" s="18">
        <v>0.0</v>
      </c>
      <c r="T39" s="18">
        <v>0.0</v>
      </c>
      <c r="U39" s="18">
        <v>0.0</v>
      </c>
      <c r="V39" s="18">
        <v>0.0</v>
      </c>
      <c r="W39" s="18">
        <v>1.0</v>
      </c>
      <c r="X39" s="18">
        <v>0.0</v>
      </c>
      <c r="Y39" s="18">
        <v>1.0</v>
      </c>
      <c r="Z39" s="18">
        <v>0.0</v>
      </c>
      <c r="AA39" s="18">
        <v>0.0</v>
      </c>
      <c r="AB39" s="18">
        <v>0.0</v>
      </c>
      <c r="AC39" s="18">
        <v>0.0</v>
      </c>
      <c r="AD39" s="18">
        <v>0.0</v>
      </c>
      <c r="AE39" s="18">
        <v>1.0</v>
      </c>
      <c r="AF39" s="18">
        <v>0.0</v>
      </c>
      <c r="AG39" s="18">
        <v>0.0</v>
      </c>
      <c r="AH39" s="18">
        <v>0.0</v>
      </c>
      <c r="AI39" s="18">
        <v>0.0</v>
      </c>
      <c r="AJ39" s="18">
        <v>0.0</v>
      </c>
      <c r="AK39" s="18">
        <v>0.0</v>
      </c>
      <c r="AL39" s="18">
        <v>1.0</v>
      </c>
      <c r="AM39" s="18">
        <v>0.0</v>
      </c>
      <c r="AN39" s="18">
        <v>1.0</v>
      </c>
      <c r="AO39" s="18">
        <v>0.0</v>
      </c>
      <c r="AP39" s="18">
        <v>0.0</v>
      </c>
      <c r="AQ39" s="18">
        <v>0.0</v>
      </c>
      <c r="AR39" s="18">
        <v>0.0</v>
      </c>
      <c r="AS39" s="18">
        <v>0.0</v>
      </c>
      <c r="AT39" s="18">
        <v>1.0</v>
      </c>
      <c r="AU39" s="18">
        <v>0.0</v>
      </c>
      <c r="AV39" s="18">
        <v>0.0</v>
      </c>
      <c r="AW39" s="18">
        <v>0.0</v>
      </c>
      <c r="AX39" s="18">
        <v>0.0</v>
      </c>
      <c r="AY39" s="18">
        <v>0.0</v>
      </c>
      <c r="AZ39" s="18">
        <v>0.0</v>
      </c>
      <c r="BA39" s="18">
        <v>0.0</v>
      </c>
      <c r="BB39" s="18">
        <v>0.0</v>
      </c>
      <c r="BC39" s="18">
        <v>0.0</v>
      </c>
      <c r="BD39" s="18">
        <v>1.0</v>
      </c>
      <c r="BE39" s="18">
        <v>0.0</v>
      </c>
      <c r="BF39" s="18">
        <v>0.0</v>
      </c>
      <c r="BG39" s="18">
        <v>0.0</v>
      </c>
      <c r="BH39" s="18">
        <v>1.0</v>
      </c>
      <c r="BI39" s="18">
        <v>0.0</v>
      </c>
      <c r="BJ39" s="18">
        <v>0.0</v>
      </c>
      <c r="BK39" s="18">
        <v>0.0</v>
      </c>
      <c r="BL39" s="18">
        <v>0.0</v>
      </c>
      <c r="BM39" s="18">
        <v>1.0</v>
      </c>
      <c r="BN39" s="18">
        <v>0.0</v>
      </c>
      <c r="BO39" s="18">
        <v>0.0</v>
      </c>
      <c r="BP39" s="18">
        <v>0.0</v>
      </c>
      <c r="BQ39" s="18">
        <v>0.0</v>
      </c>
      <c r="BR39" s="18">
        <v>0.0</v>
      </c>
      <c r="BS39" s="18">
        <v>0.0</v>
      </c>
      <c r="BT39" s="18">
        <v>0.0</v>
      </c>
      <c r="BU39" s="18">
        <v>0.0</v>
      </c>
      <c r="BV39" s="18">
        <v>0.0</v>
      </c>
      <c r="BW39" s="18">
        <v>0.0</v>
      </c>
      <c r="BX39" s="18">
        <v>0.0</v>
      </c>
      <c r="BY39" s="18">
        <v>0.0</v>
      </c>
      <c r="BZ39" s="18">
        <v>0.0</v>
      </c>
      <c r="CA39" s="18">
        <v>0.0</v>
      </c>
      <c r="CB39" s="18">
        <v>0.0</v>
      </c>
      <c r="CC39" s="18">
        <v>0.0</v>
      </c>
      <c r="CD39" s="18">
        <v>0.0</v>
      </c>
      <c r="CE39" s="18">
        <v>0.0</v>
      </c>
      <c r="CF39" s="18">
        <v>0.0</v>
      </c>
      <c r="CG39" s="18">
        <v>1.0</v>
      </c>
      <c r="CH39" s="18">
        <v>0.0</v>
      </c>
      <c r="CI39" s="18">
        <v>0.0</v>
      </c>
      <c r="CJ39" s="18">
        <v>0.0</v>
      </c>
      <c r="CK39" s="18">
        <v>0.0</v>
      </c>
      <c r="CL39" s="18">
        <v>0.0</v>
      </c>
      <c r="CM39" s="18">
        <v>0.0</v>
      </c>
      <c r="CN39" s="18">
        <v>0.0</v>
      </c>
      <c r="CO39" s="18">
        <v>1.0</v>
      </c>
      <c r="CP39" s="18">
        <v>0.0</v>
      </c>
      <c r="CQ39" s="18">
        <v>0.0</v>
      </c>
      <c r="CR39" s="18">
        <v>0.0</v>
      </c>
      <c r="CS39" s="18">
        <v>0.0</v>
      </c>
      <c r="CT39" s="18">
        <v>0.0</v>
      </c>
      <c r="CU39" s="18">
        <v>0.0</v>
      </c>
      <c r="CV39" s="18">
        <v>1.0</v>
      </c>
      <c r="CW39" s="18">
        <v>4.0</v>
      </c>
      <c r="CX39" s="18">
        <v>0.0</v>
      </c>
      <c r="CY39" s="18">
        <v>0.0</v>
      </c>
      <c r="CZ39" s="18">
        <v>0.0</v>
      </c>
      <c r="DA39" s="18">
        <v>0.0</v>
      </c>
      <c r="DB39" s="18">
        <v>0.0</v>
      </c>
      <c r="DC39" s="18">
        <v>0.0</v>
      </c>
      <c r="DD39" s="18">
        <v>1.0</v>
      </c>
      <c r="DE39" s="18">
        <v>0.0</v>
      </c>
      <c r="DF39" s="18">
        <v>0.0</v>
      </c>
      <c r="DG39" s="18">
        <v>0.0</v>
      </c>
      <c r="DH39" s="18">
        <v>0.0</v>
      </c>
      <c r="DI39" s="18">
        <v>0.0</v>
      </c>
      <c r="DJ39" s="18">
        <v>0.0</v>
      </c>
      <c r="DK39" s="18">
        <v>1.0</v>
      </c>
      <c r="DL39" s="18">
        <v>1.0</v>
      </c>
      <c r="DM39" s="18">
        <v>0.0</v>
      </c>
      <c r="DN39" s="18">
        <v>0.0</v>
      </c>
      <c r="DO39" s="18">
        <v>0.0</v>
      </c>
      <c r="DP39" s="18">
        <v>0.0</v>
      </c>
      <c r="DQ39" s="18">
        <v>0.0</v>
      </c>
      <c r="DR39" s="18">
        <v>0.0</v>
      </c>
      <c r="DS39" s="18">
        <v>0.0</v>
      </c>
      <c r="DT39" s="18">
        <v>0.0</v>
      </c>
      <c r="DU39" s="18">
        <v>0.0</v>
      </c>
      <c r="DV39" s="18">
        <v>0.0</v>
      </c>
      <c r="DW39" s="18">
        <v>0.0</v>
      </c>
      <c r="DX39" s="18">
        <v>0.0</v>
      </c>
      <c r="DY39" s="18">
        <v>0.0</v>
      </c>
      <c r="DZ39" s="18">
        <v>0.0</v>
      </c>
      <c r="EA39" s="18">
        <v>0.0</v>
      </c>
      <c r="EB39" s="18">
        <v>0.0</v>
      </c>
      <c r="EC39" s="18">
        <v>0.0</v>
      </c>
      <c r="ED39" s="18">
        <v>1.0</v>
      </c>
      <c r="EE39" s="18">
        <v>0.0</v>
      </c>
      <c r="EF39" s="18">
        <v>0.0</v>
      </c>
      <c r="EG39" s="18">
        <v>0.0</v>
      </c>
      <c r="EH39" s="18">
        <v>0.0</v>
      </c>
      <c r="EI39" s="18">
        <v>0.0</v>
      </c>
      <c r="EJ39" s="18">
        <v>0.0</v>
      </c>
      <c r="EK39" s="18">
        <v>0.0</v>
      </c>
      <c r="EL39" s="18">
        <v>0.0</v>
      </c>
      <c r="EM39" s="18">
        <v>0.0</v>
      </c>
      <c r="EN39" s="18">
        <v>0.0</v>
      </c>
      <c r="EO39" s="18">
        <v>0.0</v>
      </c>
      <c r="EP39" s="18">
        <v>0.0</v>
      </c>
      <c r="EQ39" s="18">
        <v>0.0</v>
      </c>
      <c r="ER39" s="18">
        <v>0.0</v>
      </c>
      <c r="ES39" s="18">
        <v>0.0</v>
      </c>
      <c r="ET39" s="18">
        <v>0.0</v>
      </c>
      <c r="EU39" s="18">
        <v>0.0</v>
      </c>
      <c r="EV39" s="18">
        <v>0.0</v>
      </c>
      <c r="EW39" s="18">
        <v>0.0</v>
      </c>
      <c r="EX39" s="18">
        <v>0.0</v>
      </c>
      <c r="EY39" s="18">
        <v>0.0</v>
      </c>
      <c r="EZ39" s="18">
        <v>0.0</v>
      </c>
      <c r="FA39" s="18">
        <v>0.0</v>
      </c>
      <c r="FB39" s="18">
        <v>0.0</v>
      </c>
      <c r="FC39" s="18">
        <v>0.0</v>
      </c>
      <c r="FD39" s="19">
        <f t="shared" si="1"/>
        <v>26</v>
      </c>
    </row>
    <row r="40" ht="19.5" customHeight="1">
      <c r="A40" s="20" t="s">
        <v>178</v>
      </c>
      <c r="B40" s="18">
        <v>0.0</v>
      </c>
      <c r="C40" s="18">
        <v>2.0</v>
      </c>
      <c r="D40" s="18">
        <v>2.0</v>
      </c>
      <c r="E40" s="18">
        <v>5.0</v>
      </c>
      <c r="F40" s="18">
        <v>3.0</v>
      </c>
      <c r="G40" s="18">
        <v>2.0</v>
      </c>
      <c r="H40" s="18">
        <v>1.0</v>
      </c>
      <c r="I40" s="18">
        <v>1.0</v>
      </c>
      <c r="J40" s="18">
        <v>1.0</v>
      </c>
      <c r="K40" s="18">
        <v>2.0</v>
      </c>
      <c r="L40" s="18">
        <v>3.0</v>
      </c>
      <c r="M40" s="18">
        <v>3.0</v>
      </c>
      <c r="N40" s="18">
        <v>6.0</v>
      </c>
      <c r="O40" s="18">
        <v>1.0</v>
      </c>
      <c r="P40" s="18">
        <v>0.0</v>
      </c>
      <c r="Q40" s="18">
        <v>0.0</v>
      </c>
      <c r="R40" s="18">
        <v>0.0</v>
      </c>
      <c r="S40" s="18">
        <v>0.0</v>
      </c>
      <c r="T40" s="18">
        <v>1.0</v>
      </c>
      <c r="U40" s="18">
        <v>1.0</v>
      </c>
      <c r="V40" s="18">
        <v>1.0</v>
      </c>
      <c r="W40" s="18">
        <v>0.0</v>
      </c>
      <c r="X40" s="18">
        <v>1.0</v>
      </c>
      <c r="Y40" s="18">
        <v>0.0</v>
      </c>
      <c r="Z40" s="18">
        <v>1.0</v>
      </c>
      <c r="AA40" s="18">
        <v>0.0</v>
      </c>
      <c r="AB40" s="18">
        <v>3.0</v>
      </c>
      <c r="AC40" s="18">
        <v>1.0</v>
      </c>
      <c r="AD40" s="18">
        <v>0.0</v>
      </c>
      <c r="AE40" s="18">
        <v>3.0</v>
      </c>
      <c r="AF40" s="18">
        <v>1.0</v>
      </c>
      <c r="AG40" s="18">
        <v>1.0</v>
      </c>
      <c r="AH40" s="18">
        <v>0.0</v>
      </c>
      <c r="AI40" s="18">
        <v>1.0</v>
      </c>
      <c r="AJ40" s="18">
        <v>0.0</v>
      </c>
      <c r="AK40" s="18">
        <v>1.0</v>
      </c>
      <c r="AL40" s="18">
        <v>3.0</v>
      </c>
      <c r="AM40" s="18">
        <v>1.0</v>
      </c>
      <c r="AN40" s="18">
        <v>0.0</v>
      </c>
      <c r="AO40" s="18">
        <v>0.0</v>
      </c>
      <c r="AP40" s="18">
        <v>2.0</v>
      </c>
      <c r="AQ40" s="18">
        <v>1.0</v>
      </c>
      <c r="AR40" s="18">
        <v>0.0</v>
      </c>
      <c r="AS40" s="18">
        <v>1.0</v>
      </c>
      <c r="AT40" s="18">
        <v>2.0</v>
      </c>
      <c r="AU40" s="18">
        <v>2.0</v>
      </c>
      <c r="AV40" s="18">
        <v>2.0</v>
      </c>
      <c r="AW40" s="18">
        <v>0.0</v>
      </c>
      <c r="AX40" s="18">
        <v>0.0</v>
      </c>
      <c r="AY40" s="18">
        <v>1.0</v>
      </c>
      <c r="AZ40" s="18">
        <v>2.0</v>
      </c>
      <c r="BA40" s="18">
        <v>1.0</v>
      </c>
      <c r="BB40" s="18">
        <v>0.0</v>
      </c>
      <c r="BC40" s="18">
        <v>1.0</v>
      </c>
      <c r="BD40" s="18">
        <v>3.0</v>
      </c>
      <c r="BE40" s="18">
        <v>2.0</v>
      </c>
      <c r="BF40" s="18">
        <v>1.0</v>
      </c>
      <c r="BG40" s="18">
        <v>2.0</v>
      </c>
      <c r="BH40" s="18">
        <v>4.0</v>
      </c>
      <c r="BI40" s="18">
        <v>2.0</v>
      </c>
      <c r="BJ40" s="18">
        <v>1.0</v>
      </c>
      <c r="BK40" s="18">
        <v>0.0</v>
      </c>
      <c r="BL40" s="18">
        <v>2.0</v>
      </c>
      <c r="BM40" s="18">
        <v>2.0</v>
      </c>
      <c r="BN40" s="18">
        <v>1.0</v>
      </c>
      <c r="BO40" s="18">
        <v>0.0</v>
      </c>
      <c r="BP40" s="18">
        <v>1.0</v>
      </c>
      <c r="BQ40" s="18">
        <v>1.0</v>
      </c>
      <c r="BR40" s="18">
        <v>2.0</v>
      </c>
      <c r="BS40" s="18">
        <v>2.0</v>
      </c>
      <c r="BT40" s="18">
        <v>1.0</v>
      </c>
      <c r="BU40" s="18">
        <v>1.0</v>
      </c>
      <c r="BV40" s="18">
        <v>0.0</v>
      </c>
      <c r="BW40" s="18">
        <v>0.0</v>
      </c>
      <c r="BX40" s="18">
        <v>1.0</v>
      </c>
      <c r="BY40" s="18">
        <v>0.0</v>
      </c>
      <c r="BZ40" s="18">
        <v>1.0</v>
      </c>
      <c r="CA40" s="18">
        <v>0.0</v>
      </c>
      <c r="CB40" s="18">
        <v>1.0</v>
      </c>
      <c r="CC40" s="18">
        <v>0.0</v>
      </c>
      <c r="CD40" s="18">
        <v>2.0</v>
      </c>
      <c r="CE40" s="18">
        <v>3.0</v>
      </c>
      <c r="CF40" s="18">
        <v>0.0</v>
      </c>
      <c r="CG40" s="18">
        <v>3.0</v>
      </c>
      <c r="CH40" s="18">
        <v>0.0</v>
      </c>
      <c r="CI40" s="18">
        <v>1.0</v>
      </c>
      <c r="CJ40" s="18">
        <v>0.0</v>
      </c>
      <c r="CK40" s="18">
        <v>0.0</v>
      </c>
      <c r="CL40" s="18">
        <v>0.0</v>
      </c>
      <c r="CM40" s="18">
        <v>0.0</v>
      </c>
      <c r="CN40" s="18">
        <v>1.0</v>
      </c>
      <c r="CO40" s="18">
        <v>0.0</v>
      </c>
      <c r="CP40" s="18">
        <v>1.0</v>
      </c>
      <c r="CQ40" s="18">
        <v>1.0</v>
      </c>
      <c r="CR40" s="18">
        <v>0.0</v>
      </c>
      <c r="CS40" s="18">
        <v>1.0</v>
      </c>
      <c r="CT40" s="18">
        <v>1.0</v>
      </c>
      <c r="CU40" s="18">
        <v>0.0</v>
      </c>
      <c r="CV40" s="18">
        <v>1.0</v>
      </c>
      <c r="CW40" s="18">
        <v>5.0</v>
      </c>
      <c r="CX40" s="18">
        <v>0.0</v>
      </c>
      <c r="CY40" s="18">
        <v>2.0</v>
      </c>
      <c r="CZ40" s="18">
        <v>0.0</v>
      </c>
      <c r="DA40" s="18">
        <v>0.0</v>
      </c>
      <c r="DB40" s="18">
        <v>1.0</v>
      </c>
      <c r="DC40" s="18">
        <v>1.0</v>
      </c>
      <c r="DD40" s="18">
        <v>1.0</v>
      </c>
      <c r="DE40" s="18">
        <v>2.0</v>
      </c>
      <c r="DF40" s="18">
        <v>0.0</v>
      </c>
      <c r="DG40" s="18">
        <v>0.0</v>
      </c>
      <c r="DH40" s="18">
        <v>0.0</v>
      </c>
      <c r="DI40" s="18">
        <v>1.0</v>
      </c>
      <c r="DJ40" s="18">
        <v>0.0</v>
      </c>
      <c r="DK40" s="18">
        <v>0.0</v>
      </c>
      <c r="DL40" s="18">
        <v>0.0</v>
      </c>
      <c r="DM40" s="18">
        <v>0.0</v>
      </c>
      <c r="DN40" s="18">
        <v>0.0</v>
      </c>
      <c r="DO40" s="18">
        <v>0.0</v>
      </c>
      <c r="DP40" s="18">
        <v>1.0</v>
      </c>
      <c r="DQ40" s="18">
        <v>1.0</v>
      </c>
      <c r="DR40" s="18">
        <v>1.0</v>
      </c>
      <c r="DS40" s="18">
        <v>0.0</v>
      </c>
      <c r="DT40" s="18">
        <v>0.0</v>
      </c>
      <c r="DU40" s="18">
        <v>1.0</v>
      </c>
      <c r="DV40" s="18">
        <v>1.0</v>
      </c>
      <c r="DW40" s="18">
        <v>1.0</v>
      </c>
      <c r="DX40" s="18">
        <v>0.0</v>
      </c>
      <c r="DY40" s="18">
        <v>1.0</v>
      </c>
      <c r="DZ40" s="18">
        <v>1.0</v>
      </c>
      <c r="EA40" s="18">
        <v>1.0</v>
      </c>
      <c r="EB40" s="18">
        <v>2.0</v>
      </c>
      <c r="EC40" s="18">
        <v>0.0</v>
      </c>
      <c r="ED40" s="18">
        <v>0.0</v>
      </c>
      <c r="EE40" s="18">
        <v>1.0</v>
      </c>
      <c r="EF40" s="18">
        <v>0.0</v>
      </c>
      <c r="EG40" s="18">
        <v>1.0</v>
      </c>
      <c r="EH40" s="18">
        <v>1.0</v>
      </c>
      <c r="EI40" s="18">
        <v>0.0</v>
      </c>
      <c r="EJ40" s="18">
        <v>1.0</v>
      </c>
      <c r="EK40" s="18">
        <v>1.0</v>
      </c>
      <c r="EL40" s="18">
        <v>2.0</v>
      </c>
      <c r="EM40" s="18">
        <v>1.0</v>
      </c>
      <c r="EN40" s="18">
        <v>1.0</v>
      </c>
      <c r="EO40" s="18">
        <v>0.0</v>
      </c>
      <c r="EP40" s="18">
        <v>1.0</v>
      </c>
      <c r="EQ40" s="18">
        <v>1.0</v>
      </c>
      <c r="ER40" s="18">
        <v>0.0</v>
      </c>
      <c r="ES40" s="18">
        <v>1.0</v>
      </c>
      <c r="ET40" s="18">
        <v>1.0</v>
      </c>
      <c r="EU40" s="18">
        <v>0.0</v>
      </c>
      <c r="EV40" s="18">
        <v>1.0</v>
      </c>
      <c r="EW40" s="18">
        <v>2.0</v>
      </c>
      <c r="EX40" s="18">
        <v>1.0</v>
      </c>
      <c r="EY40" s="18">
        <v>0.0</v>
      </c>
      <c r="EZ40" s="18">
        <v>0.0</v>
      </c>
      <c r="FA40" s="18">
        <v>6.0</v>
      </c>
      <c r="FB40" s="18">
        <v>0.0</v>
      </c>
      <c r="FC40" s="18">
        <v>0.0</v>
      </c>
      <c r="FD40" s="19">
        <f t="shared" si="1"/>
        <v>160</v>
      </c>
    </row>
    <row r="41" ht="19.5" customHeight="1">
      <c r="A41" s="20" t="s">
        <v>179</v>
      </c>
      <c r="B41" s="18">
        <v>0.0</v>
      </c>
      <c r="C41" s="18">
        <v>2.0</v>
      </c>
      <c r="D41" s="18">
        <v>3.0</v>
      </c>
      <c r="E41" s="18">
        <v>1.0</v>
      </c>
      <c r="F41" s="18">
        <v>3.0</v>
      </c>
      <c r="G41" s="18">
        <v>1.0</v>
      </c>
      <c r="H41" s="18">
        <v>5.0</v>
      </c>
      <c r="I41" s="18">
        <v>3.0</v>
      </c>
      <c r="J41" s="18">
        <v>1.0</v>
      </c>
      <c r="K41" s="18">
        <v>2.0</v>
      </c>
      <c r="L41" s="18">
        <v>3.0</v>
      </c>
      <c r="M41" s="18">
        <v>3.0</v>
      </c>
      <c r="N41" s="18">
        <v>3.0</v>
      </c>
      <c r="O41" s="18">
        <v>1.0</v>
      </c>
      <c r="P41" s="18">
        <v>3.0</v>
      </c>
      <c r="Q41" s="18">
        <v>3.0</v>
      </c>
      <c r="R41" s="18">
        <v>3.0</v>
      </c>
      <c r="S41" s="18">
        <v>3.0</v>
      </c>
      <c r="T41" s="18">
        <v>1.0</v>
      </c>
      <c r="U41" s="18">
        <v>5.0</v>
      </c>
      <c r="V41" s="18">
        <v>0.0</v>
      </c>
      <c r="W41" s="18">
        <v>0.0</v>
      </c>
      <c r="X41" s="18">
        <v>1.0</v>
      </c>
      <c r="Y41" s="18">
        <v>1.0</v>
      </c>
      <c r="Z41" s="18">
        <v>1.0</v>
      </c>
      <c r="AA41" s="18">
        <v>0.0</v>
      </c>
      <c r="AB41" s="18">
        <v>2.0</v>
      </c>
      <c r="AC41" s="18">
        <v>1.0</v>
      </c>
      <c r="AD41" s="18">
        <v>2.0</v>
      </c>
      <c r="AE41" s="18">
        <v>1.0</v>
      </c>
      <c r="AF41" s="18">
        <v>0.0</v>
      </c>
      <c r="AG41" s="18">
        <v>1.0</v>
      </c>
      <c r="AH41" s="18">
        <v>3.0</v>
      </c>
      <c r="AI41" s="18">
        <v>0.0</v>
      </c>
      <c r="AJ41" s="18">
        <v>4.0</v>
      </c>
      <c r="AK41" s="18">
        <v>3.0</v>
      </c>
      <c r="AL41" s="18">
        <v>1.0</v>
      </c>
      <c r="AM41" s="18">
        <v>1.0</v>
      </c>
      <c r="AN41" s="18">
        <v>1.0</v>
      </c>
      <c r="AO41" s="18">
        <v>0.0</v>
      </c>
      <c r="AP41" s="18">
        <v>3.0</v>
      </c>
      <c r="AQ41" s="18">
        <v>1.0</v>
      </c>
      <c r="AR41" s="18">
        <v>3.0</v>
      </c>
      <c r="AS41" s="18">
        <v>2.0</v>
      </c>
      <c r="AT41" s="18">
        <v>2.0</v>
      </c>
      <c r="AU41" s="18">
        <v>0.0</v>
      </c>
      <c r="AV41" s="18">
        <v>1.0</v>
      </c>
      <c r="AW41" s="18">
        <v>0.0</v>
      </c>
      <c r="AX41" s="18">
        <v>0.0</v>
      </c>
      <c r="AY41" s="18">
        <v>0.0</v>
      </c>
      <c r="AZ41" s="18">
        <v>3.0</v>
      </c>
      <c r="BA41" s="18">
        <v>1.0</v>
      </c>
      <c r="BB41" s="18">
        <v>3.0</v>
      </c>
      <c r="BC41" s="18">
        <v>0.0</v>
      </c>
      <c r="BD41" s="18">
        <v>1.0</v>
      </c>
      <c r="BE41" s="18">
        <v>3.0</v>
      </c>
      <c r="BF41" s="18">
        <v>3.0</v>
      </c>
      <c r="BG41" s="18">
        <v>1.0</v>
      </c>
      <c r="BH41" s="18">
        <v>1.0</v>
      </c>
      <c r="BI41" s="18">
        <v>1.0</v>
      </c>
      <c r="BJ41" s="18">
        <v>0.0</v>
      </c>
      <c r="BK41" s="18">
        <v>1.0</v>
      </c>
      <c r="BL41" s="18">
        <v>3.0</v>
      </c>
      <c r="BM41" s="18">
        <v>2.0</v>
      </c>
      <c r="BN41" s="18">
        <v>1.0</v>
      </c>
      <c r="BO41" s="18">
        <v>0.0</v>
      </c>
      <c r="BP41" s="18">
        <v>2.0</v>
      </c>
      <c r="BQ41" s="18">
        <v>1.0</v>
      </c>
      <c r="BR41" s="18">
        <v>0.0</v>
      </c>
      <c r="BS41" s="18">
        <v>2.0</v>
      </c>
      <c r="BT41" s="18">
        <v>0.0</v>
      </c>
      <c r="BU41" s="18">
        <v>1.0</v>
      </c>
      <c r="BV41" s="18">
        <v>0.0</v>
      </c>
      <c r="BW41" s="18">
        <v>0.0</v>
      </c>
      <c r="BX41" s="18">
        <v>0.0</v>
      </c>
      <c r="BY41" s="18">
        <v>1.0</v>
      </c>
      <c r="BZ41" s="18">
        <v>4.0</v>
      </c>
      <c r="CA41" s="18">
        <v>1.0</v>
      </c>
      <c r="CB41" s="18">
        <v>0.0</v>
      </c>
      <c r="CC41" s="18">
        <v>1.0</v>
      </c>
      <c r="CD41" s="18">
        <v>1.0</v>
      </c>
      <c r="CE41" s="18">
        <v>1.0</v>
      </c>
      <c r="CF41" s="18">
        <v>0.0</v>
      </c>
      <c r="CG41" s="18">
        <v>1.0</v>
      </c>
      <c r="CH41" s="18">
        <v>3.0</v>
      </c>
      <c r="CI41" s="18">
        <v>2.0</v>
      </c>
      <c r="CJ41" s="18">
        <v>0.0</v>
      </c>
      <c r="CK41" s="18">
        <v>0.0</v>
      </c>
      <c r="CL41" s="18">
        <v>0.0</v>
      </c>
      <c r="CM41" s="18">
        <v>0.0</v>
      </c>
      <c r="CN41" s="18">
        <v>0.0</v>
      </c>
      <c r="CO41" s="18">
        <v>1.0</v>
      </c>
      <c r="CP41" s="18">
        <v>0.0</v>
      </c>
      <c r="CQ41" s="18">
        <v>0.0</v>
      </c>
      <c r="CR41" s="18">
        <v>0.0</v>
      </c>
      <c r="CS41" s="18">
        <v>1.0</v>
      </c>
      <c r="CT41" s="18">
        <v>0.0</v>
      </c>
      <c r="CU41" s="18">
        <v>0.0</v>
      </c>
      <c r="CV41" s="18">
        <v>3.0</v>
      </c>
      <c r="CW41" s="18">
        <v>4.0</v>
      </c>
      <c r="CX41" s="18">
        <v>3.0</v>
      </c>
      <c r="CY41" s="18">
        <v>3.0</v>
      </c>
      <c r="CZ41" s="18">
        <v>0.0</v>
      </c>
      <c r="DA41" s="18">
        <v>0.0</v>
      </c>
      <c r="DB41" s="18">
        <v>0.0</v>
      </c>
      <c r="DC41" s="18">
        <v>2.0</v>
      </c>
      <c r="DD41" s="18">
        <v>2.0</v>
      </c>
      <c r="DE41" s="18">
        <v>2.0</v>
      </c>
      <c r="DF41" s="18">
        <v>0.0</v>
      </c>
      <c r="DG41" s="18">
        <v>0.0</v>
      </c>
      <c r="DH41" s="18">
        <v>1.0</v>
      </c>
      <c r="DI41" s="18">
        <v>1.0</v>
      </c>
      <c r="DJ41" s="18">
        <v>1.0</v>
      </c>
      <c r="DK41" s="18">
        <v>1.0</v>
      </c>
      <c r="DL41" s="18">
        <v>1.0</v>
      </c>
      <c r="DM41" s="18">
        <v>1.0</v>
      </c>
      <c r="DN41" s="18">
        <v>0.0</v>
      </c>
      <c r="DO41" s="18">
        <v>3.0</v>
      </c>
      <c r="DP41" s="18">
        <v>1.0</v>
      </c>
      <c r="DQ41" s="18">
        <v>0.0</v>
      </c>
      <c r="DR41" s="18">
        <v>0.0</v>
      </c>
      <c r="DS41" s="18">
        <v>0.0</v>
      </c>
      <c r="DT41" s="18">
        <v>2.0</v>
      </c>
      <c r="DU41" s="18">
        <v>3.0</v>
      </c>
      <c r="DV41" s="18">
        <v>0.0</v>
      </c>
      <c r="DW41" s="18">
        <v>1.0</v>
      </c>
      <c r="DX41" s="18">
        <v>1.0</v>
      </c>
      <c r="DY41" s="18">
        <v>1.0</v>
      </c>
      <c r="DZ41" s="18">
        <v>1.0</v>
      </c>
      <c r="EA41" s="18">
        <v>2.0</v>
      </c>
      <c r="EB41" s="18">
        <v>1.0</v>
      </c>
      <c r="EC41" s="18">
        <v>1.0</v>
      </c>
      <c r="ED41" s="18">
        <v>1.0</v>
      </c>
      <c r="EE41" s="18">
        <v>1.0</v>
      </c>
      <c r="EF41" s="18">
        <v>1.0</v>
      </c>
      <c r="EG41" s="18">
        <v>0.0</v>
      </c>
      <c r="EH41" s="18">
        <v>0.0</v>
      </c>
      <c r="EI41" s="18">
        <v>2.0</v>
      </c>
      <c r="EJ41" s="18">
        <v>4.0</v>
      </c>
      <c r="EK41" s="18">
        <v>1.0</v>
      </c>
      <c r="EL41" s="18">
        <v>1.0</v>
      </c>
      <c r="EM41" s="18">
        <v>2.0</v>
      </c>
      <c r="EN41" s="18">
        <v>0.0</v>
      </c>
      <c r="EO41" s="18">
        <v>0.0</v>
      </c>
      <c r="EP41" s="18">
        <v>2.0</v>
      </c>
      <c r="EQ41" s="18">
        <v>0.0</v>
      </c>
      <c r="ER41" s="18">
        <v>1.0</v>
      </c>
      <c r="ES41" s="18">
        <v>1.0</v>
      </c>
      <c r="ET41" s="18">
        <v>1.0</v>
      </c>
      <c r="EU41" s="18">
        <v>1.0</v>
      </c>
      <c r="EV41" s="18">
        <v>3.0</v>
      </c>
      <c r="EW41" s="18">
        <v>2.0</v>
      </c>
      <c r="EX41" s="18">
        <v>3.0</v>
      </c>
      <c r="EY41" s="18">
        <v>0.0</v>
      </c>
      <c r="EZ41" s="18">
        <v>2.0</v>
      </c>
      <c r="FA41" s="18">
        <v>1.0</v>
      </c>
      <c r="FB41" s="18">
        <v>1.0</v>
      </c>
      <c r="FC41" s="18">
        <v>4.0</v>
      </c>
      <c r="FD41" s="19">
        <f t="shared" si="1"/>
        <v>208</v>
      </c>
    </row>
    <row r="42" ht="19.5" customHeight="1">
      <c r="A42" s="17" t="s">
        <v>180</v>
      </c>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v>0.0</v>
      </c>
      <c r="CN42" s="18">
        <v>0.0</v>
      </c>
      <c r="CO42" s="18">
        <v>0.0</v>
      </c>
      <c r="CP42" s="18">
        <v>0.0</v>
      </c>
      <c r="CQ42" s="18">
        <v>0.0</v>
      </c>
      <c r="CR42" s="18">
        <v>0.0</v>
      </c>
      <c r="CS42" s="18">
        <v>0.0</v>
      </c>
      <c r="CT42" s="18">
        <v>0.0</v>
      </c>
      <c r="CU42" s="18">
        <v>0.0</v>
      </c>
      <c r="CV42" s="18">
        <v>0.0</v>
      </c>
      <c r="CW42" s="18">
        <v>0.0</v>
      </c>
      <c r="CX42" s="18">
        <v>0.0</v>
      </c>
      <c r="CY42" s="18">
        <v>1.0</v>
      </c>
      <c r="CZ42" s="18">
        <v>2.0</v>
      </c>
      <c r="DA42" s="18">
        <v>0.0</v>
      </c>
      <c r="DB42" s="18">
        <v>0.0</v>
      </c>
      <c r="DC42" s="18">
        <v>0.0</v>
      </c>
      <c r="DD42" s="18">
        <v>1.0</v>
      </c>
      <c r="DE42" s="18">
        <v>0.0</v>
      </c>
      <c r="DF42" s="18">
        <v>0.0</v>
      </c>
      <c r="DG42" s="18">
        <v>0.0</v>
      </c>
      <c r="DH42" s="18">
        <v>1.0</v>
      </c>
      <c r="DI42" s="18">
        <v>0.0</v>
      </c>
      <c r="DJ42" s="18">
        <v>0.0</v>
      </c>
      <c r="DK42" s="18">
        <v>0.0</v>
      </c>
      <c r="DL42" s="18">
        <v>2.0</v>
      </c>
      <c r="DM42" s="18">
        <v>0.0</v>
      </c>
      <c r="DN42" s="18">
        <v>0.0</v>
      </c>
      <c r="DO42" s="18">
        <v>0.0</v>
      </c>
      <c r="DP42" s="18">
        <v>0.0</v>
      </c>
      <c r="DQ42" s="18">
        <v>0.0</v>
      </c>
      <c r="DR42" s="18">
        <v>0.0</v>
      </c>
      <c r="DS42" s="18">
        <v>0.0</v>
      </c>
      <c r="DT42" s="18">
        <v>0.0</v>
      </c>
      <c r="DU42" s="18">
        <v>0.0</v>
      </c>
      <c r="DV42" s="18">
        <v>1.0</v>
      </c>
      <c r="DW42" s="18">
        <v>0.0</v>
      </c>
      <c r="DX42" s="18">
        <v>0.0</v>
      </c>
      <c r="DY42" s="18">
        <v>0.0</v>
      </c>
      <c r="DZ42" s="18">
        <v>0.0</v>
      </c>
      <c r="EA42" s="18">
        <v>0.0</v>
      </c>
      <c r="EB42" s="18">
        <v>0.0</v>
      </c>
      <c r="EC42" s="18">
        <v>0.0</v>
      </c>
      <c r="ED42" s="18">
        <v>0.0</v>
      </c>
      <c r="EE42" s="18">
        <v>0.0</v>
      </c>
      <c r="EF42" s="18">
        <v>0.0</v>
      </c>
      <c r="EG42" s="18">
        <v>0.0</v>
      </c>
      <c r="EH42" s="18">
        <v>0.0</v>
      </c>
      <c r="EI42" s="18">
        <v>0.0</v>
      </c>
      <c r="EJ42" s="18">
        <v>0.0</v>
      </c>
      <c r="EK42" s="18">
        <v>0.0</v>
      </c>
      <c r="EL42" s="18">
        <v>0.0</v>
      </c>
      <c r="EM42" s="18">
        <v>1.0</v>
      </c>
      <c r="EN42" s="18">
        <v>0.0</v>
      </c>
      <c r="EO42" s="18">
        <v>1.0</v>
      </c>
      <c r="EP42" s="18">
        <v>0.0</v>
      </c>
      <c r="EQ42" s="18">
        <v>0.0</v>
      </c>
      <c r="ER42" s="18">
        <v>0.0</v>
      </c>
      <c r="ES42" s="18">
        <v>0.0</v>
      </c>
      <c r="ET42" s="18">
        <v>0.0</v>
      </c>
      <c r="EU42" s="18">
        <v>0.0</v>
      </c>
      <c r="EV42" s="18">
        <v>0.0</v>
      </c>
      <c r="EW42" s="18">
        <v>0.0</v>
      </c>
      <c r="EX42" s="18">
        <v>0.0</v>
      </c>
      <c r="EY42" s="18">
        <v>0.0</v>
      </c>
      <c r="EZ42" s="18">
        <v>0.0</v>
      </c>
      <c r="FA42" s="18">
        <v>0.0</v>
      </c>
      <c r="FB42" s="18">
        <v>0.0</v>
      </c>
      <c r="FC42" s="18">
        <v>0.0</v>
      </c>
      <c r="FD42" s="19">
        <f t="shared" si="1"/>
        <v>10</v>
      </c>
    </row>
    <row r="43" ht="19.5" customHeight="1">
      <c r="A43" s="21" t="s">
        <v>181</v>
      </c>
      <c r="B43" s="18">
        <v>0.0</v>
      </c>
      <c r="C43" s="18">
        <v>0.0</v>
      </c>
      <c r="D43" s="18">
        <v>1.0</v>
      </c>
      <c r="E43" s="18">
        <v>1.0</v>
      </c>
      <c r="F43" s="18">
        <v>2.0</v>
      </c>
      <c r="G43" s="18">
        <v>1.0</v>
      </c>
      <c r="H43" s="18">
        <v>0.0</v>
      </c>
      <c r="I43" s="18">
        <v>1.0</v>
      </c>
      <c r="J43" s="18">
        <v>1.0</v>
      </c>
      <c r="K43" s="18">
        <v>1.0</v>
      </c>
      <c r="L43" s="18">
        <v>0.0</v>
      </c>
      <c r="M43" s="18">
        <v>0.0</v>
      </c>
      <c r="N43" s="18">
        <v>0.0</v>
      </c>
      <c r="O43" s="18">
        <v>0.0</v>
      </c>
      <c r="P43" s="18">
        <v>1.0</v>
      </c>
      <c r="Q43" s="18">
        <v>0.0</v>
      </c>
      <c r="R43" s="18">
        <v>1.0</v>
      </c>
      <c r="S43" s="18">
        <v>0.0</v>
      </c>
      <c r="T43" s="18">
        <v>1.0</v>
      </c>
      <c r="U43" s="18">
        <v>3.0</v>
      </c>
      <c r="V43" s="18">
        <v>2.0</v>
      </c>
      <c r="W43" s="18">
        <v>0.0</v>
      </c>
      <c r="X43" s="18">
        <v>0.0</v>
      </c>
      <c r="Y43" s="18">
        <v>0.0</v>
      </c>
      <c r="Z43" s="18">
        <v>0.0</v>
      </c>
      <c r="AA43" s="18">
        <v>1.0</v>
      </c>
      <c r="AB43" s="18">
        <v>1.0</v>
      </c>
      <c r="AC43" s="18">
        <v>0.0</v>
      </c>
      <c r="AD43" s="18">
        <v>0.0</v>
      </c>
      <c r="AE43" s="18">
        <v>2.0</v>
      </c>
      <c r="AF43" s="18">
        <v>0.0</v>
      </c>
      <c r="AG43" s="18">
        <v>1.0</v>
      </c>
      <c r="AH43" s="18">
        <v>1.0</v>
      </c>
      <c r="AI43" s="18">
        <v>4.0</v>
      </c>
      <c r="AJ43" s="18">
        <v>1.0</v>
      </c>
      <c r="AK43" s="18">
        <v>2.0</v>
      </c>
      <c r="AL43" s="18">
        <v>0.0</v>
      </c>
      <c r="AM43" s="18">
        <v>0.0</v>
      </c>
      <c r="AN43" s="18">
        <v>1.0</v>
      </c>
      <c r="AO43" s="18">
        <v>0.0</v>
      </c>
      <c r="AP43" s="18">
        <v>0.0</v>
      </c>
      <c r="AQ43" s="18">
        <v>0.0</v>
      </c>
      <c r="AR43" s="18">
        <v>1.0</v>
      </c>
      <c r="AS43" s="18">
        <v>0.0</v>
      </c>
      <c r="AT43" s="18">
        <v>0.0</v>
      </c>
      <c r="AU43" s="18">
        <v>0.0</v>
      </c>
      <c r="AV43" s="18">
        <v>0.0</v>
      </c>
      <c r="AW43" s="18">
        <v>0.0</v>
      </c>
      <c r="AX43" s="18">
        <v>0.0</v>
      </c>
      <c r="AY43" s="18">
        <v>0.0</v>
      </c>
      <c r="AZ43" s="18">
        <v>0.0</v>
      </c>
      <c r="BA43" s="18">
        <v>1.0</v>
      </c>
      <c r="BB43" s="18">
        <v>1.0</v>
      </c>
      <c r="BC43" s="18">
        <v>0.0</v>
      </c>
      <c r="BD43" s="18">
        <v>0.0</v>
      </c>
      <c r="BE43" s="18">
        <v>0.0</v>
      </c>
      <c r="BF43" s="18">
        <v>0.0</v>
      </c>
      <c r="BG43" s="18">
        <v>0.0</v>
      </c>
      <c r="BH43" s="18">
        <v>0.0</v>
      </c>
      <c r="BI43" s="18">
        <v>0.0</v>
      </c>
      <c r="BJ43" s="18">
        <v>0.0</v>
      </c>
      <c r="BK43" s="18">
        <v>1.0</v>
      </c>
      <c r="BL43" s="18">
        <v>0.0</v>
      </c>
      <c r="BM43" s="18">
        <v>0.0</v>
      </c>
      <c r="BN43" s="18">
        <v>1.0</v>
      </c>
      <c r="BO43" s="18">
        <v>0.0</v>
      </c>
      <c r="BP43" s="18">
        <v>0.0</v>
      </c>
      <c r="BQ43" s="18">
        <v>0.0</v>
      </c>
      <c r="BR43" s="18">
        <v>0.0</v>
      </c>
      <c r="BS43" s="18">
        <v>1.0</v>
      </c>
      <c r="BT43" s="18">
        <v>0.0</v>
      </c>
      <c r="BU43" s="18">
        <v>2.0</v>
      </c>
      <c r="BV43" s="18">
        <v>0.0</v>
      </c>
      <c r="BW43" s="18">
        <v>1.0</v>
      </c>
      <c r="BX43" s="18">
        <v>0.0</v>
      </c>
      <c r="BY43" s="18">
        <v>0.0</v>
      </c>
      <c r="BZ43" s="18">
        <v>1.0</v>
      </c>
      <c r="CA43" s="18">
        <v>0.0</v>
      </c>
      <c r="CB43" s="18">
        <v>1.0</v>
      </c>
      <c r="CC43" s="18">
        <v>0.0</v>
      </c>
      <c r="CD43" s="18">
        <v>0.0</v>
      </c>
      <c r="CE43" s="18">
        <v>3.0</v>
      </c>
      <c r="CF43" s="18">
        <v>0.0</v>
      </c>
      <c r="CG43" s="18">
        <v>1.0</v>
      </c>
      <c r="CH43" s="18">
        <v>1.0</v>
      </c>
      <c r="CI43" s="18">
        <v>0.0</v>
      </c>
      <c r="CJ43" s="18">
        <v>0.0</v>
      </c>
      <c r="CK43" s="18">
        <v>0.0</v>
      </c>
      <c r="CL43" s="18">
        <v>1.0</v>
      </c>
      <c r="CM43" s="18">
        <v>0.0</v>
      </c>
      <c r="CN43" s="18">
        <v>0.0</v>
      </c>
      <c r="CO43" s="18">
        <v>0.0</v>
      </c>
      <c r="CP43" s="18">
        <v>0.0</v>
      </c>
      <c r="CQ43" s="18">
        <v>0.0</v>
      </c>
      <c r="CR43" s="18">
        <v>0.0</v>
      </c>
      <c r="CS43" s="18">
        <v>0.0</v>
      </c>
      <c r="CT43" s="18">
        <v>0.0</v>
      </c>
      <c r="CU43" s="18">
        <v>0.0</v>
      </c>
      <c r="CV43" s="18">
        <v>0.0</v>
      </c>
      <c r="CW43" s="18">
        <v>1.0</v>
      </c>
      <c r="CX43" s="18">
        <v>0.0</v>
      </c>
      <c r="CY43" s="18">
        <v>0.0</v>
      </c>
      <c r="CZ43" s="18">
        <v>0.0</v>
      </c>
      <c r="DA43" s="18">
        <v>1.0</v>
      </c>
      <c r="DB43" s="18">
        <v>0.0</v>
      </c>
      <c r="DC43" s="18">
        <v>0.0</v>
      </c>
      <c r="DD43" s="18">
        <v>0.0</v>
      </c>
      <c r="DE43" s="18">
        <v>2.0</v>
      </c>
      <c r="DF43" s="18">
        <v>0.0</v>
      </c>
      <c r="DG43" s="18">
        <v>1.0</v>
      </c>
      <c r="DH43" s="18">
        <v>0.0</v>
      </c>
      <c r="DI43" s="18">
        <v>0.0</v>
      </c>
      <c r="DJ43" s="18">
        <v>0.0</v>
      </c>
      <c r="DK43" s="18">
        <v>0.0</v>
      </c>
      <c r="DL43" s="18">
        <v>0.0</v>
      </c>
      <c r="DM43" s="18">
        <v>1.0</v>
      </c>
      <c r="DN43" s="18">
        <v>0.0</v>
      </c>
      <c r="DO43" s="18">
        <v>0.0</v>
      </c>
      <c r="DP43" s="18">
        <v>0.0</v>
      </c>
      <c r="DQ43" s="18">
        <v>0.0</v>
      </c>
      <c r="DR43" s="18">
        <v>0.0</v>
      </c>
      <c r="DS43" s="18">
        <v>0.0</v>
      </c>
      <c r="DT43" s="18">
        <v>1.0</v>
      </c>
      <c r="DU43" s="18">
        <v>1.0</v>
      </c>
      <c r="DV43" s="18">
        <v>0.0</v>
      </c>
      <c r="DW43" s="18">
        <v>0.0</v>
      </c>
      <c r="DX43" s="18">
        <v>0.0</v>
      </c>
      <c r="DY43" s="18">
        <v>1.0</v>
      </c>
      <c r="DZ43" s="18">
        <v>1.0</v>
      </c>
      <c r="EA43" s="18">
        <v>0.0</v>
      </c>
      <c r="EB43" s="18">
        <v>0.0</v>
      </c>
      <c r="EC43" s="18">
        <v>0.0</v>
      </c>
      <c r="ED43" s="18">
        <v>0.0</v>
      </c>
      <c r="EE43" s="18">
        <v>0.0</v>
      </c>
      <c r="EF43" s="18">
        <v>0.0</v>
      </c>
      <c r="EG43" s="18">
        <v>1.0</v>
      </c>
      <c r="EH43" s="18">
        <v>0.0</v>
      </c>
      <c r="EI43" s="18">
        <v>0.0</v>
      </c>
      <c r="EJ43" s="18">
        <v>0.0</v>
      </c>
      <c r="EK43" s="18">
        <v>1.0</v>
      </c>
      <c r="EL43" s="18">
        <v>1.0</v>
      </c>
      <c r="EM43" s="18">
        <v>0.0</v>
      </c>
      <c r="EN43" s="18">
        <v>0.0</v>
      </c>
      <c r="EO43" s="18">
        <v>0.0</v>
      </c>
      <c r="EP43" s="18">
        <v>0.0</v>
      </c>
      <c r="EQ43" s="18">
        <v>0.0</v>
      </c>
      <c r="ER43" s="18">
        <v>0.0</v>
      </c>
      <c r="ES43" s="18">
        <v>1.0</v>
      </c>
      <c r="ET43" s="18">
        <v>0.0</v>
      </c>
      <c r="EU43" s="18">
        <v>0.0</v>
      </c>
      <c r="EV43" s="18">
        <v>0.0</v>
      </c>
      <c r="EW43" s="18">
        <v>0.0</v>
      </c>
      <c r="EX43" s="18">
        <v>0.0</v>
      </c>
      <c r="EY43" s="18">
        <v>1.0</v>
      </c>
      <c r="EZ43" s="18">
        <v>0.0</v>
      </c>
      <c r="FA43" s="18">
        <v>1.0</v>
      </c>
      <c r="FB43" s="18">
        <v>0.0</v>
      </c>
      <c r="FC43" s="18">
        <v>1.0</v>
      </c>
      <c r="FD43" s="19">
        <f t="shared" si="1"/>
        <v>64</v>
      </c>
    </row>
    <row r="44" ht="19.5" customHeight="1">
      <c r="A44" s="20" t="s">
        <v>182</v>
      </c>
      <c r="B44" s="18">
        <v>0.0</v>
      </c>
      <c r="C44" s="18">
        <v>1.0</v>
      </c>
      <c r="D44" s="18">
        <v>0.0</v>
      </c>
      <c r="E44" s="18">
        <v>0.0</v>
      </c>
      <c r="F44" s="18">
        <v>0.0</v>
      </c>
      <c r="G44" s="18">
        <v>0.0</v>
      </c>
      <c r="H44" s="18">
        <v>0.0</v>
      </c>
      <c r="I44" s="18">
        <v>0.0</v>
      </c>
      <c r="J44" s="18">
        <v>0.0</v>
      </c>
      <c r="K44" s="18">
        <v>1.0</v>
      </c>
      <c r="L44" s="18">
        <v>1.0</v>
      </c>
      <c r="M44" s="18">
        <v>0.0</v>
      </c>
      <c r="N44" s="18">
        <v>0.0</v>
      </c>
      <c r="O44" s="18">
        <v>4.0</v>
      </c>
      <c r="P44" s="18">
        <v>0.0</v>
      </c>
      <c r="Q44" s="18">
        <v>0.0</v>
      </c>
      <c r="R44" s="18">
        <v>1.0</v>
      </c>
      <c r="S44" s="18">
        <v>0.0</v>
      </c>
      <c r="T44" s="18">
        <v>0.0</v>
      </c>
      <c r="U44" s="18">
        <v>0.0</v>
      </c>
      <c r="V44" s="18">
        <v>0.0</v>
      </c>
      <c r="W44" s="18">
        <v>0.0</v>
      </c>
      <c r="X44" s="18">
        <v>1.0</v>
      </c>
      <c r="Y44" s="18">
        <v>0.0</v>
      </c>
      <c r="Z44" s="18">
        <v>0.0</v>
      </c>
      <c r="AA44" s="18">
        <v>0.0</v>
      </c>
      <c r="AB44" s="18">
        <v>0.0</v>
      </c>
      <c r="AC44" s="18">
        <v>2.0</v>
      </c>
      <c r="AD44" s="18">
        <v>1.0</v>
      </c>
      <c r="AE44" s="18">
        <v>0.0</v>
      </c>
      <c r="AF44" s="18">
        <v>0.0</v>
      </c>
      <c r="AG44" s="18">
        <v>1.0</v>
      </c>
      <c r="AH44" s="18">
        <v>0.0</v>
      </c>
      <c r="AI44" s="18">
        <v>0.0</v>
      </c>
      <c r="AJ44" s="18">
        <v>0.0</v>
      </c>
      <c r="AK44" s="18">
        <v>0.0</v>
      </c>
      <c r="AL44" s="18">
        <v>0.0</v>
      </c>
      <c r="AM44" s="18">
        <v>0.0</v>
      </c>
      <c r="AN44" s="18">
        <v>1.0</v>
      </c>
      <c r="AO44" s="18">
        <v>0.0</v>
      </c>
      <c r="AP44" s="18">
        <v>1.0</v>
      </c>
      <c r="AQ44" s="18">
        <v>0.0</v>
      </c>
      <c r="AR44" s="18">
        <v>0.0</v>
      </c>
      <c r="AS44" s="18">
        <v>0.0</v>
      </c>
      <c r="AT44" s="18">
        <v>1.0</v>
      </c>
      <c r="AU44" s="18">
        <v>0.0</v>
      </c>
      <c r="AV44" s="18">
        <v>1.0</v>
      </c>
      <c r="AW44" s="18">
        <v>0.0</v>
      </c>
      <c r="AX44" s="18">
        <v>0.0</v>
      </c>
      <c r="AY44" s="18">
        <v>0.0</v>
      </c>
      <c r="AZ44" s="18">
        <v>0.0</v>
      </c>
      <c r="BA44" s="18">
        <v>0.0</v>
      </c>
      <c r="BB44" s="18">
        <v>1.0</v>
      </c>
      <c r="BC44" s="18">
        <v>0.0</v>
      </c>
      <c r="BD44" s="18">
        <v>2.0</v>
      </c>
      <c r="BE44" s="18">
        <v>0.0</v>
      </c>
      <c r="BF44" s="18">
        <v>0.0</v>
      </c>
      <c r="BG44" s="18">
        <v>0.0</v>
      </c>
      <c r="BH44" s="18">
        <v>2.0</v>
      </c>
      <c r="BI44" s="18">
        <v>0.0</v>
      </c>
      <c r="BJ44" s="18">
        <v>0.0</v>
      </c>
      <c r="BK44" s="18">
        <v>0.0</v>
      </c>
      <c r="BL44" s="18">
        <v>1.0</v>
      </c>
      <c r="BM44" s="18">
        <v>3.0</v>
      </c>
      <c r="BN44" s="18">
        <v>1.0</v>
      </c>
      <c r="BO44" s="18">
        <v>0.0</v>
      </c>
      <c r="BP44" s="18">
        <v>1.0</v>
      </c>
      <c r="BQ44" s="18">
        <v>0.0</v>
      </c>
      <c r="BR44" s="18">
        <v>0.0</v>
      </c>
      <c r="BS44" s="18">
        <v>0.0</v>
      </c>
      <c r="BT44" s="18">
        <v>0.0</v>
      </c>
      <c r="BU44" s="18">
        <v>0.0</v>
      </c>
      <c r="BV44" s="18">
        <v>0.0</v>
      </c>
      <c r="BW44" s="18">
        <v>0.0</v>
      </c>
      <c r="BX44" s="18">
        <v>0.0</v>
      </c>
      <c r="BY44" s="18">
        <v>0.0</v>
      </c>
      <c r="BZ44" s="18">
        <v>0.0</v>
      </c>
      <c r="CA44" s="18">
        <v>1.0</v>
      </c>
      <c r="CB44" s="18">
        <v>1.0</v>
      </c>
      <c r="CC44" s="18">
        <v>0.0</v>
      </c>
      <c r="CD44" s="18">
        <v>0.0</v>
      </c>
      <c r="CE44" s="18">
        <v>1.0</v>
      </c>
      <c r="CF44" s="18">
        <v>1.0</v>
      </c>
      <c r="CG44" s="18">
        <v>0.0</v>
      </c>
      <c r="CH44" s="18">
        <v>0.0</v>
      </c>
      <c r="CI44" s="18">
        <v>1.0</v>
      </c>
      <c r="CJ44" s="18">
        <v>0.0</v>
      </c>
      <c r="CK44" s="18">
        <v>0.0</v>
      </c>
      <c r="CL44" s="18">
        <v>0.0</v>
      </c>
      <c r="CM44" s="18">
        <v>0.0</v>
      </c>
      <c r="CN44" s="18">
        <v>0.0</v>
      </c>
      <c r="CO44" s="18">
        <v>0.0</v>
      </c>
      <c r="CP44" s="18">
        <v>0.0</v>
      </c>
      <c r="CQ44" s="18">
        <v>0.0</v>
      </c>
      <c r="CR44" s="18">
        <v>0.0</v>
      </c>
      <c r="CS44" s="18">
        <v>0.0</v>
      </c>
      <c r="CT44" s="18">
        <v>0.0</v>
      </c>
      <c r="CU44" s="18">
        <v>0.0</v>
      </c>
      <c r="CV44" s="18">
        <v>0.0</v>
      </c>
      <c r="CW44" s="18">
        <v>0.0</v>
      </c>
      <c r="CX44" s="18">
        <v>1.0</v>
      </c>
      <c r="CY44" s="18">
        <v>2.0</v>
      </c>
      <c r="CZ44" s="18">
        <v>0.0</v>
      </c>
      <c r="DA44" s="18">
        <v>1.0</v>
      </c>
      <c r="DB44" s="18">
        <v>0.0</v>
      </c>
      <c r="DC44" s="18">
        <v>0.0</v>
      </c>
      <c r="DD44" s="18">
        <v>0.0</v>
      </c>
      <c r="DE44" s="18">
        <v>0.0</v>
      </c>
      <c r="DF44" s="18">
        <v>0.0</v>
      </c>
      <c r="DG44" s="18">
        <v>0.0</v>
      </c>
      <c r="DH44" s="18">
        <v>0.0</v>
      </c>
      <c r="DI44" s="18">
        <v>1.0</v>
      </c>
      <c r="DJ44" s="18">
        <v>0.0</v>
      </c>
      <c r="DK44" s="18">
        <v>0.0</v>
      </c>
      <c r="DL44" s="18">
        <v>1.0</v>
      </c>
      <c r="DM44" s="18">
        <v>0.0</v>
      </c>
      <c r="DN44" s="18">
        <v>0.0</v>
      </c>
      <c r="DO44" s="18">
        <v>0.0</v>
      </c>
      <c r="DP44" s="18">
        <v>0.0</v>
      </c>
      <c r="DQ44" s="18">
        <v>0.0</v>
      </c>
      <c r="DR44" s="18">
        <v>0.0</v>
      </c>
      <c r="DS44" s="18">
        <v>0.0</v>
      </c>
      <c r="DT44" s="18">
        <v>1.0</v>
      </c>
      <c r="DU44" s="18">
        <v>0.0</v>
      </c>
      <c r="DV44" s="18">
        <v>0.0</v>
      </c>
      <c r="DW44" s="18">
        <v>1.0</v>
      </c>
      <c r="DX44" s="18">
        <v>0.0</v>
      </c>
      <c r="DY44" s="18">
        <v>0.0</v>
      </c>
      <c r="DZ44" s="18">
        <v>0.0</v>
      </c>
      <c r="EA44" s="18">
        <v>0.0</v>
      </c>
      <c r="EB44" s="18">
        <v>0.0</v>
      </c>
      <c r="EC44" s="18">
        <v>0.0</v>
      </c>
      <c r="ED44" s="18">
        <v>0.0</v>
      </c>
      <c r="EE44" s="18">
        <v>0.0</v>
      </c>
      <c r="EF44" s="18">
        <v>1.0</v>
      </c>
      <c r="EG44" s="18">
        <v>0.0</v>
      </c>
      <c r="EH44" s="18">
        <v>0.0</v>
      </c>
      <c r="EI44" s="18">
        <v>1.0</v>
      </c>
      <c r="EJ44" s="18">
        <v>0.0</v>
      </c>
      <c r="EK44" s="18">
        <v>0.0</v>
      </c>
      <c r="EL44" s="18">
        <v>0.0</v>
      </c>
      <c r="EM44" s="18">
        <v>0.0</v>
      </c>
      <c r="EN44" s="18">
        <v>0.0</v>
      </c>
      <c r="EO44" s="18">
        <v>0.0</v>
      </c>
      <c r="EP44" s="18">
        <v>0.0</v>
      </c>
      <c r="EQ44" s="18">
        <v>1.0</v>
      </c>
      <c r="ER44" s="18">
        <v>0.0</v>
      </c>
      <c r="ES44" s="18">
        <v>0.0</v>
      </c>
      <c r="ET44" s="18">
        <v>0.0</v>
      </c>
      <c r="EU44" s="18">
        <v>0.0</v>
      </c>
      <c r="EV44" s="18">
        <v>0.0</v>
      </c>
      <c r="EW44" s="18">
        <v>0.0</v>
      </c>
      <c r="EX44" s="18">
        <v>1.0</v>
      </c>
      <c r="EY44" s="18">
        <v>1.0</v>
      </c>
      <c r="EZ44" s="18">
        <v>1.0</v>
      </c>
      <c r="FA44" s="18">
        <v>1.0</v>
      </c>
      <c r="FB44" s="18">
        <v>0.0</v>
      </c>
      <c r="FC44" s="18">
        <v>0.0</v>
      </c>
      <c r="FD44" s="19">
        <f t="shared" si="1"/>
        <v>48</v>
      </c>
    </row>
    <row r="45" ht="19.5" customHeight="1">
      <c r="A45" s="17" t="s">
        <v>183</v>
      </c>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v>0.0</v>
      </c>
      <c r="CX45" s="18">
        <v>0.0</v>
      </c>
      <c r="CY45" s="18">
        <v>0.0</v>
      </c>
      <c r="CZ45" s="18">
        <v>0.0</v>
      </c>
      <c r="DA45" s="18">
        <v>0.0</v>
      </c>
      <c r="DB45" s="18">
        <v>0.0</v>
      </c>
      <c r="DC45" s="18">
        <v>0.0</v>
      </c>
      <c r="DD45" s="18">
        <v>0.0</v>
      </c>
      <c r="DE45" s="18">
        <v>0.0</v>
      </c>
      <c r="DF45" s="18">
        <v>0.0</v>
      </c>
      <c r="DG45" s="18">
        <v>0.0</v>
      </c>
      <c r="DH45" s="18">
        <v>0.0</v>
      </c>
      <c r="DI45" s="18">
        <v>0.0</v>
      </c>
      <c r="DJ45" s="18">
        <v>0.0</v>
      </c>
      <c r="DK45" s="18">
        <v>1.0</v>
      </c>
      <c r="DL45" s="18">
        <v>0.0</v>
      </c>
      <c r="DM45" s="18">
        <v>0.0</v>
      </c>
      <c r="DN45" s="18">
        <v>0.0</v>
      </c>
      <c r="DO45" s="18">
        <v>0.0</v>
      </c>
      <c r="DP45" s="18">
        <v>0.0</v>
      </c>
      <c r="DQ45" s="18">
        <v>0.0</v>
      </c>
      <c r="DR45" s="18">
        <v>0.0</v>
      </c>
      <c r="DS45" s="18">
        <v>0.0</v>
      </c>
      <c r="DT45" s="18">
        <v>1.0</v>
      </c>
      <c r="DU45" s="18">
        <v>1.0</v>
      </c>
      <c r="DV45" s="18">
        <v>0.0</v>
      </c>
      <c r="DW45" s="18">
        <v>0.0</v>
      </c>
      <c r="DX45" s="18">
        <v>0.0</v>
      </c>
      <c r="DY45" s="18">
        <v>0.0</v>
      </c>
      <c r="DZ45" s="18">
        <v>1.0</v>
      </c>
      <c r="EA45" s="18">
        <v>0.0</v>
      </c>
      <c r="EB45" s="18">
        <v>1.0</v>
      </c>
      <c r="EC45" s="18">
        <v>0.0</v>
      </c>
      <c r="ED45" s="18">
        <v>0.0</v>
      </c>
      <c r="EE45" s="18">
        <v>0.0</v>
      </c>
      <c r="EF45" s="18">
        <v>0.0</v>
      </c>
      <c r="EG45" s="18">
        <v>0.0</v>
      </c>
      <c r="EH45" s="18">
        <v>0.0</v>
      </c>
      <c r="EI45" s="18">
        <v>0.0</v>
      </c>
      <c r="EJ45" s="18">
        <v>0.0</v>
      </c>
      <c r="EK45" s="18">
        <v>0.0</v>
      </c>
      <c r="EL45" s="18">
        <v>0.0</v>
      </c>
      <c r="EM45" s="18">
        <v>0.0</v>
      </c>
      <c r="EN45" s="18">
        <v>0.0</v>
      </c>
      <c r="EO45" s="18">
        <v>0.0</v>
      </c>
      <c r="EP45" s="18">
        <v>0.0</v>
      </c>
      <c r="EQ45" s="18">
        <v>0.0</v>
      </c>
      <c r="ER45" s="18">
        <v>0.0</v>
      </c>
      <c r="ES45" s="18">
        <v>0.0</v>
      </c>
      <c r="ET45" s="18">
        <v>0.0</v>
      </c>
      <c r="EU45" s="18">
        <v>0.0</v>
      </c>
      <c r="EV45" s="18">
        <v>0.0</v>
      </c>
      <c r="EW45" s="18">
        <v>0.0</v>
      </c>
      <c r="EX45" s="18">
        <v>0.0</v>
      </c>
      <c r="EY45" s="18">
        <v>0.0</v>
      </c>
      <c r="EZ45" s="18">
        <v>0.0</v>
      </c>
      <c r="FA45" s="18">
        <v>0.0</v>
      </c>
      <c r="FB45" s="18">
        <v>0.0</v>
      </c>
      <c r="FC45" s="18">
        <v>0.0</v>
      </c>
      <c r="FD45" s="19">
        <f t="shared" si="1"/>
        <v>5</v>
      </c>
    </row>
    <row r="46" ht="19.5" customHeight="1">
      <c r="A46" s="17" t="s">
        <v>184</v>
      </c>
      <c r="B46" s="18">
        <v>3.0</v>
      </c>
      <c r="C46" s="18">
        <v>3.0</v>
      </c>
      <c r="D46" s="18">
        <v>2.0</v>
      </c>
      <c r="E46" s="18">
        <v>2.0</v>
      </c>
      <c r="F46" s="18">
        <v>3.0</v>
      </c>
      <c r="G46" s="18">
        <v>4.0</v>
      </c>
      <c r="H46" s="18">
        <v>0.0</v>
      </c>
      <c r="I46" s="18">
        <v>3.0</v>
      </c>
      <c r="J46" s="18">
        <v>3.0</v>
      </c>
      <c r="K46" s="18">
        <v>0.0</v>
      </c>
      <c r="L46" s="18">
        <v>2.0</v>
      </c>
      <c r="M46" s="18">
        <v>2.0</v>
      </c>
      <c r="N46" s="18">
        <v>2.0</v>
      </c>
      <c r="O46" s="18">
        <v>2.0</v>
      </c>
      <c r="P46" s="18">
        <v>3.0</v>
      </c>
      <c r="Q46" s="18">
        <v>2.0</v>
      </c>
      <c r="R46" s="18">
        <v>0.0</v>
      </c>
      <c r="S46" s="18">
        <v>1.0</v>
      </c>
      <c r="T46" s="18">
        <v>0.0</v>
      </c>
      <c r="U46" s="18">
        <v>0.0</v>
      </c>
      <c r="V46" s="18">
        <v>0.0</v>
      </c>
      <c r="W46" s="18">
        <v>2.0</v>
      </c>
      <c r="X46" s="18">
        <v>4.0</v>
      </c>
      <c r="Y46" s="18">
        <v>1.0</v>
      </c>
      <c r="Z46" s="18">
        <v>0.0</v>
      </c>
      <c r="AA46" s="18">
        <v>1.0</v>
      </c>
      <c r="AB46" s="18">
        <v>3.0</v>
      </c>
      <c r="AC46" s="18">
        <v>3.0</v>
      </c>
      <c r="AD46" s="18">
        <v>0.0</v>
      </c>
      <c r="AE46" s="18">
        <v>1.0</v>
      </c>
      <c r="AF46" s="18">
        <v>1.0</v>
      </c>
      <c r="AG46" s="18">
        <v>0.0</v>
      </c>
      <c r="AH46" s="18">
        <v>0.0</v>
      </c>
      <c r="AI46" s="18">
        <v>1.0</v>
      </c>
      <c r="AJ46" s="18">
        <v>0.0</v>
      </c>
      <c r="AK46" s="18">
        <v>2.0</v>
      </c>
      <c r="AL46" s="18">
        <v>0.0</v>
      </c>
      <c r="AM46" s="18">
        <v>3.0</v>
      </c>
      <c r="AN46" s="18">
        <v>1.0</v>
      </c>
      <c r="AO46" s="18">
        <v>1.0</v>
      </c>
      <c r="AP46" s="18">
        <v>1.0</v>
      </c>
      <c r="AQ46" s="18">
        <v>0.0</v>
      </c>
      <c r="AR46" s="18">
        <v>0.0</v>
      </c>
      <c r="AS46" s="18">
        <v>2.0</v>
      </c>
      <c r="AT46" s="18">
        <v>3.0</v>
      </c>
      <c r="AU46" s="18">
        <v>2.0</v>
      </c>
      <c r="AV46" s="18">
        <v>2.0</v>
      </c>
      <c r="AW46" s="18">
        <v>0.0</v>
      </c>
      <c r="AX46" s="18">
        <v>1.0</v>
      </c>
      <c r="AY46" s="18">
        <v>1.0</v>
      </c>
      <c r="AZ46" s="18">
        <v>1.0</v>
      </c>
      <c r="BA46" s="18">
        <v>3.0</v>
      </c>
      <c r="BB46" s="18">
        <v>1.0</v>
      </c>
      <c r="BC46" s="18">
        <v>1.0</v>
      </c>
      <c r="BD46" s="18">
        <v>1.0</v>
      </c>
      <c r="BE46" s="18">
        <v>1.0</v>
      </c>
      <c r="BF46" s="18">
        <v>2.0</v>
      </c>
      <c r="BG46" s="18">
        <v>2.0</v>
      </c>
      <c r="BH46" s="18">
        <v>1.0</v>
      </c>
      <c r="BI46" s="18">
        <v>2.0</v>
      </c>
      <c r="BJ46" s="18">
        <v>0.0</v>
      </c>
      <c r="BK46" s="18">
        <v>2.0</v>
      </c>
      <c r="BL46" s="18">
        <v>2.0</v>
      </c>
      <c r="BM46" s="18">
        <v>4.0</v>
      </c>
      <c r="BN46" s="18">
        <v>2.0</v>
      </c>
      <c r="BO46" s="18">
        <v>0.0</v>
      </c>
      <c r="BP46" s="18">
        <v>2.0</v>
      </c>
      <c r="BQ46" s="18">
        <v>1.0</v>
      </c>
      <c r="BR46" s="18">
        <v>4.0</v>
      </c>
      <c r="BS46" s="18">
        <v>0.0</v>
      </c>
      <c r="BT46" s="18">
        <v>0.0</v>
      </c>
      <c r="BU46" s="18">
        <v>0.0</v>
      </c>
      <c r="BV46" s="18">
        <v>0.0</v>
      </c>
      <c r="BW46" s="18">
        <v>1.0</v>
      </c>
      <c r="BX46" s="18">
        <v>0.0</v>
      </c>
      <c r="BY46" s="18">
        <v>1.0</v>
      </c>
      <c r="BZ46" s="18">
        <v>2.0</v>
      </c>
      <c r="CA46" s="18">
        <v>0.0</v>
      </c>
      <c r="CB46" s="18">
        <v>0.0</v>
      </c>
      <c r="CC46" s="18">
        <v>0.0</v>
      </c>
      <c r="CD46" s="18">
        <v>1.0</v>
      </c>
      <c r="CE46" s="18">
        <v>4.0</v>
      </c>
      <c r="CF46" s="18">
        <v>1.0</v>
      </c>
      <c r="CG46" s="18">
        <v>0.0</v>
      </c>
      <c r="CH46" s="18">
        <v>0.0</v>
      </c>
      <c r="CI46" s="18">
        <v>0.0</v>
      </c>
      <c r="CJ46" s="18">
        <v>0.0</v>
      </c>
      <c r="CK46" s="18">
        <v>0.0</v>
      </c>
      <c r="CL46" s="18">
        <v>1.0</v>
      </c>
      <c r="CM46" s="18">
        <v>1.0</v>
      </c>
      <c r="CN46" s="18">
        <v>0.0</v>
      </c>
      <c r="CO46" s="18">
        <v>0.0</v>
      </c>
      <c r="CP46" s="18">
        <v>0.0</v>
      </c>
      <c r="CQ46" s="18">
        <v>0.0</v>
      </c>
      <c r="CR46" s="18">
        <v>0.0</v>
      </c>
      <c r="CS46" s="18">
        <v>0.0</v>
      </c>
      <c r="CT46" s="18">
        <v>0.0</v>
      </c>
      <c r="CU46" s="18">
        <v>0.0</v>
      </c>
      <c r="CV46" s="18">
        <v>0.0</v>
      </c>
      <c r="CW46" s="18">
        <v>0.0</v>
      </c>
      <c r="CX46" s="18">
        <v>0.0</v>
      </c>
      <c r="CY46" s="18">
        <v>0.0</v>
      </c>
      <c r="CZ46" s="18">
        <v>0.0</v>
      </c>
      <c r="DA46" s="18">
        <v>0.0</v>
      </c>
      <c r="DB46" s="18">
        <v>0.0</v>
      </c>
      <c r="DC46" s="18">
        <v>0.0</v>
      </c>
      <c r="DD46" s="18">
        <v>0.0</v>
      </c>
      <c r="DE46" s="18">
        <v>0.0</v>
      </c>
      <c r="DF46" s="18">
        <v>0.0</v>
      </c>
      <c r="DG46" s="18">
        <v>0.0</v>
      </c>
      <c r="DH46" s="18">
        <v>0.0</v>
      </c>
      <c r="DI46" s="18">
        <v>0.0</v>
      </c>
      <c r="DJ46" s="18">
        <v>0.0</v>
      </c>
      <c r="DK46" s="18">
        <v>0.0</v>
      </c>
      <c r="DL46" s="18">
        <v>0.0</v>
      </c>
      <c r="DM46" s="18">
        <v>0.0</v>
      </c>
      <c r="DN46" s="18">
        <v>0.0</v>
      </c>
      <c r="DO46" s="18">
        <v>0.0</v>
      </c>
      <c r="DP46" s="18">
        <v>0.0</v>
      </c>
      <c r="DQ46" s="18">
        <v>0.0</v>
      </c>
      <c r="DR46" s="18">
        <v>0.0</v>
      </c>
      <c r="DS46" s="18">
        <v>0.0</v>
      </c>
      <c r="DT46" s="18">
        <v>0.0</v>
      </c>
      <c r="DU46" s="18">
        <v>0.0</v>
      </c>
      <c r="DV46" s="18">
        <v>0.0</v>
      </c>
      <c r="DW46" s="18">
        <v>0.0</v>
      </c>
      <c r="DX46" s="18">
        <v>0.0</v>
      </c>
      <c r="DY46" s="18">
        <v>0.0</v>
      </c>
      <c r="DZ46" s="18">
        <v>0.0</v>
      </c>
      <c r="EA46" s="18">
        <v>0.0</v>
      </c>
      <c r="EB46" s="18">
        <v>0.0</v>
      </c>
      <c r="EC46" s="18">
        <v>0.0</v>
      </c>
      <c r="ED46" s="18">
        <v>0.0</v>
      </c>
      <c r="EE46" s="18">
        <v>0.0</v>
      </c>
      <c r="EF46" s="18">
        <v>0.0</v>
      </c>
      <c r="EG46" s="18">
        <v>0.0</v>
      </c>
      <c r="EH46" s="18">
        <v>0.0</v>
      </c>
      <c r="EI46" s="18">
        <v>0.0</v>
      </c>
      <c r="EJ46" s="18">
        <v>0.0</v>
      </c>
      <c r="EK46" s="18">
        <v>0.0</v>
      </c>
      <c r="EL46" s="18">
        <v>0.0</v>
      </c>
      <c r="EM46" s="18">
        <v>0.0</v>
      </c>
      <c r="EN46" s="18">
        <v>0.0</v>
      </c>
      <c r="EO46" s="18">
        <v>0.0</v>
      </c>
      <c r="EP46" s="18">
        <v>0.0</v>
      </c>
      <c r="EQ46" s="18">
        <v>0.0</v>
      </c>
      <c r="ER46" s="18">
        <v>0.0</v>
      </c>
      <c r="ES46" s="18">
        <v>0.0</v>
      </c>
      <c r="ET46" s="18">
        <v>0.0</v>
      </c>
      <c r="EU46" s="18">
        <v>0.0</v>
      </c>
      <c r="EV46" s="18">
        <v>0.0</v>
      </c>
      <c r="EW46" s="18">
        <v>0.0</v>
      </c>
      <c r="EX46" s="18">
        <v>0.0</v>
      </c>
      <c r="EY46" s="18">
        <v>0.0</v>
      </c>
      <c r="EZ46" s="18">
        <v>0.0</v>
      </c>
      <c r="FA46" s="18">
        <v>0.0</v>
      </c>
      <c r="FB46" s="18">
        <v>0.0</v>
      </c>
      <c r="FC46" s="18">
        <v>0.0</v>
      </c>
      <c r="FD46" s="19">
        <f t="shared" si="1"/>
        <v>117</v>
      </c>
    </row>
    <row r="47" ht="19.5" customHeight="1">
      <c r="A47" s="17" t="s">
        <v>185</v>
      </c>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v>0.0</v>
      </c>
      <c r="CR47" s="18">
        <v>0.0</v>
      </c>
      <c r="CS47" s="18">
        <v>0.0</v>
      </c>
      <c r="CT47" s="18">
        <v>0.0</v>
      </c>
      <c r="CU47" s="18">
        <v>0.0</v>
      </c>
      <c r="CV47" s="18">
        <v>0.0</v>
      </c>
      <c r="CW47" s="18">
        <v>0.0</v>
      </c>
      <c r="CX47" s="18">
        <v>0.0</v>
      </c>
      <c r="CY47" s="18">
        <v>0.0</v>
      </c>
      <c r="CZ47" s="18">
        <v>0.0</v>
      </c>
      <c r="DA47" s="18">
        <v>0.0</v>
      </c>
      <c r="DB47" s="18">
        <v>0.0</v>
      </c>
      <c r="DC47" s="18">
        <v>1.0</v>
      </c>
      <c r="DD47" s="18">
        <v>1.0</v>
      </c>
      <c r="DE47" s="18">
        <v>0.0</v>
      </c>
      <c r="DF47" s="18">
        <v>1.0</v>
      </c>
      <c r="DG47" s="18">
        <v>1.0</v>
      </c>
      <c r="DH47" s="18">
        <v>1.0</v>
      </c>
      <c r="DI47" s="18">
        <v>0.0</v>
      </c>
      <c r="DJ47" s="18">
        <v>0.0</v>
      </c>
      <c r="DK47" s="18">
        <v>0.0</v>
      </c>
      <c r="DL47" s="18">
        <v>0.0</v>
      </c>
      <c r="DM47" s="18">
        <v>1.0</v>
      </c>
      <c r="DN47" s="18">
        <v>0.0</v>
      </c>
      <c r="DO47" s="18">
        <v>0.0</v>
      </c>
      <c r="DP47" s="18">
        <v>0.0</v>
      </c>
      <c r="DQ47" s="18">
        <v>0.0</v>
      </c>
      <c r="DR47" s="18">
        <v>0.0</v>
      </c>
      <c r="DS47" s="18">
        <v>0.0</v>
      </c>
      <c r="DT47" s="18">
        <v>0.0</v>
      </c>
      <c r="DU47" s="18">
        <v>0.0</v>
      </c>
      <c r="DV47" s="18">
        <v>0.0</v>
      </c>
      <c r="DW47" s="18">
        <v>0.0</v>
      </c>
      <c r="DX47" s="18">
        <v>0.0</v>
      </c>
      <c r="DY47" s="18">
        <v>0.0</v>
      </c>
      <c r="DZ47" s="18">
        <v>1.0</v>
      </c>
      <c r="EA47" s="18">
        <v>1.0</v>
      </c>
      <c r="EB47" s="18">
        <v>0.0</v>
      </c>
      <c r="EC47" s="18">
        <v>1.0</v>
      </c>
      <c r="ED47" s="18">
        <v>1.0</v>
      </c>
      <c r="EE47" s="18">
        <v>2.0</v>
      </c>
      <c r="EF47" s="18">
        <v>2.0</v>
      </c>
      <c r="EG47" s="18">
        <v>0.0</v>
      </c>
      <c r="EH47" s="18">
        <v>1.0</v>
      </c>
      <c r="EI47" s="18">
        <v>2.0</v>
      </c>
      <c r="EJ47" s="18">
        <v>2.0</v>
      </c>
      <c r="EK47" s="18">
        <v>2.0</v>
      </c>
      <c r="EL47" s="18">
        <v>1.0</v>
      </c>
      <c r="EM47" s="18">
        <v>0.0</v>
      </c>
      <c r="EN47" s="18">
        <v>0.0</v>
      </c>
      <c r="EO47" s="18">
        <v>1.0</v>
      </c>
      <c r="EP47" s="18">
        <v>0.0</v>
      </c>
      <c r="EQ47" s="18">
        <v>0.0</v>
      </c>
      <c r="ER47" s="18">
        <v>0.0</v>
      </c>
      <c r="ES47" s="18">
        <v>0.0</v>
      </c>
      <c r="ET47" s="18">
        <v>0.0</v>
      </c>
      <c r="EU47" s="18">
        <v>0.0</v>
      </c>
      <c r="EV47" s="18">
        <v>0.0</v>
      </c>
      <c r="EW47" s="18">
        <v>0.0</v>
      </c>
      <c r="EX47" s="18">
        <v>0.0</v>
      </c>
      <c r="EY47" s="18">
        <v>0.0</v>
      </c>
      <c r="EZ47" s="18">
        <v>0.0</v>
      </c>
      <c r="FA47" s="18">
        <v>0.0</v>
      </c>
      <c r="FB47" s="18">
        <v>0.0</v>
      </c>
      <c r="FC47" s="18">
        <v>0.0</v>
      </c>
      <c r="FD47" s="19">
        <f t="shared" si="1"/>
        <v>23</v>
      </c>
    </row>
    <row r="48" ht="19.5" customHeight="1">
      <c r="A48" s="20" t="s">
        <v>186</v>
      </c>
      <c r="B48" s="18">
        <v>0.0</v>
      </c>
      <c r="C48" s="18">
        <v>0.0</v>
      </c>
      <c r="D48" s="18">
        <v>0.0</v>
      </c>
      <c r="E48" s="18">
        <v>0.0</v>
      </c>
      <c r="F48" s="18">
        <v>1.0</v>
      </c>
      <c r="G48" s="18">
        <v>0.0</v>
      </c>
      <c r="H48" s="18">
        <v>0.0</v>
      </c>
      <c r="I48" s="18">
        <v>0.0</v>
      </c>
      <c r="J48" s="18">
        <v>0.0</v>
      </c>
      <c r="K48" s="18">
        <v>0.0</v>
      </c>
      <c r="L48" s="18">
        <v>0.0</v>
      </c>
      <c r="M48" s="18">
        <v>1.0</v>
      </c>
      <c r="N48" s="18">
        <v>0.0</v>
      </c>
      <c r="O48" s="18">
        <v>0.0</v>
      </c>
      <c r="P48" s="18">
        <v>0.0</v>
      </c>
      <c r="Q48" s="18">
        <v>0.0</v>
      </c>
      <c r="R48" s="18">
        <v>1.0</v>
      </c>
      <c r="S48" s="18">
        <v>1.0</v>
      </c>
      <c r="T48" s="18">
        <v>1.0</v>
      </c>
      <c r="U48" s="18">
        <v>0.0</v>
      </c>
      <c r="V48" s="18">
        <v>1.0</v>
      </c>
      <c r="W48" s="18">
        <v>0.0</v>
      </c>
      <c r="X48" s="18">
        <v>0.0</v>
      </c>
      <c r="Y48" s="18">
        <v>0.0</v>
      </c>
      <c r="Z48" s="18">
        <v>0.0</v>
      </c>
      <c r="AA48" s="18">
        <v>0.0</v>
      </c>
      <c r="AB48" s="18">
        <v>0.0</v>
      </c>
      <c r="AC48" s="18">
        <v>0.0</v>
      </c>
      <c r="AD48" s="18">
        <v>0.0</v>
      </c>
      <c r="AE48" s="18">
        <v>0.0</v>
      </c>
      <c r="AF48" s="18">
        <v>0.0</v>
      </c>
      <c r="AG48" s="18">
        <v>0.0</v>
      </c>
      <c r="AH48" s="18">
        <v>1.0</v>
      </c>
      <c r="AI48" s="18">
        <v>0.0</v>
      </c>
      <c r="AJ48" s="18">
        <v>1.0</v>
      </c>
      <c r="AK48" s="18">
        <v>0.0</v>
      </c>
      <c r="AL48" s="18">
        <v>0.0</v>
      </c>
      <c r="AM48" s="18">
        <v>0.0</v>
      </c>
      <c r="AN48" s="18">
        <v>0.0</v>
      </c>
      <c r="AO48" s="18">
        <v>1.0</v>
      </c>
      <c r="AP48" s="18">
        <v>0.0</v>
      </c>
      <c r="AQ48" s="18">
        <v>0.0</v>
      </c>
      <c r="AR48" s="18">
        <v>0.0</v>
      </c>
      <c r="AS48" s="18">
        <v>3.0</v>
      </c>
      <c r="AT48" s="18">
        <v>0.0</v>
      </c>
      <c r="AU48" s="18">
        <v>0.0</v>
      </c>
      <c r="AV48" s="18">
        <v>0.0</v>
      </c>
      <c r="AW48" s="18">
        <v>0.0</v>
      </c>
      <c r="AX48" s="18">
        <v>0.0</v>
      </c>
      <c r="AY48" s="18">
        <v>0.0</v>
      </c>
      <c r="AZ48" s="18">
        <v>0.0</v>
      </c>
      <c r="BA48" s="18">
        <v>0.0</v>
      </c>
      <c r="BB48" s="18">
        <v>0.0</v>
      </c>
      <c r="BC48" s="18">
        <v>0.0</v>
      </c>
      <c r="BD48" s="18">
        <v>0.0</v>
      </c>
      <c r="BE48" s="18">
        <v>0.0</v>
      </c>
      <c r="BF48" s="18">
        <v>1.0</v>
      </c>
      <c r="BG48" s="18">
        <v>1.0</v>
      </c>
      <c r="BH48" s="18">
        <v>1.0</v>
      </c>
      <c r="BI48" s="18">
        <v>0.0</v>
      </c>
      <c r="BJ48" s="18">
        <v>1.0</v>
      </c>
      <c r="BK48" s="18">
        <v>3.0</v>
      </c>
      <c r="BL48" s="18">
        <v>0.0</v>
      </c>
      <c r="BM48" s="18">
        <v>0.0</v>
      </c>
      <c r="BN48" s="18">
        <v>1.0</v>
      </c>
      <c r="BO48" s="18">
        <v>0.0</v>
      </c>
      <c r="BP48" s="18">
        <v>1.0</v>
      </c>
      <c r="BQ48" s="18">
        <v>1.0</v>
      </c>
      <c r="BR48" s="18">
        <v>0.0</v>
      </c>
      <c r="BS48" s="18">
        <v>0.0</v>
      </c>
      <c r="BT48" s="18">
        <v>0.0</v>
      </c>
      <c r="BU48" s="18">
        <v>0.0</v>
      </c>
      <c r="BV48" s="18">
        <v>0.0</v>
      </c>
      <c r="BW48" s="18">
        <v>0.0</v>
      </c>
      <c r="BX48" s="18">
        <v>0.0</v>
      </c>
      <c r="BY48" s="18">
        <v>0.0</v>
      </c>
      <c r="BZ48" s="18">
        <v>0.0</v>
      </c>
      <c r="CA48" s="18">
        <v>0.0</v>
      </c>
      <c r="CB48" s="18">
        <v>0.0</v>
      </c>
      <c r="CC48" s="18">
        <v>0.0</v>
      </c>
      <c r="CD48" s="18">
        <v>0.0</v>
      </c>
      <c r="CE48" s="18">
        <v>0.0</v>
      </c>
      <c r="CF48" s="18">
        <v>0.0</v>
      </c>
      <c r="CG48" s="18">
        <v>0.0</v>
      </c>
      <c r="CH48" s="18">
        <v>0.0</v>
      </c>
      <c r="CI48" s="18">
        <v>0.0</v>
      </c>
      <c r="CJ48" s="18">
        <v>0.0</v>
      </c>
      <c r="CK48" s="18">
        <v>0.0</v>
      </c>
      <c r="CL48" s="18">
        <v>0.0</v>
      </c>
      <c r="CM48" s="18">
        <v>0.0</v>
      </c>
      <c r="CN48" s="18">
        <v>0.0</v>
      </c>
      <c r="CO48" s="18">
        <v>0.0</v>
      </c>
      <c r="CP48" s="18">
        <v>0.0</v>
      </c>
      <c r="CQ48" s="18">
        <v>0.0</v>
      </c>
      <c r="CR48" s="18">
        <v>0.0</v>
      </c>
      <c r="CS48" s="18">
        <v>0.0</v>
      </c>
      <c r="CT48" s="18">
        <v>0.0</v>
      </c>
      <c r="CU48" s="18">
        <v>0.0</v>
      </c>
      <c r="CV48" s="18">
        <v>0.0</v>
      </c>
      <c r="CW48" s="18">
        <v>0.0</v>
      </c>
      <c r="CX48" s="18">
        <v>0.0</v>
      </c>
      <c r="CY48" s="18">
        <v>1.0</v>
      </c>
      <c r="CZ48" s="18">
        <v>0.0</v>
      </c>
      <c r="DA48" s="18">
        <v>0.0</v>
      </c>
      <c r="DB48" s="18">
        <v>0.0</v>
      </c>
      <c r="DC48" s="18">
        <v>0.0</v>
      </c>
      <c r="DD48" s="18">
        <v>0.0</v>
      </c>
      <c r="DE48" s="18">
        <v>0.0</v>
      </c>
      <c r="DF48" s="18">
        <v>1.0</v>
      </c>
      <c r="DG48" s="18">
        <v>0.0</v>
      </c>
      <c r="DH48" s="18">
        <v>0.0</v>
      </c>
      <c r="DI48" s="18">
        <v>0.0</v>
      </c>
      <c r="DJ48" s="18">
        <v>0.0</v>
      </c>
      <c r="DK48" s="18">
        <v>0.0</v>
      </c>
      <c r="DL48" s="18">
        <v>0.0</v>
      </c>
      <c r="DM48" s="18">
        <v>0.0</v>
      </c>
      <c r="DN48" s="18">
        <v>0.0</v>
      </c>
      <c r="DO48" s="18">
        <v>1.0</v>
      </c>
      <c r="DP48" s="18">
        <v>0.0</v>
      </c>
      <c r="DQ48" s="18">
        <v>0.0</v>
      </c>
      <c r="DR48" s="18">
        <v>0.0</v>
      </c>
      <c r="DS48" s="18">
        <v>0.0</v>
      </c>
      <c r="DT48" s="18">
        <v>1.0</v>
      </c>
      <c r="DU48" s="18">
        <v>0.0</v>
      </c>
      <c r="DV48" s="18">
        <v>0.0</v>
      </c>
      <c r="DW48" s="18">
        <v>0.0</v>
      </c>
      <c r="DX48" s="18">
        <v>0.0</v>
      </c>
      <c r="DY48" s="18">
        <v>0.0</v>
      </c>
      <c r="DZ48" s="18">
        <v>0.0</v>
      </c>
      <c r="EA48" s="18">
        <v>0.0</v>
      </c>
      <c r="EB48" s="18">
        <v>0.0</v>
      </c>
      <c r="EC48" s="18">
        <v>0.0</v>
      </c>
      <c r="ED48" s="18">
        <v>0.0</v>
      </c>
      <c r="EE48" s="18">
        <v>0.0</v>
      </c>
      <c r="EF48" s="18">
        <v>0.0</v>
      </c>
      <c r="EG48" s="18">
        <v>0.0</v>
      </c>
      <c r="EH48" s="18">
        <v>0.0</v>
      </c>
      <c r="EI48" s="18">
        <v>0.0</v>
      </c>
      <c r="EJ48" s="18">
        <v>0.0</v>
      </c>
      <c r="EK48" s="18">
        <v>0.0</v>
      </c>
      <c r="EL48" s="18">
        <v>0.0</v>
      </c>
      <c r="EM48" s="18">
        <v>0.0</v>
      </c>
      <c r="EN48" s="18">
        <v>0.0</v>
      </c>
      <c r="EO48" s="18">
        <v>0.0</v>
      </c>
      <c r="EP48" s="18">
        <v>0.0</v>
      </c>
      <c r="EQ48" s="18">
        <v>1.0</v>
      </c>
      <c r="ER48" s="18">
        <v>0.0</v>
      </c>
      <c r="ES48" s="18">
        <v>0.0</v>
      </c>
      <c r="ET48" s="18">
        <v>0.0</v>
      </c>
      <c r="EU48" s="18">
        <v>0.0</v>
      </c>
      <c r="EV48" s="18">
        <v>0.0</v>
      </c>
      <c r="EW48" s="18">
        <v>0.0</v>
      </c>
      <c r="EX48" s="18">
        <v>0.0</v>
      </c>
      <c r="EY48" s="18">
        <v>0.0</v>
      </c>
      <c r="EZ48" s="18">
        <v>0.0</v>
      </c>
      <c r="FA48" s="18">
        <v>0.0</v>
      </c>
      <c r="FB48" s="18">
        <v>0.0</v>
      </c>
      <c r="FC48" s="18">
        <v>0.0</v>
      </c>
      <c r="FD48" s="19">
        <f t="shared" si="1"/>
        <v>27</v>
      </c>
    </row>
    <row r="49" ht="19.5" customHeight="1">
      <c r="A49" s="20" t="s">
        <v>187</v>
      </c>
      <c r="B49" s="18">
        <v>1.0</v>
      </c>
      <c r="C49" s="18">
        <v>0.0</v>
      </c>
      <c r="D49" s="18">
        <v>0.0</v>
      </c>
      <c r="E49" s="18">
        <v>0.0</v>
      </c>
      <c r="F49" s="18">
        <v>1.0</v>
      </c>
      <c r="G49" s="18">
        <v>2.0</v>
      </c>
      <c r="H49" s="18">
        <v>1.0</v>
      </c>
      <c r="I49" s="18">
        <v>1.0</v>
      </c>
      <c r="J49" s="18">
        <v>0.0</v>
      </c>
      <c r="K49" s="18">
        <v>3.0</v>
      </c>
      <c r="L49" s="18">
        <v>1.0</v>
      </c>
      <c r="M49" s="18">
        <v>1.0</v>
      </c>
      <c r="N49" s="18">
        <v>2.0</v>
      </c>
      <c r="O49" s="18">
        <v>1.0</v>
      </c>
      <c r="P49" s="18">
        <v>2.0</v>
      </c>
      <c r="Q49" s="18">
        <v>2.0</v>
      </c>
      <c r="R49" s="18">
        <v>1.0</v>
      </c>
      <c r="S49" s="18">
        <v>3.0</v>
      </c>
      <c r="T49" s="18">
        <v>2.0</v>
      </c>
      <c r="U49" s="18">
        <v>0.0</v>
      </c>
      <c r="V49" s="18">
        <v>0.0</v>
      </c>
      <c r="W49" s="18">
        <v>2.0</v>
      </c>
      <c r="X49" s="18">
        <v>1.0</v>
      </c>
      <c r="Y49" s="18">
        <v>1.0</v>
      </c>
      <c r="Z49" s="18">
        <v>0.0</v>
      </c>
      <c r="AA49" s="18">
        <v>0.0</v>
      </c>
      <c r="AB49" s="18">
        <v>0.0</v>
      </c>
      <c r="AC49" s="18">
        <v>2.0</v>
      </c>
      <c r="AD49" s="18">
        <v>1.0</v>
      </c>
      <c r="AE49" s="18">
        <v>2.0</v>
      </c>
      <c r="AF49" s="18">
        <v>0.0</v>
      </c>
      <c r="AG49" s="18">
        <v>1.0</v>
      </c>
      <c r="AH49" s="18">
        <v>1.0</v>
      </c>
      <c r="AI49" s="18">
        <v>0.0</v>
      </c>
      <c r="AJ49" s="18">
        <v>1.0</v>
      </c>
      <c r="AK49" s="18">
        <v>0.0</v>
      </c>
      <c r="AL49" s="18">
        <v>1.0</v>
      </c>
      <c r="AM49" s="18">
        <v>1.0</v>
      </c>
      <c r="AN49" s="18">
        <v>0.0</v>
      </c>
      <c r="AO49" s="18">
        <v>1.0</v>
      </c>
      <c r="AP49" s="18">
        <v>1.0</v>
      </c>
      <c r="AQ49" s="18">
        <v>0.0</v>
      </c>
      <c r="AR49" s="18">
        <v>2.0</v>
      </c>
      <c r="AS49" s="18">
        <v>1.0</v>
      </c>
      <c r="AT49" s="18">
        <v>1.0</v>
      </c>
      <c r="AU49" s="18">
        <v>0.0</v>
      </c>
      <c r="AV49" s="18">
        <v>0.0</v>
      </c>
      <c r="AW49" s="18">
        <v>0.0</v>
      </c>
      <c r="AX49" s="18">
        <v>0.0</v>
      </c>
      <c r="AY49" s="18">
        <v>0.0</v>
      </c>
      <c r="AZ49" s="18">
        <v>0.0</v>
      </c>
      <c r="BA49" s="18">
        <v>0.0</v>
      </c>
      <c r="BB49" s="18">
        <v>0.0</v>
      </c>
      <c r="BC49" s="18">
        <v>0.0</v>
      </c>
      <c r="BD49" s="18">
        <v>0.0</v>
      </c>
      <c r="BE49" s="18">
        <v>1.0</v>
      </c>
      <c r="BF49" s="18">
        <v>1.0</v>
      </c>
      <c r="BG49" s="18">
        <v>1.0</v>
      </c>
      <c r="BH49" s="18">
        <v>0.0</v>
      </c>
      <c r="BI49" s="18">
        <v>1.0</v>
      </c>
      <c r="BJ49" s="18">
        <v>0.0</v>
      </c>
      <c r="BK49" s="18">
        <v>1.0</v>
      </c>
      <c r="BL49" s="18">
        <v>0.0</v>
      </c>
      <c r="BM49" s="18">
        <v>0.0</v>
      </c>
      <c r="BN49" s="18">
        <v>2.0</v>
      </c>
      <c r="BO49" s="18">
        <v>0.0</v>
      </c>
      <c r="BP49" s="18">
        <v>0.0</v>
      </c>
      <c r="BQ49" s="18">
        <v>1.0</v>
      </c>
      <c r="BR49" s="18">
        <v>0.0</v>
      </c>
      <c r="BS49" s="18">
        <v>1.0</v>
      </c>
      <c r="BT49" s="18">
        <v>0.0</v>
      </c>
      <c r="BU49" s="18">
        <v>0.0</v>
      </c>
      <c r="BV49" s="18">
        <v>0.0</v>
      </c>
      <c r="BW49" s="18">
        <v>2.0</v>
      </c>
      <c r="BX49" s="18">
        <v>0.0</v>
      </c>
      <c r="BY49" s="18">
        <v>0.0</v>
      </c>
      <c r="BZ49" s="18">
        <v>0.0</v>
      </c>
      <c r="CA49" s="18">
        <v>0.0</v>
      </c>
      <c r="CB49" s="18">
        <v>0.0</v>
      </c>
      <c r="CC49" s="18">
        <v>0.0</v>
      </c>
      <c r="CD49" s="18">
        <v>0.0</v>
      </c>
      <c r="CE49" s="18">
        <v>2.0</v>
      </c>
      <c r="CF49" s="18">
        <v>1.0</v>
      </c>
      <c r="CG49" s="18">
        <v>0.0</v>
      </c>
      <c r="CH49" s="18">
        <v>1.0</v>
      </c>
      <c r="CI49" s="18">
        <v>0.0</v>
      </c>
      <c r="CJ49" s="18">
        <v>0.0</v>
      </c>
      <c r="CK49" s="18">
        <v>0.0</v>
      </c>
      <c r="CL49" s="18">
        <v>1.0</v>
      </c>
      <c r="CM49" s="18">
        <v>0.0</v>
      </c>
      <c r="CN49" s="18">
        <v>0.0</v>
      </c>
      <c r="CO49" s="18">
        <v>0.0</v>
      </c>
      <c r="CP49" s="18">
        <v>0.0</v>
      </c>
      <c r="CQ49" s="18">
        <v>1.0</v>
      </c>
      <c r="CR49" s="18">
        <v>0.0</v>
      </c>
      <c r="CS49" s="18">
        <v>0.0</v>
      </c>
      <c r="CT49" s="18">
        <v>0.0</v>
      </c>
      <c r="CU49" s="18">
        <v>0.0</v>
      </c>
      <c r="CV49" s="18">
        <v>0.0</v>
      </c>
      <c r="CW49" s="18">
        <v>0.0</v>
      </c>
      <c r="CX49" s="18">
        <v>0.0</v>
      </c>
      <c r="CY49" s="18">
        <v>0.0</v>
      </c>
      <c r="CZ49" s="18">
        <v>0.0</v>
      </c>
      <c r="DA49" s="18">
        <v>0.0</v>
      </c>
      <c r="DB49" s="18">
        <v>1.0</v>
      </c>
      <c r="DC49" s="18">
        <v>1.0</v>
      </c>
      <c r="DD49" s="18">
        <v>3.0</v>
      </c>
      <c r="DE49" s="18">
        <v>0.0</v>
      </c>
      <c r="DF49" s="18">
        <v>0.0</v>
      </c>
      <c r="DG49" s="18">
        <v>0.0</v>
      </c>
      <c r="DH49" s="18">
        <v>1.0</v>
      </c>
      <c r="DI49" s="18">
        <v>1.0</v>
      </c>
      <c r="DJ49" s="18">
        <v>2.0</v>
      </c>
      <c r="DK49" s="18">
        <v>2.0</v>
      </c>
      <c r="DL49" s="18">
        <v>1.0</v>
      </c>
      <c r="DM49" s="18">
        <v>0.0</v>
      </c>
      <c r="DN49" s="18">
        <v>0.0</v>
      </c>
      <c r="DO49" s="18">
        <v>0.0</v>
      </c>
      <c r="DP49" s="18">
        <v>0.0</v>
      </c>
      <c r="DQ49" s="18">
        <v>0.0</v>
      </c>
      <c r="DR49" s="18">
        <v>0.0</v>
      </c>
      <c r="DS49" s="18">
        <v>1.0</v>
      </c>
      <c r="DT49" s="18">
        <v>0.0</v>
      </c>
      <c r="DU49" s="18">
        <v>0.0</v>
      </c>
      <c r="DV49" s="18">
        <v>0.0</v>
      </c>
      <c r="DW49" s="18">
        <v>0.0</v>
      </c>
      <c r="DX49" s="18">
        <v>0.0</v>
      </c>
      <c r="DY49" s="18">
        <v>0.0</v>
      </c>
      <c r="DZ49" s="18">
        <v>0.0</v>
      </c>
      <c r="EA49" s="18">
        <v>0.0</v>
      </c>
      <c r="EB49" s="18">
        <v>0.0</v>
      </c>
      <c r="EC49" s="18">
        <v>0.0</v>
      </c>
      <c r="ED49" s="18">
        <v>0.0</v>
      </c>
      <c r="EE49" s="18">
        <v>0.0</v>
      </c>
      <c r="EF49" s="18">
        <v>0.0</v>
      </c>
      <c r="EG49" s="18">
        <v>0.0</v>
      </c>
      <c r="EH49" s="18">
        <v>1.0</v>
      </c>
      <c r="EI49" s="18">
        <v>0.0</v>
      </c>
      <c r="EJ49" s="18">
        <v>1.0</v>
      </c>
      <c r="EK49" s="18">
        <v>0.0</v>
      </c>
      <c r="EL49" s="18">
        <v>2.0</v>
      </c>
      <c r="EM49" s="18">
        <v>1.0</v>
      </c>
      <c r="EN49" s="18">
        <v>0.0</v>
      </c>
      <c r="EO49" s="18">
        <v>0.0</v>
      </c>
      <c r="EP49" s="18">
        <v>0.0</v>
      </c>
      <c r="EQ49" s="18">
        <v>0.0</v>
      </c>
      <c r="ER49" s="18">
        <v>0.0</v>
      </c>
      <c r="ES49" s="18">
        <v>0.0</v>
      </c>
      <c r="ET49" s="18">
        <v>0.0</v>
      </c>
      <c r="EU49" s="18">
        <v>0.0</v>
      </c>
      <c r="EV49" s="18">
        <v>0.0</v>
      </c>
      <c r="EW49" s="18">
        <v>0.0</v>
      </c>
      <c r="EX49" s="18">
        <v>0.0</v>
      </c>
      <c r="EY49" s="18">
        <v>0.0</v>
      </c>
      <c r="EZ49" s="18">
        <v>1.0</v>
      </c>
      <c r="FA49" s="18">
        <v>1.0</v>
      </c>
      <c r="FB49" s="18">
        <v>0.0</v>
      </c>
      <c r="FC49" s="18">
        <v>1.0</v>
      </c>
      <c r="FD49" s="19">
        <f t="shared" si="1"/>
        <v>82</v>
      </c>
    </row>
    <row r="50" ht="19.5" customHeight="1">
      <c r="A50" s="17" t="s">
        <v>188</v>
      </c>
      <c r="B50" s="18">
        <v>0.0</v>
      </c>
      <c r="C50" s="18">
        <v>0.0</v>
      </c>
      <c r="D50" s="18">
        <v>0.0</v>
      </c>
      <c r="E50" s="18">
        <v>0.0</v>
      </c>
      <c r="F50" s="18">
        <v>0.0</v>
      </c>
      <c r="G50" s="18">
        <v>0.0</v>
      </c>
      <c r="H50" s="18">
        <v>0.0</v>
      </c>
      <c r="I50" s="18">
        <v>0.0</v>
      </c>
      <c r="J50" s="18">
        <v>0.0</v>
      </c>
      <c r="K50" s="18">
        <v>0.0</v>
      </c>
      <c r="L50" s="18">
        <v>1.0</v>
      </c>
      <c r="M50" s="18">
        <v>0.0</v>
      </c>
      <c r="N50" s="18">
        <v>0.0</v>
      </c>
      <c r="O50" s="18">
        <v>0.0</v>
      </c>
      <c r="P50" s="18">
        <v>0.0</v>
      </c>
      <c r="Q50" s="18">
        <v>0.0</v>
      </c>
      <c r="R50" s="18">
        <v>0.0</v>
      </c>
      <c r="S50" s="18">
        <v>0.0</v>
      </c>
      <c r="T50" s="18">
        <v>0.0</v>
      </c>
      <c r="U50" s="18">
        <v>0.0</v>
      </c>
      <c r="V50" s="18">
        <v>0.0</v>
      </c>
      <c r="W50" s="18">
        <v>0.0</v>
      </c>
      <c r="X50" s="18">
        <v>0.0</v>
      </c>
      <c r="Y50" s="18">
        <v>0.0</v>
      </c>
      <c r="Z50" s="18">
        <v>0.0</v>
      </c>
      <c r="AA50" s="18">
        <v>0.0</v>
      </c>
      <c r="AB50" s="18">
        <v>1.0</v>
      </c>
      <c r="AC50" s="18">
        <v>0.0</v>
      </c>
      <c r="AD50" s="18">
        <v>0.0</v>
      </c>
      <c r="AE50" s="18">
        <v>0.0</v>
      </c>
      <c r="AF50" s="18">
        <v>0.0</v>
      </c>
      <c r="AG50" s="18">
        <v>0.0</v>
      </c>
      <c r="AH50" s="18">
        <v>0.0</v>
      </c>
      <c r="AI50" s="18">
        <v>0.0</v>
      </c>
      <c r="AJ50" s="18">
        <v>0.0</v>
      </c>
      <c r="AK50" s="18">
        <v>0.0</v>
      </c>
      <c r="AL50" s="18">
        <v>1.0</v>
      </c>
      <c r="AM50" s="18">
        <v>0.0</v>
      </c>
      <c r="AN50" s="18">
        <v>0.0</v>
      </c>
      <c r="AO50" s="18">
        <v>0.0</v>
      </c>
      <c r="AP50" s="18">
        <v>0.0</v>
      </c>
      <c r="AQ50" s="18">
        <v>0.0</v>
      </c>
      <c r="AR50" s="18">
        <v>0.0</v>
      </c>
      <c r="AS50" s="18">
        <v>0.0</v>
      </c>
      <c r="AT50" s="18">
        <v>0.0</v>
      </c>
      <c r="AU50" s="18">
        <v>0.0</v>
      </c>
      <c r="AV50" s="18">
        <v>0.0</v>
      </c>
      <c r="AW50" s="18">
        <v>0.0</v>
      </c>
      <c r="AX50" s="18">
        <v>0.0</v>
      </c>
      <c r="AY50" s="18">
        <v>0.0</v>
      </c>
      <c r="AZ50" s="18">
        <v>0.0</v>
      </c>
      <c r="BA50" s="18">
        <v>0.0</v>
      </c>
      <c r="BB50" s="18">
        <v>0.0</v>
      </c>
      <c r="BC50" s="18">
        <v>0.0</v>
      </c>
      <c r="BD50" s="18">
        <v>0.0</v>
      </c>
      <c r="BE50" s="18">
        <v>0.0</v>
      </c>
      <c r="BF50" s="18">
        <v>0.0</v>
      </c>
      <c r="BG50" s="18">
        <v>0.0</v>
      </c>
      <c r="BH50" s="18">
        <v>0.0</v>
      </c>
      <c r="BI50" s="18">
        <v>0.0</v>
      </c>
      <c r="BJ50" s="18">
        <v>0.0</v>
      </c>
      <c r="BK50" s="18">
        <v>0.0</v>
      </c>
      <c r="BL50" s="18">
        <v>0.0</v>
      </c>
      <c r="BM50" s="18">
        <v>0.0</v>
      </c>
      <c r="BN50" s="18">
        <v>0.0</v>
      </c>
      <c r="BO50" s="18">
        <v>0.0</v>
      </c>
      <c r="BP50" s="18">
        <v>0.0</v>
      </c>
      <c r="BQ50" s="18">
        <v>0.0</v>
      </c>
      <c r="BR50" s="18">
        <v>0.0</v>
      </c>
      <c r="BS50" s="18">
        <v>0.0</v>
      </c>
      <c r="BT50" s="18">
        <v>0.0</v>
      </c>
      <c r="BU50" s="18">
        <v>0.0</v>
      </c>
      <c r="BV50" s="18">
        <v>0.0</v>
      </c>
      <c r="BW50" s="18">
        <v>0.0</v>
      </c>
      <c r="BX50" s="18">
        <v>0.0</v>
      </c>
      <c r="BY50" s="18">
        <v>0.0</v>
      </c>
      <c r="BZ50" s="18">
        <v>0.0</v>
      </c>
      <c r="CA50" s="18">
        <v>0.0</v>
      </c>
      <c r="CB50" s="18">
        <v>0.0</v>
      </c>
      <c r="CC50" s="18">
        <v>0.0</v>
      </c>
      <c r="CD50" s="18">
        <v>0.0</v>
      </c>
      <c r="CE50" s="18">
        <v>0.0</v>
      </c>
      <c r="CF50" s="18">
        <v>0.0</v>
      </c>
      <c r="CG50" s="18">
        <v>0.0</v>
      </c>
      <c r="CH50" s="18">
        <v>0.0</v>
      </c>
      <c r="CI50" s="18">
        <v>0.0</v>
      </c>
      <c r="CJ50" s="18">
        <v>0.0</v>
      </c>
      <c r="CK50" s="18">
        <v>0.0</v>
      </c>
      <c r="CL50" s="18">
        <v>0.0</v>
      </c>
      <c r="CM50" s="18">
        <v>0.0</v>
      </c>
      <c r="CN50" s="18">
        <v>0.0</v>
      </c>
      <c r="CO50" s="18">
        <v>0.0</v>
      </c>
      <c r="CP50" s="18">
        <v>0.0</v>
      </c>
      <c r="CQ50" s="18">
        <v>0.0</v>
      </c>
      <c r="CR50" s="18">
        <v>0.0</v>
      </c>
      <c r="CS50" s="18">
        <v>0.0</v>
      </c>
      <c r="CT50" s="18">
        <v>0.0</v>
      </c>
      <c r="CU50" s="18">
        <v>0.0</v>
      </c>
      <c r="CV50" s="18">
        <v>0.0</v>
      </c>
      <c r="CW50" s="18">
        <v>1.0</v>
      </c>
      <c r="CX50" s="18">
        <v>0.0</v>
      </c>
      <c r="CY50" s="18">
        <v>0.0</v>
      </c>
      <c r="CZ50" s="18">
        <v>0.0</v>
      </c>
      <c r="DA50" s="18">
        <v>0.0</v>
      </c>
      <c r="DB50" s="18">
        <v>0.0</v>
      </c>
      <c r="DC50" s="18">
        <v>0.0</v>
      </c>
      <c r="DD50" s="18">
        <v>0.0</v>
      </c>
      <c r="DE50" s="18">
        <v>0.0</v>
      </c>
      <c r="DF50" s="18">
        <v>0.0</v>
      </c>
      <c r="DG50" s="18">
        <v>0.0</v>
      </c>
      <c r="DH50" s="18">
        <v>0.0</v>
      </c>
      <c r="DI50" s="18">
        <v>0.0</v>
      </c>
      <c r="DJ50" s="18">
        <v>0.0</v>
      </c>
      <c r="DK50" s="18">
        <v>0.0</v>
      </c>
      <c r="DL50" s="18">
        <v>0.0</v>
      </c>
      <c r="DM50" s="18">
        <v>0.0</v>
      </c>
      <c r="DN50" s="18">
        <v>0.0</v>
      </c>
      <c r="DO50" s="18">
        <v>0.0</v>
      </c>
      <c r="DP50" s="18">
        <v>0.0</v>
      </c>
      <c r="DQ50" s="18">
        <v>0.0</v>
      </c>
      <c r="DR50" s="18">
        <v>0.0</v>
      </c>
      <c r="DS50" s="18">
        <v>0.0</v>
      </c>
      <c r="DT50" s="18">
        <v>0.0</v>
      </c>
      <c r="DU50" s="18">
        <v>0.0</v>
      </c>
      <c r="DV50" s="18">
        <v>0.0</v>
      </c>
      <c r="DW50" s="18">
        <v>0.0</v>
      </c>
      <c r="DX50" s="18">
        <v>0.0</v>
      </c>
      <c r="DY50" s="18">
        <v>0.0</v>
      </c>
      <c r="DZ50" s="18">
        <v>0.0</v>
      </c>
      <c r="EA50" s="18">
        <v>0.0</v>
      </c>
      <c r="EB50" s="18">
        <v>0.0</v>
      </c>
      <c r="EC50" s="18">
        <v>0.0</v>
      </c>
      <c r="ED50" s="18">
        <v>0.0</v>
      </c>
      <c r="EE50" s="18">
        <v>0.0</v>
      </c>
      <c r="EF50" s="18">
        <v>0.0</v>
      </c>
      <c r="EG50" s="18">
        <v>0.0</v>
      </c>
      <c r="EH50" s="18">
        <v>0.0</v>
      </c>
      <c r="EI50" s="18">
        <v>0.0</v>
      </c>
      <c r="EJ50" s="18">
        <v>0.0</v>
      </c>
      <c r="EK50" s="18">
        <v>0.0</v>
      </c>
      <c r="EL50" s="18">
        <v>0.0</v>
      </c>
      <c r="EM50" s="18">
        <v>0.0</v>
      </c>
      <c r="EN50" s="18">
        <v>0.0</v>
      </c>
      <c r="EO50" s="18">
        <v>0.0</v>
      </c>
      <c r="EP50" s="18">
        <v>0.0</v>
      </c>
      <c r="EQ50" s="18">
        <v>0.0</v>
      </c>
      <c r="ER50" s="18">
        <v>0.0</v>
      </c>
      <c r="ES50" s="18">
        <v>0.0</v>
      </c>
      <c r="ET50" s="18">
        <v>0.0</v>
      </c>
      <c r="EU50" s="18">
        <v>0.0</v>
      </c>
      <c r="EV50" s="18">
        <v>0.0</v>
      </c>
      <c r="EW50" s="18">
        <v>0.0</v>
      </c>
      <c r="EX50" s="18">
        <v>0.0</v>
      </c>
      <c r="EY50" s="18">
        <v>0.0</v>
      </c>
      <c r="EZ50" s="18">
        <v>0.0</v>
      </c>
      <c r="FA50" s="18">
        <v>0.0</v>
      </c>
      <c r="FB50" s="18">
        <v>0.0</v>
      </c>
      <c r="FC50" s="18">
        <v>0.0</v>
      </c>
      <c r="FD50" s="19">
        <f t="shared" si="1"/>
        <v>4</v>
      </c>
    </row>
    <row r="51" ht="19.5" customHeight="1">
      <c r="A51" s="20" t="s">
        <v>189</v>
      </c>
      <c r="B51" s="18">
        <v>0.0</v>
      </c>
      <c r="C51" s="18">
        <v>0.0</v>
      </c>
      <c r="D51" s="18">
        <v>0.0</v>
      </c>
      <c r="E51" s="18">
        <v>0.0</v>
      </c>
      <c r="F51" s="18">
        <v>0.0</v>
      </c>
      <c r="G51" s="18">
        <v>0.0</v>
      </c>
      <c r="H51" s="18">
        <v>0.0</v>
      </c>
      <c r="I51" s="18">
        <v>0.0</v>
      </c>
      <c r="J51" s="18">
        <v>0.0</v>
      </c>
      <c r="K51" s="18">
        <v>0.0</v>
      </c>
      <c r="L51" s="18">
        <v>0.0</v>
      </c>
      <c r="M51" s="18">
        <v>0.0</v>
      </c>
      <c r="N51" s="18">
        <v>0.0</v>
      </c>
      <c r="O51" s="18">
        <v>0.0</v>
      </c>
      <c r="P51" s="18">
        <v>0.0</v>
      </c>
      <c r="Q51" s="18">
        <v>0.0</v>
      </c>
      <c r="R51" s="18">
        <v>1.0</v>
      </c>
      <c r="S51" s="18">
        <v>1.0</v>
      </c>
      <c r="T51" s="18">
        <v>0.0</v>
      </c>
      <c r="U51" s="18">
        <v>0.0</v>
      </c>
      <c r="V51" s="18">
        <v>0.0</v>
      </c>
      <c r="W51" s="18">
        <v>0.0</v>
      </c>
      <c r="X51" s="18">
        <v>0.0</v>
      </c>
      <c r="Y51" s="18">
        <v>1.0</v>
      </c>
      <c r="Z51" s="18">
        <v>0.0</v>
      </c>
      <c r="AA51" s="18">
        <v>0.0</v>
      </c>
      <c r="AB51" s="18">
        <v>0.0</v>
      </c>
      <c r="AC51" s="18">
        <v>0.0</v>
      </c>
      <c r="AD51" s="18">
        <v>0.0</v>
      </c>
      <c r="AE51" s="18">
        <v>0.0</v>
      </c>
      <c r="AF51" s="18">
        <v>0.0</v>
      </c>
      <c r="AG51" s="18">
        <v>0.0</v>
      </c>
      <c r="AH51" s="18">
        <v>0.0</v>
      </c>
      <c r="AI51" s="18">
        <v>0.0</v>
      </c>
      <c r="AJ51" s="18">
        <v>0.0</v>
      </c>
      <c r="AK51" s="18">
        <v>0.0</v>
      </c>
      <c r="AL51" s="18">
        <v>0.0</v>
      </c>
      <c r="AM51" s="18">
        <v>0.0</v>
      </c>
      <c r="AN51" s="18">
        <v>0.0</v>
      </c>
      <c r="AO51" s="18">
        <v>0.0</v>
      </c>
      <c r="AP51" s="18">
        <v>0.0</v>
      </c>
      <c r="AQ51" s="18">
        <v>0.0</v>
      </c>
      <c r="AR51" s="18">
        <v>0.0</v>
      </c>
      <c r="AS51" s="18">
        <v>0.0</v>
      </c>
      <c r="AT51" s="18">
        <v>0.0</v>
      </c>
      <c r="AU51" s="18">
        <v>0.0</v>
      </c>
      <c r="AV51" s="18">
        <v>0.0</v>
      </c>
      <c r="AW51" s="18">
        <v>0.0</v>
      </c>
      <c r="AX51" s="18">
        <v>0.0</v>
      </c>
      <c r="AY51" s="18">
        <v>0.0</v>
      </c>
      <c r="AZ51" s="18">
        <v>0.0</v>
      </c>
      <c r="BA51" s="18">
        <v>0.0</v>
      </c>
      <c r="BB51" s="18">
        <v>0.0</v>
      </c>
      <c r="BC51" s="18">
        <v>0.0</v>
      </c>
      <c r="BD51" s="18">
        <v>0.0</v>
      </c>
      <c r="BE51" s="18">
        <v>0.0</v>
      </c>
      <c r="BF51" s="18">
        <v>0.0</v>
      </c>
      <c r="BG51" s="18">
        <v>0.0</v>
      </c>
      <c r="BH51" s="18">
        <v>0.0</v>
      </c>
      <c r="BI51" s="18">
        <v>0.0</v>
      </c>
      <c r="BJ51" s="18">
        <v>0.0</v>
      </c>
      <c r="BK51" s="18">
        <v>0.0</v>
      </c>
      <c r="BL51" s="18">
        <v>0.0</v>
      </c>
      <c r="BM51" s="18">
        <v>0.0</v>
      </c>
      <c r="BN51" s="18">
        <v>0.0</v>
      </c>
      <c r="BO51" s="18">
        <v>0.0</v>
      </c>
      <c r="BP51" s="18">
        <v>0.0</v>
      </c>
      <c r="BQ51" s="18">
        <v>0.0</v>
      </c>
      <c r="BR51" s="18">
        <v>0.0</v>
      </c>
      <c r="BS51" s="18">
        <v>0.0</v>
      </c>
      <c r="BT51" s="18">
        <v>0.0</v>
      </c>
      <c r="BU51" s="18">
        <v>1.0</v>
      </c>
      <c r="BV51" s="18">
        <v>0.0</v>
      </c>
      <c r="BW51" s="18">
        <v>0.0</v>
      </c>
      <c r="BX51" s="18">
        <v>0.0</v>
      </c>
      <c r="BY51" s="18">
        <v>0.0</v>
      </c>
      <c r="BZ51" s="18">
        <v>0.0</v>
      </c>
      <c r="CA51" s="18">
        <v>0.0</v>
      </c>
      <c r="CB51" s="18">
        <v>0.0</v>
      </c>
      <c r="CC51" s="18">
        <v>0.0</v>
      </c>
      <c r="CD51" s="18">
        <v>0.0</v>
      </c>
      <c r="CE51" s="18">
        <v>1.0</v>
      </c>
      <c r="CF51" s="18">
        <v>0.0</v>
      </c>
      <c r="CG51" s="18">
        <v>0.0</v>
      </c>
      <c r="CH51" s="18">
        <v>0.0</v>
      </c>
      <c r="CI51" s="18">
        <v>0.0</v>
      </c>
      <c r="CJ51" s="18">
        <v>0.0</v>
      </c>
      <c r="CK51" s="18">
        <v>0.0</v>
      </c>
      <c r="CL51" s="18">
        <v>0.0</v>
      </c>
      <c r="CM51" s="18">
        <v>0.0</v>
      </c>
      <c r="CN51" s="18">
        <v>0.0</v>
      </c>
      <c r="CO51" s="18">
        <v>0.0</v>
      </c>
      <c r="CP51" s="18">
        <v>0.0</v>
      </c>
      <c r="CQ51" s="18">
        <v>0.0</v>
      </c>
      <c r="CR51" s="18">
        <v>0.0</v>
      </c>
      <c r="CS51" s="18">
        <v>0.0</v>
      </c>
      <c r="CT51" s="18">
        <v>0.0</v>
      </c>
      <c r="CU51" s="18">
        <v>0.0</v>
      </c>
      <c r="CV51" s="18">
        <v>0.0</v>
      </c>
      <c r="CW51" s="18">
        <v>0.0</v>
      </c>
      <c r="CX51" s="18">
        <v>0.0</v>
      </c>
      <c r="CY51" s="18">
        <v>0.0</v>
      </c>
      <c r="CZ51" s="18">
        <v>0.0</v>
      </c>
      <c r="DA51" s="18">
        <v>0.0</v>
      </c>
      <c r="DB51" s="18">
        <v>0.0</v>
      </c>
      <c r="DC51" s="18">
        <v>0.0</v>
      </c>
      <c r="DD51" s="18">
        <v>0.0</v>
      </c>
      <c r="DE51" s="18">
        <v>0.0</v>
      </c>
      <c r="DF51" s="18">
        <v>0.0</v>
      </c>
      <c r="DG51" s="18">
        <v>0.0</v>
      </c>
      <c r="DH51" s="18">
        <v>0.0</v>
      </c>
      <c r="DI51" s="18">
        <v>0.0</v>
      </c>
      <c r="DJ51" s="18">
        <v>0.0</v>
      </c>
      <c r="DK51" s="18">
        <v>0.0</v>
      </c>
      <c r="DL51" s="18">
        <v>0.0</v>
      </c>
      <c r="DM51" s="18">
        <v>0.0</v>
      </c>
      <c r="DN51" s="18">
        <v>0.0</v>
      </c>
      <c r="DO51" s="18">
        <v>0.0</v>
      </c>
      <c r="DP51" s="18">
        <v>0.0</v>
      </c>
      <c r="DQ51" s="18">
        <v>0.0</v>
      </c>
      <c r="DR51" s="18">
        <v>0.0</v>
      </c>
      <c r="DS51" s="18">
        <v>0.0</v>
      </c>
      <c r="DT51" s="18">
        <v>0.0</v>
      </c>
      <c r="DU51" s="18">
        <v>0.0</v>
      </c>
      <c r="DV51" s="18">
        <v>0.0</v>
      </c>
      <c r="DW51" s="18">
        <v>0.0</v>
      </c>
      <c r="DX51" s="18">
        <v>0.0</v>
      </c>
      <c r="DY51" s="18">
        <v>0.0</v>
      </c>
      <c r="DZ51" s="18">
        <v>0.0</v>
      </c>
      <c r="EA51" s="18">
        <v>0.0</v>
      </c>
      <c r="EB51" s="18">
        <v>0.0</v>
      </c>
      <c r="EC51" s="18">
        <v>0.0</v>
      </c>
      <c r="ED51" s="18">
        <v>0.0</v>
      </c>
      <c r="EE51" s="18">
        <v>0.0</v>
      </c>
      <c r="EF51" s="18">
        <v>0.0</v>
      </c>
      <c r="EG51" s="18">
        <v>0.0</v>
      </c>
      <c r="EH51" s="18">
        <v>0.0</v>
      </c>
      <c r="EI51" s="18">
        <v>0.0</v>
      </c>
      <c r="EJ51" s="18">
        <v>0.0</v>
      </c>
      <c r="EK51" s="18">
        <v>0.0</v>
      </c>
      <c r="EL51" s="18">
        <v>0.0</v>
      </c>
      <c r="EM51" s="18">
        <v>0.0</v>
      </c>
      <c r="EN51" s="18">
        <v>0.0</v>
      </c>
      <c r="EO51" s="18">
        <v>0.0</v>
      </c>
      <c r="EP51" s="18">
        <v>0.0</v>
      </c>
      <c r="EQ51" s="18">
        <v>0.0</v>
      </c>
      <c r="ER51" s="18">
        <v>0.0</v>
      </c>
      <c r="ES51" s="18">
        <v>0.0</v>
      </c>
      <c r="ET51" s="18">
        <v>0.0</v>
      </c>
      <c r="EU51" s="18">
        <v>0.0</v>
      </c>
      <c r="EV51" s="18">
        <v>0.0</v>
      </c>
      <c r="EW51" s="18">
        <v>0.0</v>
      </c>
      <c r="EX51" s="18">
        <v>1.0</v>
      </c>
      <c r="EY51" s="18">
        <v>1.0</v>
      </c>
      <c r="EZ51" s="18">
        <v>0.0</v>
      </c>
      <c r="FA51" s="18">
        <v>0.0</v>
      </c>
      <c r="FB51" s="18">
        <v>0.0</v>
      </c>
      <c r="FC51" s="18">
        <v>0.0</v>
      </c>
      <c r="FD51" s="19">
        <f t="shared" si="1"/>
        <v>7</v>
      </c>
    </row>
    <row r="52" ht="19.5" customHeight="1">
      <c r="A52" s="17" t="s">
        <v>190</v>
      </c>
      <c r="B52" s="18">
        <v>0.0</v>
      </c>
      <c r="C52" s="18">
        <v>0.0</v>
      </c>
      <c r="D52" s="18">
        <v>0.0</v>
      </c>
      <c r="E52" s="18">
        <v>0.0</v>
      </c>
      <c r="F52" s="18">
        <v>0.0</v>
      </c>
      <c r="G52" s="18">
        <v>0.0</v>
      </c>
      <c r="H52" s="18">
        <v>0.0</v>
      </c>
      <c r="I52" s="18">
        <v>0.0</v>
      </c>
      <c r="J52" s="18">
        <v>0.0</v>
      </c>
      <c r="K52" s="18">
        <v>0.0</v>
      </c>
      <c r="L52" s="18">
        <v>0.0</v>
      </c>
      <c r="M52" s="18">
        <v>0.0</v>
      </c>
      <c r="N52" s="18">
        <v>0.0</v>
      </c>
      <c r="O52" s="18">
        <v>0.0</v>
      </c>
      <c r="P52" s="18">
        <v>0.0</v>
      </c>
      <c r="Q52" s="18">
        <v>0.0</v>
      </c>
      <c r="R52" s="18">
        <v>0.0</v>
      </c>
      <c r="S52" s="18">
        <v>0.0</v>
      </c>
      <c r="T52" s="18">
        <v>0.0</v>
      </c>
      <c r="U52" s="18">
        <v>0.0</v>
      </c>
      <c r="V52" s="18">
        <v>0.0</v>
      </c>
      <c r="W52" s="18">
        <v>0.0</v>
      </c>
      <c r="X52" s="18">
        <v>0.0</v>
      </c>
      <c r="Y52" s="18">
        <v>0.0</v>
      </c>
      <c r="Z52" s="18">
        <v>0.0</v>
      </c>
      <c r="AA52" s="18">
        <v>0.0</v>
      </c>
      <c r="AB52" s="18">
        <v>0.0</v>
      </c>
      <c r="AC52" s="18">
        <v>0.0</v>
      </c>
      <c r="AD52" s="18">
        <v>0.0</v>
      </c>
      <c r="AE52" s="18">
        <v>0.0</v>
      </c>
      <c r="AF52" s="18">
        <v>0.0</v>
      </c>
      <c r="AG52" s="18">
        <v>0.0</v>
      </c>
      <c r="AH52" s="18">
        <v>0.0</v>
      </c>
      <c r="AI52" s="18">
        <v>0.0</v>
      </c>
      <c r="AJ52" s="18">
        <v>0.0</v>
      </c>
      <c r="AK52" s="18">
        <v>0.0</v>
      </c>
      <c r="AL52" s="18">
        <v>0.0</v>
      </c>
      <c r="AM52" s="18">
        <v>0.0</v>
      </c>
      <c r="AN52" s="18">
        <v>0.0</v>
      </c>
      <c r="AO52" s="18">
        <v>0.0</v>
      </c>
      <c r="AP52" s="18">
        <v>0.0</v>
      </c>
      <c r="AQ52" s="18">
        <v>0.0</v>
      </c>
      <c r="AR52" s="18">
        <v>0.0</v>
      </c>
      <c r="AS52" s="18">
        <v>0.0</v>
      </c>
      <c r="AT52" s="18">
        <v>0.0</v>
      </c>
      <c r="AU52" s="18">
        <v>0.0</v>
      </c>
      <c r="AV52" s="18">
        <v>0.0</v>
      </c>
      <c r="AW52" s="18">
        <v>0.0</v>
      </c>
      <c r="AX52" s="18">
        <v>0.0</v>
      </c>
      <c r="AY52" s="18">
        <v>0.0</v>
      </c>
      <c r="AZ52" s="18">
        <v>0.0</v>
      </c>
      <c r="BA52" s="18">
        <v>0.0</v>
      </c>
      <c r="BB52" s="18">
        <v>0.0</v>
      </c>
      <c r="BC52" s="18">
        <v>0.0</v>
      </c>
      <c r="BD52" s="18">
        <v>0.0</v>
      </c>
      <c r="BE52" s="18">
        <v>0.0</v>
      </c>
      <c r="BF52" s="18">
        <v>0.0</v>
      </c>
      <c r="BG52" s="18">
        <v>0.0</v>
      </c>
      <c r="BH52" s="18">
        <v>0.0</v>
      </c>
      <c r="BI52" s="18">
        <v>0.0</v>
      </c>
      <c r="BJ52" s="18">
        <v>0.0</v>
      </c>
      <c r="BK52" s="18">
        <v>0.0</v>
      </c>
      <c r="BL52" s="18">
        <v>0.0</v>
      </c>
      <c r="BM52" s="18">
        <v>0.0</v>
      </c>
      <c r="BN52" s="18">
        <v>0.0</v>
      </c>
      <c r="BO52" s="18">
        <v>0.0</v>
      </c>
      <c r="BP52" s="18">
        <v>0.0</v>
      </c>
      <c r="BQ52" s="18">
        <v>0.0</v>
      </c>
      <c r="BR52" s="18">
        <v>0.0</v>
      </c>
      <c r="BS52" s="18">
        <v>0.0</v>
      </c>
      <c r="BT52" s="18">
        <v>0.0</v>
      </c>
      <c r="BU52" s="18">
        <v>0.0</v>
      </c>
      <c r="BV52" s="18">
        <v>0.0</v>
      </c>
      <c r="BW52" s="18">
        <v>0.0</v>
      </c>
      <c r="BX52" s="18">
        <v>0.0</v>
      </c>
      <c r="BY52" s="18">
        <v>0.0</v>
      </c>
      <c r="BZ52" s="18">
        <v>0.0</v>
      </c>
      <c r="CA52" s="18">
        <v>0.0</v>
      </c>
      <c r="CB52" s="18">
        <v>0.0</v>
      </c>
      <c r="CC52" s="18">
        <v>0.0</v>
      </c>
      <c r="CD52" s="18">
        <v>0.0</v>
      </c>
      <c r="CE52" s="18">
        <v>0.0</v>
      </c>
      <c r="CF52" s="18">
        <v>0.0</v>
      </c>
      <c r="CG52" s="18">
        <v>0.0</v>
      </c>
      <c r="CH52" s="18">
        <v>0.0</v>
      </c>
      <c r="CI52" s="18">
        <v>0.0</v>
      </c>
      <c r="CJ52" s="18">
        <v>0.0</v>
      </c>
      <c r="CK52" s="18">
        <v>0.0</v>
      </c>
      <c r="CL52" s="18">
        <v>0.0</v>
      </c>
      <c r="CM52" s="18">
        <v>0.0</v>
      </c>
      <c r="CN52" s="18">
        <v>0.0</v>
      </c>
      <c r="CO52" s="18">
        <v>0.0</v>
      </c>
      <c r="CP52" s="18">
        <v>0.0</v>
      </c>
      <c r="CQ52" s="18">
        <v>0.0</v>
      </c>
      <c r="CR52" s="18">
        <v>0.0</v>
      </c>
      <c r="CS52" s="18">
        <v>0.0</v>
      </c>
      <c r="CT52" s="18">
        <v>0.0</v>
      </c>
      <c r="CU52" s="18">
        <v>0.0</v>
      </c>
      <c r="CV52" s="18">
        <v>0.0</v>
      </c>
      <c r="CW52" s="18">
        <v>0.0</v>
      </c>
      <c r="CX52" s="18">
        <v>0.0</v>
      </c>
      <c r="CY52" s="18">
        <v>0.0</v>
      </c>
      <c r="CZ52" s="18">
        <v>0.0</v>
      </c>
      <c r="DA52" s="18">
        <v>0.0</v>
      </c>
      <c r="DB52" s="18">
        <v>0.0</v>
      </c>
      <c r="DC52" s="18">
        <v>0.0</v>
      </c>
      <c r="DD52" s="18">
        <v>0.0</v>
      </c>
      <c r="DE52" s="18">
        <v>0.0</v>
      </c>
      <c r="DF52" s="18">
        <v>0.0</v>
      </c>
      <c r="DG52" s="18">
        <v>0.0</v>
      </c>
      <c r="DH52" s="18">
        <v>0.0</v>
      </c>
      <c r="DI52" s="18">
        <v>0.0</v>
      </c>
      <c r="DJ52" s="18">
        <v>0.0</v>
      </c>
      <c r="DK52" s="18">
        <v>0.0</v>
      </c>
      <c r="DL52" s="18">
        <v>0.0</v>
      </c>
      <c r="DM52" s="18">
        <v>0.0</v>
      </c>
      <c r="DN52" s="18">
        <v>0.0</v>
      </c>
      <c r="DO52" s="18">
        <v>0.0</v>
      </c>
      <c r="DP52" s="18">
        <v>0.0</v>
      </c>
      <c r="DQ52" s="18">
        <v>0.0</v>
      </c>
      <c r="DR52" s="18">
        <v>0.0</v>
      </c>
      <c r="DS52" s="18">
        <v>0.0</v>
      </c>
      <c r="DT52" s="18">
        <v>0.0</v>
      </c>
      <c r="DU52" s="18">
        <v>0.0</v>
      </c>
      <c r="DV52" s="18">
        <v>0.0</v>
      </c>
      <c r="DW52" s="18">
        <v>0.0</v>
      </c>
      <c r="DX52" s="18">
        <v>0.0</v>
      </c>
      <c r="DY52" s="18">
        <v>0.0</v>
      </c>
      <c r="DZ52" s="18">
        <v>0.0</v>
      </c>
      <c r="EA52" s="18">
        <v>0.0</v>
      </c>
      <c r="EB52" s="18">
        <v>0.0</v>
      </c>
      <c r="EC52" s="18">
        <v>0.0</v>
      </c>
      <c r="ED52" s="18">
        <v>0.0</v>
      </c>
      <c r="EE52" s="18">
        <v>0.0</v>
      </c>
      <c r="EF52" s="18">
        <v>0.0</v>
      </c>
      <c r="EG52" s="18">
        <v>0.0</v>
      </c>
      <c r="EH52" s="18">
        <v>0.0</v>
      </c>
      <c r="EI52" s="18">
        <v>0.0</v>
      </c>
      <c r="EJ52" s="18">
        <v>0.0</v>
      </c>
      <c r="EK52" s="18">
        <v>0.0</v>
      </c>
      <c r="EL52" s="18">
        <v>0.0</v>
      </c>
      <c r="EM52" s="18">
        <v>0.0</v>
      </c>
      <c r="EN52" s="18">
        <v>0.0</v>
      </c>
      <c r="EO52" s="18">
        <v>0.0</v>
      </c>
      <c r="EP52" s="18">
        <v>0.0</v>
      </c>
      <c r="EQ52" s="18">
        <v>0.0</v>
      </c>
      <c r="ER52" s="18">
        <v>0.0</v>
      </c>
      <c r="ES52" s="18">
        <v>0.0</v>
      </c>
      <c r="ET52" s="18">
        <v>0.0</v>
      </c>
      <c r="EU52" s="18">
        <v>0.0</v>
      </c>
      <c r="EV52" s="18">
        <v>0.0</v>
      </c>
      <c r="EW52" s="18">
        <v>0.0</v>
      </c>
      <c r="EX52" s="18">
        <v>0.0</v>
      </c>
      <c r="EY52" s="18">
        <v>0.0</v>
      </c>
      <c r="EZ52" s="18">
        <v>0.0</v>
      </c>
      <c r="FA52" s="18">
        <v>0.0</v>
      </c>
      <c r="FB52" s="18">
        <v>0.0</v>
      </c>
      <c r="FC52" s="18">
        <v>0.0</v>
      </c>
      <c r="FD52" s="19">
        <f t="shared" si="1"/>
        <v>0</v>
      </c>
    </row>
    <row r="53" ht="19.5" customHeight="1">
      <c r="A53" s="20" t="s">
        <v>191</v>
      </c>
      <c r="B53" s="18">
        <v>0.0</v>
      </c>
      <c r="C53" s="18">
        <v>0.0</v>
      </c>
      <c r="D53" s="18">
        <v>1.0</v>
      </c>
      <c r="E53" s="18">
        <v>1.0</v>
      </c>
      <c r="F53" s="18">
        <v>0.0</v>
      </c>
      <c r="G53" s="18">
        <v>1.0</v>
      </c>
      <c r="H53" s="18">
        <v>0.0</v>
      </c>
      <c r="I53" s="18">
        <v>0.0</v>
      </c>
      <c r="J53" s="18">
        <v>0.0</v>
      </c>
      <c r="K53" s="18">
        <v>0.0</v>
      </c>
      <c r="L53" s="18">
        <v>0.0</v>
      </c>
      <c r="M53" s="18">
        <v>0.0</v>
      </c>
      <c r="N53" s="18">
        <v>1.0</v>
      </c>
      <c r="O53" s="18">
        <v>1.0</v>
      </c>
      <c r="P53" s="18">
        <v>1.0</v>
      </c>
      <c r="Q53" s="18">
        <v>1.0</v>
      </c>
      <c r="R53" s="18">
        <v>1.0</v>
      </c>
      <c r="S53" s="18">
        <v>0.0</v>
      </c>
      <c r="T53" s="18">
        <v>0.0</v>
      </c>
      <c r="U53" s="18">
        <v>1.0</v>
      </c>
      <c r="V53" s="18">
        <v>0.0</v>
      </c>
      <c r="W53" s="18">
        <v>0.0</v>
      </c>
      <c r="X53" s="18">
        <v>0.0</v>
      </c>
      <c r="Y53" s="18">
        <v>0.0</v>
      </c>
      <c r="Z53" s="18">
        <v>0.0</v>
      </c>
      <c r="AA53" s="18">
        <v>1.0</v>
      </c>
      <c r="AB53" s="18">
        <v>0.0</v>
      </c>
      <c r="AC53" s="18">
        <v>2.0</v>
      </c>
      <c r="AD53" s="18">
        <v>0.0</v>
      </c>
      <c r="AE53" s="18">
        <v>0.0</v>
      </c>
      <c r="AF53" s="18">
        <v>0.0</v>
      </c>
      <c r="AG53" s="18">
        <v>3.0</v>
      </c>
      <c r="AH53" s="18">
        <v>1.0</v>
      </c>
      <c r="AI53" s="18">
        <v>1.0</v>
      </c>
      <c r="AJ53" s="18">
        <v>1.0</v>
      </c>
      <c r="AK53" s="18">
        <v>0.0</v>
      </c>
      <c r="AL53" s="18">
        <v>0.0</v>
      </c>
      <c r="AM53" s="18">
        <v>0.0</v>
      </c>
      <c r="AN53" s="18">
        <v>0.0</v>
      </c>
      <c r="AO53" s="18">
        <v>0.0</v>
      </c>
      <c r="AP53" s="18">
        <v>0.0</v>
      </c>
      <c r="AQ53" s="18">
        <v>0.0</v>
      </c>
      <c r="AR53" s="18">
        <v>0.0</v>
      </c>
      <c r="AS53" s="18">
        <v>0.0</v>
      </c>
      <c r="AT53" s="18">
        <v>0.0</v>
      </c>
      <c r="AU53" s="18">
        <v>1.0</v>
      </c>
      <c r="AV53" s="18">
        <v>0.0</v>
      </c>
      <c r="AW53" s="18">
        <v>0.0</v>
      </c>
      <c r="AX53" s="18">
        <v>1.0</v>
      </c>
      <c r="AY53" s="18">
        <v>0.0</v>
      </c>
      <c r="AZ53" s="18">
        <v>1.0</v>
      </c>
      <c r="BA53" s="18">
        <v>0.0</v>
      </c>
      <c r="BB53" s="18">
        <v>1.0</v>
      </c>
      <c r="BC53" s="18">
        <v>1.0</v>
      </c>
      <c r="BD53" s="18">
        <v>2.0</v>
      </c>
      <c r="BE53" s="18">
        <v>0.0</v>
      </c>
      <c r="BF53" s="18">
        <v>2.0</v>
      </c>
      <c r="BG53" s="18">
        <v>1.0</v>
      </c>
      <c r="BH53" s="18">
        <v>1.0</v>
      </c>
      <c r="BI53" s="18">
        <v>0.0</v>
      </c>
      <c r="BJ53" s="18">
        <v>1.0</v>
      </c>
      <c r="BK53" s="18">
        <v>0.0</v>
      </c>
      <c r="BL53" s="18">
        <v>0.0</v>
      </c>
      <c r="BM53" s="18">
        <v>2.0</v>
      </c>
      <c r="BN53" s="18">
        <v>0.0</v>
      </c>
      <c r="BO53" s="18">
        <v>0.0</v>
      </c>
      <c r="BP53" s="18">
        <v>0.0</v>
      </c>
      <c r="BQ53" s="18">
        <v>0.0</v>
      </c>
      <c r="BR53" s="18">
        <v>0.0</v>
      </c>
      <c r="BS53" s="18">
        <v>1.0</v>
      </c>
      <c r="BT53" s="18">
        <v>1.0</v>
      </c>
      <c r="BU53" s="18">
        <v>0.0</v>
      </c>
      <c r="BV53" s="18">
        <v>0.0</v>
      </c>
      <c r="BW53" s="18">
        <v>0.0</v>
      </c>
      <c r="BX53" s="18">
        <v>0.0</v>
      </c>
      <c r="BY53" s="18">
        <v>2.0</v>
      </c>
      <c r="BZ53" s="18">
        <v>1.0</v>
      </c>
      <c r="CA53" s="18">
        <v>0.0</v>
      </c>
      <c r="CB53" s="18">
        <v>0.0</v>
      </c>
      <c r="CC53" s="18">
        <v>0.0</v>
      </c>
      <c r="CD53" s="18">
        <v>0.0</v>
      </c>
      <c r="CE53" s="18">
        <v>0.0</v>
      </c>
      <c r="CF53" s="18">
        <v>0.0</v>
      </c>
      <c r="CG53" s="18">
        <v>0.0</v>
      </c>
      <c r="CH53" s="18">
        <v>0.0</v>
      </c>
      <c r="CI53" s="18">
        <v>1.0</v>
      </c>
      <c r="CJ53" s="18">
        <v>0.0</v>
      </c>
      <c r="CK53" s="18">
        <v>0.0</v>
      </c>
      <c r="CL53" s="18">
        <v>0.0</v>
      </c>
      <c r="CM53" s="18">
        <v>0.0</v>
      </c>
      <c r="CN53" s="18">
        <v>0.0</v>
      </c>
      <c r="CO53" s="18">
        <v>0.0</v>
      </c>
      <c r="CP53" s="18">
        <v>0.0</v>
      </c>
      <c r="CQ53" s="18">
        <v>0.0</v>
      </c>
      <c r="CR53" s="18">
        <v>0.0</v>
      </c>
      <c r="CS53" s="18">
        <v>0.0</v>
      </c>
      <c r="CT53" s="18">
        <v>0.0</v>
      </c>
      <c r="CU53" s="18">
        <v>0.0</v>
      </c>
      <c r="CV53" s="18">
        <v>0.0</v>
      </c>
      <c r="CW53" s="18">
        <v>0.0</v>
      </c>
      <c r="CX53" s="18">
        <v>0.0</v>
      </c>
      <c r="CY53" s="18">
        <v>0.0</v>
      </c>
      <c r="CZ53" s="18">
        <v>2.0</v>
      </c>
      <c r="DA53" s="18">
        <v>0.0</v>
      </c>
      <c r="DB53" s="18">
        <v>0.0</v>
      </c>
      <c r="DC53" s="18">
        <v>0.0</v>
      </c>
      <c r="DD53" s="18">
        <v>0.0</v>
      </c>
      <c r="DE53" s="18">
        <v>1.0</v>
      </c>
      <c r="DF53" s="18">
        <v>0.0</v>
      </c>
      <c r="DG53" s="18">
        <v>0.0</v>
      </c>
      <c r="DH53" s="18">
        <v>0.0</v>
      </c>
      <c r="DI53" s="18">
        <v>0.0</v>
      </c>
      <c r="DJ53" s="18">
        <v>1.0</v>
      </c>
      <c r="DK53" s="18">
        <v>0.0</v>
      </c>
      <c r="DL53" s="18">
        <v>0.0</v>
      </c>
      <c r="DM53" s="18">
        <v>0.0</v>
      </c>
      <c r="DN53" s="18">
        <v>0.0</v>
      </c>
      <c r="DO53" s="18">
        <v>0.0</v>
      </c>
      <c r="DP53" s="18">
        <v>0.0</v>
      </c>
      <c r="DQ53" s="18">
        <v>0.0</v>
      </c>
      <c r="DR53" s="18">
        <v>0.0</v>
      </c>
      <c r="DS53" s="18">
        <v>0.0</v>
      </c>
      <c r="DT53" s="18">
        <v>0.0</v>
      </c>
      <c r="DU53" s="18">
        <v>0.0</v>
      </c>
      <c r="DV53" s="18">
        <v>0.0</v>
      </c>
      <c r="DW53" s="18">
        <v>0.0</v>
      </c>
      <c r="DX53" s="18">
        <v>0.0</v>
      </c>
      <c r="DY53" s="18">
        <v>0.0</v>
      </c>
      <c r="DZ53" s="18">
        <v>0.0</v>
      </c>
      <c r="EA53" s="18">
        <v>0.0</v>
      </c>
      <c r="EB53" s="18">
        <v>0.0</v>
      </c>
      <c r="EC53" s="18">
        <v>0.0</v>
      </c>
      <c r="ED53" s="18">
        <v>0.0</v>
      </c>
      <c r="EE53" s="18">
        <v>0.0</v>
      </c>
      <c r="EF53" s="18">
        <v>1.0</v>
      </c>
      <c r="EG53" s="18">
        <v>1.0</v>
      </c>
      <c r="EH53" s="18">
        <v>0.0</v>
      </c>
      <c r="EI53" s="18">
        <v>0.0</v>
      </c>
      <c r="EJ53" s="18">
        <v>1.0</v>
      </c>
      <c r="EK53" s="18">
        <v>0.0</v>
      </c>
      <c r="EL53" s="18">
        <v>0.0</v>
      </c>
      <c r="EM53" s="18">
        <v>0.0</v>
      </c>
      <c r="EN53" s="18">
        <v>0.0</v>
      </c>
      <c r="EO53" s="18">
        <v>0.0</v>
      </c>
      <c r="EP53" s="18">
        <v>0.0</v>
      </c>
      <c r="EQ53" s="18">
        <v>0.0</v>
      </c>
      <c r="ER53" s="18">
        <v>1.0</v>
      </c>
      <c r="ES53" s="18">
        <v>0.0</v>
      </c>
      <c r="ET53" s="18">
        <v>1.0</v>
      </c>
      <c r="EU53" s="18">
        <v>0.0</v>
      </c>
      <c r="EV53" s="18">
        <v>0.0</v>
      </c>
      <c r="EW53" s="18">
        <v>1.0</v>
      </c>
      <c r="EX53" s="18">
        <v>0.0</v>
      </c>
      <c r="EY53" s="18">
        <v>0.0</v>
      </c>
      <c r="EZ53" s="18">
        <v>0.0</v>
      </c>
      <c r="FA53" s="18">
        <v>0.0</v>
      </c>
      <c r="FB53" s="18">
        <v>0.0</v>
      </c>
      <c r="FC53" s="18">
        <v>0.0</v>
      </c>
      <c r="FD53" s="19">
        <f t="shared" si="1"/>
        <v>48</v>
      </c>
    </row>
    <row r="54" ht="18.0" customHeight="1">
      <c r="A54" s="20" t="s">
        <v>192</v>
      </c>
      <c r="B54" s="18">
        <v>2.0</v>
      </c>
      <c r="C54" s="18">
        <v>0.0</v>
      </c>
      <c r="D54" s="18">
        <v>3.0</v>
      </c>
      <c r="E54" s="18">
        <v>5.0</v>
      </c>
      <c r="F54" s="18">
        <v>2.0</v>
      </c>
      <c r="G54" s="18">
        <v>1.0</v>
      </c>
      <c r="H54" s="18">
        <v>1.0</v>
      </c>
      <c r="I54" s="18">
        <v>2.0</v>
      </c>
      <c r="J54" s="18">
        <v>0.0</v>
      </c>
      <c r="K54" s="18">
        <v>1.0</v>
      </c>
      <c r="L54" s="18">
        <v>1.0</v>
      </c>
      <c r="M54" s="18">
        <v>0.0</v>
      </c>
      <c r="N54" s="18">
        <v>1.0</v>
      </c>
      <c r="O54" s="18">
        <v>0.0</v>
      </c>
      <c r="P54" s="18">
        <v>1.0</v>
      </c>
      <c r="Q54" s="18">
        <v>1.0</v>
      </c>
      <c r="R54" s="18">
        <v>1.0</v>
      </c>
      <c r="S54" s="18">
        <v>1.0</v>
      </c>
      <c r="T54" s="18">
        <v>0.0</v>
      </c>
      <c r="U54" s="18">
        <v>3.0</v>
      </c>
      <c r="V54" s="18">
        <v>1.0</v>
      </c>
      <c r="W54" s="18">
        <v>0.0</v>
      </c>
      <c r="X54" s="18">
        <v>1.0</v>
      </c>
      <c r="Y54" s="18">
        <v>1.0</v>
      </c>
      <c r="Z54" s="18">
        <v>0.0</v>
      </c>
      <c r="AA54" s="18">
        <v>1.0</v>
      </c>
      <c r="AB54" s="18">
        <v>2.0</v>
      </c>
      <c r="AC54" s="18">
        <v>2.0</v>
      </c>
      <c r="AD54" s="18">
        <v>1.0</v>
      </c>
      <c r="AE54" s="18">
        <v>0.0</v>
      </c>
      <c r="AF54" s="18">
        <v>1.0</v>
      </c>
      <c r="AG54" s="18">
        <v>1.0</v>
      </c>
      <c r="AH54" s="18">
        <v>0.0</v>
      </c>
      <c r="AI54" s="18">
        <v>0.0</v>
      </c>
      <c r="AJ54" s="18">
        <v>1.0</v>
      </c>
      <c r="AK54" s="18">
        <v>1.0</v>
      </c>
      <c r="AL54" s="18">
        <v>1.0</v>
      </c>
      <c r="AM54" s="18">
        <v>0.0</v>
      </c>
      <c r="AN54" s="18">
        <v>0.0</v>
      </c>
      <c r="AO54" s="18">
        <v>0.0</v>
      </c>
      <c r="AP54" s="18">
        <v>1.0</v>
      </c>
      <c r="AQ54" s="18">
        <v>0.0</v>
      </c>
      <c r="AR54" s="18">
        <v>1.0</v>
      </c>
      <c r="AS54" s="18">
        <v>1.0</v>
      </c>
      <c r="AT54" s="18">
        <v>1.0</v>
      </c>
      <c r="AU54" s="18">
        <v>1.0</v>
      </c>
      <c r="AV54" s="18">
        <v>2.0</v>
      </c>
      <c r="AW54" s="18">
        <v>2.0</v>
      </c>
      <c r="AX54" s="18">
        <v>0.0</v>
      </c>
      <c r="AY54" s="18">
        <v>0.0</v>
      </c>
      <c r="AZ54" s="18">
        <v>4.0</v>
      </c>
      <c r="BA54" s="18">
        <v>0.0</v>
      </c>
      <c r="BB54" s="18">
        <v>1.0</v>
      </c>
      <c r="BC54" s="18">
        <v>1.0</v>
      </c>
      <c r="BD54" s="18">
        <v>0.0</v>
      </c>
      <c r="BE54" s="18">
        <v>1.0</v>
      </c>
      <c r="BF54" s="18">
        <v>2.0</v>
      </c>
      <c r="BG54" s="18">
        <v>0.0</v>
      </c>
      <c r="BH54" s="18">
        <v>2.0</v>
      </c>
      <c r="BI54" s="18">
        <v>1.0</v>
      </c>
      <c r="BJ54" s="18">
        <v>0.0</v>
      </c>
      <c r="BK54" s="18">
        <v>0.0</v>
      </c>
      <c r="BL54" s="18">
        <v>1.0</v>
      </c>
      <c r="BM54" s="18">
        <v>1.0</v>
      </c>
      <c r="BN54" s="18">
        <v>0.0</v>
      </c>
      <c r="BO54" s="18">
        <v>0.0</v>
      </c>
      <c r="BP54" s="18">
        <v>2.0</v>
      </c>
      <c r="BQ54" s="18">
        <v>0.0</v>
      </c>
      <c r="BR54" s="18">
        <v>0.0</v>
      </c>
      <c r="BS54" s="18">
        <v>1.0</v>
      </c>
      <c r="BT54" s="18">
        <v>0.0</v>
      </c>
      <c r="BU54" s="18">
        <v>0.0</v>
      </c>
      <c r="BV54" s="18">
        <v>0.0</v>
      </c>
      <c r="BW54" s="18">
        <v>0.0</v>
      </c>
      <c r="BX54" s="18">
        <v>4.0</v>
      </c>
      <c r="BY54" s="18">
        <v>2.0</v>
      </c>
      <c r="BZ54" s="18">
        <v>1.0</v>
      </c>
      <c r="CA54" s="18">
        <v>1.0</v>
      </c>
      <c r="CB54" s="18">
        <v>1.0</v>
      </c>
      <c r="CC54" s="18">
        <v>2.0</v>
      </c>
      <c r="CD54" s="18">
        <v>1.0</v>
      </c>
      <c r="CE54" s="18">
        <v>0.0</v>
      </c>
      <c r="CF54" s="18">
        <v>1.0</v>
      </c>
      <c r="CG54" s="18">
        <v>0.0</v>
      </c>
      <c r="CH54" s="18">
        <v>0.0</v>
      </c>
      <c r="CI54" s="18">
        <v>0.0</v>
      </c>
      <c r="CJ54" s="18">
        <v>0.0</v>
      </c>
      <c r="CK54" s="18">
        <v>0.0</v>
      </c>
      <c r="CL54" s="18">
        <v>0.0</v>
      </c>
      <c r="CM54" s="18">
        <v>0.0</v>
      </c>
      <c r="CN54" s="18">
        <v>0.0</v>
      </c>
      <c r="CO54" s="18">
        <v>0.0</v>
      </c>
      <c r="CP54" s="18">
        <v>0.0</v>
      </c>
      <c r="CQ54" s="18">
        <v>0.0</v>
      </c>
      <c r="CR54" s="18">
        <v>0.0</v>
      </c>
      <c r="CS54" s="18">
        <v>0.0</v>
      </c>
      <c r="CT54" s="18">
        <v>1.0</v>
      </c>
      <c r="CU54" s="18">
        <v>0.0</v>
      </c>
      <c r="CV54" s="18">
        <v>0.0</v>
      </c>
      <c r="CW54" s="18">
        <v>1.0</v>
      </c>
      <c r="CX54" s="18">
        <v>0.0</v>
      </c>
      <c r="CY54" s="18">
        <v>1.0</v>
      </c>
      <c r="CZ54" s="18">
        <v>1.0</v>
      </c>
      <c r="DA54" s="18">
        <v>1.0</v>
      </c>
      <c r="DB54" s="18">
        <v>0.0</v>
      </c>
      <c r="DC54" s="18">
        <v>0.0</v>
      </c>
      <c r="DD54" s="18">
        <v>1.0</v>
      </c>
      <c r="DE54" s="18">
        <v>1.0</v>
      </c>
      <c r="DF54" s="18">
        <v>0.0</v>
      </c>
      <c r="DG54" s="18">
        <v>0.0</v>
      </c>
      <c r="DH54" s="18">
        <v>2.0</v>
      </c>
      <c r="DI54" s="18">
        <v>2.0</v>
      </c>
      <c r="DJ54" s="18">
        <v>1.0</v>
      </c>
      <c r="DK54" s="18">
        <v>2.0</v>
      </c>
      <c r="DL54" s="18">
        <v>1.0</v>
      </c>
      <c r="DM54" s="18">
        <v>0.0</v>
      </c>
      <c r="DN54" s="18">
        <v>2.0</v>
      </c>
      <c r="DO54" s="18">
        <v>1.0</v>
      </c>
      <c r="DP54" s="18">
        <v>0.0</v>
      </c>
      <c r="DQ54" s="18">
        <v>0.0</v>
      </c>
      <c r="DR54" s="18">
        <v>2.0</v>
      </c>
      <c r="DS54" s="18">
        <v>0.0</v>
      </c>
      <c r="DT54" s="18">
        <v>0.0</v>
      </c>
      <c r="DU54" s="18">
        <v>1.0</v>
      </c>
      <c r="DV54" s="18">
        <v>0.0</v>
      </c>
      <c r="DW54" s="18">
        <v>0.0</v>
      </c>
      <c r="DX54" s="18">
        <v>0.0</v>
      </c>
      <c r="DY54" s="18">
        <v>0.0</v>
      </c>
      <c r="DZ54" s="18">
        <v>0.0</v>
      </c>
      <c r="EA54" s="18">
        <v>0.0</v>
      </c>
      <c r="EB54" s="18">
        <v>0.0</v>
      </c>
      <c r="EC54" s="18">
        <v>0.0</v>
      </c>
      <c r="ED54" s="18">
        <v>0.0</v>
      </c>
      <c r="EE54" s="18">
        <v>0.0</v>
      </c>
      <c r="EF54" s="18">
        <v>0.0</v>
      </c>
      <c r="EG54" s="18">
        <v>0.0</v>
      </c>
      <c r="EH54" s="18">
        <v>0.0</v>
      </c>
      <c r="EI54" s="18">
        <v>1.0</v>
      </c>
      <c r="EJ54" s="18">
        <v>0.0</v>
      </c>
      <c r="EK54" s="18">
        <v>0.0</v>
      </c>
      <c r="EL54" s="18">
        <v>0.0</v>
      </c>
      <c r="EM54" s="18">
        <v>0.0</v>
      </c>
      <c r="EN54" s="18">
        <v>0.0</v>
      </c>
      <c r="EO54" s="18">
        <v>1.0</v>
      </c>
      <c r="EP54" s="18">
        <v>0.0</v>
      </c>
      <c r="EQ54" s="18">
        <v>0.0</v>
      </c>
      <c r="ER54" s="18">
        <v>0.0</v>
      </c>
      <c r="ES54" s="18">
        <v>0.0</v>
      </c>
      <c r="ET54" s="18">
        <v>0.0</v>
      </c>
      <c r="EU54" s="18">
        <v>0.0</v>
      </c>
      <c r="EV54" s="18">
        <v>1.0</v>
      </c>
      <c r="EW54" s="18">
        <v>2.0</v>
      </c>
      <c r="EX54" s="18">
        <v>0.0</v>
      </c>
      <c r="EY54" s="18">
        <v>1.0</v>
      </c>
      <c r="EZ54" s="18">
        <v>2.0</v>
      </c>
      <c r="FA54" s="18">
        <v>2.0</v>
      </c>
      <c r="FB54" s="18">
        <v>0.0</v>
      </c>
      <c r="FC54" s="18">
        <v>0.0</v>
      </c>
      <c r="FD54" s="19">
        <f t="shared" si="1"/>
        <v>110</v>
      </c>
    </row>
    <row r="55" ht="19.5" customHeight="1">
      <c r="A55" s="20" t="s">
        <v>193</v>
      </c>
      <c r="B55" s="18">
        <v>0.0</v>
      </c>
      <c r="C55" s="18">
        <v>0.0</v>
      </c>
      <c r="D55" s="18">
        <v>0.0</v>
      </c>
      <c r="E55" s="18">
        <v>0.0</v>
      </c>
      <c r="F55" s="18">
        <v>0.0</v>
      </c>
      <c r="G55" s="18">
        <v>0.0</v>
      </c>
      <c r="H55" s="18">
        <v>0.0</v>
      </c>
      <c r="I55" s="18">
        <v>0.0</v>
      </c>
      <c r="J55" s="18">
        <v>0.0</v>
      </c>
      <c r="K55" s="18">
        <v>0.0</v>
      </c>
      <c r="L55" s="18">
        <v>0.0</v>
      </c>
      <c r="M55" s="18">
        <v>0.0</v>
      </c>
      <c r="N55" s="18">
        <v>0.0</v>
      </c>
      <c r="O55" s="18">
        <v>0.0</v>
      </c>
      <c r="P55" s="18">
        <v>0.0</v>
      </c>
      <c r="Q55" s="18">
        <v>0.0</v>
      </c>
      <c r="R55" s="18">
        <v>0.0</v>
      </c>
      <c r="S55" s="18">
        <v>0.0</v>
      </c>
      <c r="T55" s="18">
        <v>0.0</v>
      </c>
      <c r="U55" s="18">
        <v>0.0</v>
      </c>
      <c r="V55" s="18">
        <v>0.0</v>
      </c>
      <c r="W55" s="18">
        <v>0.0</v>
      </c>
      <c r="X55" s="18">
        <v>0.0</v>
      </c>
      <c r="Y55" s="18">
        <v>0.0</v>
      </c>
      <c r="Z55" s="18">
        <v>1.0</v>
      </c>
      <c r="AA55" s="18">
        <v>0.0</v>
      </c>
      <c r="AB55" s="18">
        <v>0.0</v>
      </c>
      <c r="AC55" s="18">
        <v>0.0</v>
      </c>
      <c r="AD55" s="18">
        <v>0.0</v>
      </c>
      <c r="AE55" s="18">
        <v>0.0</v>
      </c>
      <c r="AF55" s="18">
        <v>0.0</v>
      </c>
      <c r="AG55" s="18">
        <v>0.0</v>
      </c>
      <c r="AH55" s="18">
        <v>0.0</v>
      </c>
      <c r="AI55" s="18">
        <v>0.0</v>
      </c>
      <c r="AJ55" s="18">
        <v>0.0</v>
      </c>
      <c r="AK55" s="18">
        <v>0.0</v>
      </c>
      <c r="AL55" s="18">
        <v>0.0</v>
      </c>
      <c r="AM55" s="18">
        <v>0.0</v>
      </c>
      <c r="AN55" s="18">
        <v>0.0</v>
      </c>
      <c r="AO55" s="18">
        <v>0.0</v>
      </c>
      <c r="AP55" s="18">
        <v>0.0</v>
      </c>
      <c r="AQ55" s="18">
        <v>0.0</v>
      </c>
      <c r="AR55" s="18">
        <v>0.0</v>
      </c>
      <c r="AS55" s="18">
        <v>0.0</v>
      </c>
      <c r="AT55" s="18">
        <v>0.0</v>
      </c>
      <c r="AU55" s="18">
        <v>1.0</v>
      </c>
      <c r="AV55" s="18">
        <v>0.0</v>
      </c>
      <c r="AW55" s="18">
        <v>0.0</v>
      </c>
      <c r="AX55" s="18">
        <v>0.0</v>
      </c>
      <c r="AY55" s="18">
        <v>1.0</v>
      </c>
      <c r="AZ55" s="18">
        <v>0.0</v>
      </c>
      <c r="BA55" s="18">
        <v>0.0</v>
      </c>
      <c r="BB55" s="18">
        <v>0.0</v>
      </c>
      <c r="BC55" s="18">
        <v>0.0</v>
      </c>
      <c r="BD55" s="18">
        <v>0.0</v>
      </c>
      <c r="BE55" s="18">
        <v>0.0</v>
      </c>
      <c r="BF55" s="18">
        <v>0.0</v>
      </c>
      <c r="BG55" s="18">
        <v>0.0</v>
      </c>
      <c r="BH55" s="18">
        <v>0.0</v>
      </c>
      <c r="BI55" s="18">
        <v>0.0</v>
      </c>
      <c r="BJ55" s="18">
        <v>0.0</v>
      </c>
      <c r="BK55" s="18">
        <v>0.0</v>
      </c>
      <c r="BL55" s="18">
        <v>0.0</v>
      </c>
      <c r="BM55" s="18">
        <v>0.0</v>
      </c>
      <c r="BN55" s="18">
        <v>0.0</v>
      </c>
      <c r="BO55" s="18">
        <v>0.0</v>
      </c>
      <c r="BP55" s="18">
        <v>0.0</v>
      </c>
      <c r="BQ55" s="18">
        <v>0.0</v>
      </c>
      <c r="BR55" s="18">
        <v>0.0</v>
      </c>
      <c r="BS55" s="18">
        <v>0.0</v>
      </c>
      <c r="BT55" s="18">
        <v>0.0</v>
      </c>
      <c r="BU55" s="18">
        <v>0.0</v>
      </c>
      <c r="BV55" s="18">
        <v>0.0</v>
      </c>
      <c r="BW55" s="18">
        <v>0.0</v>
      </c>
      <c r="BX55" s="18">
        <v>0.0</v>
      </c>
      <c r="BY55" s="18">
        <v>0.0</v>
      </c>
      <c r="BZ55" s="18">
        <v>0.0</v>
      </c>
      <c r="CA55" s="18">
        <v>1.0</v>
      </c>
      <c r="CB55" s="18">
        <v>0.0</v>
      </c>
      <c r="CC55" s="18">
        <v>0.0</v>
      </c>
      <c r="CD55" s="18">
        <v>0.0</v>
      </c>
      <c r="CE55" s="18">
        <v>0.0</v>
      </c>
      <c r="CF55" s="18">
        <v>0.0</v>
      </c>
      <c r="CG55" s="18">
        <v>0.0</v>
      </c>
      <c r="CH55" s="18">
        <v>1.0</v>
      </c>
      <c r="CI55" s="18">
        <v>0.0</v>
      </c>
      <c r="CJ55" s="18">
        <v>0.0</v>
      </c>
      <c r="CK55" s="18">
        <v>0.0</v>
      </c>
      <c r="CL55" s="18">
        <v>0.0</v>
      </c>
      <c r="CM55" s="18">
        <v>0.0</v>
      </c>
      <c r="CN55" s="18">
        <v>0.0</v>
      </c>
      <c r="CO55" s="18">
        <v>0.0</v>
      </c>
      <c r="CP55" s="18">
        <v>0.0</v>
      </c>
      <c r="CQ55" s="18">
        <v>0.0</v>
      </c>
      <c r="CR55" s="18">
        <v>0.0</v>
      </c>
      <c r="CS55" s="18">
        <v>0.0</v>
      </c>
      <c r="CT55" s="18">
        <v>0.0</v>
      </c>
      <c r="CU55" s="18">
        <v>0.0</v>
      </c>
      <c r="CV55" s="18">
        <v>0.0</v>
      </c>
      <c r="CW55" s="18">
        <v>0.0</v>
      </c>
      <c r="CX55" s="18">
        <v>0.0</v>
      </c>
      <c r="CY55" s="18">
        <v>0.0</v>
      </c>
      <c r="CZ55" s="18">
        <v>0.0</v>
      </c>
      <c r="DA55" s="18">
        <v>0.0</v>
      </c>
      <c r="DB55" s="18">
        <v>0.0</v>
      </c>
      <c r="DC55" s="18">
        <v>0.0</v>
      </c>
      <c r="DD55" s="18">
        <v>0.0</v>
      </c>
      <c r="DE55" s="18">
        <v>0.0</v>
      </c>
      <c r="DF55" s="18">
        <v>0.0</v>
      </c>
      <c r="DG55" s="18">
        <v>0.0</v>
      </c>
      <c r="DH55" s="18">
        <v>0.0</v>
      </c>
      <c r="DI55" s="18">
        <v>0.0</v>
      </c>
      <c r="DJ55" s="18">
        <v>0.0</v>
      </c>
      <c r="DK55" s="18">
        <v>0.0</v>
      </c>
      <c r="DL55" s="18">
        <v>0.0</v>
      </c>
      <c r="DM55" s="18">
        <v>0.0</v>
      </c>
      <c r="DN55" s="18">
        <v>0.0</v>
      </c>
      <c r="DO55" s="18">
        <v>1.0</v>
      </c>
      <c r="DP55" s="18">
        <v>1.0</v>
      </c>
      <c r="DQ55" s="18">
        <v>0.0</v>
      </c>
      <c r="DR55" s="18">
        <v>0.0</v>
      </c>
      <c r="DS55" s="18">
        <v>0.0</v>
      </c>
      <c r="DT55" s="18">
        <v>0.0</v>
      </c>
      <c r="DU55" s="18">
        <v>0.0</v>
      </c>
      <c r="DV55" s="18">
        <v>0.0</v>
      </c>
      <c r="DW55" s="18">
        <v>0.0</v>
      </c>
      <c r="DX55" s="18">
        <v>0.0</v>
      </c>
      <c r="DY55" s="18">
        <v>0.0</v>
      </c>
      <c r="DZ55" s="18">
        <v>0.0</v>
      </c>
      <c r="EA55" s="18">
        <v>0.0</v>
      </c>
      <c r="EB55" s="18">
        <v>0.0</v>
      </c>
      <c r="EC55" s="18">
        <v>0.0</v>
      </c>
      <c r="ED55" s="18">
        <v>0.0</v>
      </c>
      <c r="EE55" s="18">
        <v>0.0</v>
      </c>
      <c r="EF55" s="18">
        <v>0.0</v>
      </c>
      <c r="EG55" s="18">
        <v>0.0</v>
      </c>
      <c r="EH55" s="18">
        <v>0.0</v>
      </c>
      <c r="EI55" s="18">
        <v>0.0</v>
      </c>
      <c r="EJ55" s="18">
        <v>0.0</v>
      </c>
      <c r="EK55" s="18">
        <v>0.0</v>
      </c>
      <c r="EL55" s="18">
        <v>0.0</v>
      </c>
      <c r="EM55" s="18">
        <v>0.0</v>
      </c>
      <c r="EN55" s="18">
        <v>0.0</v>
      </c>
      <c r="EO55" s="18">
        <v>0.0</v>
      </c>
      <c r="EP55" s="18">
        <v>0.0</v>
      </c>
      <c r="EQ55" s="18">
        <v>0.0</v>
      </c>
      <c r="ER55" s="18">
        <v>0.0</v>
      </c>
      <c r="ES55" s="18">
        <v>0.0</v>
      </c>
      <c r="ET55" s="18">
        <v>0.0</v>
      </c>
      <c r="EU55" s="18">
        <v>0.0</v>
      </c>
      <c r="EV55" s="18">
        <v>0.0</v>
      </c>
      <c r="EW55" s="18">
        <v>0.0</v>
      </c>
      <c r="EX55" s="18">
        <v>0.0</v>
      </c>
      <c r="EY55" s="18">
        <v>0.0</v>
      </c>
      <c r="EZ55" s="18">
        <v>0.0</v>
      </c>
      <c r="FA55" s="18">
        <v>0.0</v>
      </c>
      <c r="FB55" s="18">
        <v>0.0</v>
      </c>
      <c r="FC55" s="18">
        <v>0.0</v>
      </c>
      <c r="FD55" s="19">
        <f t="shared" si="1"/>
        <v>7</v>
      </c>
    </row>
    <row r="56" ht="19.5" customHeight="1">
      <c r="A56" s="20" t="s">
        <v>194</v>
      </c>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v>0.0</v>
      </c>
      <c r="CL56" s="18">
        <v>0.0</v>
      </c>
      <c r="CM56" s="18">
        <v>0.0</v>
      </c>
      <c r="CN56" s="18">
        <v>0.0</v>
      </c>
      <c r="CO56" s="18">
        <v>0.0</v>
      </c>
      <c r="CP56" s="18">
        <v>0.0</v>
      </c>
      <c r="CQ56" s="18">
        <v>0.0</v>
      </c>
      <c r="CR56" s="18">
        <v>0.0</v>
      </c>
      <c r="CS56" s="18">
        <v>0.0</v>
      </c>
      <c r="CT56" s="18">
        <v>0.0</v>
      </c>
      <c r="CU56" s="18">
        <v>0.0</v>
      </c>
      <c r="CV56" s="18">
        <v>0.0</v>
      </c>
      <c r="CW56" s="18">
        <v>1.0</v>
      </c>
      <c r="CX56" s="18">
        <v>0.0</v>
      </c>
      <c r="CY56" s="18">
        <v>0.0</v>
      </c>
      <c r="CZ56" s="18">
        <v>0.0</v>
      </c>
      <c r="DA56" s="18">
        <v>0.0</v>
      </c>
      <c r="DB56" s="18">
        <v>0.0</v>
      </c>
      <c r="DC56" s="18">
        <v>0.0</v>
      </c>
      <c r="DD56" s="18">
        <v>0.0</v>
      </c>
      <c r="DE56" s="18">
        <v>0.0</v>
      </c>
      <c r="DF56" s="18">
        <v>0.0</v>
      </c>
      <c r="DG56" s="18">
        <v>0.0</v>
      </c>
      <c r="DH56" s="18">
        <v>0.0</v>
      </c>
      <c r="DI56" s="18">
        <v>0.0</v>
      </c>
      <c r="DJ56" s="18">
        <v>0.0</v>
      </c>
      <c r="DK56" s="18">
        <v>0.0</v>
      </c>
      <c r="DL56" s="18">
        <v>0.0</v>
      </c>
      <c r="DM56" s="18">
        <v>0.0</v>
      </c>
      <c r="DN56" s="18">
        <v>0.0</v>
      </c>
      <c r="DO56" s="18">
        <v>0.0</v>
      </c>
      <c r="DP56" s="18">
        <v>0.0</v>
      </c>
      <c r="DQ56" s="18">
        <v>0.0</v>
      </c>
      <c r="DR56" s="18">
        <v>0.0</v>
      </c>
      <c r="DS56" s="18">
        <v>0.0</v>
      </c>
      <c r="DT56" s="18">
        <v>0.0</v>
      </c>
      <c r="DU56" s="18">
        <v>0.0</v>
      </c>
      <c r="DV56" s="18">
        <v>0.0</v>
      </c>
      <c r="DW56" s="18">
        <v>0.0</v>
      </c>
      <c r="DX56" s="18">
        <v>0.0</v>
      </c>
      <c r="DY56" s="18">
        <v>0.0</v>
      </c>
      <c r="DZ56" s="18">
        <v>0.0</v>
      </c>
      <c r="EA56" s="18">
        <v>0.0</v>
      </c>
      <c r="EB56" s="18">
        <v>0.0</v>
      </c>
      <c r="EC56" s="18">
        <v>0.0</v>
      </c>
      <c r="ED56" s="18">
        <v>0.0</v>
      </c>
      <c r="EE56" s="18">
        <v>0.0</v>
      </c>
      <c r="EF56" s="18">
        <v>0.0</v>
      </c>
      <c r="EG56" s="18">
        <v>0.0</v>
      </c>
      <c r="EH56" s="18">
        <v>0.0</v>
      </c>
      <c r="EI56" s="18">
        <v>0.0</v>
      </c>
      <c r="EJ56" s="18">
        <v>0.0</v>
      </c>
      <c r="EK56" s="18">
        <v>0.0</v>
      </c>
      <c r="EL56" s="18">
        <v>0.0</v>
      </c>
      <c r="EM56" s="18">
        <v>0.0</v>
      </c>
      <c r="EN56" s="18">
        <v>0.0</v>
      </c>
      <c r="EO56" s="18">
        <v>0.0</v>
      </c>
      <c r="EP56" s="18">
        <v>0.0</v>
      </c>
      <c r="EQ56" s="18">
        <v>0.0</v>
      </c>
      <c r="ER56" s="18">
        <v>0.0</v>
      </c>
      <c r="ES56" s="18">
        <v>0.0</v>
      </c>
      <c r="ET56" s="18">
        <v>0.0</v>
      </c>
      <c r="EU56" s="18">
        <v>0.0</v>
      </c>
      <c r="EV56" s="18">
        <v>0.0</v>
      </c>
      <c r="EW56" s="18">
        <v>0.0</v>
      </c>
      <c r="EX56" s="18">
        <v>0.0</v>
      </c>
      <c r="EY56" s="18">
        <v>0.0</v>
      </c>
      <c r="EZ56" s="18">
        <v>0.0</v>
      </c>
      <c r="FA56" s="18">
        <v>0.0</v>
      </c>
      <c r="FB56" s="18">
        <v>0.0</v>
      </c>
      <c r="FC56" s="18">
        <v>0.0</v>
      </c>
      <c r="FD56" s="19">
        <f t="shared" si="1"/>
        <v>1</v>
      </c>
    </row>
    <row r="57" ht="19.5" customHeight="1">
      <c r="A57" s="17" t="s">
        <v>195</v>
      </c>
      <c r="B57" s="18">
        <v>0.0</v>
      </c>
      <c r="C57" s="18">
        <v>2.0</v>
      </c>
      <c r="D57" s="18">
        <v>2.0</v>
      </c>
      <c r="E57" s="18">
        <v>1.0</v>
      </c>
      <c r="F57" s="18">
        <v>0.0</v>
      </c>
      <c r="G57" s="18">
        <v>0.0</v>
      </c>
      <c r="H57" s="18">
        <v>0.0</v>
      </c>
      <c r="I57" s="18">
        <v>0.0</v>
      </c>
      <c r="J57" s="18">
        <v>0.0</v>
      </c>
      <c r="K57" s="18">
        <v>0.0</v>
      </c>
      <c r="L57" s="18">
        <v>0.0</v>
      </c>
      <c r="M57" s="18">
        <v>1.0</v>
      </c>
      <c r="N57" s="18">
        <v>1.0</v>
      </c>
      <c r="O57" s="18">
        <v>2.0</v>
      </c>
      <c r="P57" s="18">
        <v>6.0</v>
      </c>
      <c r="Q57" s="18">
        <v>5.0</v>
      </c>
      <c r="R57" s="18">
        <v>0.0</v>
      </c>
      <c r="S57" s="18">
        <v>6.0</v>
      </c>
      <c r="T57" s="18">
        <v>2.0</v>
      </c>
      <c r="U57" s="18">
        <v>1.0</v>
      </c>
      <c r="V57" s="18">
        <v>2.0</v>
      </c>
      <c r="W57" s="18">
        <v>0.0</v>
      </c>
      <c r="X57" s="18">
        <v>0.0</v>
      </c>
      <c r="Y57" s="18">
        <v>1.0</v>
      </c>
      <c r="Z57" s="18">
        <v>1.0</v>
      </c>
      <c r="AA57" s="18">
        <v>2.0</v>
      </c>
      <c r="AB57" s="18">
        <v>0.0</v>
      </c>
      <c r="AC57" s="18">
        <v>0.0</v>
      </c>
      <c r="AD57" s="18">
        <v>3.0</v>
      </c>
      <c r="AE57" s="18">
        <v>0.0</v>
      </c>
      <c r="AF57" s="18">
        <v>1.0</v>
      </c>
      <c r="AG57" s="18">
        <v>2.0</v>
      </c>
      <c r="AH57" s="18">
        <v>1.0</v>
      </c>
      <c r="AI57" s="18">
        <v>1.0</v>
      </c>
      <c r="AJ57" s="18">
        <v>0.0</v>
      </c>
      <c r="AK57" s="18">
        <v>1.0</v>
      </c>
      <c r="AL57" s="18">
        <v>0.0</v>
      </c>
      <c r="AM57" s="18">
        <v>0.0</v>
      </c>
      <c r="AN57" s="18">
        <v>1.0</v>
      </c>
      <c r="AO57" s="18">
        <v>2.0</v>
      </c>
      <c r="AP57" s="18">
        <v>4.0</v>
      </c>
      <c r="AQ57" s="18">
        <v>1.0</v>
      </c>
      <c r="AR57" s="18">
        <v>6.0</v>
      </c>
      <c r="AS57" s="18">
        <v>1.0</v>
      </c>
      <c r="AT57" s="18">
        <v>3.0</v>
      </c>
      <c r="AU57" s="18">
        <v>3.0</v>
      </c>
      <c r="AV57" s="18">
        <v>2.0</v>
      </c>
      <c r="AW57" s="18">
        <v>1.0</v>
      </c>
      <c r="AX57" s="18">
        <v>0.0</v>
      </c>
      <c r="AY57" s="18">
        <v>2.0</v>
      </c>
      <c r="AZ57" s="18">
        <v>1.0</v>
      </c>
      <c r="BA57" s="18">
        <v>1.0</v>
      </c>
      <c r="BB57" s="18">
        <v>1.0</v>
      </c>
      <c r="BC57" s="18">
        <v>1.0</v>
      </c>
      <c r="BD57" s="18">
        <v>0.0</v>
      </c>
      <c r="BE57" s="18">
        <v>0.0</v>
      </c>
      <c r="BF57" s="18">
        <v>0.0</v>
      </c>
      <c r="BG57" s="18">
        <v>1.0</v>
      </c>
      <c r="BH57" s="18">
        <v>0.0</v>
      </c>
      <c r="BI57" s="18">
        <v>0.0</v>
      </c>
      <c r="BJ57" s="18">
        <v>0.0</v>
      </c>
      <c r="BK57" s="18">
        <v>0.0</v>
      </c>
      <c r="BL57" s="18">
        <v>0.0</v>
      </c>
      <c r="BM57" s="18">
        <v>0.0</v>
      </c>
      <c r="BN57" s="18">
        <v>0.0</v>
      </c>
      <c r="BO57" s="18">
        <v>0.0</v>
      </c>
      <c r="BP57" s="18">
        <v>0.0</v>
      </c>
      <c r="BQ57" s="18">
        <v>0.0</v>
      </c>
      <c r="BR57" s="18">
        <v>0.0</v>
      </c>
      <c r="BS57" s="18">
        <v>0.0</v>
      </c>
      <c r="BT57" s="18">
        <v>1.0</v>
      </c>
      <c r="BU57" s="18">
        <v>0.0</v>
      </c>
      <c r="BV57" s="18">
        <v>0.0</v>
      </c>
      <c r="BW57" s="18">
        <v>0.0</v>
      </c>
      <c r="BX57" s="18">
        <v>0.0</v>
      </c>
      <c r="BY57" s="18">
        <v>0.0</v>
      </c>
      <c r="BZ57" s="18">
        <v>0.0</v>
      </c>
      <c r="CA57" s="18">
        <v>0.0</v>
      </c>
      <c r="CB57" s="18">
        <v>0.0</v>
      </c>
      <c r="CC57" s="18">
        <v>0.0</v>
      </c>
      <c r="CD57" s="18">
        <v>0.0</v>
      </c>
      <c r="CE57" s="18">
        <v>0.0</v>
      </c>
      <c r="CF57" s="18">
        <v>0.0</v>
      </c>
      <c r="CG57" s="18">
        <v>0.0</v>
      </c>
      <c r="CH57" s="18">
        <v>0.0</v>
      </c>
      <c r="CI57" s="18">
        <v>0.0</v>
      </c>
      <c r="CJ57" s="18">
        <v>0.0</v>
      </c>
      <c r="CK57" s="18">
        <v>0.0</v>
      </c>
      <c r="CL57" s="18">
        <v>0.0</v>
      </c>
      <c r="CM57" s="18">
        <v>0.0</v>
      </c>
      <c r="CN57" s="18">
        <v>0.0</v>
      </c>
      <c r="CO57" s="18">
        <v>0.0</v>
      </c>
      <c r="CP57" s="18">
        <v>0.0</v>
      </c>
      <c r="CQ57" s="18">
        <v>0.0</v>
      </c>
      <c r="CR57" s="18">
        <v>0.0</v>
      </c>
      <c r="CS57" s="18">
        <v>0.0</v>
      </c>
      <c r="CT57" s="18">
        <v>0.0</v>
      </c>
      <c r="CU57" s="18">
        <v>0.0</v>
      </c>
      <c r="CV57" s="18">
        <v>0.0</v>
      </c>
      <c r="CW57" s="18">
        <v>0.0</v>
      </c>
      <c r="CX57" s="18">
        <v>0.0</v>
      </c>
      <c r="CY57" s="18">
        <v>0.0</v>
      </c>
      <c r="CZ57" s="18">
        <v>0.0</v>
      </c>
      <c r="DA57" s="18">
        <v>0.0</v>
      </c>
      <c r="DB57" s="18">
        <v>0.0</v>
      </c>
      <c r="DC57" s="18">
        <v>0.0</v>
      </c>
      <c r="DD57" s="18">
        <v>0.0</v>
      </c>
      <c r="DE57" s="18">
        <v>0.0</v>
      </c>
      <c r="DF57" s="18">
        <v>0.0</v>
      </c>
      <c r="DG57" s="18">
        <v>0.0</v>
      </c>
      <c r="DH57" s="18">
        <v>0.0</v>
      </c>
      <c r="DI57" s="18">
        <v>0.0</v>
      </c>
      <c r="DJ57" s="18">
        <v>0.0</v>
      </c>
      <c r="DK57" s="18">
        <v>0.0</v>
      </c>
      <c r="DL57" s="18">
        <v>0.0</v>
      </c>
      <c r="DM57" s="18">
        <v>0.0</v>
      </c>
      <c r="DN57" s="18">
        <v>0.0</v>
      </c>
      <c r="DO57" s="18">
        <v>0.0</v>
      </c>
      <c r="DP57" s="18">
        <v>0.0</v>
      </c>
      <c r="DQ57" s="18">
        <v>0.0</v>
      </c>
      <c r="DR57" s="18">
        <v>0.0</v>
      </c>
      <c r="DS57" s="18">
        <v>0.0</v>
      </c>
      <c r="DT57" s="18">
        <v>0.0</v>
      </c>
      <c r="DU57" s="18">
        <v>0.0</v>
      </c>
      <c r="DV57" s="18">
        <v>0.0</v>
      </c>
      <c r="DW57" s="18">
        <v>0.0</v>
      </c>
      <c r="DX57" s="18">
        <v>0.0</v>
      </c>
      <c r="DY57" s="18">
        <v>0.0</v>
      </c>
      <c r="DZ57" s="18">
        <v>0.0</v>
      </c>
      <c r="EA57" s="18">
        <v>0.0</v>
      </c>
      <c r="EB57" s="18">
        <v>0.0</v>
      </c>
      <c r="EC57" s="18">
        <v>0.0</v>
      </c>
      <c r="ED57" s="18">
        <v>0.0</v>
      </c>
      <c r="EE57" s="18">
        <v>0.0</v>
      </c>
      <c r="EF57" s="18">
        <v>0.0</v>
      </c>
      <c r="EG57" s="18">
        <v>0.0</v>
      </c>
      <c r="EH57" s="18">
        <v>0.0</v>
      </c>
      <c r="EI57" s="18">
        <v>0.0</v>
      </c>
      <c r="EJ57" s="18">
        <v>0.0</v>
      </c>
      <c r="EK57" s="18">
        <v>0.0</v>
      </c>
      <c r="EL57" s="18">
        <v>0.0</v>
      </c>
      <c r="EM57" s="18">
        <v>0.0</v>
      </c>
      <c r="EN57" s="18">
        <v>0.0</v>
      </c>
      <c r="EO57" s="18">
        <v>0.0</v>
      </c>
      <c r="EP57" s="18">
        <v>0.0</v>
      </c>
      <c r="EQ57" s="18">
        <v>0.0</v>
      </c>
      <c r="ER57" s="18">
        <v>0.0</v>
      </c>
      <c r="ES57" s="18">
        <v>0.0</v>
      </c>
      <c r="ET57" s="18">
        <v>0.0</v>
      </c>
      <c r="EU57" s="18">
        <v>0.0</v>
      </c>
      <c r="EV57" s="18">
        <v>0.0</v>
      </c>
      <c r="EW57" s="18">
        <v>0.0</v>
      </c>
      <c r="EX57" s="18">
        <v>0.0</v>
      </c>
      <c r="EY57" s="18">
        <v>0.0</v>
      </c>
      <c r="EZ57" s="18">
        <v>0.0</v>
      </c>
      <c r="FA57" s="18">
        <v>0.0</v>
      </c>
      <c r="FB57" s="18">
        <v>0.0</v>
      </c>
      <c r="FC57" s="18">
        <v>0.0</v>
      </c>
      <c r="FD57" s="19">
        <f t="shared" si="1"/>
        <v>76</v>
      </c>
    </row>
    <row r="58" ht="19.5" customHeight="1">
      <c r="A58" s="17" t="s">
        <v>196</v>
      </c>
      <c r="B58" s="18">
        <v>0.0</v>
      </c>
      <c r="C58" s="18">
        <v>0.0</v>
      </c>
      <c r="D58" s="18">
        <v>0.0</v>
      </c>
      <c r="E58" s="18">
        <v>0.0</v>
      </c>
      <c r="F58" s="18">
        <v>0.0</v>
      </c>
      <c r="G58" s="18">
        <v>0.0</v>
      </c>
      <c r="H58" s="18">
        <v>0.0</v>
      </c>
      <c r="I58" s="18">
        <v>0.0</v>
      </c>
      <c r="J58" s="18">
        <v>0.0</v>
      </c>
      <c r="K58" s="18">
        <v>0.0</v>
      </c>
      <c r="L58" s="18">
        <v>0.0</v>
      </c>
      <c r="M58" s="18">
        <v>0.0</v>
      </c>
      <c r="N58" s="18">
        <v>0.0</v>
      </c>
      <c r="O58" s="18">
        <v>0.0</v>
      </c>
      <c r="P58" s="18">
        <v>0.0</v>
      </c>
      <c r="Q58" s="18">
        <v>0.0</v>
      </c>
      <c r="R58" s="18">
        <v>0.0</v>
      </c>
      <c r="S58" s="18">
        <v>0.0</v>
      </c>
      <c r="T58" s="18">
        <v>0.0</v>
      </c>
      <c r="U58" s="18">
        <v>0.0</v>
      </c>
      <c r="V58" s="18">
        <v>0.0</v>
      </c>
      <c r="W58" s="18">
        <v>0.0</v>
      </c>
      <c r="X58" s="18">
        <v>0.0</v>
      </c>
      <c r="Y58" s="18">
        <v>0.0</v>
      </c>
      <c r="Z58" s="18">
        <v>0.0</v>
      </c>
      <c r="AA58" s="18">
        <v>0.0</v>
      </c>
      <c r="AB58" s="18">
        <v>0.0</v>
      </c>
      <c r="AC58" s="18">
        <v>0.0</v>
      </c>
      <c r="AD58" s="18">
        <v>0.0</v>
      </c>
      <c r="AE58" s="18">
        <v>0.0</v>
      </c>
      <c r="AF58" s="18">
        <v>0.0</v>
      </c>
      <c r="AG58" s="18">
        <v>0.0</v>
      </c>
      <c r="AH58" s="18">
        <v>0.0</v>
      </c>
      <c r="AI58" s="18">
        <v>0.0</v>
      </c>
      <c r="AJ58" s="18">
        <v>0.0</v>
      </c>
      <c r="AK58" s="18">
        <v>0.0</v>
      </c>
      <c r="AL58" s="18">
        <v>0.0</v>
      </c>
      <c r="AM58" s="18">
        <v>0.0</v>
      </c>
      <c r="AN58" s="18">
        <v>0.0</v>
      </c>
      <c r="AO58" s="18">
        <v>0.0</v>
      </c>
      <c r="AP58" s="18">
        <v>0.0</v>
      </c>
      <c r="AQ58" s="18">
        <v>0.0</v>
      </c>
      <c r="AR58" s="18">
        <v>0.0</v>
      </c>
      <c r="AS58" s="18">
        <v>0.0</v>
      </c>
      <c r="AT58" s="18">
        <v>0.0</v>
      </c>
      <c r="AU58" s="18">
        <v>0.0</v>
      </c>
      <c r="AV58" s="18">
        <v>0.0</v>
      </c>
      <c r="AW58" s="18">
        <v>0.0</v>
      </c>
      <c r="AX58" s="18">
        <v>1.0</v>
      </c>
      <c r="AY58" s="18">
        <v>0.0</v>
      </c>
      <c r="AZ58" s="18">
        <v>0.0</v>
      </c>
      <c r="BA58" s="18">
        <v>0.0</v>
      </c>
      <c r="BB58" s="18">
        <v>0.0</v>
      </c>
      <c r="BC58" s="18">
        <v>0.0</v>
      </c>
      <c r="BD58" s="18">
        <v>0.0</v>
      </c>
      <c r="BE58" s="18">
        <v>0.0</v>
      </c>
      <c r="BF58" s="18">
        <v>0.0</v>
      </c>
      <c r="BG58" s="18">
        <v>0.0</v>
      </c>
      <c r="BH58" s="18">
        <v>0.0</v>
      </c>
      <c r="BI58" s="18">
        <v>0.0</v>
      </c>
      <c r="BJ58" s="18">
        <v>0.0</v>
      </c>
      <c r="BK58" s="18">
        <v>0.0</v>
      </c>
      <c r="BL58" s="18">
        <v>0.0</v>
      </c>
      <c r="BM58" s="18">
        <v>0.0</v>
      </c>
      <c r="BN58" s="18">
        <v>0.0</v>
      </c>
      <c r="BO58" s="18">
        <v>0.0</v>
      </c>
      <c r="BP58" s="18">
        <v>0.0</v>
      </c>
      <c r="BQ58" s="18">
        <v>0.0</v>
      </c>
      <c r="BR58" s="18">
        <v>0.0</v>
      </c>
      <c r="BS58" s="18">
        <v>0.0</v>
      </c>
      <c r="BT58" s="18">
        <v>0.0</v>
      </c>
      <c r="BU58" s="18">
        <v>0.0</v>
      </c>
      <c r="BV58" s="18">
        <v>0.0</v>
      </c>
      <c r="BW58" s="18">
        <v>0.0</v>
      </c>
      <c r="BX58" s="18">
        <v>0.0</v>
      </c>
      <c r="BY58" s="18">
        <v>0.0</v>
      </c>
      <c r="BZ58" s="18">
        <v>0.0</v>
      </c>
      <c r="CA58" s="18">
        <v>0.0</v>
      </c>
      <c r="CB58" s="18">
        <v>0.0</v>
      </c>
      <c r="CC58" s="18">
        <v>1.0</v>
      </c>
      <c r="CD58" s="18">
        <v>0.0</v>
      </c>
      <c r="CE58" s="18">
        <v>0.0</v>
      </c>
      <c r="CF58" s="18">
        <v>0.0</v>
      </c>
      <c r="CG58" s="18">
        <v>0.0</v>
      </c>
      <c r="CH58" s="18">
        <v>0.0</v>
      </c>
      <c r="CI58" s="18">
        <v>0.0</v>
      </c>
      <c r="CJ58" s="18">
        <v>0.0</v>
      </c>
      <c r="CK58" s="18">
        <v>0.0</v>
      </c>
      <c r="CL58" s="18">
        <v>0.0</v>
      </c>
      <c r="CM58" s="18">
        <v>0.0</v>
      </c>
      <c r="CN58" s="18">
        <v>0.0</v>
      </c>
      <c r="CO58" s="18">
        <v>0.0</v>
      </c>
      <c r="CP58" s="18">
        <v>0.0</v>
      </c>
      <c r="CQ58" s="18">
        <v>0.0</v>
      </c>
      <c r="CR58" s="18">
        <v>0.0</v>
      </c>
      <c r="CS58" s="18">
        <v>0.0</v>
      </c>
      <c r="CT58" s="18">
        <v>0.0</v>
      </c>
      <c r="CU58" s="18">
        <v>0.0</v>
      </c>
      <c r="CV58" s="18">
        <v>0.0</v>
      </c>
      <c r="CW58" s="18">
        <v>0.0</v>
      </c>
      <c r="CX58" s="18">
        <v>0.0</v>
      </c>
      <c r="CY58" s="18">
        <v>0.0</v>
      </c>
      <c r="CZ58" s="18">
        <v>0.0</v>
      </c>
      <c r="DA58" s="18">
        <v>0.0</v>
      </c>
      <c r="DB58" s="18">
        <v>0.0</v>
      </c>
      <c r="DC58" s="18">
        <v>0.0</v>
      </c>
      <c r="DD58" s="18">
        <v>0.0</v>
      </c>
      <c r="DE58" s="18">
        <v>0.0</v>
      </c>
      <c r="DF58" s="18">
        <v>0.0</v>
      </c>
      <c r="DG58" s="18">
        <v>0.0</v>
      </c>
      <c r="DH58" s="18">
        <v>0.0</v>
      </c>
      <c r="DI58" s="18">
        <v>0.0</v>
      </c>
      <c r="DJ58" s="18">
        <v>0.0</v>
      </c>
      <c r="DK58" s="18">
        <v>0.0</v>
      </c>
      <c r="DL58" s="18">
        <v>0.0</v>
      </c>
      <c r="DM58" s="18">
        <v>0.0</v>
      </c>
      <c r="DN58" s="18">
        <v>0.0</v>
      </c>
      <c r="DO58" s="18">
        <v>0.0</v>
      </c>
      <c r="DP58" s="18">
        <v>0.0</v>
      </c>
      <c r="DQ58" s="18">
        <v>0.0</v>
      </c>
      <c r="DR58" s="18">
        <v>0.0</v>
      </c>
      <c r="DS58" s="18">
        <v>0.0</v>
      </c>
      <c r="DT58" s="18">
        <v>0.0</v>
      </c>
      <c r="DU58" s="18">
        <v>0.0</v>
      </c>
      <c r="DV58" s="18">
        <v>0.0</v>
      </c>
      <c r="DW58" s="18">
        <v>0.0</v>
      </c>
      <c r="DX58" s="18">
        <v>0.0</v>
      </c>
      <c r="DY58" s="18">
        <v>0.0</v>
      </c>
      <c r="DZ58" s="18">
        <v>0.0</v>
      </c>
      <c r="EA58" s="18">
        <v>0.0</v>
      </c>
      <c r="EB58" s="18">
        <v>0.0</v>
      </c>
      <c r="EC58" s="18">
        <v>0.0</v>
      </c>
      <c r="ED58" s="18">
        <v>0.0</v>
      </c>
      <c r="EE58" s="18">
        <v>0.0</v>
      </c>
      <c r="EF58" s="18">
        <v>0.0</v>
      </c>
      <c r="EG58" s="18">
        <v>1.0</v>
      </c>
      <c r="EH58" s="18">
        <v>0.0</v>
      </c>
      <c r="EI58" s="18">
        <v>0.0</v>
      </c>
      <c r="EJ58" s="18">
        <v>0.0</v>
      </c>
      <c r="EK58" s="18">
        <v>0.0</v>
      </c>
      <c r="EL58" s="18">
        <v>0.0</v>
      </c>
      <c r="EM58" s="18">
        <v>0.0</v>
      </c>
      <c r="EN58" s="18">
        <v>0.0</v>
      </c>
      <c r="EO58" s="18">
        <v>0.0</v>
      </c>
      <c r="EP58" s="18">
        <v>0.0</v>
      </c>
      <c r="EQ58" s="18">
        <v>0.0</v>
      </c>
      <c r="ER58" s="18">
        <v>0.0</v>
      </c>
      <c r="ES58" s="18">
        <v>0.0</v>
      </c>
      <c r="ET58" s="18">
        <v>0.0</v>
      </c>
      <c r="EU58" s="18">
        <v>0.0</v>
      </c>
      <c r="EV58" s="18">
        <v>0.0</v>
      </c>
      <c r="EW58" s="18">
        <v>0.0</v>
      </c>
      <c r="EX58" s="18">
        <v>0.0</v>
      </c>
      <c r="EY58" s="18">
        <v>0.0</v>
      </c>
      <c r="EZ58" s="18">
        <v>0.0</v>
      </c>
      <c r="FA58" s="18">
        <v>0.0</v>
      </c>
      <c r="FB58" s="18">
        <v>0.0</v>
      </c>
      <c r="FC58" s="18">
        <v>0.0</v>
      </c>
      <c r="FD58" s="19">
        <f t="shared" si="1"/>
        <v>3</v>
      </c>
    </row>
    <row r="59" ht="19.5" customHeight="1">
      <c r="A59" s="17" t="s">
        <v>197</v>
      </c>
      <c r="B59" s="18">
        <v>0.0</v>
      </c>
      <c r="C59" s="18">
        <v>0.0</v>
      </c>
      <c r="D59" s="18">
        <v>0.0</v>
      </c>
      <c r="E59" s="18">
        <v>1.0</v>
      </c>
      <c r="F59" s="18">
        <v>0.0</v>
      </c>
      <c r="G59" s="18">
        <v>8.0</v>
      </c>
      <c r="H59" s="18">
        <v>0.0</v>
      </c>
      <c r="I59" s="18">
        <v>2.0</v>
      </c>
      <c r="J59" s="18">
        <v>0.0</v>
      </c>
      <c r="K59" s="18">
        <v>1.0</v>
      </c>
      <c r="L59" s="18">
        <v>1.0</v>
      </c>
      <c r="M59" s="18">
        <v>0.0</v>
      </c>
      <c r="N59" s="18">
        <v>0.0</v>
      </c>
      <c r="O59" s="18">
        <v>0.0</v>
      </c>
      <c r="P59" s="18">
        <v>0.0</v>
      </c>
      <c r="Q59" s="18">
        <v>0.0</v>
      </c>
      <c r="R59" s="18">
        <v>0.0</v>
      </c>
      <c r="S59" s="18">
        <v>0.0</v>
      </c>
      <c r="T59" s="18">
        <v>0.0</v>
      </c>
      <c r="U59" s="18">
        <v>0.0</v>
      </c>
      <c r="V59" s="18">
        <v>0.0</v>
      </c>
      <c r="W59" s="18">
        <v>0.0</v>
      </c>
      <c r="X59" s="18">
        <v>0.0</v>
      </c>
      <c r="Y59" s="18">
        <v>0.0</v>
      </c>
      <c r="Z59" s="18">
        <v>0.0</v>
      </c>
      <c r="AA59" s="18">
        <v>0.0</v>
      </c>
      <c r="AB59" s="18">
        <v>0.0</v>
      </c>
      <c r="AC59" s="18">
        <v>0.0</v>
      </c>
      <c r="AD59" s="18">
        <v>0.0</v>
      </c>
      <c r="AE59" s="18">
        <v>0.0</v>
      </c>
      <c r="AF59" s="18">
        <v>0.0</v>
      </c>
      <c r="AG59" s="18">
        <v>0.0</v>
      </c>
      <c r="AH59" s="18">
        <v>0.0</v>
      </c>
      <c r="AI59" s="18">
        <v>0.0</v>
      </c>
      <c r="AJ59" s="18">
        <v>0.0</v>
      </c>
      <c r="AK59" s="18">
        <v>0.0</v>
      </c>
      <c r="AL59" s="18">
        <v>0.0</v>
      </c>
      <c r="AM59" s="18">
        <v>0.0</v>
      </c>
      <c r="AN59" s="18">
        <v>0.0</v>
      </c>
      <c r="AO59" s="18">
        <v>0.0</v>
      </c>
      <c r="AP59" s="18">
        <v>0.0</v>
      </c>
      <c r="AQ59" s="18">
        <v>0.0</v>
      </c>
      <c r="AR59" s="18">
        <v>0.0</v>
      </c>
      <c r="AS59" s="18">
        <v>0.0</v>
      </c>
      <c r="AT59" s="18">
        <v>0.0</v>
      </c>
      <c r="AU59" s="18">
        <v>0.0</v>
      </c>
      <c r="AV59" s="18">
        <v>0.0</v>
      </c>
      <c r="AW59" s="18">
        <v>0.0</v>
      </c>
      <c r="AX59" s="18">
        <v>0.0</v>
      </c>
      <c r="AY59" s="18">
        <v>0.0</v>
      </c>
      <c r="AZ59" s="18">
        <v>0.0</v>
      </c>
      <c r="BA59" s="18">
        <v>0.0</v>
      </c>
      <c r="BB59" s="18">
        <v>0.0</v>
      </c>
      <c r="BC59" s="18">
        <v>0.0</v>
      </c>
      <c r="BD59" s="18">
        <v>0.0</v>
      </c>
      <c r="BE59" s="18">
        <v>0.0</v>
      </c>
      <c r="BF59" s="18">
        <v>0.0</v>
      </c>
      <c r="BG59" s="18">
        <v>0.0</v>
      </c>
      <c r="BH59" s="18">
        <v>0.0</v>
      </c>
      <c r="BI59" s="18">
        <v>0.0</v>
      </c>
      <c r="BJ59" s="18">
        <v>0.0</v>
      </c>
      <c r="BK59" s="18">
        <v>0.0</v>
      </c>
      <c r="BL59" s="18">
        <v>0.0</v>
      </c>
      <c r="BM59" s="18">
        <v>0.0</v>
      </c>
      <c r="BN59" s="18">
        <v>0.0</v>
      </c>
      <c r="BO59" s="18">
        <v>0.0</v>
      </c>
      <c r="BP59" s="18">
        <v>0.0</v>
      </c>
      <c r="BQ59" s="18">
        <v>0.0</v>
      </c>
      <c r="BR59" s="18">
        <v>0.0</v>
      </c>
      <c r="BS59" s="18">
        <v>0.0</v>
      </c>
      <c r="BT59" s="18">
        <v>0.0</v>
      </c>
      <c r="BU59" s="18">
        <v>0.0</v>
      </c>
      <c r="BV59" s="18">
        <v>0.0</v>
      </c>
      <c r="BW59" s="18">
        <v>0.0</v>
      </c>
      <c r="BX59" s="18">
        <v>0.0</v>
      </c>
      <c r="BY59" s="18">
        <v>0.0</v>
      </c>
      <c r="BZ59" s="18">
        <v>0.0</v>
      </c>
      <c r="CA59" s="18">
        <v>0.0</v>
      </c>
      <c r="CB59" s="18">
        <v>0.0</v>
      </c>
      <c r="CC59" s="18">
        <v>0.0</v>
      </c>
      <c r="CD59" s="18">
        <v>0.0</v>
      </c>
      <c r="CE59" s="18">
        <v>0.0</v>
      </c>
      <c r="CF59" s="18">
        <v>0.0</v>
      </c>
      <c r="CG59" s="18">
        <v>0.0</v>
      </c>
      <c r="CH59" s="18">
        <v>0.0</v>
      </c>
      <c r="CI59" s="18">
        <v>0.0</v>
      </c>
      <c r="CJ59" s="18">
        <v>0.0</v>
      </c>
      <c r="CK59" s="18">
        <v>0.0</v>
      </c>
      <c r="CL59" s="18">
        <v>0.0</v>
      </c>
      <c r="CM59" s="18">
        <v>0.0</v>
      </c>
      <c r="CN59" s="18">
        <v>0.0</v>
      </c>
      <c r="CO59" s="18">
        <v>0.0</v>
      </c>
      <c r="CP59" s="18">
        <v>0.0</v>
      </c>
      <c r="CQ59" s="18">
        <v>0.0</v>
      </c>
      <c r="CR59" s="18">
        <v>0.0</v>
      </c>
      <c r="CS59" s="18">
        <v>0.0</v>
      </c>
      <c r="CT59" s="18">
        <v>0.0</v>
      </c>
      <c r="CU59" s="18">
        <v>0.0</v>
      </c>
      <c r="CV59" s="18">
        <v>0.0</v>
      </c>
      <c r="CW59" s="18">
        <v>0.0</v>
      </c>
      <c r="CX59" s="18">
        <v>0.0</v>
      </c>
      <c r="CY59" s="18">
        <v>0.0</v>
      </c>
      <c r="CZ59" s="18">
        <v>0.0</v>
      </c>
      <c r="DA59" s="18">
        <v>0.0</v>
      </c>
      <c r="DB59" s="18">
        <v>0.0</v>
      </c>
      <c r="DC59" s="18">
        <v>0.0</v>
      </c>
      <c r="DD59" s="18">
        <v>0.0</v>
      </c>
      <c r="DE59" s="18">
        <v>0.0</v>
      </c>
      <c r="DF59" s="18">
        <v>0.0</v>
      </c>
      <c r="DG59" s="18">
        <v>0.0</v>
      </c>
      <c r="DH59" s="18">
        <v>0.0</v>
      </c>
      <c r="DI59" s="18">
        <v>0.0</v>
      </c>
      <c r="DJ59" s="18">
        <v>0.0</v>
      </c>
      <c r="DK59" s="18">
        <v>0.0</v>
      </c>
      <c r="DL59" s="18">
        <v>0.0</v>
      </c>
      <c r="DM59" s="18">
        <v>0.0</v>
      </c>
      <c r="DN59" s="18">
        <v>0.0</v>
      </c>
      <c r="DO59" s="18">
        <v>0.0</v>
      </c>
      <c r="DP59" s="18">
        <v>0.0</v>
      </c>
      <c r="DQ59" s="18">
        <v>0.0</v>
      </c>
      <c r="DR59" s="18">
        <v>0.0</v>
      </c>
      <c r="DS59" s="18">
        <v>0.0</v>
      </c>
      <c r="DT59" s="18">
        <v>0.0</v>
      </c>
      <c r="DU59" s="18">
        <v>0.0</v>
      </c>
      <c r="DV59" s="18">
        <v>0.0</v>
      </c>
      <c r="DW59" s="18">
        <v>0.0</v>
      </c>
      <c r="DX59" s="18">
        <v>0.0</v>
      </c>
      <c r="DY59" s="18">
        <v>0.0</v>
      </c>
      <c r="DZ59" s="18">
        <v>0.0</v>
      </c>
      <c r="EA59" s="18">
        <v>0.0</v>
      </c>
      <c r="EB59" s="18">
        <v>0.0</v>
      </c>
      <c r="EC59" s="18">
        <v>0.0</v>
      </c>
      <c r="ED59" s="18">
        <v>0.0</v>
      </c>
      <c r="EE59" s="18">
        <v>0.0</v>
      </c>
      <c r="EF59" s="18">
        <v>0.0</v>
      </c>
      <c r="EG59" s="18">
        <v>0.0</v>
      </c>
      <c r="EH59" s="18">
        <v>0.0</v>
      </c>
      <c r="EI59" s="18">
        <v>0.0</v>
      </c>
      <c r="EJ59" s="18">
        <v>0.0</v>
      </c>
      <c r="EK59" s="18">
        <v>0.0</v>
      </c>
      <c r="EL59" s="18">
        <v>0.0</v>
      </c>
      <c r="EM59" s="18">
        <v>0.0</v>
      </c>
      <c r="EN59" s="18">
        <v>0.0</v>
      </c>
      <c r="EO59" s="18">
        <v>0.0</v>
      </c>
      <c r="EP59" s="18">
        <v>0.0</v>
      </c>
      <c r="EQ59" s="18">
        <v>0.0</v>
      </c>
      <c r="ER59" s="18">
        <v>0.0</v>
      </c>
      <c r="ES59" s="18">
        <v>0.0</v>
      </c>
      <c r="ET59" s="18">
        <v>0.0</v>
      </c>
      <c r="EU59" s="18">
        <v>0.0</v>
      </c>
      <c r="EV59" s="18">
        <v>0.0</v>
      </c>
      <c r="EW59" s="18">
        <v>0.0</v>
      </c>
      <c r="EX59" s="18">
        <v>0.0</v>
      </c>
      <c r="EY59" s="18">
        <v>0.0</v>
      </c>
      <c r="EZ59" s="18">
        <v>0.0</v>
      </c>
      <c r="FA59" s="18">
        <v>0.0</v>
      </c>
      <c r="FB59" s="18">
        <v>0.0</v>
      </c>
      <c r="FC59" s="18">
        <v>0.0</v>
      </c>
      <c r="FD59" s="19">
        <f t="shared" si="1"/>
        <v>13</v>
      </c>
    </row>
    <row r="60" ht="19.5" customHeight="1">
      <c r="A60" s="20" t="s">
        <v>198</v>
      </c>
      <c r="B60" s="18">
        <v>0.0</v>
      </c>
      <c r="C60" s="18">
        <v>0.0</v>
      </c>
      <c r="D60" s="18">
        <v>0.0</v>
      </c>
      <c r="E60" s="18">
        <v>0.0</v>
      </c>
      <c r="F60" s="18">
        <v>0.0</v>
      </c>
      <c r="G60" s="18">
        <v>1.0</v>
      </c>
      <c r="H60" s="18">
        <v>0.0</v>
      </c>
      <c r="I60" s="18">
        <v>0.0</v>
      </c>
      <c r="J60" s="18">
        <v>0.0</v>
      </c>
      <c r="K60" s="18">
        <v>0.0</v>
      </c>
      <c r="L60" s="18">
        <v>0.0</v>
      </c>
      <c r="M60" s="18">
        <v>0.0</v>
      </c>
      <c r="N60" s="18">
        <v>0.0</v>
      </c>
      <c r="O60" s="18">
        <v>0.0</v>
      </c>
      <c r="P60" s="18">
        <v>0.0</v>
      </c>
      <c r="Q60" s="18">
        <v>0.0</v>
      </c>
      <c r="R60" s="18">
        <v>0.0</v>
      </c>
      <c r="S60" s="18">
        <v>0.0</v>
      </c>
      <c r="T60" s="18">
        <v>0.0</v>
      </c>
      <c r="U60" s="18">
        <v>0.0</v>
      </c>
      <c r="V60" s="18">
        <v>0.0</v>
      </c>
      <c r="W60" s="18">
        <v>0.0</v>
      </c>
      <c r="X60" s="18">
        <v>0.0</v>
      </c>
      <c r="Y60" s="18">
        <v>0.0</v>
      </c>
      <c r="Z60" s="18">
        <v>0.0</v>
      </c>
      <c r="AA60" s="18">
        <v>0.0</v>
      </c>
      <c r="AB60" s="18">
        <v>0.0</v>
      </c>
      <c r="AC60" s="18">
        <v>0.0</v>
      </c>
      <c r="AD60" s="18">
        <v>0.0</v>
      </c>
      <c r="AE60" s="18">
        <v>0.0</v>
      </c>
      <c r="AF60" s="18">
        <v>0.0</v>
      </c>
      <c r="AG60" s="18">
        <v>0.0</v>
      </c>
      <c r="AH60" s="18">
        <v>0.0</v>
      </c>
      <c r="AI60" s="18">
        <v>0.0</v>
      </c>
      <c r="AJ60" s="18">
        <v>0.0</v>
      </c>
      <c r="AK60" s="18">
        <v>1.0</v>
      </c>
      <c r="AL60" s="18">
        <v>0.0</v>
      </c>
      <c r="AM60" s="18">
        <v>0.0</v>
      </c>
      <c r="AN60" s="18">
        <v>0.0</v>
      </c>
      <c r="AO60" s="18">
        <v>0.0</v>
      </c>
      <c r="AP60" s="18">
        <v>0.0</v>
      </c>
      <c r="AQ60" s="18">
        <v>0.0</v>
      </c>
      <c r="AR60" s="18">
        <v>0.0</v>
      </c>
      <c r="AS60" s="18">
        <v>0.0</v>
      </c>
      <c r="AT60" s="18">
        <v>0.0</v>
      </c>
      <c r="AU60" s="18">
        <v>0.0</v>
      </c>
      <c r="AV60" s="18">
        <v>0.0</v>
      </c>
      <c r="AW60" s="18">
        <v>0.0</v>
      </c>
      <c r="AX60" s="18">
        <v>0.0</v>
      </c>
      <c r="AY60" s="18">
        <v>0.0</v>
      </c>
      <c r="AZ60" s="18">
        <v>0.0</v>
      </c>
      <c r="BA60" s="18">
        <v>0.0</v>
      </c>
      <c r="BB60" s="18">
        <v>0.0</v>
      </c>
      <c r="BC60" s="18">
        <v>0.0</v>
      </c>
      <c r="BD60" s="18">
        <v>0.0</v>
      </c>
      <c r="BE60" s="18">
        <v>0.0</v>
      </c>
      <c r="BF60" s="18">
        <v>0.0</v>
      </c>
      <c r="BG60" s="18">
        <v>0.0</v>
      </c>
      <c r="BH60" s="18">
        <v>0.0</v>
      </c>
      <c r="BI60" s="18">
        <v>0.0</v>
      </c>
      <c r="BJ60" s="18">
        <v>0.0</v>
      </c>
      <c r="BK60" s="18">
        <v>0.0</v>
      </c>
      <c r="BL60" s="18">
        <v>0.0</v>
      </c>
      <c r="BM60" s="18">
        <v>0.0</v>
      </c>
      <c r="BN60" s="18">
        <v>0.0</v>
      </c>
      <c r="BO60" s="18">
        <v>0.0</v>
      </c>
      <c r="BP60" s="18">
        <v>0.0</v>
      </c>
      <c r="BQ60" s="18">
        <v>0.0</v>
      </c>
      <c r="BR60" s="18">
        <v>0.0</v>
      </c>
      <c r="BS60" s="18">
        <v>0.0</v>
      </c>
      <c r="BT60" s="18">
        <v>0.0</v>
      </c>
      <c r="BU60" s="18">
        <v>0.0</v>
      </c>
      <c r="BV60" s="18">
        <v>0.0</v>
      </c>
      <c r="BW60" s="18">
        <v>0.0</v>
      </c>
      <c r="BX60" s="18">
        <v>0.0</v>
      </c>
      <c r="BY60" s="18">
        <v>0.0</v>
      </c>
      <c r="BZ60" s="18">
        <v>0.0</v>
      </c>
      <c r="CA60" s="18">
        <v>0.0</v>
      </c>
      <c r="CB60" s="18">
        <v>0.0</v>
      </c>
      <c r="CC60" s="18">
        <v>0.0</v>
      </c>
      <c r="CD60" s="18">
        <v>0.0</v>
      </c>
      <c r="CE60" s="18">
        <v>0.0</v>
      </c>
      <c r="CF60" s="18">
        <v>0.0</v>
      </c>
      <c r="CG60" s="18">
        <v>0.0</v>
      </c>
      <c r="CH60" s="18">
        <v>0.0</v>
      </c>
      <c r="CI60" s="18">
        <v>0.0</v>
      </c>
      <c r="CJ60" s="18">
        <v>0.0</v>
      </c>
      <c r="CK60" s="18">
        <v>0.0</v>
      </c>
      <c r="CL60" s="18">
        <v>0.0</v>
      </c>
      <c r="CM60" s="18">
        <v>0.0</v>
      </c>
      <c r="CN60" s="18">
        <v>0.0</v>
      </c>
      <c r="CO60" s="18">
        <v>0.0</v>
      </c>
      <c r="CP60" s="18">
        <v>0.0</v>
      </c>
      <c r="CQ60" s="18">
        <v>0.0</v>
      </c>
      <c r="CR60" s="18">
        <v>0.0</v>
      </c>
      <c r="CS60" s="18">
        <v>0.0</v>
      </c>
      <c r="CT60" s="18">
        <v>0.0</v>
      </c>
      <c r="CU60" s="18">
        <v>0.0</v>
      </c>
      <c r="CV60" s="18">
        <v>1.0</v>
      </c>
      <c r="CW60" s="18">
        <v>0.0</v>
      </c>
      <c r="CX60" s="18">
        <v>0.0</v>
      </c>
      <c r="CY60" s="18">
        <v>0.0</v>
      </c>
      <c r="CZ60" s="18">
        <v>0.0</v>
      </c>
      <c r="DA60" s="18">
        <v>0.0</v>
      </c>
      <c r="DB60" s="18">
        <v>0.0</v>
      </c>
      <c r="DC60" s="18">
        <v>0.0</v>
      </c>
      <c r="DD60" s="18">
        <v>0.0</v>
      </c>
      <c r="DE60" s="18">
        <v>0.0</v>
      </c>
      <c r="DF60" s="18">
        <v>0.0</v>
      </c>
      <c r="DG60" s="18">
        <v>0.0</v>
      </c>
      <c r="DH60" s="18">
        <v>0.0</v>
      </c>
      <c r="DI60" s="18">
        <v>0.0</v>
      </c>
      <c r="DJ60" s="18">
        <v>0.0</v>
      </c>
      <c r="DK60" s="18">
        <v>0.0</v>
      </c>
      <c r="DL60" s="18">
        <v>0.0</v>
      </c>
      <c r="DM60" s="18">
        <v>0.0</v>
      </c>
      <c r="DN60" s="18">
        <v>0.0</v>
      </c>
      <c r="DO60" s="18">
        <v>0.0</v>
      </c>
      <c r="DP60" s="18">
        <v>0.0</v>
      </c>
      <c r="DQ60" s="18">
        <v>0.0</v>
      </c>
      <c r="DR60" s="18">
        <v>0.0</v>
      </c>
      <c r="DS60" s="18">
        <v>0.0</v>
      </c>
      <c r="DT60" s="18">
        <v>0.0</v>
      </c>
      <c r="DU60" s="18">
        <v>0.0</v>
      </c>
      <c r="DV60" s="18">
        <v>0.0</v>
      </c>
      <c r="DW60" s="18">
        <v>0.0</v>
      </c>
      <c r="DX60" s="18">
        <v>0.0</v>
      </c>
      <c r="DY60" s="18">
        <v>0.0</v>
      </c>
      <c r="DZ60" s="18">
        <v>0.0</v>
      </c>
      <c r="EA60" s="18">
        <v>0.0</v>
      </c>
      <c r="EB60" s="18">
        <v>0.0</v>
      </c>
      <c r="EC60" s="18">
        <v>0.0</v>
      </c>
      <c r="ED60" s="18">
        <v>0.0</v>
      </c>
      <c r="EE60" s="18">
        <v>0.0</v>
      </c>
      <c r="EF60" s="18">
        <v>0.0</v>
      </c>
      <c r="EG60" s="18">
        <v>0.0</v>
      </c>
      <c r="EH60" s="18">
        <v>0.0</v>
      </c>
      <c r="EI60" s="18">
        <v>0.0</v>
      </c>
      <c r="EJ60" s="18">
        <v>0.0</v>
      </c>
      <c r="EK60" s="18">
        <v>1.0</v>
      </c>
      <c r="EL60" s="18">
        <v>0.0</v>
      </c>
      <c r="EM60" s="18">
        <v>0.0</v>
      </c>
      <c r="EN60" s="18">
        <v>0.0</v>
      </c>
      <c r="EO60" s="18">
        <v>0.0</v>
      </c>
      <c r="EP60" s="18">
        <v>0.0</v>
      </c>
      <c r="EQ60" s="18">
        <v>0.0</v>
      </c>
      <c r="ER60" s="18">
        <v>0.0</v>
      </c>
      <c r="ES60" s="18">
        <v>0.0</v>
      </c>
      <c r="ET60" s="18">
        <v>0.0</v>
      </c>
      <c r="EU60" s="18">
        <v>0.0</v>
      </c>
      <c r="EV60" s="18">
        <v>0.0</v>
      </c>
      <c r="EW60" s="18">
        <v>0.0</v>
      </c>
      <c r="EX60" s="18">
        <v>0.0</v>
      </c>
      <c r="EY60" s="18">
        <v>0.0</v>
      </c>
      <c r="EZ60" s="18">
        <v>0.0</v>
      </c>
      <c r="FA60" s="18">
        <v>0.0</v>
      </c>
      <c r="FB60" s="18">
        <v>0.0</v>
      </c>
      <c r="FC60" s="18">
        <v>0.0</v>
      </c>
      <c r="FD60" s="19">
        <f t="shared" si="1"/>
        <v>4</v>
      </c>
    </row>
    <row r="61" ht="19.5" customHeight="1">
      <c r="A61" s="20" t="s">
        <v>199</v>
      </c>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v>0.0</v>
      </c>
      <c r="EA61" s="18">
        <v>0.0</v>
      </c>
      <c r="EB61" s="18">
        <v>0.0</v>
      </c>
      <c r="EC61" s="18">
        <v>0.0</v>
      </c>
      <c r="ED61" s="18">
        <v>0.0</v>
      </c>
      <c r="EE61" s="18">
        <v>0.0</v>
      </c>
      <c r="EF61" s="18">
        <v>0.0</v>
      </c>
      <c r="EG61" s="18">
        <v>0.0</v>
      </c>
      <c r="EH61" s="18">
        <v>0.0</v>
      </c>
      <c r="EI61" s="18">
        <v>0.0</v>
      </c>
      <c r="EJ61" s="18">
        <v>0.0</v>
      </c>
      <c r="EK61" s="18">
        <v>0.0</v>
      </c>
      <c r="EL61" s="18">
        <v>0.0</v>
      </c>
      <c r="EM61" s="18">
        <v>1.0</v>
      </c>
      <c r="EN61" s="18">
        <v>0.0</v>
      </c>
      <c r="EO61" s="18">
        <v>0.0</v>
      </c>
      <c r="EP61" s="18">
        <v>0.0</v>
      </c>
      <c r="EQ61" s="18">
        <v>0.0</v>
      </c>
      <c r="ER61" s="18">
        <v>0.0</v>
      </c>
      <c r="ES61" s="18">
        <v>0.0</v>
      </c>
      <c r="ET61" s="18">
        <v>0.0</v>
      </c>
      <c r="EU61" s="18">
        <v>0.0</v>
      </c>
      <c r="EV61" s="18">
        <v>0.0</v>
      </c>
      <c r="EW61" s="18">
        <v>0.0</v>
      </c>
      <c r="EX61" s="18">
        <v>0.0</v>
      </c>
      <c r="EY61" s="18">
        <v>0.0</v>
      </c>
      <c r="EZ61" s="18">
        <v>0.0</v>
      </c>
      <c r="FA61" s="18">
        <v>0.0</v>
      </c>
      <c r="FB61" s="18">
        <v>0.0</v>
      </c>
      <c r="FC61" s="18">
        <v>0.0</v>
      </c>
      <c r="FD61" s="19">
        <f t="shared" si="1"/>
        <v>1</v>
      </c>
    </row>
    <row r="62" ht="19.5" customHeight="1">
      <c r="A62" s="20" t="s">
        <v>200</v>
      </c>
      <c r="B62" s="18">
        <v>0.0</v>
      </c>
      <c r="C62" s="18">
        <v>0.0</v>
      </c>
      <c r="D62" s="18">
        <v>0.0</v>
      </c>
      <c r="E62" s="18">
        <v>0.0</v>
      </c>
      <c r="F62" s="18">
        <v>0.0</v>
      </c>
      <c r="G62" s="18">
        <v>0.0</v>
      </c>
      <c r="H62" s="18">
        <v>0.0</v>
      </c>
      <c r="I62" s="18">
        <v>0.0</v>
      </c>
      <c r="J62" s="18">
        <v>0.0</v>
      </c>
      <c r="K62" s="18">
        <v>0.0</v>
      </c>
      <c r="L62" s="18">
        <v>0.0</v>
      </c>
      <c r="M62" s="18">
        <v>0.0</v>
      </c>
      <c r="N62" s="18">
        <v>0.0</v>
      </c>
      <c r="O62" s="18">
        <v>0.0</v>
      </c>
      <c r="P62" s="18">
        <v>1.0</v>
      </c>
      <c r="Q62" s="18">
        <v>1.0</v>
      </c>
      <c r="R62" s="18">
        <v>1.0</v>
      </c>
      <c r="S62" s="18">
        <v>0.0</v>
      </c>
      <c r="T62" s="18">
        <v>0.0</v>
      </c>
      <c r="U62" s="18">
        <v>0.0</v>
      </c>
      <c r="V62" s="18">
        <v>0.0</v>
      </c>
      <c r="W62" s="18">
        <v>0.0</v>
      </c>
      <c r="X62" s="18">
        <v>0.0</v>
      </c>
      <c r="Y62" s="18">
        <v>0.0</v>
      </c>
      <c r="Z62" s="18">
        <v>0.0</v>
      </c>
      <c r="AA62" s="18">
        <v>0.0</v>
      </c>
      <c r="AB62" s="18">
        <v>0.0</v>
      </c>
      <c r="AC62" s="18">
        <v>0.0</v>
      </c>
      <c r="AD62" s="18">
        <v>0.0</v>
      </c>
      <c r="AE62" s="18">
        <v>0.0</v>
      </c>
      <c r="AF62" s="18">
        <v>0.0</v>
      </c>
      <c r="AG62" s="18">
        <v>0.0</v>
      </c>
      <c r="AH62" s="18">
        <v>0.0</v>
      </c>
      <c r="AI62" s="18">
        <v>0.0</v>
      </c>
      <c r="AJ62" s="18">
        <v>0.0</v>
      </c>
      <c r="AK62" s="18">
        <v>0.0</v>
      </c>
      <c r="AL62" s="18">
        <v>0.0</v>
      </c>
      <c r="AM62" s="18">
        <v>0.0</v>
      </c>
      <c r="AN62" s="18">
        <v>0.0</v>
      </c>
      <c r="AO62" s="18">
        <v>0.0</v>
      </c>
      <c r="AP62" s="18">
        <v>0.0</v>
      </c>
      <c r="AQ62" s="18">
        <v>0.0</v>
      </c>
      <c r="AR62" s="18">
        <v>0.0</v>
      </c>
      <c r="AS62" s="18">
        <v>0.0</v>
      </c>
      <c r="AT62" s="18">
        <v>0.0</v>
      </c>
      <c r="AU62" s="18">
        <v>0.0</v>
      </c>
      <c r="AV62" s="18">
        <v>0.0</v>
      </c>
      <c r="AW62" s="18">
        <v>0.0</v>
      </c>
      <c r="AX62" s="18">
        <v>0.0</v>
      </c>
      <c r="AY62" s="18">
        <v>0.0</v>
      </c>
      <c r="AZ62" s="18">
        <v>0.0</v>
      </c>
      <c r="BA62" s="18">
        <v>0.0</v>
      </c>
      <c r="BB62" s="18">
        <v>0.0</v>
      </c>
      <c r="BC62" s="18">
        <v>0.0</v>
      </c>
      <c r="BD62" s="18">
        <v>0.0</v>
      </c>
      <c r="BE62" s="18">
        <v>0.0</v>
      </c>
      <c r="BF62" s="18">
        <v>0.0</v>
      </c>
      <c r="BG62" s="18">
        <v>0.0</v>
      </c>
      <c r="BH62" s="18">
        <v>0.0</v>
      </c>
      <c r="BI62" s="18">
        <v>0.0</v>
      </c>
      <c r="BJ62" s="18">
        <v>0.0</v>
      </c>
      <c r="BK62" s="18">
        <v>0.0</v>
      </c>
      <c r="BL62" s="18">
        <v>0.0</v>
      </c>
      <c r="BM62" s="18">
        <v>0.0</v>
      </c>
      <c r="BN62" s="18">
        <v>0.0</v>
      </c>
      <c r="BO62" s="18">
        <v>0.0</v>
      </c>
      <c r="BP62" s="18">
        <v>0.0</v>
      </c>
      <c r="BQ62" s="18">
        <v>0.0</v>
      </c>
      <c r="BR62" s="18">
        <v>0.0</v>
      </c>
      <c r="BS62" s="18">
        <v>0.0</v>
      </c>
      <c r="BT62" s="18">
        <v>0.0</v>
      </c>
      <c r="BU62" s="18">
        <v>0.0</v>
      </c>
      <c r="BV62" s="18">
        <v>0.0</v>
      </c>
      <c r="BW62" s="18">
        <v>0.0</v>
      </c>
      <c r="BX62" s="18">
        <v>0.0</v>
      </c>
      <c r="BY62" s="18">
        <v>0.0</v>
      </c>
      <c r="BZ62" s="18">
        <v>0.0</v>
      </c>
      <c r="CA62" s="18">
        <v>0.0</v>
      </c>
      <c r="CB62" s="18">
        <v>0.0</v>
      </c>
      <c r="CC62" s="18">
        <v>0.0</v>
      </c>
      <c r="CD62" s="18">
        <v>0.0</v>
      </c>
      <c r="CE62" s="18">
        <v>0.0</v>
      </c>
      <c r="CF62" s="18">
        <v>0.0</v>
      </c>
      <c r="CG62" s="18">
        <v>0.0</v>
      </c>
      <c r="CH62" s="18">
        <v>0.0</v>
      </c>
      <c r="CI62" s="18">
        <v>0.0</v>
      </c>
      <c r="CJ62" s="18">
        <v>0.0</v>
      </c>
      <c r="CK62" s="18">
        <v>0.0</v>
      </c>
      <c r="CL62" s="18">
        <v>0.0</v>
      </c>
      <c r="CM62" s="18">
        <v>0.0</v>
      </c>
      <c r="CN62" s="18">
        <v>0.0</v>
      </c>
      <c r="CO62" s="18">
        <v>0.0</v>
      </c>
      <c r="CP62" s="18">
        <v>0.0</v>
      </c>
      <c r="CQ62" s="18">
        <v>0.0</v>
      </c>
      <c r="CR62" s="18">
        <v>0.0</v>
      </c>
      <c r="CS62" s="18">
        <v>0.0</v>
      </c>
      <c r="CT62" s="18">
        <v>0.0</v>
      </c>
      <c r="CU62" s="18">
        <v>0.0</v>
      </c>
      <c r="CV62" s="18">
        <v>2.0</v>
      </c>
      <c r="CW62" s="18">
        <v>0.0</v>
      </c>
      <c r="CX62" s="18">
        <v>0.0</v>
      </c>
      <c r="CY62" s="18">
        <v>0.0</v>
      </c>
      <c r="CZ62" s="18">
        <v>0.0</v>
      </c>
      <c r="DA62" s="18">
        <v>0.0</v>
      </c>
      <c r="DB62" s="18">
        <v>0.0</v>
      </c>
      <c r="DC62" s="18">
        <v>0.0</v>
      </c>
      <c r="DD62" s="18">
        <v>0.0</v>
      </c>
      <c r="DE62" s="18">
        <v>0.0</v>
      </c>
      <c r="DF62" s="18">
        <v>0.0</v>
      </c>
      <c r="DG62" s="18">
        <v>0.0</v>
      </c>
      <c r="DH62" s="18">
        <v>0.0</v>
      </c>
      <c r="DI62" s="18">
        <v>0.0</v>
      </c>
      <c r="DJ62" s="18">
        <v>0.0</v>
      </c>
      <c r="DK62" s="18">
        <v>0.0</v>
      </c>
      <c r="DL62" s="18">
        <v>0.0</v>
      </c>
      <c r="DM62" s="18">
        <v>0.0</v>
      </c>
      <c r="DN62" s="18">
        <v>0.0</v>
      </c>
      <c r="DO62" s="18">
        <v>0.0</v>
      </c>
      <c r="DP62" s="18">
        <v>0.0</v>
      </c>
      <c r="DQ62" s="18">
        <v>0.0</v>
      </c>
      <c r="DR62" s="18">
        <v>0.0</v>
      </c>
      <c r="DS62" s="18">
        <v>0.0</v>
      </c>
      <c r="DT62" s="18">
        <v>0.0</v>
      </c>
      <c r="DU62" s="18">
        <v>0.0</v>
      </c>
      <c r="DV62" s="18">
        <v>0.0</v>
      </c>
      <c r="DW62" s="18">
        <v>0.0</v>
      </c>
      <c r="DX62" s="18">
        <v>0.0</v>
      </c>
      <c r="DY62" s="18">
        <v>0.0</v>
      </c>
      <c r="DZ62" s="18">
        <v>1.0</v>
      </c>
      <c r="EA62" s="18">
        <v>0.0</v>
      </c>
      <c r="EB62" s="18">
        <v>0.0</v>
      </c>
      <c r="EC62" s="18">
        <v>0.0</v>
      </c>
      <c r="ED62" s="18">
        <v>0.0</v>
      </c>
      <c r="EE62" s="18">
        <v>0.0</v>
      </c>
      <c r="EF62" s="18">
        <v>0.0</v>
      </c>
      <c r="EG62" s="18">
        <v>0.0</v>
      </c>
      <c r="EH62" s="18">
        <v>0.0</v>
      </c>
      <c r="EI62" s="18">
        <v>0.0</v>
      </c>
      <c r="EJ62" s="18">
        <v>0.0</v>
      </c>
      <c r="EK62" s="18">
        <v>0.0</v>
      </c>
      <c r="EL62" s="18">
        <v>0.0</v>
      </c>
      <c r="EM62" s="18">
        <v>0.0</v>
      </c>
      <c r="EN62" s="18">
        <v>0.0</v>
      </c>
      <c r="EO62" s="18">
        <v>0.0</v>
      </c>
      <c r="EP62" s="18">
        <v>0.0</v>
      </c>
      <c r="EQ62" s="18">
        <v>0.0</v>
      </c>
      <c r="ER62" s="18">
        <v>0.0</v>
      </c>
      <c r="ES62" s="18">
        <v>0.0</v>
      </c>
      <c r="ET62" s="18">
        <v>0.0</v>
      </c>
      <c r="EU62" s="18">
        <v>0.0</v>
      </c>
      <c r="EV62" s="18">
        <v>0.0</v>
      </c>
      <c r="EW62" s="18">
        <v>0.0</v>
      </c>
      <c r="EX62" s="18">
        <v>0.0</v>
      </c>
      <c r="EY62" s="18">
        <v>0.0</v>
      </c>
      <c r="EZ62" s="18">
        <v>0.0</v>
      </c>
      <c r="FA62" s="18">
        <v>0.0</v>
      </c>
      <c r="FB62" s="18">
        <v>0.0</v>
      </c>
      <c r="FC62" s="18">
        <v>0.0</v>
      </c>
      <c r="FD62" s="19">
        <f t="shared" si="1"/>
        <v>6</v>
      </c>
    </row>
    <row r="63" ht="19.5" customHeight="1">
      <c r="A63" s="17" t="s">
        <v>201</v>
      </c>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v>0.0</v>
      </c>
      <c r="DC63" s="18">
        <v>0.0</v>
      </c>
      <c r="DD63" s="18">
        <v>0.0</v>
      </c>
      <c r="DE63" s="18">
        <v>0.0</v>
      </c>
      <c r="DF63" s="18">
        <v>0.0</v>
      </c>
      <c r="DG63" s="18">
        <v>0.0</v>
      </c>
      <c r="DH63" s="18">
        <v>0.0</v>
      </c>
      <c r="DI63" s="18">
        <v>0.0</v>
      </c>
      <c r="DJ63" s="18">
        <v>0.0</v>
      </c>
      <c r="DK63" s="18">
        <v>0.0</v>
      </c>
      <c r="DL63" s="18">
        <v>0.0</v>
      </c>
      <c r="DM63" s="18">
        <v>0.0</v>
      </c>
      <c r="DN63" s="18">
        <v>0.0</v>
      </c>
      <c r="DO63" s="18">
        <v>1.0</v>
      </c>
      <c r="DP63" s="18">
        <v>0.0</v>
      </c>
      <c r="DQ63" s="18">
        <v>0.0</v>
      </c>
      <c r="DR63" s="18">
        <v>0.0</v>
      </c>
      <c r="DS63" s="18">
        <v>0.0</v>
      </c>
      <c r="DT63" s="18">
        <v>0.0</v>
      </c>
      <c r="DU63" s="18">
        <v>0.0</v>
      </c>
      <c r="DV63" s="18">
        <v>0.0</v>
      </c>
      <c r="DW63" s="18">
        <v>0.0</v>
      </c>
      <c r="DX63" s="18">
        <v>0.0</v>
      </c>
      <c r="DY63" s="18">
        <v>0.0</v>
      </c>
      <c r="DZ63" s="18">
        <v>0.0</v>
      </c>
      <c r="EA63" s="18">
        <v>0.0</v>
      </c>
      <c r="EB63" s="18">
        <v>0.0</v>
      </c>
      <c r="EC63" s="18">
        <v>0.0</v>
      </c>
      <c r="ED63" s="18">
        <v>0.0</v>
      </c>
      <c r="EE63" s="18">
        <v>0.0</v>
      </c>
      <c r="EF63" s="18">
        <v>0.0</v>
      </c>
      <c r="EG63" s="18">
        <v>0.0</v>
      </c>
      <c r="EH63" s="18">
        <v>0.0</v>
      </c>
      <c r="EI63" s="18">
        <v>0.0</v>
      </c>
      <c r="EJ63" s="18">
        <v>0.0</v>
      </c>
      <c r="EK63" s="18">
        <v>0.0</v>
      </c>
      <c r="EL63" s="18">
        <v>0.0</v>
      </c>
      <c r="EM63" s="18">
        <v>0.0</v>
      </c>
      <c r="EN63" s="18">
        <v>0.0</v>
      </c>
      <c r="EO63" s="18">
        <v>0.0</v>
      </c>
      <c r="EP63" s="18">
        <v>0.0</v>
      </c>
      <c r="EQ63" s="18">
        <v>0.0</v>
      </c>
      <c r="ER63" s="18">
        <v>0.0</v>
      </c>
      <c r="ES63" s="18">
        <v>0.0</v>
      </c>
      <c r="ET63" s="18">
        <v>0.0</v>
      </c>
      <c r="EU63" s="18">
        <v>0.0</v>
      </c>
      <c r="EV63" s="18">
        <v>0.0</v>
      </c>
      <c r="EW63" s="18">
        <v>0.0</v>
      </c>
      <c r="EX63" s="18">
        <v>0.0</v>
      </c>
      <c r="EY63" s="18">
        <v>0.0</v>
      </c>
      <c r="EZ63" s="18">
        <v>0.0</v>
      </c>
      <c r="FA63" s="18">
        <v>0.0</v>
      </c>
      <c r="FB63" s="18">
        <v>0.0</v>
      </c>
      <c r="FC63" s="18">
        <v>0.0</v>
      </c>
      <c r="FD63" s="19">
        <f t="shared" si="1"/>
        <v>1</v>
      </c>
    </row>
    <row r="64" ht="19.5" customHeight="1">
      <c r="A64" s="20" t="s">
        <v>202</v>
      </c>
      <c r="B64" s="18">
        <v>0.0</v>
      </c>
      <c r="C64" s="18">
        <v>0.0</v>
      </c>
      <c r="D64" s="18">
        <v>0.0</v>
      </c>
      <c r="E64" s="18">
        <v>0.0</v>
      </c>
      <c r="F64" s="18">
        <v>0.0</v>
      </c>
      <c r="G64" s="18">
        <v>0.0</v>
      </c>
      <c r="H64" s="18">
        <v>0.0</v>
      </c>
      <c r="I64" s="18">
        <v>0.0</v>
      </c>
      <c r="J64" s="18">
        <v>0.0</v>
      </c>
      <c r="K64" s="18">
        <v>0.0</v>
      </c>
      <c r="L64" s="18">
        <v>0.0</v>
      </c>
      <c r="M64" s="18">
        <v>0.0</v>
      </c>
      <c r="N64" s="18">
        <v>0.0</v>
      </c>
      <c r="O64" s="18">
        <v>0.0</v>
      </c>
      <c r="P64" s="18">
        <v>0.0</v>
      </c>
      <c r="Q64" s="18">
        <v>0.0</v>
      </c>
      <c r="R64" s="18">
        <v>0.0</v>
      </c>
      <c r="S64" s="18">
        <v>0.0</v>
      </c>
      <c r="T64" s="18">
        <v>2.0</v>
      </c>
      <c r="U64" s="18">
        <v>0.0</v>
      </c>
      <c r="V64" s="18">
        <v>1.0</v>
      </c>
      <c r="W64" s="18">
        <v>0.0</v>
      </c>
      <c r="X64" s="18">
        <v>1.0</v>
      </c>
      <c r="Y64" s="18">
        <v>0.0</v>
      </c>
      <c r="Z64" s="18">
        <v>0.0</v>
      </c>
      <c r="AA64" s="18">
        <v>0.0</v>
      </c>
      <c r="AB64" s="18">
        <v>0.0</v>
      </c>
      <c r="AC64" s="18">
        <v>0.0</v>
      </c>
      <c r="AD64" s="18">
        <v>0.0</v>
      </c>
      <c r="AE64" s="18">
        <v>0.0</v>
      </c>
      <c r="AF64" s="18">
        <v>0.0</v>
      </c>
      <c r="AG64" s="18">
        <v>0.0</v>
      </c>
      <c r="AH64" s="18">
        <v>0.0</v>
      </c>
      <c r="AI64" s="18">
        <v>1.0</v>
      </c>
      <c r="AJ64" s="18">
        <v>0.0</v>
      </c>
      <c r="AK64" s="18">
        <v>0.0</v>
      </c>
      <c r="AL64" s="18">
        <v>0.0</v>
      </c>
      <c r="AM64" s="18">
        <v>0.0</v>
      </c>
      <c r="AN64" s="18">
        <v>0.0</v>
      </c>
      <c r="AO64" s="18">
        <v>0.0</v>
      </c>
      <c r="AP64" s="18">
        <v>0.0</v>
      </c>
      <c r="AQ64" s="18">
        <v>0.0</v>
      </c>
      <c r="AR64" s="18">
        <v>0.0</v>
      </c>
      <c r="AS64" s="18">
        <v>0.0</v>
      </c>
      <c r="AT64" s="18">
        <v>1.0</v>
      </c>
      <c r="AU64" s="18">
        <v>0.0</v>
      </c>
      <c r="AV64" s="18">
        <v>1.0</v>
      </c>
      <c r="AW64" s="18">
        <v>1.0</v>
      </c>
      <c r="AX64" s="18">
        <v>0.0</v>
      </c>
      <c r="AY64" s="18">
        <v>0.0</v>
      </c>
      <c r="AZ64" s="18">
        <v>1.0</v>
      </c>
      <c r="BA64" s="18">
        <v>0.0</v>
      </c>
      <c r="BB64" s="18">
        <v>0.0</v>
      </c>
      <c r="BC64" s="18">
        <v>0.0</v>
      </c>
      <c r="BD64" s="18">
        <v>0.0</v>
      </c>
      <c r="BE64" s="18">
        <v>0.0</v>
      </c>
      <c r="BF64" s="18">
        <v>0.0</v>
      </c>
      <c r="BG64" s="18">
        <v>0.0</v>
      </c>
      <c r="BH64" s="18">
        <v>0.0</v>
      </c>
      <c r="BI64" s="18">
        <v>2.0</v>
      </c>
      <c r="BJ64" s="18">
        <v>0.0</v>
      </c>
      <c r="BK64" s="18">
        <v>0.0</v>
      </c>
      <c r="BL64" s="18">
        <v>0.0</v>
      </c>
      <c r="BM64" s="18">
        <v>0.0</v>
      </c>
      <c r="BN64" s="18">
        <v>0.0</v>
      </c>
      <c r="BO64" s="18">
        <v>0.0</v>
      </c>
      <c r="BP64" s="18">
        <v>0.0</v>
      </c>
      <c r="BQ64" s="18">
        <v>0.0</v>
      </c>
      <c r="BR64" s="18">
        <v>0.0</v>
      </c>
      <c r="BS64" s="18">
        <v>0.0</v>
      </c>
      <c r="BT64" s="18">
        <v>0.0</v>
      </c>
      <c r="BU64" s="18">
        <v>0.0</v>
      </c>
      <c r="BV64" s="18">
        <v>0.0</v>
      </c>
      <c r="BW64" s="18">
        <v>0.0</v>
      </c>
      <c r="BX64" s="18">
        <v>0.0</v>
      </c>
      <c r="BY64" s="18">
        <v>0.0</v>
      </c>
      <c r="BZ64" s="18">
        <v>0.0</v>
      </c>
      <c r="CA64" s="18">
        <v>0.0</v>
      </c>
      <c r="CB64" s="18">
        <v>0.0</v>
      </c>
      <c r="CC64" s="18">
        <v>0.0</v>
      </c>
      <c r="CD64" s="18">
        <v>0.0</v>
      </c>
      <c r="CE64" s="18">
        <v>0.0</v>
      </c>
      <c r="CF64" s="18">
        <v>0.0</v>
      </c>
      <c r="CG64" s="18">
        <v>0.0</v>
      </c>
      <c r="CH64" s="18">
        <v>0.0</v>
      </c>
      <c r="CI64" s="18">
        <v>0.0</v>
      </c>
      <c r="CJ64" s="18">
        <v>0.0</v>
      </c>
      <c r="CK64" s="18">
        <v>0.0</v>
      </c>
      <c r="CL64" s="18">
        <v>0.0</v>
      </c>
      <c r="CM64" s="18">
        <v>0.0</v>
      </c>
      <c r="CN64" s="18">
        <v>0.0</v>
      </c>
      <c r="CO64" s="18">
        <v>0.0</v>
      </c>
      <c r="CP64" s="18">
        <v>0.0</v>
      </c>
      <c r="CQ64" s="18">
        <v>0.0</v>
      </c>
      <c r="CR64" s="18">
        <v>0.0</v>
      </c>
      <c r="CS64" s="18">
        <v>0.0</v>
      </c>
      <c r="CT64" s="18">
        <v>0.0</v>
      </c>
      <c r="CU64" s="18">
        <v>0.0</v>
      </c>
      <c r="CV64" s="18">
        <v>0.0</v>
      </c>
      <c r="CW64" s="18">
        <v>0.0</v>
      </c>
      <c r="CX64" s="18">
        <v>0.0</v>
      </c>
      <c r="CY64" s="18">
        <v>0.0</v>
      </c>
      <c r="CZ64" s="18">
        <v>0.0</v>
      </c>
      <c r="DA64" s="18">
        <v>0.0</v>
      </c>
      <c r="DB64" s="18">
        <v>0.0</v>
      </c>
      <c r="DC64" s="18">
        <v>0.0</v>
      </c>
      <c r="DD64" s="18">
        <v>0.0</v>
      </c>
      <c r="DE64" s="18">
        <v>0.0</v>
      </c>
      <c r="DF64" s="18">
        <v>0.0</v>
      </c>
      <c r="DG64" s="18">
        <v>0.0</v>
      </c>
      <c r="DH64" s="18">
        <v>0.0</v>
      </c>
      <c r="DI64" s="18">
        <v>0.0</v>
      </c>
      <c r="DJ64" s="18">
        <v>0.0</v>
      </c>
      <c r="DK64" s="18">
        <v>0.0</v>
      </c>
      <c r="DL64" s="18">
        <v>0.0</v>
      </c>
      <c r="DM64" s="18">
        <v>0.0</v>
      </c>
      <c r="DN64" s="18">
        <v>0.0</v>
      </c>
      <c r="DO64" s="18">
        <v>0.0</v>
      </c>
      <c r="DP64" s="18">
        <v>0.0</v>
      </c>
      <c r="DQ64" s="18">
        <v>0.0</v>
      </c>
      <c r="DR64" s="18">
        <v>0.0</v>
      </c>
      <c r="DS64" s="18">
        <v>0.0</v>
      </c>
      <c r="DT64" s="18">
        <v>0.0</v>
      </c>
      <c r="DU64" s="18">
        <v>0.0</v>
      </c>
      <c r="DV64" s="18">
        <v>0.0</v>
      </c>
      <c r="DW64" s="18">
        <v>0.0</v>
      </c>
      <c r="DX64" s="18">
        <v>0.0</v>
      </c>
      <c r="DY64" s="18">
        <v>0.0</v>
      </c>
      <c r="DZ64" s="18">
        <v>0.0</v>
      </c>
      <c r="EA64" s="18">
        <v>0.0</v>
      </c>
      <c r="EB64" s="18">
        <v>0.0</v>
      </c>
      <c r="EC64" s="18">
        <v>0.0</v>
      </c>
      <c r="ED64" s="18">
        <v>0.0</v>
      </c>
      <c r="EE64" s="18">
        <v>0.0</v>
      </c>
      <c r="EF64" s="18">
        <v>0.0</v>
      </c>
      <c r="EG64" s="18">
        <v>0.0</v>
      </c>
      <c r="EH64" s="18">
        <v>0.0</v>
      </c>
      <c r="EI64" s="18">
        <v>0.0</v>
      </c>
      <c r="EJ64" s="18">
        <v>0.0</v>
      </c>
      <c r="EK64" s="18">
        <v>0.0</v>
      </c>
      <c r="EL64" s="18">
        <v>0.0</v>
      </c>
      <c r="EM64" s="18">
        <v>0.0</v>
      </c>
      <c r="EN64" s="18">
        <v>0.0</v>
      </c>
      <c r="EO64" s="18">
        <v>0.0</v>
      </c>
      <c r="EP64" s="18">
        <v>0.0</v>
      </c>
      <c r="EQ64" s="18">
        <v>0.0</v>
      </c>
      <c r="ER64" s="18">
        <v>0.0</v>
      </c>
      <c r="ES64" s="18">
        <v>0.0</v>
      </c>
      <c r="ET64" s="18">
        <v>0.0</v>
      </c>
      <c r="EU64" s="18">
        <v>1.0</v>
      </c>
      <c r="EV64" s="18">
        <v>0.0</v>
      </c>
      <c r="EW64" s="18">
        <v>0.0</v>
      </c>
      <c r="EX64" s="18">
        <v>0.0</v>
      </c>
      <c r="EY64" s="18">
        <v>0.0</v>
      </c>
      <c r="EZ64" s="18">
        <v>0.0</v>
      </c>
      <c r="FA64" s="18">
        <v>0.0</v>
      </c>
      <c r="FB64" s="18">
        <v>0.0</v>
      </c>
      <c r="FC64" s="18">
        <v>0.0</v>
      </c>
      <c r="FD64" s="19">
        <f t="shared" si="1"/>
        <v>12</v>
      </c>
    </row>
    <row r="65" ht="19.5" customHeight="1">
      <c r="A65" s="20" t="s">
        <v>203</v>
      </c>
      <c r="B65" s="18">
        <v>0.0</v>
      </c>
      <c r="C65" s="18">
        <v>0.0</v>
      </c>
      <c r="D65" s="18">
        <v>0.0</v>
      </c>
      <c r="E65" s="18">
        <v>0.0</v>
      </c>
      <c r="F65" s="18">
        <v>0.0</v>
      </c>
      <c r="G65" s="18">
        <v>0.0</v>
      </c>
      <c r="H65" s="18">
        <v>0.0</v>
      </c>
      <c r="I65" s="18">
        <v>0.0</v>
      </c>
      <c r="J65" s="18">
        <v>0.0</v>
      </c>
      <c r="K65" s="18">
        <v>0.0</v>
      </c>
      <c r="L65" s="18">
        <v>0.0</v>
      </c>
      <c r="M65" s="18">
        <v>0.0</v>
      </c>
      <c r="N65" s="18">
        <v>0.0</v>
      </c>
      <c r="O65" s="18">
        <v>0.0</v>
      </c>
      <c r="P65" s="18">
        <v>0.0</v>
      </c>
      <c r="Q65" s="18">
        <v>0.0</v>
      </c>
      <c r="R65" s="18">
        <v>0.0</v>
      </c>
      <c r="S65" s="18">
        <v>0.0</v>
      </c>
      <c r="T65" s="18">
        <v>0.0</v>
      </c>
      <c r="U65" s="18">
        <v>0.0</v>
      </c>
      <c r="V65" s="18">
        <v>0.0</v>
      </c>
      <c r="W65" s="18">
        <v>1.0</v>
      </c>
      <c r="X65" s="18">
        <v>0.0</v>
      </c>
      <c r="Y65" s="18">
        <v>0.0</v>
      </c>
      <c r="Z65" s="18">
        <v>0.0</v>
      </c>
      <c r="AA65" s="18">
        <v>2.0</v>
      </c>
      <c r="AB65" s="18">
        <v>0.0</v>
      </c>
      <c r="AC65" s="18">
        <v>0.0</v>
      </c>
      <c r="AD65" s="18">
        <v>0.0</v>
      </c>
      <c r="AE65" s="18">
        <v>0.0</v>
      </c>
      <c r="AF65" s="18">
        <v>0.0</v>
      </c>
      <c r="AG65" s="18">
        <v>0.0</v>
      </c>
      <c r="AH65" s="18">
        <v>0.0</v>
      </c>
      <c r="AI65" s="18">
        <v>0.0</v>
      </c>
      <c r="AJ65" s="18">
        <v>0.0</v>
      </c>
      <c r="AK65" s="18">
        <v>0.0</v>
      </c>
      <c r="AL65" s="18">
        <v>0.0</v>
      </c>
      <c r="AM65" s="18">
        <v>0.0</v>
      </c>
      <c r="AN65" s="18">
        <v>0.0</v>
      </c>
      <c r="AO65" s="18">
        <v>0.0</v>
      </c>
      <c r="AP65" s="18">
        <v>0.0</v>
      </c>
      <c r="AQ65" s="18">
        <v>0.0</v>
      </c>
      <c r="AR65" s="18">
        <v>1.0</v>
      </c>
      <c r="AS65" s="18">
        <v>1.0</v>
      </c>
      <c r="AT65" s="18">
        <v>0.0</v>
      </c>
      <c r="AU65" s="18">
        <v>0.0</v>
      </c>
      <c r="AV65" s="18">
        <v>0.0</v>
      </c>
      <c r="AW65" s="18">
        <v>1.0</v>
      </c>
      <c r="AX65" s="18">
        <v>0.0</v>
      </c>
      <c r="AY65" s="18">
        <v>0.0</v>
      </c>
      <c r="AZ65" s="18">
        <v>1.0</v>
      </c>
      <c r="BA65" s="18">
        <v>0.0</v>
      </c>
      <c r="BB65" s="18">
        <v>0.0</v>
      </c>
      <c r="BC65" s="18">
        <v>0.0</v>
      </c>
      <c r="BD65" s="18">
        <v>0.0</v>
      </c>
      <c r="BE65" s="18">
        <v>0.0</v>
      </c>
      <c r="BF65" s="18">
        <v>0.0</v>
      </c>
      <c r="BG65" s="18">
        <v>1.0</v>
      </c>
      <c r="BH65" s="18">
        <v>0.0</v>
      </c>
      <c r="BI65" s="18">
        <v>1.0</v>
      </c>
      <c r="BJ65" s="18">
        <v>0.0</v>
      </c>
      <c r="BK65" s="18">
        <v>0.0</v>
      </c>
      <c r="BL65" s="18">
        <v>0.0</v>
      </c>
      <c r="BM65" s="18">
        <v>1.0</v>
      </c>
      <c r="BN65" s="18">
        <v>0.0</v>
      </c>
      <c r="BO65" s="18">
        <v>0.0</v>
      </c>
      <c r="BP65" s="18">
        <v>0.0</v>
      </c>
      <c r="BQ65" s="18">
        <v>0.0</v>
      </c>
      <c r="BR65" s="18">
        <v>0.0</v>
      </c>
      <c r="BS65" s="18">
        <v>0.0</v>
      </c>
      <c r="BT65" s="18">
        <v>0.0</v>
      </c>
      <c r="BU65" s="18">
        <v>0.0</v>
      </c>
      <c r="BV65" s="18">
        <v>0.0</v>
      </c>
      <c r="BW65" s="18">
        <v>0.0</v>
      </c>
      <c r="BX65" s="18">
        <v>0.0</v>
      </c>
      <c r="BY65" s="18">
        <v>0.0</v>
      </c>
      <c r="BZ65" s="18">
        <v>0.0</v>
      </c>
      <c r="CA65" s="18">
        <v>0.0</v>
      </c>
      <c r="CB65" s="18">
        <v>0.0</v>
      </c>
      <c r="CC65" s="18">
        <v>0.0</v>
      </c>
      <c r="CD65" s="18">
        <v>0.0</v>
      </c>
      <c r="CE65" s="18">
        <v>0.0</v>
      </c>
      <c r="CF65" s="18">
        <v>0.0</v>
      </c>
      <c r="CG65" s="18">
        <v>0.0</v>
      </c>
      <c r="CH65" s="18">
        <v>0.0</v>
      </c>
      <c r="CI65" s="18">
        <v>0.0</v>
      </c>
      <c r="CJ65" s="18">
        <v>0.0</v>
      </c>
      <c r="CK65" s="18">
        <v>0.0</v>
      </c>
      <c r="CL65" s="18">
        <v>0.0</v>
      </c>
      <c r="CM65" s="18">
        <v>0.0</v>
      </c>
      <c r="CN65" s="18">
        <v>0.0</v>
      </c>
      <c r="CO65" s="18">
        <v>0.0</v>
      </c>
      <c r="CP65" s="18">
        <v>0.0</v>
      </c>
      <c r="CQ65" s="18">
        <v>0.0</v>
      </c>
      <c r="CR65" s="18">
        <v>0.0</v>
      </c>
      <c r="CS65" s="18">
        <v>0.0</v>
      </c>
      <c r="CT65" s="18">
        <v>0.0</v>
      </c>
      <c r="CU65" s="18">
        <v>0.0</v>
      </c>
      <c r="CV65" s="18">
        <v>1.0</v>
      </c>
      <c r="CW65" s="18">
        <v>1.0</v>
      </c>
      <c r="CX65" s="18">
        <v>1.0</v>
      </c>
      <c r="CY65" s="18">
        <v>0.0</v>
      </c>
      <c r="CZ65" s="18">
        <v>0.0</v>
      </c>
      <c r="DA65" s="18">
        <v>0.0</v>
      </c>
      <c r="DB65" s="18">
        <v>1.0</v>
      </c>
      <c r="DC65" s="18">
        <v>0.0</v>
      </c>
      <c r="DD65" s="18">
        <v>0.0</v>
      </c>
      <c r="DE65" s="18">
        <v>0.0</v>
      </c>
      <c r="DF65" s="18">
        <v>0.0</v>
      </c>
      <c r="DG65" s="18">
        <v>0.0</v>
      </c>
      <c r="DH65" s="18">
        <v>0.0</v>
      </c>
      <c r="DI65" s="18">
        <v>0.0</v>
      </c>
      <c r="DJ65" s="18">
        <v>0.0</v>
      </c>
      <c r="DK65" s="18">
        <v>0.0</v>
      </c>
      <c r="DL65" s="18">
        <v>0.0</v>
      </c>
      <c r="DM65" s="18">
        <v>0.0</v>
      </c>
      <c r="DN65" s="18">
        <v>0.0</v>
      </c>
      <c r="DO65" s="18">
        <v>0.0</v>
      </c>
      <c r="DP65" s="18">
        <v>0.0</v>
      </c>
      <c r="DQ65" s="18">
        <v>0.0</v>
      </c>
      <c r="DR65" s="18">
        <v>0.0</v>
      </c>
      <c r="DS65" s="18">
        <v>0.0</v>
      </c>
      <c r="DT65" s="18">
        <v>0.0</v>
      </c>
      <c r="DU65" s="18">
        <v>0.0</v>
      </c>
      <c r="DV65" s="18">
        <v>0.0</v>
      </c>
      <c r="DW65" s="18">
        <v>0.0</v>
      </c>
      <c r="DX65" s="18">
        <v>0.0</v>
      </c>
      <c r="DY65" s="18">
        <v>0.0</v>
      </c>
      <c r="DZ65" s="18">
        <v>0.0</v>
      </c>
      <c r="EA65" s="18">
        <v>0.0</v>
      </c>
      <c r="EB65" s="18">
        <v>0.0</v>
      </c>
      <c r="EC65" s="18">
        <v>0.0</v>
      </c>
      <c r="ED65" s="18">
        <v>0.0</v>
      </c>
      <c r="EE65" s="18">
        <v>0.0</v>
      </c>
      <c r="EF65" s="18">
        <v>0.0</v>
      </c>
      <c r="EG65" s="18">
        <v>0.0</v>
      </c>
      <c r="EH65" s="18">
        <v>0.0</v>
      </c>
      <c r="EI65" s="18">
        <v>0.0</v>
      </c>
      <c r="EJ65" s="18">
        <v>0.0</v>
      </c>
      <c r="EK65" s="18">
        <v>0.0</v>
      </c>
      <c r="EL65" s="18">
        <v>0.0</v>
      </c>
      <c r="EM65" s="18">
        <v>0.0</v>
      </c>
      <c r="EN65" s="18">
        <v>0.0</v>
      </c>
      <c r="EO65" s="18">
        <v>0.0</v>
      </c>
      <c r="EP65" s="18">
        <v>0.0</v>
      </c>
      <c r="EQ65" s="18">
        <v>0.0</v>
      </c>
      <c r="ER65" s="18">
        <v>0.0</v>
      </c>
      <c r="ES65" s="18">
        <v>0.0</v>
      </c>
      <c r="ET65" s="18">
        <v>0.0</v>
      </c>
      <c r="EU65" s="18">
        <v>0.0</v>
      </c>
      <c r="EV65" s="18">
        <v>1.0</v>
      </c>
      <c r="EW65" s="18">
        <v>0.0</v>
      </c>
      <c r="EX65" s="18">
        <v>0.0</v>
      </c>
      <c r="EY65" s="18">
        <v>0.0</v>
      </c>
      <c r="EZ65" s="18">
        <v>0.0</v>
      </c>
      <c r="FA65" s="18">
        <v>0.0</v>
      </c>
      <c r="FB65" s="18">
        <v>0.0</v>
      </c>
      <c r="FC65" s="18">
        <v>0.0</v>
      </c>
      <c r="FD65" s="19">
        <f t="shared" si="1"/>
        <v>15</v>
      </c>
    </row>
    <row r="66" ht="19.5" customHeight="1">
      <c r="A66" s="17" t="s">
        <v>204</v>
      </c>
      <c r="B66" s="18">
        <v>0.0</v>
      </c>
      <c r="C66" s="18">
        <v>0.0</v>
      </c>
      <c r="D66" s="18">
        <v>0.0</v>
      </c>
      <c r="E66" s="18">
        <v>0.0</v>
      </c>
      <c r="F66" s="18">
        <v>0.0</v>
      </c>
      <c r="G66" s="18">
        <v>0.0</v>
      </c>
      <c r="H66" s="18">
        <v>0.0</v>
      </c>
      <c r="I66" s="18">
        <v>0.0</v>
      </c>
      <c r="J66" s="18">
        <v>0.0</v>
      </c>
      <c r="K66" s="18">
        <v>0.0</v>
      </c>
      <c r="L66" s="18">
        <v>0.0</v>
      </c>
      <c r="M66" s="18">
        <v>0.0</v>
      </c>
      <c r="N66" s="18">
        <v>0.0</v>
      </c>
      <c r="O66" s="18">
        <v>0.0</v>
      </c>
      <c r="P66" s="18">
        <v>0.0</v>
      </c>
      <c r="Q66" s="18">
        <v>0.0</v>
      </c>
      <c r="R66" s="18">
        <v>0.0</v>
      </c>
      <c r="S66" s="18">
        <v>0.0</v>
      </c>
      <c r="T66" s="18">
        <v>0.0</v>
      </c>
      <c r="U66" s="18">
        <v>0.0</v>
      </c>
      <c r="V66" s="18">
        <v>0.0</v>
      </c>
      <c r="W66" s="18">
        <v>1.0</v>
      </c>
      <c r="X66" s="18">
        <v>0.0</v>
      </c>
      <c r="Y66" s="18">
        <v>0.0</v>
      </c>
      <c r="Z66" s="18">
        <v>0.0</v>
      </c>
      <c r="AA66" s="18">
        <v>0.0</v>
      </c>
      <c r="AB66" s="18">
        <v>0.0</v>
      </c>
      <c r="AC66" s="18">
        <v>0.0</v>
      </c>
      <c r="AD66" s="18">
        <v>0.0</v>
      </c>
      <c r="AE66" s="18">
        <v>0.0</v>
      </c>
      <c r="AF66" s="18">
        <v>0.0</v>
      </c>
      <c r="AG66" s="18">
        <v>0.0</v>
      </c>
      <c r="AH66" s="18">
        <v>0.0</v>
      </c>
      <c r="AI66" s="18">
        <v>0.0</v>
      </c>
      <c r="AJ66" s="18">
        <v>0.0</v>
      </c>
      <c r="AK66" s="18">
        <v>0.0</v>
      </c>
      <c r="AL66" s="18">
        <v>0.0</v>
      </c>
      <c r="AM66" s="18">
        <v>0.0</v>
      </c>
      <c r="AN66" s="18">
        <v>0.0</v>
      </c>
      <c r="AO66" s="18">
        <v>0.0</v>
      </c>
      <c r="AP66" s="18">
        <v>0.0</v>
      </c>
      <c r="AQ66" s="18">
        <v>1.0</v>
      </c>
      <c r="AR66" s="18">
        <v>0.0</v>
      </c>
      <c r="AS66" s="18">
        <v>0.0</v>
      </c>
      <c r="AT66" s="18">
        <v>0.0</v>
      </c>
      <c r="AU66" s="18">
        <v>0.0</v>
      </c>
      <c r="AV66" s="18">
        <v>0.0</v>
      </c>
      <c r="AW66" s="18">
        <v>0.0</v>
      </c>
      <c r="AX66" s="18">
        <v>0.0</v>
      </c>
      <c r="AY66" s="18">
        <v>0.0</v>
      </c>
      <c r="AZ66" s="18">
        <v>0.0</v>
      </c>
      <c r="BA66" s="18">
        <v>0.0</v>
      </c>
      <c r="BB66" s="18">
        <v>0.0</v>
      </c>
      <c r="BC66" s="18">
        <v>0.0</v>
      </c>
      <c r="BD66" s="18">
        <v>0.0</v>
      </c>
      <c r="BE66" s="18">
        <v>0.0</v>
      </c>
      <c r="BF66" s="18">
        <v>0.0</v>
      </c>
      <c r="BG66" s="18">
        <v>0.0</v>
      </c>
      <c r="BH66" s="18">
        <v>0.0</v>
      </c>
      <c r="BI66" s="18">
        <v>0.0</v>
      </c>
      <c r="BJ66" s="18">
        <v>0.0</v>
      </c>
      <c r="BK66" s="18">
        <v>0.0</v>
      </c>
      <c r="BL66" s="18">
        <v>0.0</v>
      </c>
      <c r="BM66" s="18">
        <v>1.0</v>
      </c>
      <c r="BN66" s="18">
        <v>0.0</v>
      </c>
      <c r="BO66" s="18">
        <v>0.0</v>
      </c>
      <c r="BP66" s="18">
        <v>0.0</v>
      </c>
      <c r="BQ66" s="18">
        <v>0.0</v>
      </c>
      <c r="BR66" s="18">
        <v>0.0</v>
      </c>
      <c r="BS66" s="18">
        <v>0.0</v>
      </c>
      <c r="BT66" s="18">
        <v>0.0</v>
      </c>
      <c r="BU66" s="18">
        <v>0.0</v>
      </c>
      <c r="BV66" s="18">
        <v>0.0</v>
      </c>
      <c r="BW66" s="18">
        <v>0.0</v>
      </c>
      <c r="BX66" s="18">
        <v>0.0</v>
      </c>
      <c r="BY66" s="18">
        <v>0.0</v>
      </c>
      <c r="BZ66" s="18">
        <v>0.0</v>
      </c>
      <c r="CA66" s="18">
        <v>0.0</v>
      </c>
      <c r="CB66" s="18">
        <v>0.0</v>
      </c>
      <c r="CC66" s="18">
        <v>0.0</v>
      </c>
      <c r="CD66" s="18">
        <v>0.0</v>
      </c>
      <c r="CE66" s="18">
        <v>0.0</v>
      </c>
      <c r="CF66" s="18">
        <v>1.0</v>
      </c>
      <c r="CG66" s="18">
        <v>0.0</v>
      </c>
      <c r="CH66" s="18">
        <v>0.0</v>
      </c>
      <c r="CI66" s="18">
        <v>0.0</v>
      </c>
      <c r="CJ66" s="18">
        <v>0.0</v>
      </c>
      <c r="CK66" s="18">
        <v>0.0</v>
      </c>
      <c r="CL66" s="18">
        <v>0.0</v>
      </c>
      <c r="CM66" s="18">
        <v>0.0</v>
      </c>
      <c r="CN66" s="18">
        <v>0.0</v>
      </c>
      <c r="CO66" s="18">
        <v>0.0</v>
      </c>
      <c r="CP66" s="18">
        <v>0.0</v>
      </c>
      <c r="CQ66" s="18">
        <v>0.0</v>
      </c>
      <c r="CR66" s="18">
        <v>0.0</v>
      </c>
      <c r="CS66" s="18">
        <v>0.0</v>
      </c>
      <c r="CT66" s="18">
        <v>0.0</v>
      </c>
      <c r="CU66" s="18">
        <v>0.0</v>
      </c>
      <c r="CV66" s="18">
        <v>0.0</v>
      </c>
      <c r="CW66" s="18">
        <v>0.0</v>
      </c>
      <c r="CX66" s="18">
        <v>0.0</v>
      </c>
      <c r="CY66" s="18">
        <v>0.0</v>
      </c>
      <c r="CZ66" s="18">
        <v>0.0</v>
      </c>
      <c r="DA66" s="18">
        <v>0.0</v>
      </c>
      <c r="DB66" s="18">
        <v>0.0</v>
      </c>
      <c r="DC66" s="18">
        <v>0.0</v>
      </c>
      <c r="DD66" s="18">
        <v>0.0</v>
      </c>
      <c r="DE66" s="18">
        <v>0.0</v>
      </c>
      <c r="DF66" s="18">
        <v>0.0</v>
      </c>
      <c r="DG66" s="18">
        <v>0.0</v>
      </c>
      <c r="DH66" s="18">
        <v>0.0</v>
      </c>
      <c r="DI66" s="18">
        <v>0.0</v>
      </c>
      <c r="DJ66" s="18">
        <v>0.0</v>
      </c>
      <c r="DK66" s="18">
        <v>0.0</v>
      </c>
      <c r="DL66" s="18">
        <v>0.0</v>
      </c>
      <c r="DM66" s="18">
        <v>0.0</v>
      </c>
      <c r="DN66" s="18">
        <v>0.0</v>
      </c>
      <c r="DO66" s="18">
        <v>0.0</v>
      </c>
      <c r="DP66" s="18">
        <v>0.0</v>
      </c>
      <c r="DQ66" s="18">
        <v>0.0</v>
      </c>
      <c r="DR66" s="18">
        <v>0.0</v>
      </c>
      <c r="DS66" s="18">
        <v>0.0</v>
      </c>
      <c r="DT66" s="18">
        <v>0.0</v>
      </c>
      <c r="DU66" s="18">
        <v>0.0</v>
      </c>
      <c r="DV66" s="18">
        <v>0.0</v>
      </c>
      <c r="DW66" s="18">
        <v>0.0</v>
      </c>
      <c r="DX66" s="18">
        <v>0.0</v>
      </c>
      <c r="DY66" s="18">
        <v>0.0</v>
      </c>
      <c r="DZ66" s="18">
        <v>0.0</v>
      </c>
      <c r="EA66" s="18">
        <v>0.0</v>
      </c>
      <c r="EB66" s="18">
        <v>1.0</v>
      </c>
      <c r="EC66" s="18">
        <v>0.0</v>
      </c>
      <c r="ED66" s="18">
        <v>0.0</v>
      </c>
      <c r="EE66" s="18">
        <v>0.0</v>
      </c>
      <c r="EF66" s="18">
        <v>0.0</v>
      </c>
      <c r="EG66" s="18">
        <v>0.0</v>
      </c>
      <c r="EH66" s="18">
        <v>0.0</v>
      </c>
      <c r="EI66" s="18">
        <v>0.0</v>
      </c>
      <c r="EJ66" s="18">
        <v>0.0</v>
      </c>
      <c r="EK66" s="18">
        <v>0.0</v>
      </c>
      <c r="EL66" s="18">
        <v>0.0</v>
      </c>
      <c r="EM66" s="18">
        <v>0.0</v>
      </c>
      <c r="EN66" s="18">
        <v>0.0</v>
      </c>
      <c r="EO66" s="18">
        <v>0.0</v>
      </c>
      <c r="EP66" s="18">
        <v>0.0</v>
      </c>
      <c r="EQ66" s="18">
        <v>0.0</v>
      </c>
      <c r="ER66" s="18">
        <v>0.0</v>
      </c>
      <c r="ES66" s="18">
        <v>0.0</v>
      </c>
      <c r="ET66" s="18">
        <v>0.0</v>
      </c>
      <c r="EU66" s="18">
        <v>0.0</v>
      </c>
      <c r="EV66" s="18">
        <v>0.0</v>
      </c>
      <c r="EW66" s="18">
        <v>0.0</v>
      </c>
      <c r="EX66" s="18">
        <v>0.0</v>
      </c>
      <c r="EY66" s="18">
        <v>0.0</v>
      </c>
      <c r="EZ66" s="18">
        <v>0.0</v>
      </c>
      <c r="FA66" s="18">
        <v>0.0</v>
      </c>
      <c r="FB66" s="18">
        <v>0.0</v>
      </c>
      <c r="FC66" s="18">
        <v>0.0</v>
      </c>
      <c r="FD66" s="19">
        <f t="shared" si="1"/>
        <v>5</v>
      </c>
    </row>
    <row r="67" ht="19.5" customHeight="1">
      <c r="A67" s="20" t="s">
        <v>205</v>
      </c>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v>0.0</v>
      </c>
      <c r="CL67" s="18">
        <v>0.0</v>
      </c>
      <c r="CM67" s="18">
        <v>0.0</v>
      </c>
      <c r="CN67" s="18">
        <v>0.0</v>
      </c>
      <c r="CO67" s="18">
        <v>0.0</v>
      </c>
      <c r="CP67" s="18">
        <v>0.0</v>
      </c>
      <c r="CQ67" s="18">
        <v>0.0</v>
      </c>
      <c r="CR67" s="18">
        <v>0.0</v>
      </c>
      <c r="CS67" s="18">
        <v>0.0</v>
      </c>
      <c r="CT67" s="18">
        <v>0.0</v>
      </c>
      <c r="CU67" s="18">
        <v>0.0</v>
      </c>
      <c r="CV67" s="18">
        <v>1.0</v>
      </c>
      <c r="CW67" s="18">
        <v>0.0</v>
      </c>
      <c r="CX67" s="18">
        <v>0.0</v>
      </c>
      <c r="CY67" s="18">
        <v>0.0</v>
      </c>
      <c r="CZ67" s="18">
        <v>0.0</v>
      </c>
      <c r="DA67" s="18">
        <v>0.0</v>
      </c>
      <c r="DB67" s="18">
        <v>0.0</v>
      </c>
      <c r="DC67" s="18">
        <v>0.0</v>
      </c>
      <c r="DD67" s="18">
        <v>0.0</v>
      </c>
      <c r="DE67" s="18">
        <v>0.0</v>
      </c>
      <c r="DF67" s="18">
        <v>0.0</v>
      </c>
      <c r="DG67" s="18">
        <v>0.0</v>
      </c>
      <c r="DH67" s="18">
        <v>0.0</v>
      </c>
      <c r="DI67" s="18">
        <v>0.0</v>
      </c>
      <c r="DJ67" s="18">
        <v>0.0</v>
      </c>
      <c r="DK67" s="18">
        <v>0.0</v>
      </c>
      <c r="DL67" s="18">
        <v>0.0</v>
      </c>
      <c r="DM67" s="18">
        <v>0.0</v>
      </c>
      <c r="DN67" s="18">
        <v>0.0</v>
      </c>
      <c r="DO67" s="18">
        <v>0.0</v>
      </c>
      <c r="DP67" s="18">
        <v>0.0</v>
      </c>
      <c r="DQ67" s="18">
        <v>0.0</v>
      </c>
      <c r="DR67" s="18">
        <v>0.0</v>
      </c>
      <c r="DS67" s="18">
        <v>0.0</v>
      </c>
      <c r="DT67" s="18">
        <v>0.0</v>
      </c>
      <c r="DU67" s="18">
        <v>0.0</v>
      </c>
      <c r="DV67" s="18">
        <v>0.0</v>
      </c>
      <c r="DW67" s="18">
        <v>0.0</v>
      </c>
      <c r="DX67" s="18">
        <v>0.0</v>
      </c>
      <c r="DY67" s="18">
        <v>0.0</v>
      </c>
      <c r="DZ67" s="18">
        <v>0.0</v>
      </c>
      <c r="EA67" s="18">
        <v>0.0</v>
      </c>
      <c r="EB67" s="18">
        <v>1.0</v>
      </c>
      <c r="EC67" s="18">
        <v>0.0</v>
      </c>
      <c r="ED67" s="18">
        <v>0.0</v>
      </c>
      <c r="EE67" s="18">
        <v>0.0</v>
      </c>
      <c r="EF67" s="18">
        <v>0.0</v>
      </c>
      <c r="EG67" s="18">
        <v>0.0</v>
      </c>
      <c r="EH67" s="18">
        <v>0.0</v>
      </c>
      <c r="EI67" s="18">
        <v>0.0</v>
      </c>
      <c r="EJ67" s="18">
        <v>0.0</v>
      </c>
      <c r="EK67" s="18">
        <v>0.0</v>
      </c>
      <c r="EL67" s="18">
        <v>0.0</v>
      </c>
      <c r="EM67" s="18">
        <v>0.0</v>
      </c>
      <c r="EN67" s="18">
        <v>0.0</v>
      </c>
      <c r="EO67" s="18">
        <v>0.0</v>
      </c>
      <c r="EP67" s="18">
        <v>0.0</v>
      </c>
      <c r="EQ67" s="18">
        <v>0.0</v>
      </c>
      <c r="ER67" s="18">
        <v>1.0</v>
      </c>
      <c r="ES67" s="18">
        <v>0.0</v>
      </c>
      <c r="ET67" s="18">
        <v>0.0</v>
      </c>
      <c r="EU67" s="18">
        <v>0.0</v>
      </c>
      <c r="EV67" s="18">
        <v>0.0</v>
      </c>
      <c r="EW67" s="18">
        <v>0.0</v>
      </c>
      <c r="EX67" s="18">
        <v>0.0</v>
      </c>
      <c r="EY67" s="18">
        <v>0.0</v>
      </c>
      <c r="EZ67" s="18">
        <v>0.0</v>
      </c>
      <c r="FA67" s="18">
        <v>0.0</v>
      </c>
      <c r="FB67" s="18">
        <v>0.0</v>
      </c>
      <c r="FC67" s="18">
        <v>0.0</v>
      </c>
      <c r="FD67" s="19">
        <f t="shared" si="1"/>
        <v>3</v>
      </c>
    </row>
    <row r="68" ht="19.5" customHeight="1">
      <c r="A68" s="17" t="s">
        <v>206</v>
      </c>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v>0.0</v>
      </c>
      <c r="AH68" s="18">
        <v>0.0</v>
      </c>
      <c r="AI68" s="18">
        <v>0.0</v>
      </c>
      <c r="AJ68" s="18">
        <v>0.0</v>
      </c>
      <c r="AK68" s="18">
        <v>0.0</v>
      </c>
      <c r="AL68" s="18">
        <v>0.0</v>
      </c>
      <c r="AM68" s="18">
        <v>0.0</v>
      </c>
      <c r="AN68" s="18">
        <v>0.0</v>
      </c>
      <c r="AO68" s="18">
        <v>0.0</v>
      </c>
      <c r="AP68" s="18">
        <v>0.0</v>
      </c>
      <c r="AQ68" s="18">
        <v>0.0</v>
      </c>
      <c r="AR68" s="18">
        <v>1.0</v>
      </c>
      <c r="AS68" s="18">
        <v>0.0</v>
      </c>
      <c r="AT68" s="18">
        <v>0.0</v>
      </c>
      <c r="AU68" s="18">
        <v>0.0</v>
      </c>
      <c r="AV68" s="18">
        <v>0.0</v>
      </c>
      <c r="AW68" s="18">
        <v>0.0</v>
      </c>
      <c r="AX68" s="18">
        <v>0.0</v>
      </c>
      <c r="AY68" s="18">
        <v>0.0</v>
      </c>
      <c r="AZ68" s="18">
        <v>0.0</v>
      </c>
      <c r="BA68" s="18">
        <v>0.0</v>
      </c>
      <c r="BB68" s="18">
        <v>0.0</v>
      </c>
      <c r="BC68" s="18">
        <v>0.0</v>
      </c>
      <c r="BD68" s="18">
        <v>0.0</v>
      </c>
      <c r="BE68" s="18">
        <v>0.0</v>
      </c>
      <c r="BF68" s="18">
        <v>0.0</v>
      </c>
      <c r="BG68" s="18">
        <v>0.0</v>
      </c>
      <c r="BH68" s="18">
        <v>0.0</v>
      </c>
      <c r="BI68" s="18">
        <v>0.0</v>
      </c>
      <c r="BJ68" s="18">
        <v>0.0</v>
      </c>
      <c r="BK68" s="18">
        <v>0.0</v>
      </c>
      <c r="BL68" s="18">
        <v>0.0</v>
      </c>
      <c r="BM68" s="18">
        <v>0.0</v>
      </c>
      <c r="BN68" s="18">
        <v>1.0</v>
      </c>
      <c r="BO68" s="18">
        <v>0.0</v>
      </c>
      <c r="BP68" s="18">
        <v>0.0</v>
      </c>
      <c r="BQ68" s="18">
        <v>0.0</v>
      </c>
      <c r="BR68" s="18">
        <v>0.0</v>
      </c>
      <c r="BS68" s="18">
        <v>0.0</v>
      </c>
      <c r="BT68" s="18">
        <v>0.0</v>
      </c>
      <c r="BU68" s="18">
        <v>0.0</v>
      </c>
      <c r="BV68" s="18">
        <v>0.0</v>
      </c>
      <c r="BW68" s="18">
        <v>0.0</v>
      </c>
      <c r="BX68" s="18">
        <v>0.0</v>
      </c>
      <c r="BY68" s="18">
        <v>0.0</v>
      </c>
      <c r="BZ68" s="18">
        <v>0.0</v>
      </c>
      <c r="CA68" s="18">
        <v>0.0</v>
      </c>
      <c r="CB68" s="18">
        <v>0.0</v>
      </c>
      <c r="CC68" s="18">
        <v>0.0</v>
      </c>
      <c r="CD68" s="18">
        <v>0.0</v>
      </c>
      <c r="CE68" s="18">
        <v>0.0</v>
      </c>
      <c r="CF68" s="18">
        <v>0.0</v>
      </c>
      <c r="CG68" s="18">
        <v>0.0</v>
      </c>
      <c r="CH68" s="18">
        <v>0.0</v>
      </c>
      <c r="CI68" s="18">
        <v>0.0</v>
      </c>
      <c r="CJ68" s="18">
        <v>0.0</v>
      </c>
      <c r="CK68" s="18">
        <v>0.0</v>
      </c>
      <c r="CL68" s="18">
        <v>0.0</v>
      </c>
      <c r="CM68" s="18">
        <v>0.0</v>
      </c>
      <c r="CN68" s="18">
        <v>0.0</v>
      </c>
      <c r="CO68" s="18">
        <v>0.0</v>
      </c>
      <c r="CP68" s="18">
        <v>0.0</v>
      </c>
      <c r="CQ68" s="18">
        <v>0.0</v>
      </c>
      <c r="CR68" s="18">
        <v>0.0</v>
      </c>
      <c r="CS68" s="18">
        <v>0.0</v>
      </c>
      <c r="CT68" s="18">
        <v>0.0</v>
      </c>
      <c r="CU68" s="18">
        <v>0.0</v>
      </c>
      <c r="CV68" s="18">
        <v>0.0</v>
      </c>
      <c r="CW68" s="18">
        <v>0.0</v>
      </c>
      <c r="CX68" s="18">
        <v>0.0</v>
      </c>
      <c r="CY68" s="18">
        <v>0.0</v>
      </c>
      <c r="CZ68" s="18">
        <v>0.0</v>
      </c>
      <c r="DA68" s="18">
        <v>0.0</v>
      </c>
      <c r="DB68" s="18">
        <v>0.0</v>
      </c>
      <c r="DC68" s="18">
        <v>0.0</v>
      </c>
      <c r="DD68" s="18">
        <v>0.0</v>
      </c>
      <c r="DE68" s="18">
        <v>0.0</v>
      </c>
      <c r="DF68" s="18">
        <v>0.0</v>
      </c>
      <c r="DG68" s="18">
        <v>0.0</v>
      </c>
      <c r="DH68" s="18">
        <v>0.0</v>
      </c>
      <c r="DI68" s="18">
        <v>0.0</v>
      </c>
      <c r="DJ68" s="18">
        <v>0.0</v>
      </c>
      <c r="DK68" s="18">
        <v>0.0</v>
      </c>
      <c r="DL68" s="18">
        <v>0.0</v>
      </c>
      <c r="DM68" s="18">
        <v>0.0</v>
      </c>
      <c r="DN68" s="18">
        <v>0.0</v>
      </c>
      <c r="DO68" s="18">
        <v>0.0</v>
      </c>
      <c r="DP68" s="18">
        <v>0.0</v>
      </c>
      <c r="DQ68" s="18">
        <v>0.0</v>
      </c>
      <c r="DR68" s="18">
        <v>0.0</v>
      </c>
      <c r="DS68" s="18">
        <v>0.0</v>
      </c>
      <c r="DT68" s="18">
        <v>0.0</v>
      </c>
      <c r="DU68" s="18">
        <v>0.0</v>
      </c>
      <c r="DV68" s="18">
        <v>0.0</v>
      </c>
      <c r="DW68" s="18">
        <v>0.0</v>
      </c>
      <c r="DX68" s="18">
        <v>0.0</v>
      </c>
      <c r="DY68" s="18">
        <v>0.0</v>
      </c>
      <c r="DZ68" s="18">
        <v>0.0</v>
      </c>
      <c r="EA68" s="18">
        <v>0.0</v>
      </c>
      <c r="EB68" s="18">
        <v>0.0</v>
      </c>
      <c r="EC68" s="18">
        <v>0.0</v>
      </c>
      <c r="ED68" s="18">
        <v>0.0</v>
      </c>
      <c r="EE68" s="18">
        <v>0.0</v>
      </c>
      <c r="EF68" s="18">
        <v>0.0</v>
      </c>
      <c r="EG68" s="18">
        <v>0.0</v>
      </c>
      <c r="EH68" s="18">
        <v>0.0</v>
      </c>
      <c r="EI68" s="18">
        <v>0.0</v>
      </c>
      <c r="EJ68" s="18">
        <v>0.0</v>
      </c>
      <c r="EK68" s="18">
        <v>1.0</v>
      </c>
      <c r="EL68" s="18">
        <v>0.0</v>
      </c>
      <c r="EM68" s="18">
        <v>0.0</v>
      </c>
      <c r="EN68" s="18">
        <v>0.0</v>
      </c>
      <c r="EO68" s="18">
        <v>0.0</v>
      </c>
      <c r="EP68" s="18">
        <v>0.0</v>
      </c>
      <c r="EQ68" s="18">
        <v>0.0</v>
      </c>
      <c r="ER68" s="18">
        <v>0.0</v>
      </c>
      <c r="ES68" s="18">
        <v>0.0</v>
      </c>
      <c r="ET68" s="18">
        <v>0.0</v>
      </c>
      <c r="EU68" s="18">
        <v>0.0</v>
      </c>
      <c r="EV68" s="18">
        <v>0.0</v>
      </c>
      <c r="EW68" s="18">
        <v>0.0</v>
      </c>
      <c r="EX68" s="18">
        <v>0.0</v>
      </c>
      <c r="EY68" s="18">
        <v>0.0</v>
      </c>
      <c r="EZ68" s="18">
        <v>0.0</v>
      </c>
      <c r="FA68" s="18">
        <v>0.0</v>
      </c>
      <c r="FB68" s="18">
        <v>0.0</v>
      </c>
      <c r="FC68" s="18">
        <v>0.0</v>
      </c>
      <c r="FD68" s="19">
        <f t="shared" si="1"/>
        <v>3</v>
      </c>
    </row>
    <row r="69" ht="19.5" customHeight="1">
      <c r="A69" s="17" t="s">
        <v>207</v>
      </c>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v>0.0</v>
      </c>
      <c r="CI69" s="18">
        <v>0.0</v>
      </c>
      <c r="CJ69" s="18">
        <v>0.0</v>
      </c>
      <c r="CK69" s="18">
        <v>0.0</v>
      </c>
      <c r="CL69" s="18">
        <v>0.0</v>
      </c>
      <c r="CM69" s="18">
        <v>0.0</v>
      </c>
      <c r="CN69" s="18">
        <v>0.0</v>
      </c>
      <c r="CO69" s="18">
        <v>0.0</v>
      </c>
      <c r="CP69" s="18">
        <v>0.0</v>
      </c>
      <c r="CQ69" s="18">
        <v>0.0</v>
      </c>
      <c r="CR69" s="18">
        <v>0.0</v>
      </c>
      <c r="CS69" s="18">
        <v>0.0</v>
      </c>
      <c r="CT69" s="18">
        <v>0.0</v>
      </c>
      <c r="CU69" s="18">
        <v>1.0</v>
      </c>
      <c r="CV69" s="18">
        <v>2.0</v>
      </c>
      <c r="CW69" s="18">
        <v>3.0</v>
      </c>
      <c r="CX69" s="18">
        <v>3.0</v>
      </c>
      <c r="CY69" s="18">
        <v>0.0</v>
      </c>
      <c r="CZ69" s="18">
        <v>0.0</v>
      </c>
      <c r="DA69" s="18">
        <v>0.0</v>
      </c>
      <c r="DB69" s="18">
        <v>0.0</v>
      </c>
      <c r="DC69" s="18">
        <v>0.0</v>
      </c>
      <c r="DD69" s="18">
        <v>0.0</v>
      </c>
      <c r="DE69" s="18">
        <v>0.0</v>
      </c>
      <c r="DF69" s="18">
        <v>0.0</v>
      </c>
      <c r="DG69" s="18">
        <v>0.0</v>
      </c>
      <c r="DH69" s="18">
        <v>0.0</v>
      </c>
      <c r="DI69" s="18">
        <v>0.0</v>
      </c>
      <c r="DJ69" s="18">
        <v>0.0</v>
      </c>
      <c r="DK69" s="18">
        <v>0.0</v>
      </c>
      <c r="DL69" s="18">
        <v>0.0</v>
      </c>
      <c r="DM69" s="18">
        <v>0.0</v>
      </c>
      <c r="DN69" s="18">
        <v>0.0</v>
      </c>
      <c r="DO69" s="18">
        <v>0.0</v>
      </c>
      <c r="DP69" s="18">
        <v>0.0</v>
      </c>
      <c r="DQ69" s="18">
        <v>0.0</v>
      </c>
      <c r="DR69" s="18">
        <v>0.0</v>
      </c>
      <c r="DS69" s="18">
        <v>0.0</v>
      </c>
      <c r="DT69" s="18">
        <v>0.0</v>
      </c>
      <c r="DU69" s="18">
        <v>0.0</v>
      </c>
      <c r="DV69" s="18">
        <v>0.0</v>
      </c>
      <c r="DW69" s="18">
        <v>0.0</v>
      </c>
      <c r="DX69" s="18">
        <v>0.0</v>
      </c>
      <c r="DY69" s="18">
        <v>0.0</v>
      </c>
      <c r="DZ69" s="18">
        <v>0.0</v>
      </c>
      <c r="EA69" s="18">
        <v>0.0</v>
      </c>
      <c r="EB69" s="18">
        <v>0.0</v>
      </c>
      <c r="EC69" s="18">
        <v>0.0</v>
      </c>
      <c r="ED69" s="18">
        <v>0.0</v>
      </c>
      <c r="EE69" s="18">
        <v>0.0</v>
      </c>
      <c r="EF69" s="18">
        <v>0.0</v>
      </c>
      <c r="EG69" s="18">
        <v>0.0</v>
      </c>
      <c r="EH69" s="18">
        <v>0.0</v>
      </c>
      <c r="EI69" s="18">
        <v>0.0</v>
      </c>
      <c r="EJ69" s="18">
        <v>0.0</v>
      </c>
      <c r="EK69" s="18">
        <v>0.0</v>
      </c>
      <c r="EL69" s="18">
        <v>0.0</v>
      </c>
      <c r="EM69" s="18">
        <v>0.0</v>
      </c>
      <c r="EN69" s="18">
        <v>0.0</v>
      </c>
      <c r="EO69" s="18">
        <v>0.0</v>
      </c>
      <c r="EP69" s="18">
        <v>0.0</v>
      </c>
      <c r="EQ69" s="18">
        <v>0.0</v>
      </c>
      <c r="ER69" s="18">
        <v>0.0</v>
      </c>
      <c r="ES69" s="18">
        <v>0.0</v>
      </c>
      <c r="ET69" s="18">
        <v>0.0</v>
      </c>
      <c r="EU69" s="18">
        <v>0.0</v>
      </c>
      <c r="EV69" s="18">
        <v>0.0</v>
      </c>
      <c r="EW69" s="18">
        <v>0.0</v>
      </c>
      <c r="EX69" s="18">
        <v>0.0</v>
      </c>
      <c r="EY69" s="18">
        <v>0.0</v>
      </c>
      <c r="EZ69" s="18">
        <v>0.0</v>
      </c>
      <c r="FA69" s="18">
        <v>0.0</v>
      </c>
      <c r="FB69" s="18">
        <v>0.0</v>
      </c>
      <c r="FC69" s="18">
        <v>0.0</v>
      </c>
      <c r="FD69" s="19">
        <f t="shared" si="1"/>
        <v>9</v>
      </c>
    </row>
    <row r="70" ht="19.5" customHeight="1">
      <c r="A70" s="17" t="s">
        <v>208</v>
      </c>
      <c r="B70" s="18"/>
      <c r="C70" s="18"/>
      <c r="D70" s="18"/>
      <c r="E70" s="18"/>
      <c r="F70" s="18"/>
      <c r="G70" s="18"/>
      <c r="H70" s="18"/>
      <c r="I70" s="18"/>
      <c r="J70" s="18"/>
      <c r="K70" s="18"/>
      <c r="L70" s="18"/>
      <c r="M70" s="18"/>
      <c r="N70" s="18"/>
      <c r="O70" s="18"/>
      <c r="P70" s="18"/>
      <c r="Q70" s="18"/>
      <c r="R70" s="18"/>
      <c r="S70" s="18"/>
      <c r="T70" s="18"/>
      <c r="U70" s="18">
        <v>0.0</v>
      </c>
      <c r="V70" s="18">
        <v>0.0</v>
      </c>
      <c r="W70" s="18">
        <v>0.0</v>
      </c>
      <c r="X70" s="18">
        <v>0.0</v>
      </c>
      <c r="Y70" s="18">
        <v>0.0</v>
      </c>
      <c r="Z70" s="18">
        <v>0.0</v>
      </c>
      <c r="AA70" s="18">
        <v>0.0</v>
      </c>
      <c r="AB70" s="18">
        <v>0.0</v>
      </c>
      <c r="AC70" s="18">
        <v>0.0</v>
      </c>
      <c r="AD70" s="18">
        <v>0.0</v>
      </c>
      <c r="AE70" s="18">
        <v>0.0</v>
      </c>
      <c r="AF70" s="18">
        <v>0.0</v>
      </c>
      <c r="AG70" s="18">
        <v>0.0</v>
      </c>
      <c r="AH70" s="18">
        <v>0.0</v>
      </c>
      <c r="AI70" s="18">
        <v>0.0</v>
      </c>
      <c r="AJ70" s="18">
        <v>1.0</v>
      </c>
      <c r="AK70" s="18">
        <v>0.0</v>
      </c>
      <c r="AL70" s="18">
        <v>0.0</v>
      </c>
      <c r="AM70" s="18">
        <v>0.0</v>
      </c>
      <c r="AN70" s="18">
        <v>0.0</v>
      </c>
      <c r="AO70" s="18">
        <v>0.0</v>
      </c>
      <c r="AP70" s="18">
        <v>0.0</v>
      </c>
      <c r="AQ70" s="18">
        <v>0.0</v>
      </c>
      <c r="AR70" s="18">
        <v>0.0</v>
      </c>
      <c r="AS70" s="18">
        <v>0.0</v>
      </c>
      <c r="AT70" s="18">
        <v>0.0</v>
      </c>
      <c r="AU70" s="18">
        <v>0.0</v>
      </c>
      <c r="AV70" s="18">
        <v>0.0</v>
      </c>
      <c r="AW70" s="18">
        <v>0.0</v>
      </c>
      <c r="AX70" s="18">
        <v>0.0</v>
      </c>
      <c r="AY70" s="18">
        <v>0.0</v>
      </c>
      <c r="AZ70" s="18">
        <v>1.0</v>
      </c>
      <c r="BA70" s="18">
        <v>0.0</v>
      </c>
      <c r="BB70" s="18">
        <v>0.0</v>
      </c>
      <c r="BC70" s="18">
        <v>0.0</v>
      </c>
      <c r="BD70" s="18">
        <v>0.0</v>
      </c>
      <c r="BE70" s="18">
        <v>0.0</v>
      </c>
      <c r="BF70" s="18">
        <v>0.0</v>
      </c>
      <c r="BG70" s="18">
        <v>0.0</v>
      </c>
      <c r="BH70" s="18">
        <v>0.0</v>
      </c>
      <c r="BI70" s="18">
        <v>1.0</v>
      </c>
      <c r="BJ70" s="18">
        <v>0.0</v>
      </c>
      <c r="BK70" s="18">
        <v>0.0</v>
      </c>
      <c r="BL70" s="18">
        <v>0.0</v>
      </c>
      <c r="BM70" s="18">
        <v>0.0</v>
      </c>
      <c r="BN70" s="18">
        <v>0.0</v>
      </c>
      <c r="BO70" s="18">
        <v>0.0</v>
      </c>
      <c r="BP70" s="18">
        <v>0.0</v>
      </c>
      <c r="BQ70" s="18">
        <v>0.0</v>
      </c>
      <c r="BR70" s="18">
        <v>0.0</v>
      </c>
      <c r="BS70" s="18">
        <v>0.0</v>
      </c>
      <c r="BT70" s="18">
        <v>0.0</v>
      </c>
      <c r="BU70" s="18">
        <v>0.0</v>
      </c>
      <c r="BV70" s="18">
        <v>0.0</v>
      </c>
      <c r="BW70" s="18">
        <v>0.0</v>
      </c>
      <c r="BX70" s="18">
        <v>0.0</v>
      </c>
      <c r="BY70" s="18">
        <v>0.0</v>
      </c>
      <c r="BZ70" s="18">
        <v>0.0</v>
      </c>
      <c r="CA70" s="18">
        <v>0.0</v>
      </c>
      <c r="CB70" s="18">
        <v>0.0</v>
      </c>
      <c r="CC70" s="18">
        <v>0.0</v>
      </c>
      <c r="CD70" s="18">
        <v>0.0</v>
      </c>
      <c r="CE70" s="18">
        <v>0.0</v>
      </c>
      <c r="CF70" s="18">
        <v>0.0</v>
      </c>
      <c r="CG70" s="18">
        <v>0.0</v>
      </c>
      <c r="CH70" s="18">
        <v>0.0</v>
      </c>
      <c r="CI70" s="18">
        <v>0.0</v>
      </c>
      <c r="CJ70" s="18">
        <v>0.0</v>
      </c>
      <c r="CK70" s="18">
        <v>0.0</v>
      </c>
      <c r="CL70" s="18">
        <v>0.0</v>
      </c>
      <c r="CM70" s="18">
        <v>0.0</v>
      </c>
      <c r="CN70" s="18">
        <v>0.0</v>
      </c>
      <c r="CO70" s="18">
        <v>0.0</v>
      </c>
      <c r="CP70" s="18">
        <v>0.0</v>
      </c>
      <c r="CQ70" s="18">
        <v>0.0</v>
      </c>
      <c r="CR70" s="18">
        <v>0.0</v>
      </c>
      <c r="CS70" s="18">
        <v>0.0</v>
      </c>
      <c r="CT70" s="18">
        <v>0.0</v>
      </c>
      <c r="CU70" s="18">
        <v>0.0</v>
      </c>
      <c r="CV70" s="18">
        <v>0.0</v>
      </c>
      <c r="CW70" s="18">
        <v>0.0</v>
      </c>
      <c r="CX70" s="18">
        <v>0.0</v>
      </c>
      <c r="CY70" s="18">
        <v>0.0</v>
      </c>
      <c r="CZ70" s="18">
        <v>0.0</v>
      </c>
      <c r="DA70" s="18">
        <v>0.0</v>
      </c>
      <c r="DB70" s="18">
        <v>0.0</v>
      </c>
      <c r="DC70" s="18">
        <v>0.0</v>
      </c>
      <c r="DD70" s="18">
        <v>0.0</v>
      </c>
      <c r="DE70" s="18">
        <v>0.0</v>
      </c>
      <c r="DF70" s="18">
        <v>0.0</v>
      </c>
      <c r="DG70" s="18">
        <v>0.0</v>
      </c>
      <c r="DH70" s="18">
        <v>0.0</v>
      </c>
      <c r="DI70" s="18">
        <v>0.0</v>
      </c>
      <c r="DJ70" s="18">
        <v>0.0</v>
      </c>
      <c r="DK70" s="18">
        <v>0.0</v>
      </c>
      <c r="DL70" s="18">
        <v>0.0</v>
      </c>
      <c r="DM70" s="18">
        <v>0.0</v>
      </c>
      <c r="DN70" s="18">
        <v>0.0</v>
      </c>
      <c r="DO70" s="18">
        <v>0.0</v>
      </c>
      <c r="DP70" s="18">
        <v>0.0</v>
      </c>
      <c r="DQ70" s="18">
        <v>0.0</v>
      </c>
      <c r="DR70" s="18">
        <v>0.0</v>
      </c>
      <c r="DS70" s="18">
        <v>0.0</v>
      </c>
      <c r="DT70" s="18">
        <v>0.0</v>
      </c>
      <c r="DU70" s="18">
        <v>0.0</v>
      </c>
      <c r="DV70" s="18">
        <v>0.0</v>
      </c>
      <c r="DW70" s="18">
        <v>0.0</v>
      </c>
      <c r="DX70" s="18">
        <v>0.0</v>
      </c>
      <c r="DY70" s="18">
        <v>0.0</v>
      </c>
      <c r="DZ70" s="18">
        <v>0.0</v>
      </c>
      <c r="EA70" s="18">
        <v>0.0</v>
      </c>
      <c r="EB70" s="18">
        <v>0.0</v>
      </c>
      <c r="EC70" s="18">
        <v>0.0</v>
      </c>
      <c r="ED70" s="18">
        <v>0.0</v>
      </c>
      <c r="EE70" s="18">
        <v>0.0</v>
      </c>
      <c r="EF70" s="18">
        <v>0.0</v>
      </c>
      <c r="EG70" s="18">
        <v>0.0</v>
      </c>
      <c r="EH70" s="18">
        <v>0.0</v>
      </c>
      <c r="EI70" s="18">
        <v>0.0</v>
      </c>
      <c r="EJ70" s="18">
        <v>0.0</v>
      </c>
      <c r="EK70" s="18">
        <v>0.0</v>
      </c>
      <c r="EL70" s="18">
        <v>0.0</v>
      </c>
      <c r="EM70" s="18">
        <v>0.0</v>
      </c>
      <c r="EN70" s="18">
        <v>0.0</v>
      </c>
      <c r="EO70" s="18">
        <v>0.0</v>
      </c>
      <c r="EP70" s="18">
        <v>0.0</v>
      </c>
      <c r="EQ70" s="18">
        <v>0.0</v>
      </c>
      <c r="ER70" s="18">
        <v>0.0</v>
      </c>
      <c r="ES70" s="18">
        <v>0.0</v>
      </c>
      <c r="ET70" s="18">
        <v>0.0</v>
      </c>
      <c r="EU70" s="18">
        <v>0.0</v>
      </c>
      <c r="EV70" s="18">
        <v>0.0</v>
      </c>
      <c r="EW70" s="18">
        <v>0.0</v>
      </c>
      <c r="EX70" s="18">
        <v>0.0</v>
      </c>
      <c r="EY70" s="18">
        <v>0.0</v>
      </c>
      <c r="EZ70" s="18">
        <v>0.0</v>
      </c>
      <c r="FA70" s="18">
        <v>0.0</v>
      </c>
      <c r="FB70" s="18">
        <v>0.0</v>
      </c>
      <c r="FC70" s="18">
        <v>0.0</v>
      </c>
      <c r="FD70" s="19">
        <f t="shared" si="1"/>
        <v>3</v>
      </c>
    </row>
    <row r="71" ht="19.5" customHeight="1">
      <c r="A71" s="17" t="s">
        <v>209</v>
      </c>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v>0.0</v>
      </c>
      <c r="AX71" s="18">
        <v>0.0</v>
      </c>
      <c r="AY71" s="18">
        <v>0.0</v>
      </c>
      <c r="AZ71" s="18">
        <v>0.0</v>
      </c>
      <c r="BA71" s="18">
        <v>0.0</v>
      </c>
      <c r="BB71" s="18">
        <v>0.0</v>
      </c>
      <c r="BC71" s="18">
        <v>0.0</v>
      </c>
      <c r="BD71" s="18">
        <v>0.0</v>
      </c>
      <c r="BE71" s="18">
        <v>0.0</v>
      </c>
      <c r="BF71" s="18">
        <v>0.0</v>
      </c>
      <c r="BG71" s="18">
        <v>0.0</v>
      </c>
      <c r="BH71" s="18">
        <v>0.0</v>
      </c>
      <c r="BI71" s="18">
        <v>0.0</v>
      </c>
      <c r="BJ71" s="18">
        <v>0.0</v>
      </c>
      <c r="BK71" s="18">
        <v>0.0</v>
      </c>
      <c r="BL71" s="18">
        <v>1.0</v>
      </c>
      <c r="BM71" s="18">
        <v>0.0</v>
      </c>
      <c r="BN71" s="18">
        <v>0.0</v>
      </c>
      <c r="BO71" s="18">
        <v>0.0</v>
      </c>
      <c r="BP71" s="18">
        <v>0.0</v>
      </c>
      <c r="BQ71" s="18">
        <v>0.0</v>
      </c>
      <c r="BR71" s="18">
        <v>0.0</v>
      </c>
      <c r="BS71" s="18">
        <v>0.0</v>
      </c>
      <c r="BT71" s="18">
        <v>0.0</v>
      </c>
      <c r="BU71" s="18">
        <v>0.0</v>
      </c>
      <c r="BV71" s="18">
        <v>0.0</v>
      </c>
      <c r="BW71" s="18">
        <v>0.0</v>
      </c>
      <c r="BX71" s="18">
        <v>0.0</v>
      </c>
      <c r="BY71" s="18">
        <v>0.0</v>
      </c>
      <c r="BZ71" s="18">
        <v>0.0</v>
      </c>
      <c r="CA71" s="18">
        <v>0.0</v>
      </c>
      <c r="CB71" s="18">
        <v>0.0</v>
      </c>
      <c r="CC71" s="18">
        <v>0.0</v>
      </c>
      <c r="CD71" s="18">
        <v>0.0</v>
      </c>
      <c r="CE71" s="18">
        <v>0.0</v>
      </c>
      <c r="CF71" s="18">
        <v>0.0</v>
      </c>
      <c r="CG71" s="18">
        <v>0.0</v>
      </c>
      <c r="CH71" s="18">
        <v>0.0</v>
      </c>
      <c r="CI71" s="18">
        <v>0.0</v>
      </c>
      <c r="CJ71" s="18">
        <v>0.0</v>
      </c>
      <c r="CK71" s="18">
        <v>0.0</v>
      </c>
      <c r="CL71" s="18">
        <v>0.0</v>
      </c>
      <c r="CM71" s="18">
        <v>0.0</v>
      </c>
      <c r="CN71" s="18">
        <v>0.0</v>
      </c>
      <c r="CO71" s="18">
        <v>0.0</v>
      </c>
      <c r="CP71" s="18">
        <v>0.0</v>
      </c>
      <c r="CQ71" s="18">
        <v>0.0</v>
      </c>
      <c r="CR71" s="18">
        <v>0.0</v>
      </c>
      <c r="CS71" s="18">
        <v>0.0</v>
      </c>
      <c r="CT71" s="18">
        <v>0.0</v>
      </c>
      <c r="CU71" s="18">
        <v>0.0</v>
      </c>
      <c r="CV71" s="18">
        <v>0.0</v>
      </c>
      <c r="CW71" s="18">
        <v>0.0</v>
      </c>
      <c r="CX71" s="18">
        <v>0.0</v>
      </c>
      <c r="CY71" s="18">
        <v>0.0</v>
      </c>
      <c r="CZ71" s="18">
        <v>0.0</v>
      </c>
      <c r="DA71" s="18">
        <v>0.0</v>
      </c>
      <c r="DB71" s="18">
        <v>0.0</v>
      </c>
      <c r="DC71" s="18">
        <v>0.0</v>
      </c>
      <c r="DD71" s="18">
        <v>0.0</v>
      </c>
      <c r="DE71" s="18">
        <v>0.0</v>
      </c>
      <c r="DF71" s="18">
        <v>0.0</v>
      </c>
      <c r="DG71" s="18">
        <v>0.0</v>
      </c>
      <c r="DH71" s="18">
        <v>0.0</v>
      </c>
      <c r="DI71" s="18">
        <v>0.0</v>
      </c>
      <c r="DJ71" s="18">
        <v>0.0</v>
      </c>
      <c r="DK71" s="18">
        <v>0.0</v>
      </c>
      <c r="DL71" s="18">
        <v>0.0</v>
      </c>
      <c r="DM71" s="18">
        <v>0.0</v>
      </c>
      <c r="DN71" s="18">
        <v>0.0</v>
      </c>
      <c r="DO71" s="18">
        <v>0.0</v>
      </c>
      <c r="DP71" s="18">
        <v>0.0</v>
      </c>
      <c r="DQ71" s="18">
        <v>0.0</v>
      </c>
      <c r="DR71" s="18">
        <v>0.0</v>
      </c>
      <c r="DS71" s="18">
        <v>0.0</v>
      </c>
      <c r="DT71" s="18">
        <v>0.0</v>
      </c>
      <c r="DU71" s="18">
        <v>0.0</v>
      </c>
      <c r="DV71" s="18">
        <v>0.0</v>
      </c>
      <c r="DW71" s="18">
        <v>0.0</v>
      </c>
      <c r="DX71" s="18">
        <v>0.0</v>
      </c>
      <c r="DY71" s="18">
        <v>0.0</v>
      </c>
      <c r="DZ71" s="18">
        <v>0.0</v>
      </c>
      <c r="EA71" s="18">
        <v>0.0</v>
      </c>
      <c r="EB71" s="18">
        <v>0.0</v>
      </c>
      <c r="EC71" s="18">
        <v>0.0</v>
      </c>
      <c r="ED71" s="18">
        <v>0.0</v>
      </c>
      <c r="EE71" s="18">
        <v>0.0</v>
      </c>
      <c r="EF71" s="18">
        <v>0.0</v>
      </c>
      <c r="EG71" s="18">
        <v>0.0</v>
      </c>
      <c r="EH71" s="18">
        <v>0.0</v>
      </c>
      <c r="EI71" s="18">
        <v>0.0</v>
      </c>
      <c r="EJ71" s="18">
        <v>0.0</v>
      </c>
      <c r="EK71" s="18">
        <v>0.0</v>
      </c>
      <c r="EL71" s="18">
        <v>0.0</v>
      </c>
      <c r="EM71" s="18">
        <v>0.0</v>
      </c>
      <c r="EN71" s="18">
        <v>0.0</v>
      </c>
      <c r="EO71" s="18">
        <v>0.0</v>
      </c>
      <c r="EP71" s="18">
        <v>0.0</v>
      </c>
      <c r="EQ71" s="18">
        <v>0.0</v>
      </c>
      <c r="ER71" s="18">
        <v>0.0</v>
      </c>
      <c r="ES71" s="18">
        <v>0.0</v>
      </c>
      <c r="ET71" s="18">
        <v>0.0</v>
      </c>
      <c r="EU71" s="18">
        <v>0.0</v>
      </c>
      <c r="EV71" s="18">
        <v>0.0</v>
      </c>
      <c r="EW71" s="18">
        <v>0.0</v>
      </c>
      <c r="EX71" s="18">
        <v>0.0</v>
      </c>
      <c r="EY71" s="18">
        <v>0.0</v>
      </c>
      <c r="EZ71" s="18">
        <v>0.0</v>
      </c>
      <c r="FA71" s="18">
        <v>0.0</v>
      </c>
      <c r="FB71" s="18">
        <v>0.0</v>
      </c>
      <c r="FC71" s="18">
        <v>0.0</v>
      </c>
      <c r="FD71" s="19">
        <f t="shared" si="1"/>
        <v>1</v>
      </c>
    </row>
    <row r="72" ht="21.0" customHeight="1">
      <c r="A72" s="22" t="s">
        <v>210</v>
      </c>
      <c r="B72" s="23">
        <f>SUM(B30:B62)</f>
        <v>14</v>
      </c>
      <c r="C72" s="23">
        <f>SUM(C30:C66)</f>
        <v>16</v>
      </c>
      <c r="D72" s="23">
        <f t="shared" ref="D72:E72" si="2">SUM(D30:D62)</f>
        <v>23</v>
      </c>
      <c r="E72" s="23">
        <f t="shared" si="2"/>
        <v>23</v>
      </c>
      <c r="F72" s="23">
        <f t="shared" ref="F72:G72" si="3">SUM(F30:F66)</f>
        <v>24</v>
      </c>
      <c r="G72" s="23">
        <f t="shared" si="3"/>
        <v>28</v>
      </c>
      <c r="H72" s="23">
        <f t="shared" ref="H72:J72" si="4">SUM(H30:H62)</f>
        <v>15</v>
      </c>
      <c r="I72" s="23">
        <f t="shared" si="4"/>
        <v>17</v>
      </c>
      <c r="J72" s="23">
        <f t="shared" si="4"/>
        <v>10</v>
      </c>
      <c r="K72" s="23">
        <f>SUM(K30:K64)</f>
        <v>14</v>
      </c>
      <c r="L72" s="23">
        <f t="shared" ref="L72:M72" si="5">SUM(L30:L66)</f>
        <v>21</v>
      </c>
      <c r="M72" s="23">
        <f t="shared" si="5"/>
        <v>19</v>
      </c>
      <c r="N72" s="23">
        <f>SUM(N30:N64)</f>
        <v>28</v>
      </c>
      <c r="O72" s="23">
        <f>SUM(O30:O66)</f>
        <v>19</v>
      </c>
      <c r="P72" s="23">
        <f>SUM(P30:P64)</f>
        <v>21</v>
      </c>
      <c r="Q72" s="23">
        <f t="shared" ref="Q72:T72" si="6">SUM(Q30:Q66)</f>
        <v>18</v>
      </c>
      <c r="R72" s="23">
        <f t="shared" si="6"/>
        <v>12</v>
      </c>
      <c r="S72" s="23">
        <f t="shared" si="6"/>
        <v>21</v>
      </c>
      <c r="T72" s="23">
        <f t="shared" si="6"/>
        <v>18</v>
      </c>
      <c r="U72" s="23">
        <f t="shared" ref="U72:AV72" si="7">SUM(U30:U70)</f>
        <v>16</v>
      </c>
      <c r="V72" s="23">
        <f t="shared" si="7"/>
        <v>11</v>
      </c>
      <c r="W72" s="23">
        <f t="shared" si="7"/>
        <v>9</v>
      </c>
      <c r="X72" s="23">
        <f t="shared" si="7"/>
        <v>17</v>
      </c>
      <c r="Y72" s="23">
        <f t="shared" si="7"/>
        <v>12</v>
      </c>
      <c r="Z72" s="23">
        <f t="shared" si="7"/>
        <v>10</v>
      </c>
      <c r="AA72" s="23">
        <f t="shared" si="7"/>
        <v>9</v>
      </c>
      <c r="AB72" s="23">
        <f t="shared" si="7"/>
        <v>19</v>
      </c>
      <c r="AC72" s="23">
        <f t="shared" si="7"/>
        <v>16</v>
      </c>
      <c r="AD72" s="23">
        <f t="shared" si="7"/>
        <v>11</v>
      </c>
      <c r="AE72" s="23">
        <f t="shared" si="7"/>
        <v>14</v>
      </c>
      <c r="AF72" s="23">
        <f t="shared" si="7"/>
        <v>4</v>
      </c>
      <c r="AG72" s="23">
        <f t="shared" si="7"/>
        <v>17</v>
      </c>
      <c r="AH72" s="23">
        <f t="shared" si="7"/>
        <v>12</v>
      </c>
      <c r="AI72" s="23">
        <f t="shared" si="7"/>
        <v>12</v>
      </c>
      <c r="AJ72" s="23">
        <f t="shared" si="7"/>
        <v>11</v>
      </c>
      <c r="AK72" s="23">
        <f t="shared" si="7"/>
        <v>12</v>
      </c>
      <c r="AL72" s="23">
        <f t="shared" si="7"/>
        <v>11</v>
      </c>
      <c r="AM72" s="23">
        <f t="shared" si="7"/>
        <v>8</v>
      </c>
      <c r="AN72" s="23">
        <f t="shared" si="7"/>
        <v>6</v>
      </c>
      <c r="AO72" s="23">
        <f t="shared" si="7"/>
        <v>8</v>
      </c>
      <c r="AP72" s="23">
        <f t="shared" si="7"/>
        <v>22</v>
      </c>
      <c r="AQ72" s="23">
        <f t="shared" si="7"/>
        <v>7</v>
      </c>
      <c r="AR72" s="23">
        <f t="shared" si="7"/>
        <v>16</v>
      </c>
      <c r="AS72" s="23">
        <f t="shared" si="7"/>
        <v>14</v>
      </c>
      <c r="AT72" s="23">
        <f t="shared" si="7"/>
        <v>21</v>
      </c>
      <c r="AU72" s="23">
        <f t="shared" si="7"/>
        <v>16</v>
      </c>
      <c r="AV72" s="23">
        <f t="shared" si="7"/>
        <v>18</v>
      </c>
      <c r="AW72" s="23">
        <f t="shared" ref="AW72:FD72" si="8">SUM(AW30:AW71)</f>
        <v>9</v>
      </c>
      <c r="AX72" s="23">
        <f t="shared" si="8"/>
        <v>11</v>
      </c>
      <c r="AY72" s="23">
        <f t="shared" si="8"/>
        <v>7</v>
      </c>
      <c r="AZ72" s="23">
        <f t="shared" si="8"/>
        <v>18</v>
      </c>
      <c r="BA72" s="23">
        <f t="shared" si="8"/>
        <v>8</v>
      </c>
      <c r="BB72" s="23">
        <f t="shared" si="8"/>
        <v>12</v>
      </c>
      <c r="BC72" s="23">
        <f t="shared" si="8"/>
        <v>10</v>
      </c>
      <c r="BD72" s="23">
        <f t="shared" si="8"/>
        <v>12</v>
      </c>
      <c r="BE72" s="23">
        <f t="shared" si="8"/>
        <v>10</v>
      </c>
      <c r="BF72" s="23">
        <f t="shared" si="8"/>
        <v>20</v>
      </c>
      <c r="BG72" s="23">
        <f t="shared" si="8"/>
        <v>11</v>
      </c>
      <c r="BH72" s="23">
        <f t="shared" si="8"/>
        <v>19</v>
      </c>
      <c r="BI72" s="23">
        <f t="shared" si="8"/>
        <v>13</v>
      </c>
      <c r="BJ72" s="23">
        <f t="shared" si="8"/>
        <v>4</v>
      </c>
      <c r="BK72" s="23">
        <f t="shared" si="8"/>
        <v>10</v>
      </c>
      <c r="BL72" s="23">
        <f t="shared" si="8"/>
        <v>14</v>
      </c>
      <c r="BM72" s="23">
        <f t="shared" si="8"/>
        <v>19</v>
      </c>
      <c r="BN72" s="23">
        <f t="shared" si="8"/>
        <v>13</v>
      </c>
      <c r="BO72" s="23">
        <f t="shared" si="8"/>
        <v>0</v>
      </c>
      <c r="BP72" s="23">
        <f t="shared" si="8"/>
        <v>12</v>
      </c>
      <c r="BQ72" s="23">
        <f t="shared" si="8"/>
        <v>7</v>
      </c>
      <c r="BR72" s="23">
        <f t="shared" si="8"/>
        <v>6</v>
      </c>
      <c r="BS72" s="23">
        <f t="shared" si="8"/>
        <v>11</v>
      </c>
      <c r="BT72" s="23">
        <f t="shared" si="8"/>
        <v>6</v>
      </c>
      <c r="BU72" s="23">
        <f t="shared" si="8"/>
        <v>6</v>
      </c>
      <c r="BV72" s="23">
        <f t="shared" si="8"/>
        <v>0</v>
      </c>
      <c r="BW72" s="23">
        <f t="shared" si="8"/>
        <v>5</v>
      </c>
      <c r="BX72" s="23">
        <f t="shared" si="8"/>
        <v>9</v>
      </c>
      <c r="BY72" s="23">
        <f t="shared" si="8"/>
        <v>8</v>
      </c>
      <c r="BZ72" s="23">
        <f t="shared" si="8"/>
        <v>14</v>
      </c>
      <c r="CA72" s="23">
        <f t="shared" si="8"/>
        <v>6</v>
      </c>
      <c r="CB72" s="23">
        <f t="shared" si="8"/>
        <v>8</v>
      </c>
      <c r="CC72" s="23">
        <f t="shared" si="8"/>
        <v>5</v>
      </c>
      <c r="CD72" s="23">
        <f t="shared" si="8"/>
        <v>6</v>
      </c>
      <c r="CE72" s="23">
        <f t="shared" si="8"/>
        <v>18</v>
      </c>
      <c r="CF72" s="23">
        <f t="shared" si="8"/>
        <v>8</v>
      </c>
      <c r="CG72" s="23">
        <f t="shared" si="8"/>
        <v>6</v>
      </c>
      <c r="CH72" s="23">
        <f t="shared" si="8"/>
        <v>7</v>
      </c>
      <c r="CI72" s="23">
        <f t="shared" si="8"/>
        <v>5</v>
      </c>
      <c r="CJ72" s="23">
        <f t="shared" si="8"/>
        <v>1</v>
      </c>
      <c r="CK72" s="23">
        <f t="shared" si="8"/>
        <v>0</v>
      </c>
      <c r="CL72" s="23">
        <f t="shared" si="8"/>
        <v>3</v>
      </c>
      <c r="CM72" s="23">
        <f t="shared" si="8"/>
        <v>2</v>
      </c>
      <c r="CN72" s="23">
        <f t="shared" si="8"/>
        <v>2</v>
      </c>
      <c r="CO72" s="23">
        <f t="shared" si="8"/>
        <v>2</v>
      </c>
      <c r="CP72" s="23">
        <f t="shared" si="8"/>
        <v>2</v>
      </c>
      <c r="CQ72" s="23">
        <f t="shared" si="8"/>
        <v>4</v>
      </c>
      <c r="CR72" s="23">
        <f t="shared" si="8"/>
        <v>0</v>
      </c>
      <c r="CS72" s="23">
        <f t="shared" si="8"/>
        <v>2</v>
      </c>
      <c r="CT72" s="23">
        <f t="shared" si="8"/>
        <v>3</v>
      </c>
      <c r="CU72" s="23">
        <f t="shared" si="8"/>
        <v>1</v>
      </c>
      <c r="CV72" s="23">
        <f t="shared" si="8"/>
        <v>15</v>
      </c>
      <c r="CW72" s="23">
        <f t="shared" si="8"/>
        <v>36</v>
      </c>
      <c r="CX72" s="23">
        <f t="shared" si="8"/>
        <v>13</v>
      </c>
      <c r="CY72" s="23">
        <f t="shared" si="8"/>
        <v>13</v>
      </c>
      <c r="CZ72" s="23">
        <f t="shared" si="8"/>
        <v>7</v>
      </c>
      <c r="DA72" s="23">
        <f t="shared" si="8"/>
        <v>6</v>
      </c>
      <c r="DB72" s="23">
        <f t="shared" si="8"/>
        <v>3</v>
      </c>
      <c r="DC72" s="23">
        <f t="shared" si="8"/>
        <v>7</v>
      </c>
      <c r="DD72" s="23">
        <f t="shared" si="8"/>
        <v>10</v>
      </c>
      <c r="DE72" s="23">
        <f t="shared" si="8"/>
        <v>10</v>
      </c>
      <c r="DF72" s="23">
        <f t="shared" si="8"/>
        <v>3</v>
      </c>
      <c r="DG72" s="23">
        <f t="shared" si="8"/>
        <v>6</v>
      </c>
      <c r="DH72" s="23">
        <f t="shared" si="8"/>
        <v>13</v>
      </c>
      <c r="DI72" s="23">
        <f t="shared" si="8"/>
        <v>10</v>
      </c>
      <c r="DJ72" s="23">
        <f t="shared" si="8"/>
        <v>5</v>
      </c>
      <c r="DK72" s="23">
        <f t="shared" si="8"/>
        <v>9</v>
      </c>
      <c r="DL72" s="23">
        <f t="shared" si="8"/>
        <v>8</v>
      </c>
      <c r="DM72" s="23">
        <f t="shared" si="8"/>
        <v>5</v>
      </c>
      <c r="DN72" s="23">
        <f t="shared" si="8"/>
        <v>4</v>
      </c>
      <c r="DO72" s="23">
        <f t="shared" si="8"/>
        <v>9</v>
      </c>
      <c r="DP72" s="23">
        <f t="shared" si="8"/>
        <v>4</v>
      </c>
      <c r="DQ72" s="23">
        <f t="shared" si="8"/>
        <v>3</v>
      </c>
      <c r="DR72" s="23">
        <f t="shared" si="8"/>
        <v>8</v>
      </c>
      <c r="DS72" s="23">
        <f t="shared" si="8"/>
        <v>1</v>
      </c>
      <c r="DT72" s="23">
        <f t="shared" si="8"/>
        <v>9</v>
      </c>
      <c r="DU72" s="23">
        <f t="shared" si="8"/>
        <v>10</v>
      </c>
      <c r="DV72" s="23">
        <f t="shared" si="8"/>
        <v>2</v>
      </c>
      <c r="DW72" s="23">
        <f t="shared" si="8"/>
        <v>4</v>
      </c>
      <c r="DX72" s="23">
        <f t="shared" si="8"/>
        <v>5</v>
      </c>
      <c r="DY72" s="23">
        <f t="shared" si="8"/>
        <v>7</v>
      </c>
      <c r="DZ72" s="23">
        <f t="shared" si="8"/>
        <v>7</v>
      </c>
      <c r="EA72" s="23">
        <f t="shared" si="8"/>
        <v>9</v>
      </c>
      <c r="EB72" s="23">
        <f t="shared" si="8"/>
        <v>7</v>
      </c>
      <c r="EC72" s="23">
        <f t="shared" si="8"/>
        <v>3</v>
      </c>
      <c r="ED72" s="23">
        <f t="shared" si="8"/>
        <v>5</v>
      </c>
      <c r="EE72" s="23">
        <f t="shared" si="8"/>
        <v>4</v>
      </c>
      <c r="EF72" s="23">
        <f t="shared" si="8"/>
        <v>7</v>
      </c>
      <c r="EG72" s="23">
        <f t="shared" si="8"/>
        <v>4</v>
      </c>
      <c r="EH72" s="23">
        <f t="shared" si="8"/>
        <v>3</v>
      </c>
      <c r="EI72" s="23">
        <f t="shared" si="8"/>
        <v>7</v>
      </c>
      <c r="EJ72" s="23">
        <f t="shared" si="8"/>
        <v>9</v>
      </c>
      <c r="EK72" s="23">
        <f t="shared" si="8"/>
        <v>12</v>
      </c>
      <c r="EL72" s="23">
        <f t="shared" si="8"/>
        <v>8</v>
      </c>
      <c r="EM72" s="23">
        <f t="shared" si="8"/>
        <v>7</v>
      </c>
      <c r="EN72" s="23">
        <f t="shared" si="8"/>
        <v>3</v>
      </c>
      <c r="EO72" s="23">
        <f t="shared" si="8"/>
        <v>4</v>
      </c>
      <c r="EP72" s="23">
        <f t="shared" si="8"/>
        <v>4</v>
      </c>
      <c r="EQ72" s="23">
        <f t="shared" si="8"/>
        <v>6</v>
      </c>
      <c r="ER72" s="23">
        <f t="shared" si="8"/>
        <v>5</v>
      </c>
      <c r="ES72" s="23">
        <f t="shared" si="8"/>
        <v>3</v>
      </c>
      <c r="ET72" s="23">
        <f t="shared" si="8"/>
        <v>4</v>
      </c>
      <c r="EU72" s="23">
        <f t="shared" si="8"/>
        <v>7</v>
      </c>
      <c r="EV72" s="23">
        <f t="shared" si="8"/>
        <v>12</v>
      </c>
      <c r="EW72" s="23">
        <f t="shared" si="8"/>
        <v>16</v>
      </c>
      <c r="EX72" s="23">
        <f t="shared" si="8"/>
        <v>8</v>
      </c>
      <c r="EY72" s="23">
        <f t="shared" si="8"/>
        <v>5</v>
      </c>
      <c r="EZ72" s="23">
        <f t="shared" si="8"/>
        <v>8</v>
      </c>
      <c r="FA72" s="23">
        <f t="shared" si="8"/>
        <v>15</v>
      </c>
      <c r="FB72" s="23">
        <f t="shared" si="8"/>
        <v>2</v>
      </c>
      <c r="FC72" s="23">
        <f t="shared" si="8"/>
        <v>7</v>
      </c>
      <c r="FD72" s="23">
        <f t="shared" si="8"/>
        <v>1561</v>
      </c>
    </row>
    <row r="73" ht="21.0" customHeight="1"/>
    <row r="74" ht="21.0" customHeight="1"/>
    <row r="75" ht="21.0" customHeight="1"/>
    <row r="76" ht="21.0"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sheetData>
  <autoFilter ref="$A$29:$FD$72"/>
  <printOptions/>
  <pageMargins bottom="0.15748031496062992" footer="0.0" header="0.0" left="0.2362204724409449" right="0.03937007874015748" top="0.15748031496062992"/>
  <pageSetup paperSize="5" orientation="landscape"/>
  <rowBreaks count="1" manualBreakCount="1">
    <brk id="76" man="1"/>
  </rowBreaks>
  <colBreaks count="1" manualBreakCount="1">
    <brk id="181"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9.88"/>
    <col customWidth="1" min="2" max="2" width="9.63"/>
    <col customWidth="1" min="3" max="3" width="16.88"/>
    <col customWidth="1" min="4" max="4" width="3.63"/>
    <col customWidth="1" min="5" max="5" width="40.63"/>
    <col customWidth="1" min="6" max="6" width="16.13"/>
    <col customWidth="1" min="7" max="7" width="12.13"/>
    <col customWidth="1" min="8" max="8" width="13.75"/>
    <col customWidth="1" min="9" max="25" width="10.63"/>
  </cols>
  <sheetData>
    <row r="1" ht="12.75" customHeight="1">
      <c r="A1" s="24" t="s">
        <v>211</v>
      </c>
      <c r="B1" s="25"/>
      <c r="C1" s="26"/>
      <c r="E1" s="24" t="s">
        <v>212</v>
      </c>
      <c r="F1" s="25"/>
      <c r="G1" s="26"/>
    </row>
    <row r="2" ht="12.75" customHeight="1">
      <c r="A2" s="27" t="s">
        <v>213</v>
      </c>
      <c r="B2" s="28">
        <v>383.0</v>
      </c>
      <c r="C2" s="29">
        <f>B2*8*C3</f>
        <v>55152</v>
      </c>
      <c r="D2" s="4"/>
      <c r="E2" s="27" t="s">
        <v>213</v>
      </c>
      <c r="F2" s="30">
        <v>40.0</v>
      </c>
      <c r="G2" s="29">
        <f>+F2*8*G3</f>
        <v>5760</v>
      </c>
      <c r="H2" s="31"/>
    </row>
    <row r="3" ht="12.75" customHeight="1">
      <c r="A3" s="27" t="s">
        <v>214</v>
      </c>
      <c r="B3" s="27"/>
      <c r="C3" s="32">
        <v>18.0</v>
      </c>
      <c r="D3" s="4"/>
      <c r="E3" s="27" t="s">
        <v>214</v>
      </c>
      <c r="F3" s="30"/>
      <c r="G3" s="32">
        <v>18.0</v>
      </c>
      <c r="H3" s="31"/>
    </row>
    <row r="4" ht="12.75" customHeight="1">
      <c r="A4" s="27"/>
      <c r="B4" s="28"/>
      <c r="C4" s="32"/>
      <c r="D4" s="4"/>
      <c r="E4" s="27"/>
      <c r="F4" s="30"/>
      <c r="G4" s="32"/>
    </row>
    <row r="5" ht="12.75" customHeight="1">
      <c r="A5" s="27"/>
      <c r="B5" s="27"/>
      <c r="C5" s="32"/>
      <c r="D5" s="4"/>
      <c r="E5" s="27"/>
      <c r="F5" s="30"/>
      <c r="G5" s="32"/>
    </row>
    <row r="6" ht="12.75" customHeight="1">
      <c r="A6" s="33" t="s">
        <v>215</v>
      </c>
      <c r="B6" s="33"/>
      <c r="C6" s="34">
        <f>+C2-C17-C18</f>
        <v>33920.5</v>
      </c>
      <c r="D6" s="35"/>
      <c r="E6" s="33" t="s">
        <v>216</v>
      </c>
      <c r="F6" s="36"/>
      <c r="G6" s="37">
        <f>(+G2-G18-G17)</f>
        <v>4881</v>
      </c>
      <c r="H6" s="4"/>
    </row>
    <row r="7" ht="12.75" customHeight="1">
      <c r="A7" s="27"/>
      <c r="B7" s="27"/>
      <c r="C7" s="32"/>
      <c r="D7" s="4"/>
      <c r="E7" s="27"/>
      <c r="F7" s="30"/>
      <c r="G7" s="32"/>
      <c r="H7" s="4"/>
      <c r="I7" s="38"/>
    </row>
    <row r="8" ht="12.75" customHeight="1">
      <c r="A8" s="27" t="s">
        <v>217</v>
      </c>
      <c r="B8" s="27"/>
      <c r="C8" s="32">
        <f>+C6/C2</f>
        <v>0.6150366261</v>
      </c>
      <c r="D8" s="4"/>
      <c r="E8" s="27" t="s">
        <v>217</v>
      </c>
      <c r="F8" s="30"/>
      <c r="G8" s="32">
        <f>+G6/G2</f>
        <v>0.8473958333</v>
      </c>
    </row>
    <row r="9" ht="12.75" customHeight="1">
      <c r="A9" s="27" t="s">
        <v>218</v>
      </c>
      <c r="B9" s="27"/>
      <c r="C9" s="32">
        <f>1-C8</f>
        <v>0.3849633739</v>
      </c>
      <c r="D9" s="4"/>
      <c r="E9" s="27" t="s">
        <v>218</v>
      </c>
      <c r="F9" s="30"/>
      <c r="G9" s="32">
        <f>1-G8</f>
        <v>0.1526041667</v>
      </c>
    </row>
    <row r="10" ht="12.75" customHeight="1">
      <c r="A10" s="27"/>
      <c r="B10" s="27"/>
      <c r="C10" s="32"/>
      <c r="D10" s="4"/>
      <c r="E10" s="27"/>
      <c r="F10" s="30"/>
      <c r="G10" s="32"/>
    </row>
    <row r="11" ht="12.75" customHeight="1">
      <c r="A11" s="39" t="s">
        <v>219</v>
      </c>
      <c r="B11" s="27"/>
      <c r="C11" s="40">
        <v>1871.0</v>
      </c>
      <c r="D11" s="41"/>
      <c r="E11" s="39" t="s">
        <v>219</v>
      </c>
      <c r="F11" s="30"/>
      <c r="G11" s="32">
        <v>10.0</v>
      </c>
      <c r="H11" s="42"/>
      <c r="I11" s="5"/>
    </row>
    <row r="12" ht="12.75" customHeight="1">
      <c r="A12" s="39" t="s">
        <v>220</v>
      </c>
      <c r="B12" s="27"/>
      <c r="C12" s="40">
        <v>768.0</v>
      </c>
      <c r="D12" s="42"/>
      <c r="E12" s="39" t="s">
        <v>220</v>
      </c>
      <c r="F12" s="30"/>
      <c r="G12" s="32">
        <v>0.0</v>
      </c>
    </row>
    <row r="13" ht="12.75" customHeight="1">
      <c r="A13" s="39" t="s">
        <v>221</v>
      </c>
      <c r="B13" s="27"/>
      <c r="C13" s="40">
        <v>1742.0</v>
      </c>
      <c r="D13" s="41"/>
      <c r="E13" s="39" t="s">
        <v>221</v>
      </c>
      <c r="F13" s="30"/>
      <c r="G13" s="32">
        <v>157.0</v>
      </c>
      <c r="H13" s="42"/>
    </row>
    <row r="14" ht="12.75" customHeight="1">
      <c r="A14" s="39" t="s">
        <v>222</v>
      </c>
      <c r="B14" s="27"/>
      <c r="C14" s="40">
        <v>5021.0</v>
      </c>
      <c r="D14" s="43"/>
      <c r="E14" s="39" t="s">
        <v>223</v>
      </c>
      <c r="F14" s="30"/>
      <c r="G14" s="32">
        <v>0.0</v>
      </c>
      <c r="H14" s="42"/>
    </row>
    <row r="15" ht="12.75" customHeight="1">
      <c r="A15" s="39" t="s">
        <v>224</v>
      </c>
      <c r="B15" s="27"/>
      <c r="C15" s="40">
        <v>11536.0</v>
      </c>
      <c r="D15" s="43"/>
      <c r="E15" s="39" t="s">
        <v>224</v>
      </c>
      <c r="F15" s="30"/>
      <c r="G15" s="32">
        <v>704.0</v>
      </c>
      <c r="H15" s="41"/>
    </row>
    <row r="16" ht="12.75" customHeight="1">
      <c r="A16" s="39" t="s">
        <v>225</v>
      </c>
      <c r="B16" s="27"/>
      <c r="C16" s="40">
        <v>0.0</v>
      </c>
      <c r="D16" s="43"/>
      <c r="E16" s="39" t="s">
        <v>225</v>
      </c>
      <c r="F16" s="30"/>
      <c r="G16" s="32">
        <v>0.0</v>
      </c>
      <c r="H16" s="42"/>
    </row>
    <row r="17" ht="12.75" customHeight="1">
      <c r="A17" s="44" t="s">
        <v>226</v>
      </c>
      <c r="B17" s="44"/>
      <c r="C17" s="45">
        <v>293.5</v>
      </c>
      <c r="D17" s="43"/>
      <c r="E17" s="44" t="s">
        <v>226</v>
      </c>
      <c r="F17" s="36"/>
      <c r="G17" s="45">
        <v>8.0</v>
      </c>
      <c r="H17" s="42"/>
    </row>
    <row r="18" ht="12.75" customHeight="1">
      <c r="A18" s="44" t="s">
        <v>227</v>
      </c>
      <c r="B18" s="44"/>
      <c r="C18" s="45">
        <f>SUM(C11:C16)</f>
        <v>20938</v>
      </c>
      <c r="D18" s="42"/>
      <c r="E18" s="44" t="s">
        <v>227</v>
      </c>
      <c r="F18" s="36"/>
      <c r="G18" s="46">
        <f>SUM(G11:G16)</f>
        <v>871</v>
      </c>
    </row>
    <row r="19" ht="12.75" customHeight="1">
      <c r="C19" s="4"/>
      <c r="D19" s="42"/>
    </row>
    <row r="20" ht="12.75" customHeight="1">
      <c r="E20" s="4"/>
      <c r="G20" s="4"/>
    </row>
    <row r="21" ht="12.75" customHeight="1">
      <c r="A21" s="24" t="s">
        <v>228</v>
      </c>
      <c r="B21" s="25"/>
      <c r="C21" s="26"/>
      <c r="E21" s="4"/>
      <c r="F21" s="4"/>
    </row>
    <row r="22" ht="12.75" customHeight="1">
      <c r="A22" s="47" t="s">
        <v>229</v>
      </c>
      <c r="B22" s="47"/>
      <c r="C22" s="48" t="s">
        <v>230</v>
      </c>
      <c r="G22" s="4"/>
    </row>
    <row r="23" ht="12.75" customHeight="1">
      <c r="A23" s="49" t="s">
        <v>215</v>
      </c>
      <c r="B23" s="50"/>
      <c r="C23" s="51">
        <f>+C6+G6</f>
        <v>38801.5</v>
      </c>
      <c r="E23" s="4"/>
    </row>
    <row r="24" ht="12.75" customHeight="1">
      <c r="A24" s="52" t="s">
        <v>231</v>
      </c>
      <c r="B24" s="50"/>
      <c r="C24" s="51">
        <v>2179.0</v>
      </c>
      <c r="D24" s="4"/>
      <c r="E24" s="4"/>
    </row>
    <row r="25" ht="12.75" customHeight="1">
      <c r="A25" s="52" t="s">
        <v>232</v>
      </c>
      <c r="B25" s="50"/>
      <c r="C25" s="51">
        <v>684.0</v>
      </c>
      <c r="D25" s="4"/>
      <c r="E25" s="4"/>
      <c r="F25" s="4"/>
    </row>
    <row r="26" ht="12.75" customHeight="1">
      <c r="A26" s="52" t="s">
        <v>233</v>
      </c>
      <c r="B26" s="50"/>
      <c r="C26" s="51">
        <v>0.0</v>
      </c>
      <c r="D26" s="5"/>
      <c r="E26" s="4"/>
    </row>
    <row r="27" ht="12.75" customHeight="1">
      <c r="A27" s="52" t="s">
        <v>234</v>
      </c>
      <c r="B27" s="50"/>
      <c r="C27" s="51">
        <v>0.0</v>
      </c>
      <c r="D27" s="5"/>
      <c r="E27" s="42"/>
    </row>
    <row r="28" ht="12.75" customHeight="1">
      <c r="A28" s="52" t="s">
        <v>235</v>
      </c>
      <c r="B28" s="30"/>
      <c r="C28" s="51">
        <v>198.0</v>
      </c>
      <c r="D28" s="5"/>
    </row>
    <row r="29" ht="12.75" customHeight="1">
      <c r="A29" s="52" t="s">
        <v>236</v>
      </c>
      <c r="B29" s="30"/>
      <c r="C29" s="51">
        <v>2728.0</v>
      </c>
      <c r="D29" s="4"/>
    </row>
    <row r="30" ht="12.75" customHeight="1">
      <c r="A30" s="52" t="s">
        <v>237</v>
      </c>
      <c r="B30" s="30"/>
      <c r="C30" s="51">
        <v>0.0</v>
      </c>
      <c r="D30" s="5"/>
    </row>
    <row r="31" ht="12.75" customHeight="1">
      <c r="A31" s="52" t="s">
        <v>238</v>
      </c>
      <c r="B31" s="30"/>
      <c r="C31" s="51">
        <v>10.0</v>
      </c>
      <c r="D31" s="5"/>
    </row>
    <row r="32" ht="12.75" customHeight="1">
      <c r="A32" s="52" t="s">
        <v>239</v>
      </c>
      <c r="B32" s="30"/>
      <c r="C32" s="51">
        <f>+C15+G15</f>
        <v>12240</v>
      </c>
      <c r="D32" s="5"/>
    </row>
    <row r="33" ht="12.75" customHeight="1">
      <c r="A33" s="52" t="s">
        <v>240</v>
      </c>
      <c r="B33" s="30"/>
      <c r="C33" s="51">
        <f t="shared" ref="C33:C34" si="1">+C11+G11</f>
        <v>1881</v>
      </c>
      <c r="D33" s="5"/>
    </row>
    <row r="34" ht="12.75" customHeight="1">
      <c r="A34" s="52" t="s">
        <v>241</v>
      </c>
      <c r="B34" s="30"/>
      <c r="C34" s="51">
        <f t="shared" si="1"/>
        <v>768</v>
      </c>
      <c r="D34" s="5"/>
    </row>
    <row r="35" ht="12.75" customHeight="1">
      <c r="A35" s="52" t="s">
        <v>242</v>
      </c>
      <c r="B35" s="30"/>
      <c r="C35" s="51">
        <f>+C14+G14</f>
        <v>5021</v>
      </c>
      <c r="D35" s="5"/>
    </row>
    <row r="36" ht="12.75" customHeight="1">
      <c r="A36" s="52" t="s">
        <v>243</v>
      </c>
      <c r="B36" s="30"/>
      <c r="C36" s="51">
        <f>+C13+G13</f>
        <v>1899</v>
      </c>
      <c r="D36" s="5"/>
    </row>
    <row r="37" ht="12.75" customHeight="1">
      <c r="A37" s="52" t="s">
        <v>244</v>
      </c>
      <c r="B37" s="30"/>
      <c r="C37" s="51">
        <f>+C17+G17</f>
        <v>301.5</v>
      </c>
      <c r="D37" s="5"/>
      <c r="E37" s="4"/>
    </row>
    <row r="38" ht="12.75" customHeight="1">
      <c r="A38" s="52" t="s">
        <v>225</v>
      </c>
      <c r="B38" s="30"/>
      <c r="C38" s="51">
        <f>+C16+G16</f>
        <v>0</v>
      </c>
      <c r="D38" s="5"/>
    </row>
    <row r="39" ht="12.75" customHeight="1">
      <c r="D39" s="53"/>
    </row>
    <row r="40" ht="12.75" customHeight="1">
      <c r="A40" s="54" t="s">
        <v>3</v>
      </c>
      <c r="D40" s="53"/>
    </row>
    <row r="41" ht="12.75" customHeight="1">
      <c r="D41" s="53"/>
    </row>
    <row r="42" ht="12.75" customHeight="1">
      <c r="D42" s="53"/>
    </row>
    <row r="43" ht="12.75" customHeight="1">
      <c r="D43" s="53"/>
    </row>
    <row r="44" ht="12.75" customHeight="1">
      <c r="D44" s="53"/>
    </row>
    <row r="45" ht="12.75" customHeight="1">
      <c r="D45" s="53"/>
    </row>
    <row r="46" ht="12.75" customHeight="1">
      <c r="D46" s="53"/>
    </row>
    <row r="47" ht="12.75" customHeight="1">
      <c r="D47" s="53"/>
    </row>
    <row r="48" ht="12.75" customHeight="1">
      <c r="D48" s="53"/>
    </row>
    <row r="49" ht="12.75" customHeight="1">
      <c r="D49" s="53"/>
    </row>
    <row r="50" ht="12.75" customHeight="1">
      <c r="D50" s="53"/>
    </row>
    <row r="51" ht="12.75" customHeight="1">
      <c r="D51" s="53"/>
    </row>
    <row r="52" ht="12.75" customHeight="1">
      <c r="D52" s="53"/>
    </row>
    <row r="53" ht="12.75" customHeight="1">
      <c r="D53" s="53"/>
    </row>
    <row r="54" ht="12.75" customHeight="1">
      <c r="D54" s="53"/>
    </row>
    <row r="55" ht="12.75" customHeight="1">
      <c r="D55" s="53"/>
    </row>
    <row r="56" ht="12.75" customHeight="1">
      <c r="D56" s="53"/>
    </row>
    <row r="57" ht="12.75" customHeight="1">
      <c r="D57" s="53"/>
    </row>
    <row r="58" ht="12.75" customHeight="1">
      <c r="D58" s="53"/>
    </row>
    <row r="59" ht="12.75" customHeight="1">
      <c r="D59" s="53"/>
    </row>
    <row r="60" ht="12.75" customHeight="1">
      <c r="D60" s="53"/>
    </row>
    <row r="61" ht="12.75" customHeight="1">
      <c r="D61" s="53"/>
    </row>
    <row r="62" ht="12.75" customHeight="1">
      <c r="D62" s="53"/>
    </row>
    <row r="63" ht="12.75" customHeight="1">
      <c r="D63" s="53"/>
    </row>
    <row r="64" ht="12.75" customHeight="1">
      <c r="D64" s="53"/>
    </row>
    <row r="65" ht="12.75" customHeight="1">
      <c r="D65" s="53"/>
    </row>
    <row r="66" ht="12.75" customHeight="1">
      <c r="D66" s="53"/>
    </row>
    <row r="67" ht="12.75" customHeight="1">
      <c r="D67" s="53"/>
    </row>
    <row r="68" ht="13.5" customHeight="1">
      <c r="D68" s="53"/>
    </row>
    <row r="69" ht="13.5" customHeight="1">
      <c r="D69" s="53"/>
    </row>
    <row r="70" ht="13.5" customHeight="1">
      <c r="D70" s="53"/>
    </row>
    <row r="71" ht="13.5" customHeight="1">
      <c r="D71" s="53"/>
    </row>
    <row r="72" ht="13.5" customHeight="1">
      <c r="D72" s="53"/>
    </row>
    <row r="73" ht="13.5" customHeight="1">
      <c r="D73" s="53"/>
    </row>
    <row r="74" ht="13.5" customHeight="1">
      <c r="D74" s="53"/>
    </row>
    <row r="75" ht="13.5" customHeight="1">
      <c r="D75" s="53"/>
    </row>
    <row r="76" ht="13.5" customHeight="1">
      <c r="D76" s="53"/>
    </row>
    <row r="77" ht="13.5" customHeight="1">
      <c r="D77" s="53"/>
    </row>
    <row r="78" ht="12.75" customHeight="1">
      <c r="D78" s="53"/>
    </row>
    <row r="79" ht="12.75" customHeight="1">
      <c r="D79" s="53"/>
    </row>
    <row r="80" ht="12.75" customHeight="1">
      <c r="D80" s="53"/>
    </row>
    <row r="81" ht="12.75" customHeight="1">
      <c r="D81" s="53"/>
    </row>
    <row r="82" ht="12.75" customHeight="1">
      <c r="D82" s="53"/>
    </row>
    <row r="83" ht="12.75" customHeight="1">
      <c r="D83" s="53"/>
    </row>
    <row r="84" ht="12.75" customHeight="1">
      <c r="D84" s="53"/>
    </row>
    <row r="85" ht="12.75" customHeight="1">
      <c r="D85" s="53"/>
    </row>
    <row r="86" ht="12.75" customHeight="1">
      <c r="D86" s="53"/>
    </row>
    <row r="87" ht="12.75" customHeight="1">
      <c r="D87" s="53"/>
    </row>
    <row r="88" ht="12.75" customHeight="1">
      <c r="D88" s="53"/>
    </row>
    <row r="89" ht="12.75" customHeight="1">
      <c r="D89" s="53"/>
    </row>
    <row r="90" ht="12.75" customHeight="1">
      <c r="D90" s="53"/>
    </row>
    <row r="91" ht="12.75" customHeight="1">
      <c r="D91" s="53"/>
    </row>
    <row r="92" ht="12.75" customHeight="1">
      <c r="D92" s="53"/>
    </row>
    <row r="93" ht="12.75" customHeight="1">
      <c r="D93" s="53"/>
    </row>
    <row r="94" ht="12.75" customHeight="1">
      <c r="D94" s="53"/>
    </row>
    <row r="95" ht="12.75" customHeight="1">
      <c r="D95" s="53"/>
    </row>
    <row r="96" ht="12.75" customHeight="1">
      <c r="D96" s="53"/>
    </row>
    <row r="97" ht="12.75" customHeight="1">
      <c r="D97" s="53"/>
    </row>
    <row r="98" ht="12.75" customHeight="1">
      <c r="D98" s="53"/>
    </row>
    <row r="99" ht="12.75" customHeight="1">
      <c r="D99" s="53"/>
    </row>
    <row r="100" ht="12.75" customHeight="1">
      <c r="D100" s="53"/>
    </row>
    <row r="101" ht="12.75" customHeight="1">
      <c r="D101" s="53"/>
    </row>
    <row r="102" ht="12.75" customHeight="1">
      <c r="D102" s="53"/>
    </row>
    <row r="103" ht="12.75" customHeight="1">
      <c r="D103" s="53"/>
    </row>
    <row r="104" ht="12.75" customHeight="1">
      <c r="D104" s="53"/>
    </row>
    <row r="105" ht="12.75" customHeight="1">
      <c r="D105" s="53"/>
    </row>
    <row r="106" ht="12.75" customHeight="1">
      <c r="D106" s="53"/>
    </row>
    <row r="107" ht="12.75" customHeight="1">
      <c r="D107" s="53"/>
    </row>
    <row r="108" ht="12.75" customHeight="1">
      <c r="D108" s="53"/>
    </row>
    <row r="109" ht="12.75" customHeight="1">
      <c r="D109" s="53"/>
    </row>
    <row r="110" ht="12.75" customHeight="1">
      <c r="D110" s="53"/>
    </row>
    <row r="111" ht="12.75" customHeight="1">
      <c r="D111" s="53"/>
    </row>
    <row r="112" ht="12.75" customHeight="1">
      <c r="D112" s="53"/>
    </row>
    <row r="113" ht="12.75" customHeight="1">
      <c r="D113" s="53"/>
    </row>
    <row r="114" ht="12.75" customHeight="1">
      <c r="D114" s="53"/>
    </row>
    <row r="115" ht="12.75" customHeight="1">
      <c r="D115" s="53"/>
    </row>
    <row r="116" ht="12.75" customHeight="1">
      <c r="C116" s="55"/>
    </row>
    <row r="117" ht="12.75" customHeight="1">
      <c r="C117" s="55"/>
    </row>
    <row r="118" ht="12.75" customHeight="1">
      <c r="C118" s="53"/>
    </row>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3">
    <mergeCell ref="A1:C1"/>
    <mergeCell ref="E1:G1"/>
    <mergeCell ref="A21:C21"/>
  </mergeCells>
  <printOptions/>
  <pageMargins bottom="0.7480314960629921" footer="0.0" header="0.0" left="0.7086614173228347" right="0.7086614173228347" top="0.7480314960629921"/>
  <pageSetup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workbookViewId="0"/>
  </sheetViews>
  <sheetFormatPr customHeight="1" defaultColWidth="12.63" defaultRowHeight="15.0"/>
  <cols>
    <col customWidth="1" min="1" max="1" width="22.0"/>
    <col customWidth="1" min="2" max="2" width="15.13"/>
    <col customWidth="1" min="3" max="3" width="18.0"/>
    <col customWidth="1" min="4" max="4" width="14.63"/>
    <col customWidth="1" min="5" max="5" width="14.0"/>
    <col customWidth="1" min="6" max="6" width="12.75"/>
    <col customWidth="1" min="7" max="7" width="17.25"/>
    <col customWidth="1" min="8" max="8" width="16.0"/>
    <col customWidth="1" min="9" max="9" width="12.88"/>
    <col customWidth="1" min="10" max="10" width="20.25"/>
    <col customWidth="1" min="11" max="11" width="18.38"/>
    <col customWidth="1" min="12" max="12" width="15.0"/>
    <col customWidth="1" min="13" max="13" width="20.13"/>
    <col customWidth="1" min="14" max="14" width="15.13"/>
    <col customWidth="1" min="15" max="15" width="24.75"/>
    <col customWidth="1" min="16" max="16" width="13.5"/>
    <col customWidth="1" min="17" max="17" width="25.63"/>
    <col customWidth="1" min="18" max="18" width="28.63"/>
    <col customWidth="1" min="19" max="19" width="13.25"/>
    <col customWidth="1" min="20" max="20" width="15.88"/>
    <col customWidth="1" min="21" max="21" width="8.13"/>
    <col customWidth="1" min="22" max="22" width="20.13"/>
    <col customWidth="1" min="23" max="23" width="24.75"/>
    <col customWidth="1" min="24" max="24" width="17.13"/>
    <col customWidth="1" min="25" max="25" width="26.88"/>
    <col customWidth="1" min="26" max="26" width="14.5"/>
    <col customWidth="1" min="27" max="27" width="15.5"/>
    <col customWidth="1" min="28" max="28" width="9.63"/>
    <col customWidth="1" min="29" max="29" width="17.25"/>
    <col customWidth="1" min="30" max="30" width="20.13"/>
    <col customWidth="1" min="31" max="31" width="11.88"/>
    <col customWidth="1" min="32" max="32" width="13.75"/>
    <col customWidth="1" min="33" max="33" width="14.25"/>
    <col customWidth="1" min="34" max="34" width="12.75"/>
  </cols>
  <sheetData>
    <row r="1" ht="19.5" customHeight="1">
      <c r="A1" s="56" t="s">
        <v>245</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row>
    <row r="2" ht="19.5" customHeight="1">
      <c r="A2" s="57"/>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row>
    <row r="3" ht="19.5" customHeight="1">
      <c r="A3" s="58" t="s">
        <v>246</v>
      </c>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60"/>
    </row>
    <row r="4" ht="19.5" customHeight="1">
      <c r="A4" s="61"/>
      <c r="B4" s="61" t="s">
        <v>247</v>
      </c>
      <c r="C4" s="61" t="s">
        <v>248</v>
      </c>
      <c r="D4" s="61" t="s">
        <v>249</v>
      </c>
      <c r="E4" s="61" t="s">
        <v>250</v>
      </c>
      <c r="F4" s="61" t="s">
        <v>251</v>
      </c>
      <c r="G4" s="61" t="s">
        <v>252</v>
      </c>
      <c r="H4" s="61" t="s">
        <v>253</v>
      </c>
      <c r="I4" s="61" t="s">
        <v>254</v>
      </c>
      <c r="J4" s="61" t="s">
        <v>255</v>
      </c>
      <c r="K4" s="61" t="s">
        <v>256</v>
      </c>
      <c r="L4" s="61" t="s">
        <v>257</v>
      </c>
      <c r="M4" s="61" t="s">
        <v>258</v>
      </c>
      <c r="N4" s="61" t="s">
        <v>259</v>
      </c>
      <c r="O4" s="61" t="s">
        <v>260</v>
      </c>
      <c r="P4" s="61" t="s">
        <v>261</v>
      </c>
      <c r="Q4" s="61" t="s">
        <v>262</v>
      </c>
      <c r="R4" s="61" t="s">
        <v>263</v>
      </c>
      <c r="S4" s="61" t="s">
        <v>264</v>
      </c>
      <c r="T4" s="61" t="s">
        <v>265</v>
      </c>
      <c r="U4" s="61" t="s">
        <v>266</v>
      </c>
      <c r="V4" s="61" t="s">
        <v>267</v>
      </c>
      <c r="W4" s="61" t="s">
        <v>268</v>
      </c>
      <c r="X4" s="61" t="s">
        <v>269</v>
      </c>
      <c r="Y4" s="61" t="s">
        <v>270</v>
      </c>
      <c r="Z4" s="61" t="s">
        <v>271</v>
      </c>
      <c r="AA4" s="61" t="s">
        <v>272</v>
      </c>
      <c r="AB4" s="61" t="s">
        <v>273</v>
      </c>
      <c r="AC4" s="61" t="s">
        <v>274</v>
      </c>
      <c r="AD4" s="61" t="s">
        <v>275</v>
      </c>
      <c r="AE4" s="61" t="s">
        <v>276</v>
      </c>
      <c r="AF4" s="61" t="s">
        <v>277</v>
      </c>
      <c r="AG4" s="61" t="s">
        <v>278</v>
      </c>
      <c r="AH4" s="61" t="s">
        <v>279</v>
      </c>
    </row>
    <row r="5" ht="19.5" customHeight="1">
      <c r="A5" s="61" t="s">
        <v>280</v>
      </c>
      <c r="B5" s="62">
        <v>0.0</v>
      </c>
      <c r="C5" s="62">
        <v>0.0</v>
      </c>
      <c r="D5" s="62">
        <v>80.0</v>
      </c>
      <c r="E5" s="62">
        <v>0.0</v>
      </c>
      <c r="F5" s="62">
        <v>189.0</v>
      </c>
      <c r="G5" s="62">
        <v>270.0</v>
      </c>
      <c r="H5" s="62">
        <v>35.0</v>
      </c>
      <c r="I5" s="62">
        <v>137.0</v>
      </c>
      <c r="J5" s="62">
        <v>0.0</v>
      </c>
      <c r="K5" s="62">
        <v>83.0</v>
      </c>
      <c r="L5" s="62">
        <v>104.0</v>
      </c>
      <c r="M5" s="62">
        <v>52.0</v>
      </c>
      <c r="N5" s="62">
        <v>0.0</v>
      </c>
      <c r="O5" s="62">
        <v>8.0</v>
      </c>
      <c r="P5" s="62">
        <v>368.0</v>
      </c>
      <c r="Q5" s="62">
        <v>0.0</v>
      </c>
      <c r="R5" s="62">
        <v>24.0</v>
      </c>
      <c r="S5" s="62">
        <v>234.0</v>
      </c>
      <c r="T5" s="62">
        <v>1.0</v>
      </c>
      <c r="U5" s="62">
        <v>0.0</v>
      </c>
      <c r="V5" s="62">
        <v>0.0</v>
      </c>
      <c r="W5" s="62">
        <v>0.0</v>
      </c>
      <c r="X5" s="62">
        <v>8.0</v>
      </c>
      <c r="Y5" s="62">
        <v>24.0</v>
      </c>
      <c r="Z5" s="62">
        <v>0.0</v>
      </c>
      <c r="AA5" s="62">
        <v>20.0</v>
      </c>
      <c r="AB5" s="62">
        <v>8.0</v>
      </c>
      <c r="AC5" s="62">
        <v>0.0</v>
      </c>
      <c r="AD5" s="62">
        <v>8.0</v>
      </c>
      <c r="AE5" s="62">
        <v>73.0</v>
      </c>
      <c r="AF5" s="62">
        <v>0.0</v>
      </c>
      <c r="AG5" s="62">
        <v>0.0</v>
      </c>
      <c r="AH5" s="62">
        <v>16.0</v>
      </c>
    </row>
    <row r="6" ht="19.5" customHeight="1">
      <c r="A6" s="63" t="s">
        <v>281</v>
      </c>
      <c r="B6" s="62">
        <v>0.0</v>
      </c>
      <c r="C6" s="62">
        <v>5.0</v>
      </c>
      <c r="D6" s="62">
        <v>1.0</v>
      </c>
      <c r="E6" s="62">
        <v>2.0</v>
      </c>
      <c r="F6" s="62">
        <v>43.0</v>
      </c>
      <c r="G6" s="62">
        <v>45.0</v>
      </c>
      <c r="H6" s="62">
        <v>2.0</v>
      </c>
      <c r="I6" s="62">
        <v>23.0</v>
      </c>
      <c r="J6" s="62">
        <v>1.5</v>
      </c>
      <c r="K6" s="62">
        <v>1.0</v>
      </c>
      <c r="L6" s="62">
        <v>24.0</v>
      </c>
      <c r="M6" s="62">
        <v>0.0</v>
      </c>
      <c r="N6" s="62">
        <v>0.0</v>
      </c>
      <c r="O6" s="62">
        <v>10.5</v>
      </c>
      <c r="P6" s="62">
        <v>73.0</v>
      </c>
      <c r="Q6" s="62">
        <v>0.0</v>
      </c>
      <c r="R6" s="62">
        <v>0.0</v>
      </c>
      <c r="S6" s="62">
        <v>41.0</v>
      </c>
      <c r="T6" s="62">
        <v>0.0</v>
      </c>
      <c r="U6" s="62">
        <v>0.0</v>
      </c>
      <c r="V6" s="62">
        <v>3.5</v>
      </c>
      <c r="W6" s="62">
        <v>0.0</v>
      </c>
      <c r="X6" s="62">
        <v>1.5</v>
      </c>
      <c r="Y6" s="62">
        <v>0.0</v>
      </c>
      <c r="Z6" s="62">
        <v>0.0</v>
      </c>
      <c r="AA6" s="62">
        <v>5.5</v>
      </c>
      <c r="AB6" s="62">
        <v>0.0</v>
      </c>
      <c r="AC6" s="62">
        <v>0.0</v>
      </c>
      <c r="AD6" s="62">
        <v>1.0</v>
      </c>
      <c r="AE6" s="62">
        <v>10.0</v>
      </c>
      <c r="AF6" s="62">
        <v>0.0</v>
      </c>
      <c r="AG6" s="62">
        <v>0.0</v>
      </c>
      <c r="AH6" s="62">
        <v>0.0</v>
      </c>
    </row>
    <row r="7" ht="19.5" customHeight="1">
      <c r="A7" s="61" t="s">
        <v>282</v>
      </c>
      <c r="B7" s="62">
        <v>26.0</v>
      </c>
      <c r="C7" s="62">
        <v>0.0</v>
      </c>
      <c r="D7" s="62">
        <v>0.0</v>
      </c>
      <c r="E7" s="62">
        <v>16.0</v>
      </c>
      <c r="F7" s="62">
        <v>347.0</v>
      </c>
      <c r="G7" s="62">
        <v>425.0</v>
      </c>
      <c r="H7" s="62">
        <v>12.0</v>
      </c>
      <c r="I7" s="62">
        <v>313.0</v>
      </c>
      <c r="J7" s="62">
        <v>0.0</v>
      </c>
      <c r="K7" s="62">
        <v>19.0</v>
      </c>
      <c r="L7" s="62">
        <v>14.0</v>
      </c>
      <c r="M7" s="62">
        <v>4.0</v>
      </c>
      <c r="N7" s="62">
        <v>0.0</v>
      </c>
      <c r="O7" s="62">
        <v>95.0</v>
      </c>
      <c r="P7" s="62">
        <v>393.0</v>
      </c>
      <c r="Q7" s="62">
        <v>16.0</v>
      </c>
      <c r="R7" s="62">
        <v>9.0</v>
      </c>
      <c r="S7" s="62">
        <v>72.0</v>
      </c>
      <c r="T7" s="62">
        <v>0.0</v>
      </c>
      <c r="U7" s="62">
        <v>0.0</v>
      </c>
      <c r="V7" s="62">
        <v>0.0</v>
      </c>
      <c r="W7" s="62">
        <v>0.0</v>
      </c>
      <c r="X7" s="62">
        <v>1.0</v>
      </c>
      <c r="Y7" s="62">
        <v>2.0</v>
      </c>
      <c r="Z7" s="62">
        <v>0.0</v>
      </c>
      <c r="AA7" s="62">
        <v>19.0</v>
      </c>
      <c r="AB7" s="62">
        <v>21.0</v>
      </c>
      <c r="AC7" s="62">
        <v>0.0</v>
      </c>
      <c r="AD7" s="62">
        <v>0.0</v>
      </c>
      <c r="AE7" s="62">
        <v>43.0</v>
      </c>
      <c r="AF7" s="62">
        <v>9.0</v>
      </c>
      <c r="AG7" s="62">
        <v>15.0</v>
      </c>
      <c r="AH7" s="62">
        <v>0.0</v>
      </c>
    </row>
    <row r="8" ht="19.5" customHeight="1">
      <c r="A8" s="61" t="s">
        <v>283</v>
      </c>
      <c r="B8" s="62">
        <v>0.0</v>
      </c>
      <c r="C8" s="62">
        <v>0.0</v>
      </c>
      <c r="D8" s="62">
        <v>0.0</v>
      </c>
      <c r="E8" s="62">
        <v>0.0</v>
      </c>
      <c r="F8" s="62">
        <v>0.0</v>
      </c>
      <c r="G8" s="62">
        <v>144.0</v>
      </c>
      <c r="H8" s="62">
        <v>0.0</v>
      </c>
      <c r="I8" s="62">
        <v>88.0</v>
      </c>
      <c r="J8" s="62">
        <v>0.0</v>
      </c>
      <c r="K8" s="62">
        <v>0.0</v>
      </c>
      <c r="L8" s="62">
        <v>0.0</v>
      </c>
      <c r="M8" s="62">
        <v>0.0</v>
      </c>
      <c r="N8" s="62">
        <v>0.0</v>
      </c>
      <c r="O8" s="62">
        <v>144.0</v>
      </c>
      <c r="P8" s="62">
        <v>248.0</v>
      </c>
      <c r="Q8" s="62">
        <v>0.0</v>
      </c>
      <c r="R8" s="62">
        <v>0.0</v>
      </c>
      <c r="S8" s="62">
        <v>144.0</v>
      </c>
      <c r="T8" s="62">
        <v>0.0</v>
      </c>
      <c r="U8" s="62">
        <v>0.0</v>
      </c>
      <c r="V8" s="62">
        <v>0.0</v>
      </c>
      <c r="W8" s="62">
        <v>0.0</v>
      </c>
      <c r="X8" s="62">
        <v>0.0</v>
      </c>
      <c r="Y8" s="62">
        <v>0.0</v>
      </c>
      <c r="Z8" s="62">
        <v>0.0</v>
      </c>
      <c r="AA8" s="62">
        <v>0.0</v>
      </c>
      <c r="AB8" s="62">
        <v>0.0</v>
      </c>
      <c r="AC8" s="62">
        <v>0.0</v>
      </c>
      <c r="AD8" s="62">
        <v>0.0</v>
      </c>
      <c r="AE8" s="62">
        <v>0.0</v>
      </c>
      <c r="AF8" s="62">
        <v>0.0</v>
      </c>
      <c r="AG8" s="62">
        <v>0.0</v>
      </c>
      <c r="AH8" s="62">
        <v>0.0</v>
      </c>
    </row>
    <row r="9" ht="19.5" customHeight="1">
      <c r="A9" s="61" t="s">
        <v>284</v>
      </c>
      <c r="B9" s="62">
        <v>312.0</v>
      </c>
      <c r="C9" s="62">
        <v>104.0</v>
      </c>
      <c r="D9" s="62">
        <v>168.0</v>
      </c>
      <c r="E9" s="62">
        <v>632.0</v>
      </c>
      <c r="F9" s="62">
        <v>568.0</v>
      </c>
      <c r="G9" s="62">
        <v>2568.0</v>
      </c>
      <c r="H9" s="62">
        <v>360.0</v>
      </c>
      <c r="I9" s="62">
        <v>896.0</v>
      </c>
      <c r="J9" s="62">
        <v>0.0</v>
      </c>
      <c r="K9" s="62">
        <v>120.0</v>
      </c>
      <c r="L9" s="62">
        <v>592.0</v>
      </c>
      <c r="M9" s="62">
        <v>240.0</v>
      </c>
      <c r="N9" s="62">
        <v>0.0</v>
      </c>
      <c r="O9" s="62">
        <v>728.0</v>
      </c>
      <c r="P9" s="62">
        <v>1320.0</v>
      </c>
      <c r="Q9" s="62">
        <v>128.0</v>
      </c>
      <c r="R9" s="62">
        <v>616.0</v>
      </c>
      <c r="S9" s="62">
        <v>488.0</v>
      </c>
      <c r="T9" s="62">
        <v>0.0</v>
      </c>
      <c r="U9" s="62">
        <v>40.0</v>
      </c>
      <c r="V9" s="62">
        <v>0.0</v>
      </c>
      <c r="W9" s="62">
        <v>104.0</v>
      </c>
      <c r="X9" s="62">
        <v>16.0</v>
      </c>
      <c r="Y9" s="62">
        <v>96.0</v>
      </c>
      <c r="Z9" s="62">
        <v>40.0</v>
      </c>
      <c r="AA9" s="62">
        <v>128.0</v>
      </c>
      <c r="AB9" s="62">
        <v>224.0</v>
      </c>
      <c r="AC9" s="62">
        <v>80.0</v>
      </c>
      <c r="AD9" s="62">
        <v>280.0</v>
      </c>
      <c r="AE9" s="62">
        <v>528.0</v>
      </c>
      <c r="AF9" s="62">
        <v>0.0</v>
      </c>
      <c r="AG9" s="62">
        <v>160.0</v>
      </c>
      <c r="AH9" s="62">
        <v>0.0</v>
      </c>
    </row>
    <row r="10" ht="19.5" customHeight="1">
      <c r="A10" s="61" t="s">
        <v>285</v>
      </c>
      <c r="B10" s="62">
        <v>0.0</v>
      </c>
      <c r="C10" s="62">
        <v>0.0</v>
      </c>
      <c r="D10" s="62">
        <v>0.0</v>
      </c>
      <c r="E10" s="62">
        <v>0.0</v>
      </c>
      <c r="F10" s="62">
        <v>0.0</v>
      </c>
      <c r="G10" s="62">
        <v>0.0</v>
      </c>
      <c r="H10" s="62">
        <v>0.0</v>
      </c>
      <c r="I10" s="62">
        <v>0.0</v>
      </c>
      <c r="J10" s="62">
        <v>0.0</v>
      </c>
      <c r="K10" s="62">
        <v>0.0</v>
      </c>
      <c r="L10" s="62">
        <v>0.0</v>
      </c>
      <c r="M10" s="62">
        <v>0.0</v>
      </c>
      <c r="N10" s="62">
        <v>0.0</v>
      </c>
      <c r="O10" s="62">
        <v>0.0</v>
      </c>
      <c r="P10" s="62">
        <v>0.0</v>
      </c>
      <c r="Q10" s="62">
        <v>0.0</v>
      </c>
      <c r="R10" s="62">
        <v>0.0</v>
      </c>
      <c r="S10" s="62">
        <v>0.0</v>
      </c>
      <c r="T10" s="62">
        <v>0.0</v>
      </c>
      <c r="U10" s="62">
        <v>0.0</v>
      </c>
      <c r="V10" s="62">
        <v>0.0</v>
      </c>
      <c r="W10" s="62">
        <v>0.0</v>
      </c>
      <c r="X10" s="62">
        <v>0.0</v>
      </c>
      <c r="Y10" s="62">
        <v>0.0</v>
      </c>
      <c r="Z10" s="62">
        <v>0.0</v>
      </c>
      <c r="AA10" s="62">
        <v>0.0</v>
      </c>
      <c r="AB10" s="62">
        <v>0.0</v>
      </c>
      <c r="AC10" s="62">
        <v>0.0</v>
      </c>
      <c r="AD10" s="62">
        <v>0.0</v>
      </c>
      <c r="AE10" s="62">
        <v>0.0</v>
      </c>
      <c r="AF10" s="62">
        <v>0.0</v>
      </c>
      <c r="AG10" s="62">
        <v>0.0</v>
      </c>
      <c r="AH10" s="62">
        <v>0.0</v>
      </c>
    </row>
    <row r="11" ht="19.5" customHeight="1">
      <c r="A11" s="61" t="s">
        <v>286</v>
      </c>
      <c r="B11" s="62">
        <v>40.0</v>
      </c>
      <c r="C11" s="62">
        <v>0.0</v>
      </c>
      <c r="D11" s="62">
        <v>0.0</v>
      </c>
      <c r="E11" s="62">
        <v>298.0</v>
      </c>
      <c r="F11" s="62">
        <v>669.0</v>
      </c>
      <c r="G11" s="62">
        <v>770.0</v>
      </c>
      <c r="H11" s="62">
        <v>66.0</v>
      </c>
      <c r="I11" s="62">
        <v>719.0</v>
      </c>
      <c r="J11" s="62">
        <v>0.0</v>
      </c>
      <c r="K11" s="62">
        <v>0.0</v>
      </c>
      <c r="L11" s="62">
        <v>409.0</v>
      </c>
      <c r="M11" s="62">
        <v>37.0</v>
      </c>
      <c r="N11" s="62">
        <v>0.0</v>
      </c>
      <c r="O11" s="62">
        <v>266.0</v>
      </c>
      <c r="P11" s="62">
        <v>1118.0</v>
      </c>
      <c r="Q11" s="62">
        <v>0.0</v>
      </c>
      <c r="R11" s="62">
        <v>104.0</v>
      </c>
      <c r="S11" s="62">
        <v>144.0</v>
      </c>
      <c r="T11" s="62">
        <v>0.0</v>
      </c>
      <c r="U11" s="62">
        <v>0.0</v>
      </c>
      <c r="V11" s="62">
        <v>0.0</v>
      </c>
      <c r="W11" s="62">
        <v>1.0</v>
      </c>
      <c r="X11" s="62">
        <v>0.0</v>
      </c>
      <c r="Y11" s="62">
        <v>0.0</v>
      </c>
      <c r="Z11" s="62">
        <v>0.0</v>
      </c>
      <c r="AA11" s="62">
        <v>0.0</v>
      </c>
      <c r="AB11" s="62">
        <v>89.0</v>
      </c>
      <c r="AC11" s="62">
        <v>0.0</v>
      </c>
      <c r="AD11" s="62">
        <v>105.0</v>
      </c>
      <c r="AE11" s="62">
        <v>121.0</v>
      </c>
      <c r="AF11" s="62">
        <v>0.0</v>
      </c>
      <c r="AG11" s="62">
        <v>65.0</v>
      </c>
      <c r="AH11" s="62">
        <v>0.0</v>
      </c>
    </row>
    <row r="12" ht="19.5" customHeight="1">
      <c r="A12" s="61" t="s">
        <v>287</v>
      </c>
      <c r="B12" s="64">
        <f t="shared" ref="B12:AH12" si="1">SUM(B5:B11)</f>
        <v>378</v>
      </c>
      <c r="C12" s="64">
        <f t="shared" si="1"/>
        <v>109</v>
      </c>
      <c r="D12" s="64">
        <f t="shared" si="1"/>
        <v>249</v>
      </c>
      <c r="E12" s="64">
        <f t="shared" si="1"/>
        <v>948</v>
      </c>
      <c r="F12" s="64">
        <f t="shared" si="1"/>
        <v>1816</v>
      </c>
      <c r="G12" s="64">
        <f t="shared" si="1"/>
        <v>4222</v>
      </c>
      <c r="H12" s="64">
        <f t="shared" si="1"/>
        <v>475</v>
      </c>
      <c r="I12" s="64">
        <f t="shared" si="1"/>
        <v>2176</v>
      </c>
      <c r="J12" s="64">
        <f t="shared" si="1"/>
        <v>1.5</v>
      </c>
      <c r="K12" s="64">
        <f t="shared" si="1"/>
        <v>223</v>
      </c>
      <c r="L12" s="64">
        <f t="shared" si="1"/>
        <v>1143</v>
      </c>
      <c r="M12" s="64">
        <f t="shared" si="1"/>
        <v>333</v>
      </c>
      <c r="N12" s="64">
        <f t="shared" si="1"/>
        <v>0</v>
      </c>
      <c r="O12" s="64">
        <f t="shared" si="1"/>
        <v>1251.5</v>
      </c>
      <c r="P12" s="64">
        <f t="shared" si="1"/>
        <v>3520</v>
      </c>
      <c r="Q12" s="64">
        <f t="shared" si="1"/>
        <v>144</v>
      </c>
      <c r="R12" s="64">
        <f t="shared" si="1"/>
        <v>753</v>
      </c>
      <c r="S12" s="64">
        <f t="shared" si="1"/>
        <v>1123</v>
      </c>
      <c r="T12" s="64">
        <f t="shared" si="1"/>
        <v>1</v>
      </c>
      <c r="U12" s="64">
        <f t="shared" si="1"/>
        <v>40</v>
      </c>
      <c r="V12" s="64">
        <f t="shared" si="1"/>
        <v>3.5</v>
      </c>
      <c r="W12" s="64">
        <f t="shared" si="1"/>
        <v>105</v>
      </c>
      <c r="X12" s="64">
        <f t="shared" si="1"/>
        <v>26.5</v>
      </c>
      <c r="Y12" s="64">
        <f t="shared" si="1"/>
        <v>122</v>
      </c>
      <c r="Z12" s="64">
        <f t="shared" si="1"/>
        <v>40</v>
      </c>
      <c r="AA12" s="64">
        <f t="shared" si="1"/>
        <v>172.5</v>
      </c>
      <c r="AB12" s="64">
        <f t="shared" si="1"/>
        <v>342</v>
      </c>
      <c r="AC12" s="64">
        <f t="shared" si="1"/>
        <v>80</v>
      </c>
      <c r="AD12" s="64">
        <f t="shared" si="1"/>
        <v>394</v>
      </c>
      <c r="AE12" s="64">
        <f t="shared" si="1"/>
        <v>775</v>
      </c>
      <c r="AF12" s="64">
        <f t="shared" si="1"/>
        <v>9</v>
      </c>
      <c r="AG12" s="64">
        <f t="shared" si="1"/>
        <v>240</v>
      </c>
      <c r="AH12" s="64">
        <f t="shared" si="1"/>
        <v>16</v>
      </c>
    </row>
    <row r="13" ht="19.5" customHeight="1">
      <c r="A13" s="61" t="s">
        <v>288</v>
      </c>
      <c r="B13" s="65">
        <v>8.0</v>
      </c>
      <c r="C13" s="65">
        <v>2.0</v>
      </c>
      <c r="D13" s="65">
        <v>6.0</v>
      </c>
      <c r="E13" s="65">
        <v>15.0</v>
      </c>
      <c r="F13" s="65">
        <v>29.0</v>
      </c>
      <c r="G13" s="65">
        <v>65.0</v>
      </c>
      <c r="H13" s="65">
        <v>9.0</v>
      </c>
      <c r="I13" s="65">
        <v>32.0</v>
      </c>
      <c r="J13" s="65">
        <v>1.0</v>
      </c>
      <c r="K13" s="65">
        <v>7.0</v>
      </c>
      <c r="L13" s="65">
        <v>22.0</v>
      </c>
      <c r="M13" s="65">
        <v>8.0</v>
      </c>
      <c r="N13" s="65">
        <v>1.0</v>
      </c>
      <c r="O13" s="65">
        <v>21.0</v>
      </c>
      <c r="P13" s="65">
        <v>57.0</v>
      </c>
      <c r="Q13" s="65">
        <v>3.0</v>
      </c>
      <c r="R13" s="65">
        <v>10.0</v>
      </c>
      <c r="S13" s="65">
        <v>20.0</v>
      </c>
      <c r="T13" s="65">
        <v>2.0</v>
      </c>
      <c r="U13" s="65">
        <v>1.0</v>
      </c>
      <c r="V13" s="65">
        <v>1.0</v>
      </c>
      <c r="W13" s="65">
        <v>3.0</v>
      </c>
      <c r="X13" s="65">
        <v>1.0</v>
      </c>
      <c r="Y13" s="65">
        <v>5.0</v>
      </c>
      <c r="Z13" s="65">
        <v>1.0</v>
      </c>
      <c r="AA13" s="65">
        <v>5.0</v>
      </c>
      <c r="AB13" s="65">
        <v>7.0</v>
      </c>
      <c r="AC13" s="65">
        <v>2.0</v>
      </c>
      <c r="AD13" s="65">
        <v>8.0</v>
      </c>
      <c r="AE13" s="65">
        <v>20.0</v>
      </c>
      <c r="AF13" s="65">
        <v>1.0</v>
      </c>
      <c r="AG13" s="65">
        <v>7.0</v>
      </c>
      <c r="AH13" s="65">
        <v>3.0</v>
      </c>
    </row>
    <row r="14" ht="19.5" customHeight="1">
      <c r="A14" s="57"/>
      <c r="B14" s="57"/>
      <c r="C14" s="57"/>
      <c r="D14" s="57"/>
      <c r="E14" s="57"/>
      <c r="F14" s="57"/>
      <c r="G14" s="57"/>
      <c r="H14" s="57"/>
      <c r="I14" s="57"/>
      <c r="J14" s="57"/>
      <c r="K14" s="57"/>
      <c r="L14" s="57"/>
      <c r="M14" s="57"/>
      <c r="N14" s="57"/>
      <c r="O14" s="57"/>
      <c r="P14" s="66"/>
      <c r="Q14" s="57"/>
      <c r="R14" s="57"/>
      <c r="S14" s="57"/>
      <c r="T14" s="57"/>
      <c r="U14" s="57"/>
      <c r="V14" s="57"/>
      <c r="W14" s="57"/>
      <c r="X14" s="57"/>
      <c r="Y14" s="57"/>
      <c r="Z14" s="57"/>
      <c r="AA14" s="57"/>
      <c r="AB14" s="57"/>
      <c r="AC14" s="57"/>
      <c r="AD14" s="57"/>
      <c r="AE14" s="57"/>
      <c r="AF14" s="57"/>
      <c r="AG14" s="66"/>
      <c r="AH14" s="66"/>
    </row>
    <row r="15" ht="19.5" customHeight="1">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row>
    <row r="16" ht="19.5" customHeight="1">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row>
    <row r="17" ht="19.5" customHeight="1">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row>
    <row r="18" ht="19.5" customHeight="1">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row>
    <row r="19" ht="19.5" customHeight="1">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row>
    <row r="20" ht="19.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row>
    <row r="21" ht="19.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row>
    <row r="22" ht="19.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row>
    <row r="23" ht="19.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row>
    <row r="24" ht="19.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row>
    <row r="25" ht="19.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row>
    <row r="26" ht="19.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row>
    <row r="27" ht="19.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row>
    <row r="28" ht="19.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row>
    <row r="29" ht="19.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row>
    <row r="30" ht="19.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row>
    <row r="31" ht="19.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row>
    <row r="32" ht="19.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row>
    <row r="33" ht="19.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row>
    <row r="34" ht="19.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row>
    <row r="35" ht="19.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row>
    <row r="36" ht="19.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row>
    <row r="37" ht="19.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row>
    <row r="38" ht="19.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row>
    <row r="39" ht="19.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row>
    <row r="40" ht="19.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row>
    <row r="41" ht="19.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row>
    <row r="42" ht="19.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row>
    <row r="43" ht="19.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row>
    <row r="44" ht="19.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row>
    <row r="45" ht="19.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row>
    <row r="46" ht="19.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row>
    <row r="47" ht="19.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row>
    <row r="48" ht="19.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row>
    <row r="49" ht="19.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row>
    <row r="50" ht="19.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row>
    <row r="51" ht="19.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row>
    <row r="52" ht="19.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row>
    <row r="53" ht="19.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row>
    <row r="54" ht="19.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row>
    <row r="55" ht="19.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row>
    <row r="56" ht="19.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row>
    <row r="57" ht="19.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row>
    <row r="58" ht="19.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row>
    <row r="59" ht="19.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row>
    <row r="60" ht="19.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row>
    <row r="61" ht="19.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row>
    <row r="62" ht="19.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row>
    <row r="63" ht="19.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row>
    <row r="64" ht="19.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row>
    <row r="65" ht="19.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row>
    <row r="66" ht="19.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row>
    <row r="67" ht="19.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row>
    <row r="68" ht="19.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row>
    <row r="69" ht="19.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row>
    <row r="70" ht="19.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row>
    <row r="71" ht="19.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row>
    <row r="72" ht="19.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row>
    <row r="73" ht="19.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row>
    <row r="74" ht="19.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row>
    <row r="75" ht="19.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row>
    <row r="76" ht="19.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row>
    <row r="77" ht="19.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row>
    <row r="78" ht="19.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row>
    <row r="79" ht="19.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row>
    <row r="80" ht="19.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row>
    <row r="81" ht="19.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row>
    <row r="82" ht="19.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row>
    <row r="83" ht="19.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row>
    <row r="84" ht="19.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row>
    <row r="85" ht="19.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row>
    <row r="86" ht="19.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row>
    <row r="87" ht="19.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row>
    <row r="88" ht="19.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row>
    <row r="89" ht="19.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row>
    <row r="90" ht="19.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row>
    <row r="91" ht="19.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row>
    <row r="92" ht="19.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row>
    <row r="93" ht="19.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row>
    <row r="94" ht="19.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row>
    <row r="95" ht="19.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row>
    <row r="96" ht="19.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row>
    <row r="97" ht="19.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row>
    <row r="98" ht="19.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row>
    <row r="99" ht="19.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row>
    <row r="100" ht="19.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row>
    <row r="101" ht="19.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row>
    <row r="102" ht="19.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row>
    <row r="103" ht="19.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row>
    <row r="104" ht="19.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row>
    <row r="105" ht="19.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row>
    <row r="106" ht="19.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row>
    <row r="107" ht="19.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row>
    <row r="108" ht="19.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row>
    <row r="109" ht="19.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row>
    <row r="110" ht="19.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row>
    <row r="111" ht="19.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row>
    <row r="112" ht="19.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row>
    <row r="113" ht="19.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row>
    <row r="114" ht="19.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row>
    <row r="115" ht="19.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row>
    <row r="116" ht="19.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row>
    <row r="117" ht="19.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row>
    <row r="118" ht="19.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row>
    <row r="119" ht="19.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row>
    <row r="120" ht="19.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row>
    <row r="121" ht="19.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row>
    <row r="122" ht="19.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row>
    <row r="123" ht="19.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row>
    <row r="124" ht="19.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row>
    <row r="125" ht="19.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row>
    <row r="126" ht="19.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row>
    <row r="127" ht="19.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row>
    <row r="128" ht="19.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row>
    <row r="129" ht="19.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row>
    <row r="130" ht="19.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row>
    <row r="131" ht="19.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row>
    <row r="132" ht="19.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row>
    <row r="133" ht="19.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row>
    <row r="134" ht="19.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row>
    <row r="135" ht="19.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row>
    <row r="136" ht="19.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row>
    <row r="137" ht="19.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row>
    <row r="138" ht="19.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row>
    <row r="139" ht="19.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row>
    <row r="140" ht="19.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row>
    <row r="141" ht="19.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row>
    <row r="142" ht="19.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row>
    <row r="143" ht="19.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row>
    <row r="144" ht="19.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row>
    <row r="145" ht="19.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row>
    <row r="146" ht="19.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row>
    <row r="147" ht="19.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row>
    <row r="148" ht="19.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row>
    <row r="149" ht="19.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row>
    <row r="150" ht="19.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row>
    <row r="151" ht="19.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row>
    <row r="152" ht="19.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row>
    <row r="153" ht="19.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row>
    <row r="154" ht="19.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row>
    <row r="155" ht="19.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row>
    <row r="156" ht="19.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row>
    <row r="157" ht="19.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row>
    <row r="158" ht="19.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row>
    <row r="159" ht="19.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row>
    <row r="160" ht="19.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row>
    <row r="161" ht="19.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row>
    <row r="162" ht="19.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row>
    <row r="163" ht="19.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row>
    <row r="164" ht="19.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row>
    <row r="165" ht="19.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row>
    <row r="166" ht="19.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row>
    <row r="167" ht="19.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row>
    <row r="168" ht="19.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row>
    <row r="169" ht="19.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row>
    <row r="170" ht="19.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row>
    <row r="171" ht="19.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row>
    <row r="172" ht="19.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row>
    <row r="173" ht="19.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row>
    <row r="174" ht="19.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row>
    <row r="175" ht="19.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row>
    <row r="176" ht="19.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row>
    <row r="177" ht="19.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row>
    <row r="178" ht="19.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row>
    <row r="179" ht="19.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row>
    <row r="180" ht="19.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row>
    <row r="181" ht="19.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row>
    <row r="182" ht="19.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row>
    <row r="183" ht="19.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row>
    <row r="184" ht="19.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row>
    <row r="185" ht="19.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row>
    <row r="186" ht="19.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row>
    <row r="187" ht="19.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row>
    <row r="188" ht="19.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row>
    <row r="189" ht="19.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row>
    <row r="190" ht="19.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row>
    <row r="191" ht="19.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row>
    <row r="192" ht="19.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row>
    <row r="193" ht="19.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row>
    <row r="194" ht="19.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row>
    <row r="195" ht="19.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row>
    <row r="196" ht="19.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row>
    <row r="197" ht="19.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row>
    <row r="198" ht="19.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row>
    <row r="199" ht="19.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row>
    <row r="200" ht="19.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row>
    <row r="201" ht="19.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row>
    <row r="202" ht="19.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row>
    <row r="203" ht="19.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row>
    <row r="204" ht="19.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row>
    <row r="205" ht="19.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row>
    <row r="206" ht="19.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row>
    <row r="207" ht="19.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row>
    <row r="208" ht="19.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row>
    <row r="209" ht="19.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row>
    <row r="210" ht="19.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row>
    <row r="211" ht="19.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row>
    <row r="212" ht="19.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row>
    <row r="213" ht="19.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row>
    <row r="214" ht="19.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row>
    <row r="215" ht="19.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row>
    <row r="216" ht="19.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row>
    <row r="217" ht="19.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row>
    <row r="218" ht="19.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row>
    <row r="219" ht="19.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row>
    <row r="220" ht="19.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row>
    <row r="221" ht="19.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row>
    <row r="222" ht="19.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row>
    <row r="223" ht="19.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row>
    <row r="224" ht="19.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row>
    <row r="225" ht="19.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row>
    <row r="226" ht="19.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row>
    <row r="227" ht="19.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row>
    <row r="228" ht="19.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row>
    <row r="229" ht="19.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row>
    <row r="230" ht="19.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row>
    <row r="231" ht="19.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row>
    <row r="232" ht="19.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row>
    <row r="233" ht="19.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row>
    <row r="234" ht="19.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row>
    <row r="235" ht="19.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row>
    <row r="236" ht="19.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row>
    <row r="237" ht="19.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row>
    <row r="238" ht="19.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row>
    <row r="239" ht="19.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row>
    <row r="240" ht="19.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row>
    <row r="241" ht="19.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row>
    <row r="242" ht="19.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row>
    <row r="243" ht="19.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row>
    <row r="244" ht="19.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row>
    <row r="245" ht="19.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row>
    <row r="246" ht="19.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row>
    <row r="247" ht="19.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row>
    <row r="248" ht="19.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row>
    <row r="249" ht="19.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row>
    <row r="250" ht="19.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row>
    <row r="251" ht="19.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row>
    <row r="252" ht="19.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row>
    <row r="253" ht="19.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row>
    <row r="254" ht="19.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row>
    <row r="255" ht="19.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row>
    <row r="256" ht="19.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row>
    <row r="257" ht="19.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row>
    <row r="258" ht="19.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row>
    <row r="259" ht="19.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row>
    <row r="260" ht="19.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row>
    <row r="261" ht="19.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row>
    <row r="262" ht="19.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row>
    <row r="263" ht="19.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row>
    <row r="264" ht="19.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row>
    <row r="265" ht="19.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row>
    <row r="266" ht="19.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row>
    <row r="267" ht="19.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row>
    <row r="268" ht="19.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row>
    <row r="269" ht="19.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row>
    <row r="270" ht="19.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row>
    <row r="271" ht="19.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row>
    <row r="272" ht="19.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row>
    <row r="273" ht="19.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row>
    <row r="274" ht="19.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row>
    <row r="275" ht="19.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row>
    <row r="276" ht="19.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row>
    <row r="277" ht="19.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row>
    <row r="278" ht="19.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row>
    <row r="279" ht="19.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row>
    <row r="280" ht="19.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row>
    <row r="281" ht="19.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row>
    <row r="282" ht="19.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row>
    <row r="283" ht="19.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row>
    <row r="284" ht="19.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row>
    <row r="285" ht="19.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row>
    <row r="286" ht="19.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row>
    <row r="287" ht="19.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row>
    <row r="288" ht="19.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row>
    <row r="289" ht="19.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row>
    <row r="290" ht="19.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row>
    <row r="291" ht="19.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row>
    <row r="292" ht="19.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row>
    <row r="293" ht="19.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row>
    <row r="294" ht="19.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row>
    <row r="295" ht="19.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row>
    <row r="296" ht="19.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row>
    <row r="297" ht="19.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row>
    <row r="298" ht="19.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row>
    <row r="299" ht="19.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row>
    <row r="300" ht="19.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row>
    <row r="301" ht="19.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row>
    <row r="302" ht="19.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row>
    <row r="303" ht="19.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row>
    <row r="304" ht="19.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row>
    <row r="305" ht="19.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row>
    <row r="306" ht="19.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row>
    <row r="307" ht="19.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row>
    <row r="308" ht="19.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row>
    <row r="309" ht="19.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row>
    <row r="310" ht="19.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row>
    <row r="311" ht="19.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row>
    <row r="312" ht="19.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row>
    <row r="313" ht="19.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row>
    <row r="314" ht="19.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row>
    <row r="315" ht="19.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row>
    <row r="316" ht="19.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row>
    <row r="317" ht="19.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row>
    <row r="318" ht="19.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row>
    <row r="319" ht="19.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row>
    <row r="320" ht="19.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row>
    <row r="321" ht="19.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row>
    <row r="322" ht="19.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row>
    <row r="323" ht="19.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row>
    <row r="324" ht="19.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row>
    <row r="325" ht="19.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row>
    <row r="326" ht="19.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row>
    <row r="327" ht="19.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row>
    <row r="328" ht="19.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row>
    <row r="329" ht="19.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row>
    <row r="330" ht="19.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row>
    <row r="331" ht="19.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row>
    <row r="332" ht="19.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row>
    <row r="333" ht="19.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row>
    <row r="334" ht="19.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row>
    <row r="335" ht="19.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row>
    <row r="336" ht="19.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row>
    <row r="337" ht="19.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row>
    <row r="338" ht="19.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row>
    <row r="339" ht="19.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row>
    <row r="340" ht="19.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row>
    <row r="341" ht="19.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row>
    <row r="342" ht="19.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row>
    <row r="343" ht="19.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row>
    <row r="344" ht="19.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row>
    <row r="345" ht="19.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row>
    <row r="346" ht="19.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row>
    <row r="347" ht="19.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row>
    <row r="348" ht="19.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row>
    <row r="349" ht="19.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row>
    <row r="350" ht="19.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row>
    <row r="351" ht="19.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row>
    <row r="352" ht="19.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row>
    <row r="353" ht="19.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row>
    <row r="354" ht="19.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row>
    <row r="355" ht="19.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row>
    <row r="356" ht="19.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row>
    <row r="357" ht="19.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row>
    <row r="358" ht="19.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row>
    <row r="359" ht="19.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row>
    <row r="360" ht="19.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row>
    <row r="361" ht="19.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row>
    <row r="362" ht="19.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row>
    <row r="363" ht="19.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row>
    <row r="364" ht="19.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row>
    <row r="365" ht="19.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row>
    <row r="366" ht="19.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row>
    <row r="367" ht="19.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row>
    <row r="368" ht="19.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row>
    <row r="369" ht="19.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row>
    <row r="370" ht="19.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row>
    <row r="371" ht="19.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row>
    <row r="372" ht="19.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row>
    <row r="373" ht="19.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row>
    <row r="374" ht="19.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row>
    <row r="375" ht="19.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row>
    <row r="376" ht="19.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row>
    <row r="377" ht="19.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row>
    <row r="378" ht="19.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row>
    <row r="379" ht="19.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row>
    <row r="380" ht="19.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row>
    <row r="381" ht="19.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row>
    <row r="382" ht="19.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row>
    <row r="383" ht="19.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row>
    <row r="384" ht="19.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row>
    <row r="385" ht="19.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row>
    <row r="386" ht="19.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row>
    <row r="387" ht="19.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row>
    <row r="388" ht="19.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row>
    <row r="389" ht="19.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row>
    <row r="390" ht="19.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row>
    <row r="391" ht="19.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row>
    <row r="392" ht="19.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row>
    <row r="393" ht="19.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row>
    <row r="394" ht="19.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row>
    <row r="395" ht="19.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row>
    <row r="396" ht="19.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row>
    <row r="397" ht="19.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row>
    <row r="398" ht="19.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row>
    <row r="399" ht="19.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row>
    <row r="400" ht="19.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row>
    <row r="401" ht="19.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row>
    <row r="402" ht="19.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row>
    <row r="403" ht="19.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row>
    <row r="404" ht="19.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row>
    <row r="405" ht="19.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row>
    <row r="406" ht="19.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row>
    <row r="407" ht="19.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row>
    <row r="408" ht="19.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row>
    <row r="409" ht="19.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row>
    <row r="410" ht="19.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row>
    <row r="411" ht="19.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row>
    <row r="412" ht="19.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row>
    <row r="413" ht="19.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row>
    <row r="414" ht="19.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row>
    <row r="415" ht="19.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row>
    <row r="416" ht="19.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row>
    <row r="417" ht="19.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row>
    <row r="418" ht="19.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row>
    <row r="419" ht="19.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row>
    <row r="420" ht="19.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row>
    <row r="421" ht="19.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row>
    <row r="422" ht="19.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row>
    <row r="423" ht="19.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row>
    <row r="424" ht="19.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row>
    <row r="425" ht="19.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row>
    <row r="426" ht="19.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row>
    <row r="427" ht="19.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row>
    <row r="428" ht="19.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row>
    <row r="429" ht="19.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row>
    <row r="430" ht="19.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row>
    <row r="431" ht="19.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row>
    <row r="432" ht="19.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row>
    <row r="433" ht="19.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row>
    <row r="434" ht="19.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row>
    <row r="435" ht="19.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row>
    <row r="436" ht="19.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row>
    <row r="437" ht="19.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row>
    <row r="438" ht="19.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row>
    <row r="439" ht="19.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row>
    <row r="440" ht="19.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row>
    <row r="441" ht="19.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row>
    <row r="442" ht="19.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row>
    <row r="443" ht="19.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row>
    <row r="444" ht="19.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row>
    <row r="445" ht="19.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row>
    <row r="446" ht="19.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row>
    <row r="447" ht="19.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row>
    <row r="448" ht="19.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row>
    <row r="449" ht="19.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row>
    <row r="450" ht="19.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row>
    <row r="451" ht="19.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row>
    <row r="452" ht="19.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row>
    <row r="453" ht="19.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row>
    <row r="454" ht="19.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row>
    <row r="455" ht="19.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row>
    <row r="456" ht="19.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row>
    <row r="457" ht="19.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row>
    <row r="458" ht="19.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row>
    <row r="459" ht="19.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row>
    <row r="460" ht="19.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row>
    <row r="461" ht="19.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row>
    <row r="462" ht="19.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row>
    <row r="463" ht="19.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row>
    <row r="464" ht="19.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row>
    <row r="465" ht="19.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row>
    <row r="466" ht="19.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row>
    <row r="467" ht="19.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row>
    <row r="468" ht="19.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row>
    <row r="469" ht="19.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row>
    <row r="470" ht="19.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row>
    <row r="471" ht="19.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row>
    <row r="472" ht="19.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row>
    <row r="473" ht="19.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row>
    <row r="474" ht="19.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row>
    <row r="475" ht="19.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row>
    <row r="476" ht="19.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row>
    <row r="477" ht="19.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row>
    <row r="478" ht="19.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row>
    <row r="479" ht="19.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row>
    <row r="480" ht="19.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row>
    <row r="481" ht="19.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row>
    <row r="482" ht="19.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row>
    <row r="483" ht="19.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row>
    <row r="484" ht="19.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row>
    <row r="485" ht="19.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row>
    <row r="486" ht="19.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row>
    <row r="487" ht="19.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row>
    <row r="488" ht="19.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row>
    <row r="489" ht="19.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row>
    <row r="490" ht="19.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row>
    <row r="491" ht="19.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row>
    <row r="492" ht="19.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row>
    <row r="493" ht="19.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row>
    <row r="494" ht="19.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row>
    <row r="495" ht="19.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row>
    <row r="496" ht="19.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row>
    <row r="497" ht="19.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row>
    <row r="498" ht="19.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row>
    <row r="499" ht="19.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row>
    <row r="500" ht="19.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row>
    <row r="501" ht="19.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row>
    <row r="502" ht="19.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row>
    <row r="503" ht="19.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row>
    <row r="504" ht="19.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row>
    <row r="505" ht="19.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row>
    <row r="506" ht="19.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row>
    <row r="507" ht="19.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row>
    <row r="508" ht="19.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row>
    <row r="509" ht="19.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row>
    <row r="510" ht="19.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row>
    <row r="511" ht="19.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row>
    <row r="512" ht="19.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row>
    <row r="513" ht="19.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row>
    <row r="514" ht="19.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row>
    <row r="515" ht="19.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row>
    <row r="516" ht="19.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row>
    <row r="517" ht="19.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row>
    <row r="518" ht="19.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row>
    <row r="519" ht="19.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row>
    <row r="520" ht="19.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row>
    <row r="521" ht="19.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row>
    <row r="522" ht="19.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row>
    <row r="523" ht="19.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row>
    <row r="524" ht="19.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row>
    <row r="525" ht="19.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row>
    <row r="526" ht="19.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row>
    <row r="527" ht="19.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row>
    <row r="528" ht="19.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row>
    <row r="529" ht="19.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row>
    <row r="530" ht="19.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row>
    <row r="531" ht="19.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row>
    <row r="532" ht="19.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row>
    <row r="533" ht="19.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row>
    <row r="534" ht="19.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row>
    <row r="535" ht="19.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row>
    <row r="536" ht="19.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row>
    <row r="537" ht="19.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row>
    <row r="538" ht="19.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row>
    <row r="539" ht="19.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row>
    <row r="540" ht="19.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row>
    <row r="541" ht="19.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row>
    <row r="542" ht="19.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row>
    <row r="543" ht="19.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row>
    <row r="544" ht="19.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row>
    <row r="545" ht="19.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row>
    <row r="546" ht="19.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row>
    <row r="547" ht="19.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row>
    <row r="548" ht="19.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row>
    <row r="549" ht="19.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row>
    <row r="550" ht="19.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row>
    <row r="551" ht="19.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row>
    <row r="552" ht="19.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row>
    <row r="553" ht="19.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row>
    <row r="554" ht="19.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row>
    <row r="555" ht="19.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row>
    <row r="556" ht="19.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row>
    <row r="557" ht="19.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row>
    <row r="558" ht="19.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row>
    <row r="559" ht="19.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row>
    <row r="560" ht="19.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row>
    <row r="561" ht="19.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row>
    <row r="562" ht="19.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row>
    <row r="563" ht="19.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row>
    <row r="564" ht="19.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row>
    <row r="565" ht="19.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row>
    <row r="566" ht="19.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row>
    <row r="567" ht="19.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row>
    <row r="568" ht="19.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row>
    <row r="569" ht="19.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row>
    <row r="570" ht="19.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row>
    <row r="571" ht="19.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row>
    <row r="572" ht="19.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row>
    <row r="573" ht="19.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row>
    <row r="574" ht="19.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row>
    <row r="575" ht="19.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row>
    <row r="576" ht="19.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row>
    <row r="577" ht="19.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row>
    <row r="578" ht="19.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row>
    <row r="579" ht="19.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row>
    <row r="580" ht="19.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row>
    <row r="581" ht="19.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row>
    <row r="582" ht="19.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row>
    <row r="583" ht="19.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row>
    <row r="584" ht="19.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row>
    <row r="585" ht="19.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row>
    <row r="586" ht="19.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row>
    <row r="587" ht="19.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row>
    <row r="588" ht="19.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row>
    <row r="589" ht="19.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row>
    <row r="590" ht="19.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row>
    <row r="591" ht="19.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row>
    <row r="592" ht="19.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row>
    <row r="593" ht="19.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row>
    <row r="594" ht="19.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row>
    <row r="595" ht="19.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row>
    <row r="596" ht="19.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row>
    <row r="597" ht="19.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row>
    <row r="598" ht="19.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row>
    <row r="599" ht="19.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row>
    <row r="600" ht="19.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row>
    <row r="601" ht="19.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row>
    <row r="602" ht="19.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row>
    <row r="603" ht="19.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row>
    <row r="604" ht="19.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row>
    <row r="605" ht="19.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row>
    <row r="606" ht="19.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row>
    <row r="607" ht="19.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row>
    <row r="608" ht="19.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row>
    <row r="609" ht="19.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row>
    <row r="610" ht="19.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row>
    <row r="611" ht="19.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row>
    <row r="612" ht="19.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row>
    <row r="613" ht="19.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row>
    <row r="614" ht="19.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row>
    <row r="615" ht="19.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row>
    <row r="616" ht="19.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row>
    <row r="617" ht="19.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row>
    <row r="618" ht="19.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row>
    <row r="619" ht="19.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row>
    <row r="620" ht="19.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row>
    <row r="621" ht="19.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row>
    <row r="622" ht="19.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row>
    <row r="623" ht="19.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row>
    <row r="624" ht="19.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row>
    <row r="625" ht="19.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row>
    <row r="626" ht="19.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row>
    <row r="627" ht="19.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row>
    <row r="628" ht="19.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row>
    <row r="629" ht="19.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row>
    <row r="630" ht="19.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row>
    <row r="631" ht="19.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row>
    <row r="632" ht="19.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row>
    <row r="633" ht="19.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row>
    <row r="634" ht="19.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row>
    <row r="635" ht="19.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row>
    <row r="636" ht="19.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row>
    <row r="637" ht="19.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row>
    <row r="638" ht="19.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row>
    <row r="639" ht="19.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row>
    <row r="640" ht="19.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row>
    <row r="641" ht="19.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row>
    <row r="642" ht="19.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row>
    <row r="643" ht="19.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row>
    <row r="644" ht="19.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row>
    <row r="645" ht="19.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row>
    <row r="646" ht="19.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row>
    <row r="647" ht="19.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row>
    <row r="648" ht="19.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row>
    <row r="649" ht="19.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row>
    <row r="650" ht="19.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row>
    <row r="651" ht="19.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row>
    <row r="652" ht="19.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row>
    <row r="653" ht="19.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row>
    <row r="654" ht="19.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row>
    <row r="655" ht="19.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row>
    <row r="656" ht="19.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row>
    <row r="657" ht="19.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row>
    <row r="658" ht="19.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row>
    <row r="659" ht="19.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row>
    <row r="660" ht="19.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row>
    <row r="661" ht="19.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row>
    <row r="662" ht="19.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row>
    <row r="663" ht="19.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row>
    <row r="664" ht="19.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row>
    <row r="665" ht="19.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row>
    <row r="666" ht="19.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row>
    <row r="667" ht="19.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row>
    <row r="668" ht="19.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row>
    <row r="669" ht="19.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row>
    <row r="670" ht="19.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row>
    <row r="671" ht="19.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row>
    <row r="672" ht="19.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row>
    <row r="673" ht="19.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row>
    <row r="674" ht="19.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row>
    <row r="675" ht="19.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row>
    <row r="676" ht="19.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row>
    <row r="677" ht="19.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row>
    <row r="678" ht="19.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row>
    <row r="679" ht="19.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row>
    <row r="680" ht="19.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row>
    <row r="681" ht="19.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row>
    <row r="682" ht="19.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row>
    <row r="683" ht="19.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row>
    <row r="684" ht="19.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row>
    <row r="685" ht="19.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row>
    <row r="686" ht="19.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row>
    <row r="687" ht="19.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row>
    <row r="688" ht="19.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row>
    <row r="689" ht="19.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row>
    <row r="690" ht="19.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row>
    <row r="691" ht="19.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row>
    <row r="692" ht="19.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row>
    <row r="693" ht="19.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row>
    <row r="694" ht="19.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row>
    <row r="695" ht="19.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row>
    <row r="696" ht="19.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row>
    <row r="697" ht="19.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row>
    <row r="698" ht="19.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row>
    <row r="699" ht="19.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row>
    <row r="700" ht="19.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row>
    <row r="701" ht="19.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row>
    <row r="702" ht="19.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row>
    <row r="703" ht="19.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row>
    <row r="704" ht="19.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row>
    <row r="705" ht="19.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row>
    <row r="706" ht="19.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row>
    <row r="707" ht="19.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row>
    <row r="708" ht="19.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row>
    <row r="709" ht="19.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row>
    <row r="710" ht="19.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row>
    <row r="711" ht="19.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row>
    <row r="712" ht="19.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row>
    <row r="713" ht="19.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row>
    <row r="714" ht="19.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row>
    <row r="715" ht="19.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row>
    <row r="716" ht="19.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row>
    <row r="717" ht="19.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row>
    <row r="718" ht="19.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row>
    <row r="719" ht="19.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row>
    <row r="720" ht="19.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row>
    <row r="721" ht="19.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row>
    <row r="722" ht="19.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row>
    <row r="723" ht="19.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row>
    <row r="724" ht="19.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row>
    <row r="725" ht="19.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row>
    <row r="726" ht="19.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row>
    <row r="727" ht="19.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row>
    <row r="728" ht="19.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row>
    <row r="729" ht="19.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row>
    <row r="730" ht="19.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row>
    <row r="731" ht="19.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row>
    <row r="732" ht="19.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row>
    <row r="733" ht="19.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row>
    <row r="734" ht="19.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row>
    <row r="735" ht="19.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row>
    <row r="736" ht="19.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row>
    <row r="737" ht="19.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row>
    <row r="738" ht="19.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row>
    <row r="739" ht="19.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row>
    <row r="740" ht="19.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row>
    <row r="741" ht="19.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row>
    <row r="742" ht="19.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row>
    <row r="743" ht="19.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row>
    <row r="744" ht="19.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row>
    <row r="745" ht="19.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row>
    <row r="746" ht="19.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row>
    <row r="747" ht="19.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row>
    <row r="748" ht="19.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row>
    <row r="749" ht="19.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row>
    <row r="750" ht="19.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row>
    <row r="751" ht="19.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row>
    <row r="752" ht="19.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row>
    <row r="753" ht="19.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row>
    <row r="754" ht="19.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row>
    <row r="755" ht="19.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row>
    <row r="756" ht="19.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row>
    <row r="757" ht="19.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row>
    <row r="758" ht="19.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row>
    <row r="759" ht="19.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row>
    <row r="760" ht="19.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row>
    <row r="761" ht="19.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row>
    <row r="762" ht="19.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row>
    <row r="763" ht="19.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row>
    <row r="764" ht="19.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row>
    <row r="765" ht="19.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row>
    <row r="766" ht="19.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row>
    <row r="767" ht="19.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row>
    <row r="768" ht="19.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row>
    <row r="769" ht="19.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row>
    <row r="770" ht="19.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row>
    <row r="771" ht="19.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row>
    <row r="772" ht="19.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row>
    <row r="773" ht="19.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row>
    <row r="774" ht="19.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row>
    <row r="775" ht="19.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row>
    <row r="776" ht="19.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row>
    <row r="777" ht="19.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row>
    <row r="778" ht="19.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row>
    <row r="779" ht="19.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row>
    <row r="780" ht="19.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row>
    <row r="781" ht="19.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row>
    <row r="782" ht="19.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row>
    <row r="783" ht="19.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row>
    <row r="784" ht="19.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row>
    <row r="785" ht="19.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row>
    <row r="786" ht="19.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row>
    <row r="787" ht="19.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row>
    <row r="788" ht="19.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row>
    <row r="789" ht="19.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row>
    <row r="790" ht="19.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row>
    <row r="791" ht="19.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row>
    <row r="792" ht="19.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row>
    <row r="793" ht="19.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row>
    <row r="794" ht="19.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row>
    <row r="795" ht="19.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row>
    <row r="796" ht="19.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row>
    <row r="797" ht="19.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row>
    <row r="798" ht="19.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row>
    <row r="799" ht="19.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row>
    <row r="800" ht="19.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row>
    <row r="801" ht="19.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row>
    <row r="802" ht="19.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row>
    <row r="803" ht="19.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row>
    <row r="804" ht="19.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row>
    <row r="805" ht="19.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row>
    <row r="806" ht="19.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row>
    <row r="807" ht="19.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row>
    <row r="808" ht="19.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row>
    <row r="809" ht="19.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row>
    <row r="810" ht="19.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row>
    <row r="811" ht="19.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row>
    <row r="812" ht="19.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row>
    <row r="813" ht="19.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row>
    <row r="814" ht="19.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row>
    <row r="815" ht="19.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row>
    <row r="816" ht="19.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row>
    <row r="817" ht="19.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row>
    <row r="818" ht="19.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row>
    <row r="819" ht="19.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row>
    <row r="820" ht="19.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row>
    <row r="821" ht="19.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row>
    <row r="822" ht="19.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row>
    <row r="823" ht="19.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row>
    <row r="824" ht="19.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row>
    <row r="825" ht="19.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row>
    <row r="826" ht="19.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row>
    <row r="827" ht="19.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row>
    <row r="828" ht="19.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row>
    <row r="829" ht="19.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row>
    <row r="830" ht="19.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row>
    <row r="831" ht="19.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row>
    <row r="832" ht="19.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row>
    <row r="833" ht="19.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row>
    <row r="834" ht="19.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row>
    <row r="835" ht="19.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row>
    <row r="836" ht="19.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row>
    <row r="837" ht="19.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row>
    <row r="838" ht="19.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row>
    <row r="839" ht="19.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row>
    <row r="840" ht="19.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row>
    <row r="841" ht="19.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row>
    <row r="842" ht="19.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row>
    <row r="843" ht="19.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row>
    <row r="844" ht="19.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row>
    <row r="845" ht="19.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row>
    <row r="846" ht="19.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row>
    <row r="847" ht="19.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row>
    <row r="848" ht="19.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row>
    <row r="849" ht="19.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row>
    <row r="850" ht="19.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row>
    <row r="851" ht="19.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row>
    <row r="852" ht="19.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row>
    <row r="853" ht="19.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row>
    <row r="854" ht="19.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row>
    <row r="855" ht="19.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row>
    <row r="856" ht="19.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row>
    <row r="857" ht="19.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row>
    <row r="858" ht="19.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row>
    <row r="859" ht="19.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row>
    <row r="860" ht="19.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row>
    <row r="861" ht="19.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row>
    <row r="862" ht="19.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row>
    <row r="863" ht="19.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row>
    <row r="864" ht="19.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row>
    <row r="865" ht="19.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row>
    <row r="866" ht="19.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row>
    <row r="867" ht="19.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row>
    <row r="868" ht="19.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row>
    <row r="869" ht="19.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row>
    <row r="870" ht="19.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row>
    <row r="871" ht="19.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row>
    <row r="872" ht="19.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row>
    <row r="873" ht="19.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row>
    <row r="874" ht="19.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row>
    <row r="875" ht="19.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row>
    <row r="876" ht="19.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row>
    <row r="877" ht="19.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row>
    <row r="878" ht="19.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row>
    <row r="879" ht="19.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row>
    <row r="880" ht="19.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row>
    <row r="881" ht="19.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row>
    <row r="882" ht="19.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row>
    <row r="883" ht="19.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row>
    <row r="884" ht="19.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row>
    <row r="885" ht="19.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row>
    <row r="886" ht="19.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row>
    <row r="887" ht="19.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row>
    <row r="888" ht="19.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row>
    <row r="889" ht="19.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row>
    <row r="890" ht="19.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row>
    <row r="891" ht="19.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row>
    <row r="892" ht="19.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row>
    <row r="893" ht="19.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row>
    <row r="894" ht="19.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row>
    <row r="895" ht="19.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row>
    <row r="896" ht="19.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row>
    <row r="897" ht="19.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row>
    <row r="898" ht="19.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row>
    <row r="899" ht="19.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row>
    <row r="900" ht="19.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row>
    <row r="901" ht="19.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row>
    <row r="902" ht="19.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row>
    <row r="903" ht="19.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row>
    <row r="904" ht="19.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row>
    <row r="905" ht="19.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row>
    <row r="906" ht="19.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row>
    <row r="907" ht="19.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row>
    <row r="908" ht="19.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row>
    <row r="909" ht="19.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row>
    <row r="910" ht="19.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row>
    <row r="911" ht="19.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row>
    <row r="912" ht="19.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row>
    <row r="913" ht="19.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row>
    <row r="914" ht="19.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row>
    <row r="915" ht="19.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row>
    <row r="916" ht="19.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row>
    <row r="917" ht="19.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row>
    <row r="918" ht="19.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row>
    <row r="919" ht="19.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row>
    <row r="920" ht="19.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row>
    <row r="921" ht="19.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row>
    <row r="922" ht="19.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row>
    <row r="923" ht="19.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row>
    <row r="924" ht="19.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row>
    <row r="925" ht="19.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row>
    <row r="926" ht="19.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row>
    <row r="927" ht="19.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row>
    <row r="928" ht="19.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row>
    <row r="929" ht="19.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row>
    <row r="930" ht="19.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row>
    <row r="931" ht="19.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row>
    <row r="932" ht="19.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row>
    <row r="933" ht="19.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row>
    <row r="934" ht="19.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row>
    <row r="935" ht="19.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row>
    <row r="936" ht="19.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row>
    <row r="937" ht="19.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row>
    <row r="938" ht="19.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row>
    <row r="939" ht="19.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row>
    <row r="940" ht="19.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row>
    <row r="941" ht="19.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row>
    <row r="942" ht="19.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row>
    <row r="943" ht="19.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row>
    <row r="944" ht="19.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row>
    <row r="945" ht="19.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row>
    <row r="946" ht="19.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row>
    <row r="947" ht="19.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row>
    <row r="948" ht="19.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row>
    <row r="949" ht="19.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row>
    <row r="950" ht="19.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row>
    <row r="951" ht="19.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row>
    <row r="952" ht="19.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row>
    <row r="953" ht="19.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row>
    <row r="954" ht="19.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row>
    <row r="955" ht="19.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row>
    <row r="956" ht="19.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row>
    <row r="957" ht="19.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row>
    <row r="958" ht="19.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row>
    <row r="959" ht="19.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row>
    <row r="960" ht="19.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row>
    <row r="961" ht="19.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row>
    <row r="962" ht="19.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row>
    <row r="963" ht="19.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row>
    <row r="964" ht="19.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row>
    <row r="965" ht="19.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row>
    <row r="966" ht="19.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row>
    <row r="967" ht="19.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row>
    <row r="968" ht="19.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row>
    <row r="969" ht="19.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row>
    <row r="970" ht="19.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row>
    <row r="971" ht="19.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row>
    <row r="972" ht="19.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row>
    <row r="973" ht="19.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row>
    <row r="974" ht="19.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row>
    <row r="975" ht="19.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row>
    <row r="976" ht="19.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row>
    <row r="977" ht="19.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row>
    <row r="978" ht="19.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row>
    <row r="979" ht="19.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row>
    <row r="980" ht="19.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row>
    <row r="981" ht="19.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row>
    <row r="982" ht="19.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row>
    <row r="983" ht="19.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row>
    <row r="984" ht="19.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row>
    <row r="985" ht="19.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row>
    <row r="986" ht="19.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row>
    <row r="987" ht="19.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row>
    <row r="988" ht="19.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row>
    <row r="989" ht="19.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row>
    <row r="990" ht="19.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row>
    <row r="991" ht="19.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row>
    <row r="992" ht="19.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row>
    <row r="993" ht="19.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row>
    <row r="994" ht="19.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row>
    <row r="995" ht="19.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row>
    <row r="996" ht="19.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row>
    <row r="997" ht="19.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row>
    <row r="998" ht="19.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row>
    <row r="999" ht="19.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row>
    <row r="1000" ht="19.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row>
  </sheetData>
  <mergeCells count="1">
    <mergeCell ref="A3:AH3"/>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workbookViewId="0"/>
  </sheetViews>
  <sheetFormatPr customHeight="1" defaultColWidth="12.63" defaultRowHeight="15.0"/>
  <cols>
    <col customWidth="1" min="1" max="1" width="21.25"/>
    <col customWidth="1" min="2" max="2" width="12.75"/>
    <col customWidth="1" min="3" max="3" width="17.25"/>
    <col customWidth="1" min="4" max="4" width="12.88"/>
    <col customWidth="1" min="5" max="5" width="20.25"/>
    <col customWidth="1" min="6" max="6" width="23.25"/>
    <col customWidth="1" min="7" max="7" width="20.13"/>
    <col customWidth="1" min="8" max="8" width="24.75"/>
    <col customWidth="1" min="9" max="9" width="32.5"/>
    <col customWidth="1" min="10" max="10" width="28.63"/>
    <col customWidth="1" min="11" max="11" width="13.25"/>
    <col customWidth="1" min="12" max="12" width="15.88"/>
    <col customWidth="1" min="13" max="13" width="21.63"/>
    <col customWidth="1" min="14" max="14" width="20.13"/>
    <col customWidth="1" min="15" max="15" width="14.38"/>
    <col customWidth="1" min="16" max="16" width="24.75"/>
    <col customWidth="1" min="17" max="17" width="17.13"/>
    <col customWidth="1" min="18" max="18" width="26.88"/>
    <col customWidth="1" min="19" max="19" width="14.5"/>
    <col customWidth="1" min="20" max="20" width="15.5"/>
    <col customWidth="1" min="21" max="21" width="17.63"/>
    <col customWidth="1" min="22" max="22" width="20.13"/>
    <col customWidth="1" min="23" max="23" width="23.0"/>
    <col customWidth="1" min="24" max="24" width="12.75"/>
    <col customWidth="1" min="25" max="25" width="21.25"/>
    <col customWidth="1" min="26" max="26" width="10.63"/>
  </cols>
  <sheetData>
    <row r="1" ht="12.75" customHeight="1">
      <c r="A1" s="67" t="s">
        <v>289</v>
      </c>
      <c r="B1" s="8"/>
      <c r="C1" s="8"/>
      <c r="D1" s="8"/>
      <c r="E1" s="8"/>
      <c r="F1" s="8"/>
      <c r="G1" s="8"/>
      <c r="H1" s="8"/>
      <c r="I1" s="8"/>
      <c r="J1" s="8"/>
      <c r="K1" s="8"/>
      <c r="L1" s="8"/>
      <c r="M1" s="8"/>
      <c r="N1" s="8"/>
      <c r="O1" s="8"/>
      <c r="P1" s="8"/>
      <c r="Q1" s="8"/>
      <c r="R1" s="8"/>
      <c r="S1" s="8"/>
      <c r="T1" s="8"/>
      <c r="U1" s="8"/>
      <c r="V1" s="8"/>
      <c r="W1" s="8"/>
      <c r="X1" s="8"/>
      <c r="Y1" s="9"/>
    </row>
    <row r="2" ht="12.75" customHeight="1"/>
    <row r="3" ht="15.75" customHeight="1">
      <c r="A3" s="68" t="s">
        <v>290</v>
      </c>
      <c r="B3" s="69"/>
      <c r="C3" s="69"/>
      <c r="D3" s="69"/>
      <c r="E3" s="69"/>
      <c r="F3" s="69"/>
      <c r="G3" s="69"/>
      <c r="H3" s="69"/>
      <c r="I3" s="69"/>
      <c r="J3" s="69"/>
      <c r="K3" s="69"/>
      <c r="L3" s="69"/>
      <c r="M3" s="69"/>
      <c r="N3" s="69"/>
      <c r="O3" s="69"/>
      <c r="P3" s="69"/>
      <c r="Q3" s="69"/>
      <c r="R3" s="69"/>
      <c r="S3" s="69"/>
      <c r="T3" s="69"/>
      <c r="U3" s="69"/>
      <c r="V3" s="69"/>
      <c r="W3" s="69"/>
      <c r="X3" s="69"/>
      <c r="Y3" s="70"/>
    </row>
    <row r="4" ht="12.75" customHeight="1">
      <c r="A4" s="61"/>
      <c r="B4" s="61" t="s">
        <v>251</v>
      </c>
      <c r="C4" s="61" t="s">
        <v>252</v>
      </c>
      <c r="D4" s="61" t="s">
        <v>254</v>
      </c>
      <c r="E4" s="61" t="s">
        <v>255</v>
      </c>
      <c r="F4" s="61" t="s">
        <v>291</v>
      </c>
      <c r="G4" s="61" t="s">
        <v>258</v>
      </c>
      <c r="H4" s="61" t="s">
        <v>260</v>
      </c>
      <c r="I4" s="61" t="s">
        <v>292</v>
      </c>
      <c r="J4" s="61" t="s">
        <v>263</v>
      </c>
      <c r="K4" s="61" t="s">
        <v>264</v>
      </c>
      <c r="L4" s="61" t="s">
        <v>265</v>
      </c>
      <c r="M4" s="61" t="s">
        <v>293</v>
      </c>
      <c r="N4" s="61" t="s">
        <v>267</v>
      </c>
      <c r="O4" s="61" t="s">
        <v>294</v>
      </c>
      <c r="P4" s="61" t="s">
        <v>268</v>
      </c>
      <c r="Q4" s="61" t="s">
        <v>269</v>
      </c>
      <c r="R4" s="61" t="s">
        <v>270</v>
      </c>
      <c r="S4" s="61" t="s">
        <v>271</v>
      </c>
      <c r="T4" s="61" t="s">
        <v>272</v>
      </c>
      <c r="U4" s="61" t="s">
        <v>295</v>
      </c>
      <c r="V4" s="61" t="s">
        <v>275</v>
      </c>
      <c r="W4" s="61" t="s">
        <v>296</v>
      </c>
      <c r="X4" s="61" t="s">
        <v>279</v>
      </c>
      <c r="Y4" s="61" t="s">
        <v>297</v>
      </c>
    </row>
    <row r="5" ht="12.75" customHeight="1">
      <c r="A5" s="61" t="s">
        <v>280</v>
      </c>
      <c r="B5" s="71">
        <v>10.0</v>
      </c>
      <c r="C5" s="71">
        <v>0.0</v>
      </c>
      <c r="D5" s="71">
        <v>0.0</v>
      </c>
      <c r="E5" s="71">
        <v>5.0</v>
      </c>
      <c r="F5" s="71">
        <v>10.0</v>
      </c>
      <c r="G5" s="71">
        <v>0.0</v>
      </c>
      <c r="H5" s="71">
        <v>24.0</v>
      </c>
      <c r="I5" s="71">
        <v>0.0</v>
      </c>
      <c r="J5" s="71">
        <v>0.0</v>
      </c>
      <c r="K5" s="71">
        <v>20.0</v>
      </c>
      <c r="L5" s="71">
        <v>0.0</v>
      </c>
      <c r="M5" s="71">
        <v>0.0</v>
      </c>
      <c r="N5" s="71">
        <v>8.0</v>
      </c>
      <c r="O5" s="71">
        <v>32.0</v>
      </c>
      <c r="P5" s="71">
        <v>16.0</v>
      </c>
      <c r="Q5" s="71">
        <v>0.0</v>
      </c>
      <c r="R5" s="71">
        <v>0.0</v>
      </c>
      <c r="S5" s="71">
        <v>0.0</v>
      </c>
      <c r="T5" s="71">
        <v>0.0</v>
      </c>
      <c r="U5" s="71">
        <v>32.0</v>
      </c>
      <c r="V5" s="71">
        <v>0.0</v>
      </c>
      <c r="W5" s="71">
        <v>0.0</v>
      </c>
      <c r="X5" s="71">
        <v>0.0</v>
      </c>
      <c r="Y5" s="71">
        <v>0.0</v>
      </c>
    </row>
    <row r="6" ht="12.75" customHeight="1">
      <c r="A6" s="61" t="s">
        <v>281</v>
      </c>
      <c r="B6" s="71">
        <v>0.0</v>
      </c>
      <c r="C6" s="71">
        <v>0.0</v>
      </c>
      <c r="D6" s="71">
        <v>0.0</v>
      </c>
      <c r="E6" s="71">
        <v>0.0</v>
      </c>
      <c r="F6" s="71">
        <v>0.0</v>
      </c>
      <c r="G6" s="71">
        <v>0.0</v>
      </c>
      <c r="H6" s="71">
        <v>0.0</v>
      </c>
      <c r="I6" s="71">
        <v>1.0</v>
      </c>
      <c r="J6" s="71">
        <v>0.0</v>
      </c>
      <c r="K6" s="71">
        <v>0.0</v>
      </c>
      <c r="L6" s="71">
        <v>0.0</v>
      </c>
      <c r="M6" s="71">
        <v>0.0</v>
      </c>
      <c r="N6" s="71">
        <v>0.0</v>
      </c>
      <c r="O6" s="71">
        <v>0.0</v>
      </c>
      <c r="P6" s="71">
        <v>0.0</v>
      </c>
      <c r="Q6" s="71">
        <v>0.0</v>
      </c>
      <c r="R6" s="71">
        <v>0.0</v>
      </c>
      <c r="S6" s="71">
        <v>0.0</v>
      </c>
      <c r="T6" s="71">
        <v>0.0</v>
      </c>
      <c r="U6" s="71">
        <v>0.0</v>
      </c>
      <c r="V6" s="71">
        <v>0.0</v>
      </c>
      <c r="W6" s="71">
        <v>7.0</v>
      </c>
      <c r="X6" s="71">
        <v>0.0</v>
      </c>
      <c r="Y6" s="71">
        <v>0.0</v>
      </c>
    </row>
    <row r="7" ht="12.75" customHeight="1">
      <c r="A7" s="61" t="s">
        <v>282</v>
      </c>
      <c r="B7" s="71">
        <v>0.0</v>
      </c>
      <c r="C7" s="71">
        <v>0.0</v>
      </c>
      <c r="D7" s="71">
        <v>0.0</v>
      </c>
      <c r="E7" s="71">
        <v>0.0</v>
      </c>
      <c r="F7" s="71">
        <v>0.0</v>
      </c>
      <c r="G7" s="71">
        <v>0.0</v>
      </c>
      <c r="H7" s="71">
        <v>0.0</v>
      </c>
      <c r="I7" s="71">
        <v>1.0</v>
      </c>
      <c r="J7" s="71">
        <v>0.0</v>
      </c>
      <c r="K7" s="71">
        <v>0.0</v>
      </c>
      <c r="L7" s="71">
        <v>0.0</v>
      </c>
      <c r="M7" s="71">
        <v>0.0</v>
      </c>
      <c r="N7" s="71">
        <v>0.0</v>
      </c>
      <c r="O7" s="71">
        <v>0.0</v>
      </c>
      <c r="P7" s="71">
        <v>0.0</v>
      </c>
      <c r="Q7" s="71">
        <v>0.0</v>
      </c>
      <c r="R7" s="71">
        <v>0.0</v>
      </c>
      <c r="S7" s="71">
        <v>3.0</v>
      </c>
      <c r="T7" s="71">
        <v>5.0</v>
      </c>
      <c r="U7" s="71">
        <v>0.0</v>
      </c>
      <c r="V7" s="71">
        <v>1.0</v>
      </c>
      <c r="W7" s="71">
        <v>0.0</v>
      </c>
      <c r="X7" s="71">
        <v>0.0</v>
      </c>
      <c r="Y7" s="71">
        <v>0.0</v>
      </c>
    </row>
    <row r="8" ht="12.75" customHeight="1">
      <c r="A8" s="61" t="s">
        <v>283</v>
      </c>
      <c r="B8" s="71">
        <v>0.0</v>
      </c>
      <c r="C8" s="71">
        <v>0.0</v>
      </c>
      <c r="D8" s="71">
        <v>0.0</v>
      </c>
      <c r="E8" s="71">
        <v>0.0</v>
      </c>
      <c r="F8" s="71">
        <v>0.0</v>
      </c>
      <c r="G8" s="71">
        <v>0.0</v>
      </c>
      <c r="H8" s="71">
        <v>0.0</v>
      </c>
      <c r="I8" s="71">
        <v>0.0</v>
      </c>
      <c r="J8" s="71">
        <v>0.0</v>
      </c>
      <c r="K8" s="71">
        <v>0.0</v>
      </c>
      <c r="L8" s="71">
        <v>0.0</v>
      </c>
      <c r="M8" s="71">
        <v>0.0</v>
      </c>
      <c r="N8" s="71">
        <v>0.0</v>
      </c>
      <c r="O8" s="71">
        <v>0.0</v>
      </c>
      <c r="P8" s="71">
        <v>0.0</v>
      </c>
      <c r="Q8" s="71">
        <v>0.0</v>
      </c>
      <c r="R8" s="71">
        <v>0.0</v>
      </c>
      <c r="S8" s="71">
        <v>0.0</v>
      </c>
      <c r="T8" s="71">
        <v>0.0</v>
      </c>
      <c r="U8" s="71">
        <v>0.0</v>
      </c>
      <c r="V8" s="71">
        <v>0.0</v>
      </c>
      <c r="W8" s="71">
        <v>0.0</v>
      </c>
      <c r="X8" s="71">
        <v>0.0</v>
      </c>
      <c r="Y8" s="71">
        <v>0.0</v>
      </c>
    </row>
    <row r="9" ht="12.75" customHeight="1">
      <c r="A9" s="61" t="s">
        <v>284</v>
      </c>
      <c r="B9" s="71">
        <v>0.0</v>
      </c>
      <c r="C9" s="71">
        <v>40.0</v>
      </c>
      <c r="D9" s="71">
        <v>64.0</v>
      </c>
      <c r="E9" s="71">
        <v>56.0</v>
      </c>
      <c r="F9" s="71">
        <v>104.0</v>
      </c>
      <c r="G9" s="71">
        <v>8.0</v>
      </c>
      <c r="H9" s="71">
        <v>0.0</v>
      </c>
      <c r="I9" s="71">
        <v>0.0</v>
      </c>
      <c r="J9" s="71">
        <v>40.0</v>
      </c>
      <c r="K9" s="71">
        <v>0.0</v>
      </c>
      <c r="L9" s="71">
        <v>40.0</v>
      </c>
      <c r="M9" s="71">
        <v>0.0</v>
      </c>
      <c r="N9" s="71">
        <v>0.0</v>
      </c>
      <c r="O9" s="71">
        <v>0.0</v>
      </c>
      <c r="P9" s="71">
        <v>24.0</v>
      </c>
      <c r="Q9" s="71">
        <v>0.0</v>
      </c>
      <c r="R9" s="71">
        <v>24.0</v>
      </c>
      <c r="S9" s="71">
        <v>40.0</v>
      </c>
      <c r="T9" s="71">
        <v>24.0</v>
      </c>
      <c r="U9" s="71">
        <v>200.0</v>
      </c>
      <c r="V9" s="71">
        <v>0.0</v>
      </c>
      <c r="W9" s="71">
        <v>0.0</v>
      </c>
      <c r="X9" s="71">
        <v>0.0</v>
      </c>
      <c r="Y9" s="71">
        <v>40.0</v>
      </c>
    </row>
    <row r="10" ht="12.75" customHeight="1">
      <c r="A10" s="61" t="s">
        <v>285</v>
      </c>
      <c r="B10" s="71">
        <v>0.0</v>
      </c>
      <c r="C10" s="71">
        <v>0.0</v>
      </c>
      <c r="D10" s="71">
        <v>0.0</v>
      </c>
      <c r="E10" s="71">
        <v>0.0</v>
      </c>
      <c r="F10" s="71">
        <v>0.0</v>
      </c>
      <c r="G10" s="71">
        <v>0.0</v>
      </c>
      <c r="H10" s="71">
        <v>0.0</v>
      </c>
      <c r="I10" s="71">
        <v>0.0</v>
      </c>
      <c r="J10" s="71">
        <v>0.0</v>
      </c>
      <c r="K10" s="71">
        <v>0.0</v>
      </c>
      <c r="L10" s="71">
        <v>0.0</v>
      </c>
      <c r="M10" s="71">
        <v>0.0</v>
      </c>
      <c r="N10" s="71">
        <v>0.0</v>
      </c>
      <c r="O10" s="71">
        <v>0.0</v>
      </c>
      <c r="P10" s="71">
        <v>0.0</v>
      </c>
      <c r="Q10" s="71">
        <v>0.0</v>
      </c>
      <c r="R10" s="71">
        <v>0.0</v>
      </c>
      <c r="S10" s="71">
        <v>0.0</v>
      </c>
      <c r="T10" s="71">
        <v>0.0</v>
      </c>
      <c r="U10" s="71">
        <v>0.0</v>
      </c>
      <c r="V10" s="71">
        <v>0.0</v>
      </c>
      <c r="W10" s="71">
        <v>0.0</v>
      </c>
      <c r="X10" s="71">
        <v>0.0</v>
      </c>
      <c r="Y10" s="71">
        <v>0.0</v>
      </c>
    </row>
    <row r="11" ht="12.75" customHeight="1">
      <c r="A11" s="61" t="s">
        <v>286</v>
      </c>
      <c r="B11" s="71">
        <v>0.0</v>
      </c>
      <c r="C11" s="71">
        <v>0.0</v>
      </c>
      <c r="D11" s="71">
        <v>0.0</v>
      </c>
      <c r="E11" s="71">
        <v>0.0</v>
      </c>
      <c r="F11" s="71">
        <v>0.0</v>
      </c>
      <c r="G11" s="71">
        <v>0.0</v>
      </c>
      <c r="H11" s="71">
        <v>0.0</v>
      </c>
      <c r="I11" s="71">
        <v>0.0</v>
      </c>
      <c r="J11" s="71">
        <v>0.0</v>
      </c>
      <c r="K11" s="71">
        <v>0.0</v>
      </c>
      <c r="L11" s="71">
        <v>0.0</v>
      </c>
      <c r="M11" s="71">
        <v>0.0</v>
      </c>
      <c r="N11" s="71">
        <v>0.0</v>
      </c>
      <c r="O11" s="71">
        <v>0.0</v>
      </c>
      <c r="P11" s="71">
        <v>0.0</v>
      </c>
      <c r="Q11" s="71">
        <v>0.0</v>
      </c>
      <c r="R11" s="71">
        <v>0.0</v>
      </c>
      <c r="S11" s="71">
        <v>0.0</v>
      </c>
      <c r="T11" s="71">
        <v>0.0</v>
      </c>
      <c r="U11" s="71">
        <v>0.0</v>
      </c>
      <c r="V11" s="71">
        <v>0.0</v>
      </c>
      <c r="W11" s="71">
        <v>0.0</v>
      </c>
      <c r="X11" s="71">
        <v>0.0</v>
      </c>
      <c r="Y11" s="71">
        <v>0.0</v>
      </c>
    </row>
    <row r="12" ht="12.75" customHeight="1">
      <c r="A12" s="61" t="s">
        <v>287</v>
      </c>
      <c r="B12" s="64">
        <f t="shared" ref="B12:Y12" si="1">SUM(B5:B11)</f>
        <v>10</v>
      </c>
      <c r="C12" s="64">
        <f t="shared" si="1"/>
        <v>40</v>
      </c>
      <c r="D12" s="64">
        <f t="shared" si="1"/>
        <v>64</v>
      </c>
      <c r="E12" s="64">
        <f t="shared" si="1"/>
        <v>61</v>
      </c>
      <c r="F12" s="64">
        <f t="shared" si="1"/>
        <v>114</v>
      </c>
      <c r="G12" s="64">
        <f t="shared" si="1"/>
        <v>8</v>
      </c>
      <c r="H12" s="64">
        <f t="shared" si="1"/>
        <v>24</v>
      </c>
      <c r="I12" s="64">
        <f t="shared" si="1"/>
        <v>2</v>
      </c>
      <c r="J12" s="64">
        <f t="shared" si="1"/>
        <v>40</v>
      </c>
      <c r="K12" s="64">
        <f t="shared" si="1"/>
        <v>20</v>
      </c>
      <c r="L12" s="64">
        <f t="shared" si="1"/>
        <v>40</v>
      </c>
      <c r="M12" s="64">
        <f t="shared" si="1"/>
        <v>0</v>
      </c>
      <c r="N12" s="64">
        <f t="shared" si="1"/>
        <v>8</v>
      </c>
      <c r="O12" s="64">
        <f t="shared" si="1"/>
        <v>32</v>
      </c>
      <c r="P12" s="64">
        <f t="shared" si="1"/>
        <v>40</v>
      </c>
      <c r="Q12" s="64">
        <f t="shared" si="1"/>
        <v>0</v>
      </c>
      <c r="R12" s="64">
        <f t="shared" si="1"/>
        <v>24</v>
      </c>
      <c r="S12" s="64">
        <f t="shared" si="1"/>
        <v>43</v>
      </c>
      <c r="T12" s="64">
        <f t="shared" si="1"/>
        <v>29</v>
      </c>
      <c r="U12" s="64">
        <f t="shared" si="1"/>
        <v>232</v>
      </c>
      <c r="V12" s="64">
        <f t="shared" si="1"/>
        <v>1</v>
      </c>
      <c r="W12" s="64">
        <f t="shared" si="1"/>
        <v>7</v>
      </c>
      <c r="X12" s="64">
        <f t="shared" si="1"/>
        <v>0</v>
      </c>
      <c r="Y12" s="64">
        <f t="shared" si="1"/>
        <v>40</v>
      </c>
    </row>
    <row r="13" ht="12.75" customHeight="1">
      <c r="A13" s="72" t="s">
        <v>298</v>
      </c>
      <c r="B13" s="65">
        <v>1.0</v>
      </c>
      <c r="C13" s="65">
        <v>1.0</v>
      </c>
      <c r="D13" s="65">
        <v>1.0</v>
      </c>
      <c r="E13" s="65">
        <v>1.0</v>
      </c>
      <c r="F13" s="65">
        <v>3.0</v>
      </c>
      <c r="G13" s="65">
        <v>1.0</v>
      </c>
      <c r="H13" s="65">
        <v>1.0</v>
      </c>
      <c r="I13" s="65">
        <v>1.0</v>
      </c>
      <c r="J13" s="65">
        <v>1.0</v>
      </c>
      <c r="K13" s="65">
        <v>1.0</v>
      </c>
      <c r="L13" s="65">
        <v>4.0</v>
      </c>
      <c r="M13" s="65">
        <v>1.0</v>
      </c>
      <c r="N13" s="65">
        <v>1.0</v>
      </c>
      <c r="O13" s="65">
        <v>2.0</v>
      </c>
      <c r="P13" s="65">
        <v>3.0</v>
      </c>
      <c r="Q13" s="65">
        <v>2.0</v>
      </c>
      <c r="R13" s="65">
        <v>2.0</v>
      </c>
      <c r="S13" s="65">
        <v>2.0</v>
      </c>
      <c r="T13" s="65">
        <v>3.0</v>
      </c>
      <c r="U13" s="65">
        <v>4.0</v>
      </c>
      <c r="V13" s="65">
        <v>1.0</v>
      </c>
      <c r="W13" s="65">
        <v>1.0</v>
      </c>
      <c r="X13" s="65">
        <v>1.0</v>
      </c>
      <c r="Y13" s="65">
        <v>1.0</v>
      </c>
    </row>
    <row r="14" ht="12.75" customHeight="1">
      <c r="B14" s="73"/>
      <c r="C14" s="73"/>
      <c r="F14" s="73"/>
    </row>
    <row r="15" ht="12.75" customHeight="1">
      <c r="B15" s="73"/>
      <c r="C15" s="73"/>
      <c r="F15" s="73"/>
    </row>
    <row r="16" ht="12.75" customHeight="1">
      <c r="B16" s="73"/>
      <c r="C16" s="73"/>
    </row>
    <row r="17" ht="12.75" customHeight="1">
      <c r="B17" s="73"/>
      <c r="C17" s="73"/>
    </row>
    <row r="18" ht="12.75" customHeight="1">
      <c r="B18" s="73"/>
      <c r="C18" s="73"/>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Y1"/>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workbookViewId="0"/>
  </sheetViews>
  <sheetFormatPr customHeight="1" defaultColWidth="12.63" defaultRowHeight="15.0"/>
  <cols>
    <col customWidth="1" min="1" max="1" width="5.0"/>
    <col customWidth="1" min="2" max="2" width="7.13"/>
    <col customWidth="1" min="3" max="3" width="13.13"/>
    <col customWidth="1" min="4" max="4" width="10.75"/>
    <col customWidth="1" min="5" max="5" width="15.38"/>
    <col customWidth="1" min="6" max="6" width="11.38"/>
    <col customWidth="1" min="7" max="7" width="6.38"/>
    <col customWidth="1" min="8" max="26" width="10.63"/>
  </cols>
  <sheetData>
    <row r="1" ht="18.0" customHeight="1">
      <c r="B1" s="74" t="s">
        <v>299</v>
      </c>
      <c r="C1" s="8"/>
      <c r="D1" s="8"/>
      <c r="E1" s="8"/>
      <c r="F1" s="8"/>
      <c r="G1" s="9"/>
    </row>
    <row r="2" ht="21.75" customHeight="1">
      <c r="B2" s="75" t="s">
        <v>300</v>
      </c>
      <c r="C2" s="75" t="s">
        <v>301</v>
      </c>
      <c r="D2" s="75" t="s">
        <v>302</v>
      </c>
      <c r="E2" s="75" t="s">
        <v>303</v>
      </c>
      <c r="F2" s="75" t="s">
        <v>304</v>
      </c>
      <c r="G2" s="75" t="s">
        <v>305</v>
      </c>
    </row>
    <row r="3" ht="19.5" hidden="1" customHeight="1">
      <c r="B3" s="76">
        <v>41275.0</v>
      </c>
      <c r="C3" s="77">
        <v>7.0</v>
      </c>
      <c r="D3" s="77">
        <v>0.0</v>
      </c>
      <c r="E3" s="77">
        <v>7.0</v>
      </c>
      <c r="F3" s="77">
        <v>0.0</v>
      </c>
      <c r="G3" s="77">
        <f t="shared" ref="G3:G160" si="1">SUM(C3:F3)</f>
        <v>14</v>
      </c>
      <c r="H3" s="57"/>
    </row>
    <row r="4" ht="19.5" hidden="1" customHeight="1">
      <c r="B4" s="76">
        <v>41306.0</v>
      </c>
      <c r="C4" s="77">
        <v>10.0</v>
      </c>
      <c r="D4" s="77">
        <v>0.0</v>
      </c>
      <c r="E4" s="77">
        <v>6.0</v>
      </c>
      <c r="F4" s="77">
        <v>0.0</v>
      </c>
      <c r="G4" s="77">
        <f t="shared" si="1"/>
        <v>16</v>
      </c>
      <c r="H4" s="57"/>
    </row>
    <row r="5" ht="19.5" hidden="1" customHeight="1">
      <c r="B5" s="76">
        <v>41334.0</v>
      </c>
      <c r="C5" s="77">
        <v>9.0</v>
      </c>
      <c r="D5" s="77">
        <v>0.0</v>
      </c>
      <c r="E5" s="77">
        <v>14.0</v>
      </c>
      <c r="F5" s="77">
        <v>0.0</v>
      </c>
      <c r="G5" s="77">
        <f t="shared" si="1"/>
        <v>23</v>
      </c>
      <c r="H5" s="57"/>
    </row>
    <row r="6" ht="19.5" hidden="1" customHeight="1">
      <c r="B6" s="78">
        <v>41365.0</v>
      </c>
      <c r="C6" s="77">
        <v>14.0</v>
      </c>
      <c r="D6" s="77">
        <v>0.0</v>
      </c>
      <c r="E6" s="77">
        <v>9.0</v>
      </c>
      <c r="F6" s="77">
        <v>0.0</v>
      </c>
      <c r="G6" s="77">
        <f t="shared" si="1"/>
        <v>23</v>
      </c>
      <c r="H6" s="57"/>
    </row>
    <row r="7" ht="19.5" hidden="1" customHeight="1">
      <c r="B7" s="78">
        <v>41395.0</v>
      </c>
      <c r="C7" s="79">
        <v>10.0</v>
      </c>
      <c r="D7" s="79">
        <v>0.0</v>
      </c>
      <c r="E7" s="79">
        <v>14.0</v>
      </c>
      <c r="F7" s="79">
        <v>0.0</v>
      </c>
      <c r="G7" s="77">
        <f t="shared" si="1"/>
        <v>24</v>
      </c>
      <c r="H7" s="57"/>
    </row>
    <row r="8" ht="19.5" hidden="1" customHeight="1">
      <c r="B8" s="76">
        <v>41426.0</v>
      </c>
      <c r="C8" s="77">
        <v>8.0</v>
      </c>
      <c r="D8" s="77">
        <v>0.0</v>
      </c>
      <c r="E8" s="77">
        <v>14.0</v>
      </c>
      <c r="F8" s="77">
        <v>0.0</v>
      </c>
      <c r="G8" s="77">
        <f t="shared" si="1"/>
        <v>22</v>
      </c>
      <c r="H8" s="57"/>
    </row>
    <row r="9" ht="19.5" hidden="1" customHeight="1">
      <c r="B9" s="76">
        <v>41456.0</v>
      </c>
      <c r="C9" s="77">
        <v>10.0</v>
      </c>
      <c r="D9" s="77">
        <v>0.0</v>
      </c>
      <c r="E9" s="77">
        <v>5.0</v>
      </c>
      <c r="F9" s="77">
        <v>0.0</v>
      </c>
      <c r="G9" s="77">
        <f t="shared" si="1"/>
        <v>15</v>
      </c>
      <c r="H9" s="57"/>
    </row>
    <row r="10" ht="19.5" hidden="1" customHeight="1">
      <c r="B10" s="76">
        <v>41487.0</v>
      </c>
      <c r="C10" s="77">
        <v>8.0</v>
      </c>
      <c r="D10" s="77">
        <v>2.0</v>
      </c>
      <c r="E10" s="77">
        <v>7.0</v>
      </c>
      <c r="F10" s="77">
        <v>0.0</v>
      </c>
      <c r="G10" s="77">
        <f t="shared" si="1"/>
        <v>17</v>
      </c>
      <c r="H10" s="57"/>
    </row>
    <row r="11" ht="19.5" hidden="1" customHeight="1">
      <c r="B11" s="76">
        <v>41518.0</v>
      </c>
      <c r="C11" s="77">
        <v>7.0</v>
      </c>
      <c r="D11" s="77">
        <v>0.0</v>
      </c>
      <c r="E11" s="77">
        <v>3.0</v>
      </c>
      <c r="F11" s="77">
        <v>0.0</v>
      </c>
      <c r="G11" s="77">
        <f t="shared" si="1"/>
        <v>10</v>
      </c>
      <c r="H11" s="57"/>
    </row>
    <row r="12" ht="19.5" hidden="1" customHeight="1">
      <c r="B12" s="76">
        <v>41548.0</v>
      </c>
      <c r="C12" s="77">
        <v>7.0</v>
      </c>
      <c r="D12" s="77">
        <v>0.0</v>
      </c>
      <c r="E12" s="77">
        <v>7.0</v>
      </c>
      <c r="F12" s="77">
        <v>0.0</v>
      </c>
      <c r="G12" s="77">
        <f t="shared" si="1"/>
        <v>14</v>
      </c>
      <c r="H12" s="57"/>
    </row>
    <row r="13" ht="19.5" hidden="1" customHeight="1">
      <c r="B13" s="76">
        <v>41579.0</v>
      </c>
      <c r="C13" s="77">
        <v>14.0</v>
      </c>
      <c r="D13" s="77">
        <v>0.0</v>
      </c>
      <c r="E13" s="77">
        <v>7.0</v>
      </c>
      <c r="F13" s="77">
        <v>0.0</v>
      </c>
      <c r="G13" s="77">
        <f t="shared" si="1"/>
        <v>21</v>
      </c>
      <c r="H13" s="57"/>
    </row>
    <row r="14" ht="19.5" hidden="1" customHeight="1">
      <c r="B14" s="76">
        <v>41609.0</v>
      </c>
      <c r="C14" s="77">
        <v>9.0</v>
      </c>
      <c r="D14" s="77">
        <v>0.0</v>
      </c>
      <c r="E14" s="77">
        <v>10.0</v>
      </c>
      <c r="F14" s="77">
        <v>0.0</v>
      </c>
      <c r="G14" s="77">
        <f t="shared" si="1"/>
        <v>19</v>
      </c>
      <c r="H14" s="57"/>
    </row>
    <row r="15" ht="19.5" hidden="1" customHeight="1">
      <c r="B15" s="76">
        <v>41640.0</v>
      </c>
      <c r="C15" s="77">
        <v>16.0</v>
      </c>
      <c r="D15" s="77">
        <v>12.0</v>
      </c>
      <c r="E15" s="77">
        <v>0.0</v>
      </c>
      <c r="F15" s="77">
        <v>0.0</v>
      </c>
      <c r="G15" s="77">
        <f t="shared" si="1"/>
        <v>28</v>
      </c>
      <c r="H15" s="57"/>
    </row>
    <row r="16" ht="19.5" hidden="1" customHeight="1">
      <c r="B16" s="76">
        <v>41671.0</v>
      </c>
      <c r="C16" s="77">
        <v>15.0</v>
      </c>
      <c r="D16" s="77">
        <v>4.0</v>
      </c>
      <c r="E16" s="77">
        <v>0.0</v>
      </c>
      <c r="F16" s="77">
        <v>0.0</v>
      </c>
      <c r="G16" s="77">
        <f t="shared" si="1"/>
        <v>19</v>
      </c>
      <c r="H16" s="57"/>
    </row>
    <row r="17" ht="19.5" hidden="1" customHeight="1">
      <c r="B17" s="76">
        <v>41699.0</v>
      </c>
      <c r="C17" s="77">
        <v>7.0</v>
      </c>
      <c r="D17" s="77">
        <v>14.0</v>
      </c>
      <c r="E17" s="77">
        <v>0.0</v>
      </c>
      <c r="F17" s="77">
        <v>0.0</v>
      </c>
      <c r="G17" s="77">
        <f t="shared" si="1"/>
        <v>21</v>
      </c>
      <c r="H17" s="57"/>
    </row>
    <row r="18" ht="19.5" hidden="1" customHeight="1">
      <c r="B18" s="76">
        <v>41730.0</v>
      </c>
      <c r="C18" s="77">
        <v>7.0</v>
      </c>
      <c r="D18" s="77">
        <v>11.0</v>
      </c>
      <c r="E18" s="77">
        <v>0.0</v>
      </c>
      <c r="F18" s="77">
        <v>0.0</v>
      </c>
      <c r="G18" s="77">
        <f t="shared" si="1"/>
        <v>18</v>
      </c>
      <c r="H18" s="57"/>
    </row>
    <row r="19" ht="19.5" hidden="1" customHeight="1">
      <c r="B19" s="76">
        <v>41760.0</v>
      </c>
      <c r="C19" s="77">
        <v>6.0</v>
      </c>
      <c r="D19" s="77">
        <v>5.0</v>
      </c>
      <c r="E19" s="77">
        <v>0.0</v>
      </c>
      <c r="F19" s="77">
        <v>1.0</v>
      </c>
      <c r="G19" s="77">
        <f t="shared" si="1"/>
        <v>12</v>
      </c>
      <c r="H19" s="57"/>
    </row>
    <row r="20" ht="19.5" hidden="1" customHeight="1">
      <c r="B20" s="76">
        <v>41791.0</v>
      </c>
      <c r="C20" s="77">
        <v>10.0</v>
      </c>
      <c r="D20" s="77">
        <v>10.0</v>
      </c>
      <c r="E20" s="77">
        <v>1.0</v>
      </c>
      <c r="F20" s="77">
        <v>0.0</v>
      </c>
      <c r="G20" s="77">
        <f t="shared" si="1"/>
        <v>21</v>
      </c>
      <c r="H20" s="57"/>
    </row>
    <row r="21" ht="19.5" hidden="1" customHeight="1">
      <c r="B21" s="76">
        <v>41821.0</v>
      </c>
      <c r="C21" s="77">
        <v>3.0</v>
      </c>
      <c r="D21" s="77">
        <v>12.0</v>
      </c>
      <c r="E21" s="77">
        <v>3.0</v>
      </c>
      <c r="F21" s="77">
        <v>0.0</v>
      </c>
      <c r="G21" s="77">
        <f t="shared" si="1"/>
        <v>18</v>
      </c>
      <c r="H21" s="57"/>
    </row>
    <row r="22" ht="19.5" hidden="1" customHeight="1">
      <c r="B22" s="76">
        <v>41852.0</v>
      </c>
      <c r="C22" s="77">
        <v>5.0</v>
      </c>
      <c r="D22" s="77">
        <v>11.0</v>
      </c>
      <c r="E22" s="77">
        <v>0.0</v>
      </c>
      <c r="F22" s="77">
        <v>0.0</v>
      </c>
      <c r="G22" s="77">
        <f t="shared" si="1"/>
        <v>16</v>
      </c>
      <c r="H22" s="57"/>
    </row>
    <row r="23" ht="19.5" hidden="1" customHeight="1">
      <c r="B23" s="76">
        <v>41883.0</v>
      </c>
      <c r="C23" s="77">
        <v>6.0</v>
      </c>
      <c r="D23" s="77">
        <v>5.0</v>
      </c>
      <c r="E23" s="77">
        <v>0.0</v>
      </c>
      <c r="F23" s="77">
        <v>0.0</v>
      </c>
      <c r="G23" s="77">
        <f t="shared" si="1"/>
        <v>11</v>
      </c>
      <c r="H23" s="57"/>
    </row>
    <row r="24" ht="19.5" hidden="1" customHeight="1">
      <c r="B24" s="76">
        <v>41913.0</v>
      </c>
      <c r="C24" s="77">
        <v>2.0</v>
      </c>
      <c r="D24" s="77">
        <v>7.0</v>
      </c>
      <c r="E24" s="77">
        <v>0.0</v>
      </c>
      <c r="F24" s="77">
        <v>0.0</v>
      </c>
      <c r="G24" s="77">
        <f t="shared" si="1"/>
        <v>9</v>
      </c>
      <c r="H24" s="57"/>
    </row>
    <row r="25" ht="19.5" hidden="1" customHeight="1">
      <c r="B25" s="76">
        <v>41944.0</v>
      </c>
      <c r="C25" s="77">
        <v>7.0</v>
      </c>
      <c r="D25" s="77">
        <v>10.0</v>
      </c>
      <c r="E25" s="77">
        <v>0.0</v>
      </c>
      <c r="F25" s="77">
        <v>0.0</v>
      </c>
      <c r="G25" s="77">
        <f t="shared" si="1"/>
        <v>17</v>
      </c>
      <c r="H25" s="57"/>
    </row>
    <row r="26" ht="19.5" hidden="1" customHeight="1">
      <c r="B26" s="76">
        <v>41974.0</v>
      </c>
      <c r="C26" s="77">
        <v>2.0</v>
      </c>
      <c r="D26" s="77">
        <v>9.0</v>
      </c>
      <c r="E26" s="77">
        <v>1.0</v>
      </c>
      <c r="F26" s="77">
        <v>0.0</v>
      </c>
      <c r="G26" s="77">
        <f t="shared" si="1"/>
        <v>12</v>
      </c>
      <c r="H26" s="57"/>
    </row>
    <row r="27" ht="19.5" hidden="1" customHeight="1">
      <c r="B27" s="76">
        <v>42005.0</v>
      </c>
      <c r="C27" s="77">
        <v>4.0</v>
      </c>
      <c r="D27" s="77">
        <v>6.0</v>
      </c>
      <c r="E27" s="77">
        <v>0.0</v>
      </c>
      <c r="F27" s="77">
        <v>0.0</v>
      </c>
      <c r="G27" s="77">
        <f t="shared" si="1"/>
        <v>10</v>
      </c>
      <c r="H27" s="57"/>
    </row>
    <row r="28" ht="19.5" hidden="1" customHeight="1">
      <c r="B28" s="76">
        <v>42036.0</v>
      </c>
      <c r="C28" s="77">
        <v>2.0</v>
      </c>
      <c r="D28" s="77">
        <v>7.0</v>
      </c>
      <c r="E28" s="77">
        <v>0.0</v>
      </c>
      <c r="F28" s="77">
        <v>0.0</v>
      </c>
      <c r="G28" s="77">
        <f t="shared" si="1"/>
        <v>9</v>
      </c>
      <c r="H28" s="57"/>
    </row>
    <row r="29" ht="19.5" hidden="1" customHeight="1">
      <c r="B29" s="76">
        <v>42064.0</v>
      </c>
      <c r="C29" s="77">
        <v>5.0</v>
      </c>
      <c r="D29" s="77">
        <v>14.0</v>
      </c>
      <c r="E29" s="77">
        <v>0.0</v>
      </c>
      <c r="F29" s="77">
        <v>0.0</v>
      </c>
      <c r="G29" s="77">
        <f t="shared" si="1"/>
        <v>19</v>
      </c>
      <c r="H29" s="57"/>
    </row>
    <row r="30" ht="19.5" hidden="1" customHeight="1">
      <c r="B30" s="76">
        <v>42095.0</v>
      </c>
      <c r="C30" s="77">
        <v>1.0</v>
      </c>
      <c r="D30" s="77">
        <v>14.0</v>
      </c>
      <c r="E30" s="77">
        <v>1.0</v>
      </c>
      <c r="F30" s="77">
        <v>0.0</v>
      </c>
      <c r="G30" s="77">
        <f t="shared" si="1"/>
        <v>16</v>
      </c>
      <c r="H30" s="57"/>
    </row>
    <row r="31" ht="19.5" hidden="1" customHeight="1">
      <c r="B31" s="76">
        <v>42125.0</v>
      </c>
      <c r="C31" s="77">
        <v>0.0</v>
      </c>
      <c r="D31" s="77">
        <v>10.0</v>
      </c>
      <c r="E31" s="77">
        <v>1.0</v>
      </c>
      <c r="F31" s="77">
        <v>0.0</v>
      </c>
      <c r="G31" s="77">
        <f t="shared" si="1"/>
        <v>11</v>
      </c>
      <c r="H31" s="57"/>
    </row>
    <row r="32" ht="19.5" hidden="1" customHeight="1">
      <c r="B32" s="76">
        <v>42186.0</v>
      </c>
      <c r="C32" s="77">
        <v>0.0</v>
      </c>
      <c r="D32" s="77">
        <v>14.0</v>
      </c>
      <c r="E32" s="77">
        <v>0.0</v>
      </c>
      <c r="F32" s="77">
        <v>0.0</v>
      </c>
      <c r="G32" s="77">
        <f t="shared" si="1"/>
        <v>14</v>
      </c>
      <c r="H32" s="57"/>
    </row>
    <row r="33" ht="19.5" hidden="1" customHeight="1">
      <c r="B33" s="76">
        <v>42186.0</v>
      </c>
      <c r="C33" s="77">
        <v>0.0</v>
      </c>
      <c r="D33" s="77">
        <v>4.0</v>
      </c>
      <c r="E33" s="77">
        <v>0.0</v>
      </c>
      <c r="F33" s="77">
        <v>0.0</v>
      </c>
      <c r="G33" s="77">
        <f t="shared" si="1"/>
        <v>4</v>
      </c>
      <c r="H33" s="57"/>
    </row>
    <row r="34" ht="19.5" hidden="1" customHeight="1">
      <c r="B34" s="76">
        <v>42217.0</v>
      </c>
      <c r="C34" s="77">
        <v>3.0</v>
      </c>
      <c r="D34" s="77">
        <v>14.0</v>
      </c>
      <c r="E34" s="77">
        <v>0.0</v>
      </c>
      <c r="F34" s="77">
        <v>0.0</v>
      </c>
      <c r="G34" s="77">
        <f t="shared" si="1"/>
        <v>17</v>
      </c>
      <c r="H34" s="57"/>
    </row>
    <row r="35" ht="19.5" hidden="1" customHeight="1">
      <c r="B35" s="76">
        <v>42248.0</v>
      </c>
      <c r="C35" s="77">
        <v>2.0</v>
      </c>
      <c r="D35" s="77">
        <v>10.0</v>
      </c>
      <c r="E35" s="77">
        <v>0.0</v>
      </c>
      <c r="F35" s="77">
        <v>0.0</v>
      </c>
      <c r="G35" s="77">
        <f t="shared" si="1"/>
        <v>12</v>
      </c>
      <c r="H35" s="57"/>
    </row>
    <row r="36" ht="19.5" hidden="1" customHeight="1">
      <c r="B36" s="76">
        <v>42278.0</v>
      </c>
      <c r="C36" s="77">
        <v>2.0</v>
      </c>
      <c r="D36" s="77">
        <v>10.0</v>
      </c>
      <c r="E36" s="77">
        <v>0.0</v>
      </c>
      <c r="F36" s="77">
        <v>0.0</v>
      </c>
      <c r="G36" s="77">
        <f t="shared" si="1"/>
        <v>12</v>
      </c>
      <c r="H36" s="57"/>
    </row>
    <row r="37" ht="19.5" hidden="1" customHeight="1">
      <c r="B37" s="76">
        <v>42309.0</v>
      </c>
      <c r="C37" s="77">
        <v>5.0</v>
      </c>
      <c r="D37" s="77">
        <v>6.0</v>
      </c>
      <c r="E37" s="77">
        <v>0.0</v>
      </c>
      <c r="F37" s="77">
        <v>0.0</v>
      </c>
      <c r="G37" s="77">
        <f t="shared" si="1"/>
        <v>11</v>
      </c>
      <c r="H37" s="57"/>
    </row>
    <row r="38" ht="19.5" hidden="1" customHeight="1">
      <c r="B38" s="76">
        <v>42339.0</v>
      </c>
      <c r="C38" s="77">
        <v>5.0</v>
      </c>
      <c r="D38" s="77">
        <v>7.0</v>
      </c>
      <c r="E38" s="77">
        <v>0.0</v>
      </c>
      <c r="F38" s="77">
        <v>0.0</v>
      </c>
      <c r="G38" s="77">
        <f t="shared" si="1"/>
        <v>12</v>
      </c>
      <c r="H38" s="57"/>
    </row>
    <row r="39" ht="19.5" hidden="1" customHeight="1">
      <c r="B39" s="76">
        <v>42370.0</v>
      </c>
      <c r="C39" s="77">
        <v>1.0</v>
      </c>
      <c r="D39" s="77">
        <v>8.0</v>
      </c>
      <c r="E39" s="77">
        <v>1.0</v>
      </c>
      <c r="F39" s="77">
        <v>1.0</v>
      </c>
      <c r="G39" s="77">
        <f t="shared" si="1"/>
        <v>11</v>
      </c>
      <c r="H39" s="57"/>
    </row>
    <row r="40" ht="19.5" hidden="1" customHeight="1">
      <c r="B40" s="76">
        <v>42401.0</v>
      </c>
      <c r="C40" s="77">
        <v>2.0</v>
      </c>
      <c r="D40" s="77">
        <v>6.0</v>
      </c>
      <c r="E40" s="77">
        <v>0.0</v>
      </c>
      <c r="F40" s="77">
        <v>0.0</v>
      </c>
      <c r="G40" s="77">
        <f t="shared" si="1"/>
        <v>8</v>
      </c>
      <c r="H40" s="57"/>
    </row>
    <row r="41" ht="19.5" hidden="1" customHeight="1">
      <c r="B41" s="76">
        <v>42430.0</v>
      </c>
      <c r="C41" s="77">
        <v>0.0</v>
      </c>
      <c r="D41" s="77">
        <v>6.0</v>
      </c>
      <c r="E41" s="77">
        <v>0.0</v>
      </c>
      <c r="F41" s="77">
        <v>0.0</v>
      </c>
      <c r="G41" s="77">
        <f t="shared" si="1"/>
        <v>6</v>
      </c>
      <c r="H41" s="57"/>
    </row>
    <row r="42" ht="19.5" hidden="1" customHeight="1">
      <c r="B42" s="76">
        <v>42461.0</v>
      </c>
      <c r="C42" s="77">
        <v>2.0</v>
      </c>
      <c r="D42" s="77">
        <v>6.0</v>
      </c>
      <c r="E42" s="77">
        <v>0.0</v>
      </c>
      <c r="F42" s="77">
        <v>0.0</v>
      </c>
      <c r="G42" s="77">
        <f t="shared" si="1"/>
        <v>8</v>
      </c>
      <c r="H42" s="57"/>
    </row>
    <row r="43" ht="19.5" hidden="1" customHeight="1">
      <c r="B43" s="76">
        <v>42491.0</v>
      </c>
      <c r="C43" s="77">
        <v>4.0</v>
      </c>
      <c r="D43" s="77">
        <v>18.0</v>
      </c>
      <c r="E43" s="77">
        <v>0.0</v>
      </c>
      <c r="F43" s="77">
        <v>0.0</v>
      </c>
      <c r="G43" s="77">
        <f t="shared" si="1"/>
        <v>22</v>
      </c>
      <c r="H43" s="57"/>
    </row>
    <row r="44" ht="19.5" hidden="1" customHeight="1">
      <c r="B44" s="76">
        <v>42522.0</v>
      </c>
      <c r="C44" s="77">
        <v>3.0</v>
      </c>
      <c r="D44" s="77">
        <v>4.0</v>
      </c>
      <c r="E44" s="77">
        <v>0.0</v>
      </c>
      <c r="F44" s="77">
        <v>0.0</v>
      </c>
      <c r="G44" s="77">
        <f t="shared" si="1"/>
        <v>7</v>
      </c>
      <c r="H44" s="57"/>
    </row>
    <row r="45" ht="19.5" hidden="1" customHeight="1">
      <c r="B45" s="78">
        <v>42552.0</v>
      </c>
      <c r="C45" s="79">
        <v>0.0</v>
      </c>
      <c r="D45" s="79">
        <v>16.0</v>
      </c>
      <c r="E45" s="79">
        <v>0.0</v>
      </c>
      <c r="F45" s="79">
        <v>0.0</v>
      </c>
      <c r="G45" s="79">
        <f t="shared" si="1"/>
        <v>16</v>
      </c>
      <c r="H45" s="57"/>
    </row>
    <row r="46" ht="19.5" hidden="1" customHeight="1">
      <c r="B46" s="78">
        <v>42583.0</v>
      </c>
      <c r="C46" s="80">
        <v>0.0</v>
      </c>
      <c r="D46" s="79">
        <v>14.0</v>
      </c>
      <c r="E46" s="79">
        <v>0.0</v>
      </c>
      <c r="F46" s="81">
        <v>0.0</v>
      </c>
      <c r="G46" s="81">
        <f t="shared" si="1"/>
        <v>14</v>
      </c>
      <c r="H46" s="57"/>
    </row>
    <row r="47" ht="19.5" hidden="1" customHeight="1">
      <c r="B47" s="76">
        <v>42614.0</v>
      </c>
      <c r="C47" s="77">
        <v>0.0</v>
      </c>
      <c r="D47" s="77">
        <v>21.0</v>
      </c>
      <c r="E47" s="77">
        <v>0.0</v>
      </c>
      <c r="F47" s="77">
        <v>0.0</v>
      </c>
      <c r="G47" s="77">
        <f t="shared" si="1"/>
        <v>21</v>
      </c>
      <c r="H47" s="57"/>
    </row>
    <row r="48" ht="19.5" hidden="1" customHeight="1">
      <c r="B48" s="76">
        <v>42644.0</v>
      </c>
      <c r="C48" s="77">
        <v>0.0</v>
      </c>
      <c r="D48" s="77">
        <v>16.0</v>
      </c>
      <c r="E48" s="77">
        <v>0.0</v>
      </c>
      <c r="F48" s="77">
        <v>0.0</v>
      </c>
      <c r="G48" s="77">
        <f t="shared" si="1"/>
        <v>16</v>
      </c>
      <c r="H48" s="57"/>
    </row>
    <row r="49" ht="19.5" hidden="1" customHeight="1">
      <c r="B49" s="76">
        <v>42675.0</v>
      </c>
      <c r="C49" s="77">
        <v>0.0</v>
      </c>
      <c r="D49" s="77">
        <v>18.0</v>
      </c>
      <c r="E49" s="77">
        <v>0.0</v>
      </c>
      <c r="F49" s="77">
        <v>0.0</v>
      </c>
      <c r="G49" s="77">
        <f t="shared" si="1"/>
        <v>18</v>
      </c>
      <c r="H49" s="57"/>
    </row>
    <row r="50" ht="19.5" hidden="1" customHeight="1">
      <c r="B50" s="76">
        <v>42705.0</v>
      </c>
      <c r="C50" s="77">
        <v>0.0</v>
      </c>
      <c r="D50" s="77">
        <v>9.0</v>
      </c>
      <c r="E50" s="77">
        <v>0.0</v>
      </c>
      <c r="F50" s="77">
        <v>0.0</v>
      </c>
      <c r="G50" s="77">
        <f t="shared" si="1"/>
        <v>9</v>
      </c>
      <c r="H50" s="57"/>
    </row>
    <row r="51" ht="19.5" hidden="1" customHeight="1">
      <c r="B51" s="76">
        <v>42736.0</v>
      </c>
      <c r="C51" s="77">
        <v>0.0</v>
      </c>
      <c r="D51" s="77">
        <v>11.0</v>
      </c>
      <c r="E51" s="77">
        <v>0.0</v>
      </c>
      <c r="F51" s="77">
        <v>0.0</v>
      </c>
      <c r="G51" s="77">
        <f t="shared" si="1"/>
        <v>11</v>
      </c>
      <c r="H51" s="57"/>
    </row>
    <row r="52" ht="19.5" hidden="1" customHeight="1">
      <c r="B52" s="76">
        <v>42767.0</v>
      </c>
      <c r="C52" s="77">
        <v>0.0</v>
      </c>
      <c r="D52" s="77">
        <v>7.0</v>
      </c>
      <c r="E52" s="77">
        <v>0.0</v>
      </c>
      <c r="F52" s="77">
        <v>0.0</v>
      </c>
      <c r="G52" s="77">
        <f t="shared" si="1"/>
        <v>7</v>
      </c>
      <c r="H52" s="57"/>
    </row>
    <row r="53" ht="19.5" hidden="1" customHeight="1">
      <c r="B53" s="76">
        <v>42795.0</v>
      </c>
      <c r="C53" s="77">
        <v>0.0</v>
      </c>
      <c r="D53" s="77">
        <v>18.0</v>
      </c>
      <c r="E53" s="77">
        <v>0.0</v>
      </c>
      <c r="F53" s="77">
        <v>0.0</v>
      </c>
      <c r="G53" s="77">
        <f t="shared" si="1"/>
        <v>18</v>
      </c>
      <c r="H53" s="57"/>
    </row>
    <row r="54" ht="19.5" hidden="1" customHeight="1">
      <c r="B54" s="76">
        <v>42826.0</v>
      </c>
      <c r="C54" s="77">
        <v>0.0</v>
      </c>
      <c r="D54" s="77">
        <v>8.0</v>
      </c>
      <c r="E54" s="77">
        <v>0.0</v>
      </c>
      <c r="F54" s="77">
        <v>0.0</v>
      </c>
      <c r="G54" s="77">
        <f t="shared" si="1"/>
        <v>8</v>
      </c>
      <c r="H54" s="57"/>
    </row>
    <row r="55" ht="19.5" hidden="1" customHeight="1">
      <c r="B55" s="76">
        <v>42856.0</v>
      </c>
      <c r="C55" s="77">
        <v>0.0</v>
      </c>
      <c r="D55" s="77">
        <v>12.0</v>
      </c>
      <c r="E55" s="77">
        <v>0.0</v>
      </c>
      <c r="F55" s="77">
        <v>0.0</v>
      </c>
      <c r="G55" s="77">
        <f t="shared" si="1"/>
        <v>12</v>
      </c>
      <c r="H55" s="57"/>
    </row>
    <row r="56" ht="19.5" hidden="1" customHeight="1">
      <c r="B56" s="76">
        <v>42887.0</v>
      </c>
      <c r="C56" s="77">
        <v>0.0</v>
      </c>
      <c r="D56" s="77">
        <v>10.0</v>
      </c>
      <c r="E56" s="77">
        <v>0.0</v>
      </c>
      <c r="F56" s="77">
        <v>0.0</v>
      </c>
      <c r="G56" s="77">
        <f t="shared" si="1"/>
        <v>10</v>
      </c>
      <c r="H56" s="57"/>
    </row>
    <row r="57" ht="19.5" hidden="1" customHeight="1">
      <c r="B57" s="76">
        <v>42917.0</v>
      </c>
      <c r="C57" s="77">
        <v>0.0</v>
      </c>
      <c r="D57" s="77">
        <v>11.0</v>
      </c>
      <c r="E57" s="77">
        <v>0.0</v>
      </c>
      <c r="F57" s="77">
        <v>1.0</v>
      </c>
      <c r="G57" s="77">
        <f t="shared" si="1"/>
        <v>12</v>
      </c>
      <c r="H57" s="57"/>
    </row>
    <row r="58" ht="19.5" hidden="1" customHeight="1">
      <c r="B58" s="76">
        <v>42948.0</v>
      </c>
      <c r="C58" s="77">
        <v>0.0</v>
      </c>
      <c r="D58" s="77">
        <v>9.0</v>
      </c>
      <c r="E58" s="77">
        <v>1.0</v>
      </c>
      <c r="F58" s="77">
        <v>0.0</v>
      </c>
      <c r="G58" s="77">
        <f t="shared" si="1"/>
        <v>10</v>
      </c>
      <c r="H58" s="57"/>
    </row>
    <row r="59" ht="19.5" hidden="1" customHeight="1">
      <c r="B59" s="76">
        <v>42979.0</v>
      </c>
      <c r="C59" s="77">
        <v>0.0</v>
      </c>
      <c r="D59" s="77">
        <v>20.0</v>
      </c>
      <c r="E59" s="77">
        <v>0.0</v>
      </c>
      <c r="F59" s="77">
        <v>0.0</v>
      </c>
      <c r="G59" s="77">
        <f t="shared" si="1"/>
        <v>20</v>
      </c>
      <c r="H59" s="57"/>
    </row>
    <row r="60" ht="19.5" hidden="1" customHeight="1">
      <c r="B60" s="76">
        <v>43009.0</v>
      </c>
      <c r="C60" s="77">
        <v>0.0</v>
      </c>
      <c r="D60" s="77">
        <v>11.0</v>
      </c>
      <c r="E60" s="77">
        <v>0.0</v>
      </c>
      <c r="F60" s="77">
        <v>0.0</v>
      </c>
      <c r="G60" s="77">
        <f t="shared" si="1"/>
        <v>11</v>
      </c>
      <c r="H60" s="57"/>
    </row>
    <row r="61" ht="19.5" hidden="1" customHeight="1">
      <c r="B61" s="76">
        <v>43040.0</v>
      </c>
      <c r="C61" s="77">
        <v>0.0</v>
      </c>
      <c r="D61" s="77">
        <v>19.0</v>
      </c>
      <c r="E61" s="77">
        <v>0.0</v>
      </c>
      <c r="F61" s="77">
        <v>0.0</v>
      </c>
      <c r="G61" s="77">
        <f t="shared" si="1"/>
        <v>19</v>
      </c>
      <c r="H61" s="57"/>
    </row>
    <row r="62" ht="19.5" hidden="1" customHeight="1">
      <c r="B62" s="76">
        <v>43070.0</v>
      </c>
      <c r="C62" s="77">
        <v>0.0</v>
      </c>
      <c r="D62" s="77">
        <v>13.0</v>
      </c>
      <c r="E62" s="77">
        <v>0.0</v>
      </c>
      <c r="F62" s="77">
        <v>0.0</v>
      </c>
      <c r="G62" s="77">
        <f t="shared" si="1"/>
        <v>13</v>
      </c>
      <c r="H62" s="57"/>
    </row>
    <row r="63" ht="19.5" hidden="1" customHeight="1">
      <c r="B63" s="76">
        <v>43101.0</v>
      </c>
      <c r="C63" s="77">
        <v>0.0</v>
      </c>
      <c r="D63" s="77">
        <v>4.0</v>
      </c>
      <c r="E63" s="77">
        <v>0.0</v>
      </c>
      <c r="F63" s="77">
        <v>0.0</v>
      </c>
      <c r="G63" s="77">
        <f t="shared" si="1"/>
        <v>4</v>
      </c>
      <c r="H63" s="57"/>
    </row>
    <row r="64" ht="19.5" hidden="1" customHeight="1">
      <c r="B64" s="76">
        <v>43132.0</v>
      </c>
      <c r="C64" s="77">
        <v>0.0</v>
      </c>
      <c r="D64" s="77">
        <v>10.0</v>
      </c>
      <c r="E64" s="77">
        <v>0.0</v>
      </c>
      <c r="F64" s="77">
        <v>0.0</v>
      </c>
      <c r="G64" s="77">
        <f t="shared" si="1"/>
        <v>10</v>
      </c>
      <c r="H64" s="57"/>
    </row>
    <row r="65" ht="19.5" hidden="1" customHeight="1">
      <c r="B65" s="76">
        <v>43160.0</v>
      </c>
      <c r="C65" s="77">
        <v>0.0</v>
      </c>
      <c r="D65" s="77">
        <v>14.0</v>
      </c>
      <c r="E65" s="77">
        <v>0.0</v>
      </c>
      <c r="F65" s="77">
        <v>0.0</v>
      </c>
      <c r="G65" s="77">
        <f t="shared" si="1"/>
        <v>14</v>
      </c>
      <c r="H65" s="57"/>
    </row>
    <row r="66" ht="19.5" hidden="1" customHeight="1">
      <c r="B66" s="76">
        <v>43191.0</v>
      </c>
      <c r="C66" s="77">
        <v>0.0</v>
      </c>
      <c r="D66" s="77">
        <v>19.0</v>
      </c>
      <c r="E66" s="77">
        <v>0.0</v>
      </c>
      <c r="F66" s="77">
        <v>0.0</v>
      </c>
      <c r="G66" s="77">
        <f t="shared" si="1"/>
        <v>19</v>
      </c>
      <c r="H66" s="57"/>
    </row>
    <row r="67" ht="19.5" hidden="1" customHeight="1">
      <c r="B67" s="76">
        <v>43221.0</v>
      </c>
      <c r="C67" s="77">
        <v>12.0</v>
      </c>
      <c r="D67" s="77">
        <v>0.0</v>
      </c>
      <c r="E67" s="77">
        <v>0.0</v>
      </c>
      <c r="F67" s="77">
        <v>1.0</v>
      </c>
      <c r="G67" s="77">
        <f t="shared" si="1"/>
        <v>13</v>
      </c>
      <c r="H67" s="57"/>
    </row>
    <row r="68" ht="19.5" hidden="1" customHeight="1">
      <c r="B68" s="76">
        <v>43252.0</v>
      </c>
      <c r="C68" s="77">
        <v>12.0</v>
      </c>
      <c r="D68" s="77">
        <v>0.0</v>
      </c>
      <c r="E68" s="77">
        <v>0.0</v>
      </c>
      <c r="F68" s="77">
        <v>0.0</v>
      </c>
      <c r="G68" s="77">
        <f t="shared" si="1"/>
        <v>12</v>
      </c>
      <c r="H68" s="57"/>
    </row>
    <row r="69" ht="19.5" hidden="1" customHeight="1">
      <c r="B69" s="76">
        <v>43282.0</v>
      </c>
      <c r="C69" s="77">
        <v>0.0</v>
      </c>
      <c r="D69" s="77">
        <v>12.0</v>
      </c>
      <c r="E69" s="77">
        <v>0.0</v>
      </c>
      <c r="F69" s="77">
        <v>0.0</v>
      </c>
      <c r="G69" s="77">
        <f t="shared" si="1"/>
        <v>12</v>
      </c>
      <c r="H69" s="57"/>
    </row>
    <row r="70" ht="19.5" hidden="1" customHeight="1">
      <c r="B70" s="76">
        <v>43313.0</v>
      </c>
      <c r="C70" s="77">
        <v>0.0</v>
      </c>
      <c r="D70" s="77">
        <v>7.0</v>
      </c>
      <c r="E70" s="77">
        <v>0.0</v>
      </c>
      <c r="F70" s="77">
        <v>0.0</v>
      </c>
      <c r="G70" s="77">
        <f t="shared" si="1"/>
        <v>7</v>
      </c>
      <c r="H70" s="57"/>
    </row>
    <row r="71" ht="19.5" hidden="1" customHeight="1">
      <c r="B71" s="76">
        <v>43344.0</v>
      </c>
      <c r="C71" s="77">
        <v>0.0</v>
      </c>
      <c r="D71" s="77">
        <v>6.0</v>
      </c>
      <c r="E71" s="77">
        <v>0.0</v>
      </c>
      <c r="F71" s="77">
        <v>0.0</v>
      </c>
      <c r="G71" s="77">
        <f t="shared" si="1"/>
        <v>6</v>
      </c>
      <c r="H71" s="57"/>
    </row>
    <row r="72" ht="19.5" hidden="1" customHeight="1">
      <c r="B72" s="76">
        <v>43374.0</v>
      </c>
      <c r="C72" s="77">
        <v>0.0</v>
      </c>
      <c r="D72" s="77">
        <v>11.0</v>
      </c>
      <c r="E72" s="77">
        <v>0.0</v>
      </c>
      <c r="F72" s="77">
        <v>0.0</v>
      </c>
      <c r="G72" s="77">
        <f t="shared" si="1"/>
        <v>11</v>
      </c>
      <c r="H72" s="57"/>
    </row>
    <row r="73" ht="19.5" hidden="1" customHeight="1">
      <c r="B73" s="76">
        <v>43405.0</v>
      </c>
      <c r="C73" s="77">
        <v>0.0</v>
      </c>
      <c r="D73" s="77">
        <v>6.0</v>
      </c>
      <c r="E73" s="77">
        <v>0.0</v>
      </c>
      <c r="F73" s="77">
        <v>0.0</v>
      </c>
      <c r="G73" s="77">
        <f t="shared" si="1"/>
        <v>6</v>
      </c>
      <c r="H73" s="57"/>
    </row>
    <row r="74" ht="19.5" hidden="1" customHeight="1">
      <c r="B74" s="76">
        <v>43435.0</v>
      </c>
      <c r="C74" s="77">
        <v>0.0</v>
      </c>
      <c r="D74" s="77">
        <v>6.0</v>
      </c>
      <c r="E74" s="77">
        <v>0.0</v>
      </c>
      <c r="F74" s="77">
        <v>0.0</v>
      </c>
      <c r="G74" s="77">
        <f t="shared" si="1"/>
        <v>6</v>
      </c>
      <c r="H74" s="57"/>
    </row>
    <row r="75" ht="19.5" hidden="1" customHeight="1">
      <c r="B75" s="76">
        <v>43466.0</v>
      </c>
      <c r="C75" s="77">
        <v>0.0</v>
      </c>
      <c r="D75" s="77">
        <v>0.0</v>
      </c>
      <c r="E75" s="77">
        <v>0.0</v>
      </c>
      <c r="F75" s="77">
        <v>0.0</v>
      </c>
      <c r="G75" s="77">
        <f t="shared" si="1"/>
        <v>0</v>
      </c>
      <c r="H75" s="57"/>
    </row>
    <row r="76" ht="19.5" hidden="1" customHeight="1">
      <c r="B76" s="76">
        <v>43497.0</v>
      </c>
      <c r="C76" s="77">
        <v>0.0</v>
      </c>
      <c r="D76" s="77">
        <v>5.0</v>
      </c>
      <c r="E76" s="77">
        <v>0.0</v>
      </c>
      <c r="F76" s="77">
        <v>0.0</v>
      </c>
      <c r="G76" s="77">
        <f t="shared" si="1"/>
        <v>5</v>
      </c>
      <c r="H76" s="57"/>
    </row>
    <row r="77" ht="19.5" hidden="1" customHeight="1">
      <c r="B77" s="76">
        <v>43525.0</v>
      </c>
      <c r="C77" s="77">
        <v>0.0</v>
      </c>
      <c r="D77" s="77">
        <v>9.0</v>
      </c>
      <c r="E77" s="77">
        <v>0.0</v>
      </c>
      <c r="F77" s="77">
        <v>0.0</v>
      </c>
      <c r="G77" s="77">
        <f t="shared" si="1"/>
        <v>9</v>
      </c>
      <c r="H77" s="57"/>
    </row>
    <row r="78" ht="19.5" hidden="1" customHeight="1">
      <c r="B78" s="76">
        <v>43556.0</v>
      </c>
      <c r="C78" s="77">
        <v>0.0</v>
      </c>
      <c r="D78" s="77">
        <v>8.0</v>
      </c>
      <c r="E78" s="77">
        <v>0.0</v>
      </c>
      <c r="F78" s="77">
        <v>0.0</v>
      </c>
      <c r="G78" s="77">
        <f t="shared" si="1"/>
        <v>8</v>
      </c>
      <c r="H78" s="57"/>
    </row>
    <row r="79" ht="19.5" hidden="1" customHeight="1">
      <c r="B79" s="76">
        <v>43586.0</v>
      </c>
      <c r="C79" s="77">
        <v>0.0</v>
      </c>
      <c r="D79" s="77">
        <v>14.0</v>
      </c>
      <c r="E79" s="77">
        <v>0.0</v>
      </c>
      <c r="F79" s="77">
        <v>0.0</v>
      </c>
      <c r="G79" s="77">
        <f t="shared" si="1"/>
        <v>14</v>
      </c>
      <c r="H79" s="57"/>
    </row>
    <row r="80" ht="19.5" hidden="1" customHeight="1">
      <c r="B80" s="76">
        <v>43617.0</v>
      </c>
      <c r="C80" s="77">
        <v>0.0</v>
      </c>
      <c r="D80" s="77">
        <v>6.0</v>
      </c>
      <c r="E80" s="77">
        <v>0.0</v>
      </c>
      <c r="F80" s="77">
        <v>0.0</v>
      </c>
      <c r="G80" s="77">
        <f t="shared" si="1"/>
        <v>6</v>
      </c>
      <c r="H80" s="57"/>
    </row>
    <row r="81" ht="19.5" hidden="1" customHeight="1">
      <c r="B81" s="76">
        <v>43647.0</v>
      </c>
      <c r="C81" s="77">
        <v>0.0</v>
      </c>
      <c r="D81" s="77">
        <v>7.0</v>
      </c>
      <c r="E81" s="77">
        <v>1.0</v>
      </c>
      <c r="F81" s="77">
        <v>0.0</v>
      </c>
      <c r="G81" s="77">
        <f t="shared" si="1"/>
        <v>8</v>
      </c>
      <c r="H81" s="57"/>
    </row>
    <row r="82" ht="19.5" hidden="1" customHeight="1">
      <c r="B82" s="76">
        <v>43678.0</v>
      </c>
      <c r="C82" s="77">
        <v>0.0</v>
      </c>
      <c r="D82" s="77">
        <v>5.0</v>
      </c>
      <c r="E82" s="77">
        <v>0.0</v>
      </c>
      <c r="F82" s="77">
        <v>0.0</v>
      </c>
      <c r="G82" s="77">
        <f t="shared" si="1"/>
        <v>5</v>
      </c>
      <c r="H82" s="57"/>
    </row>
    <row r="83" ht="19.5" hidden="1" customHeight="1">
      <c r="B83" s="76">
        <v>43709.0</v>
      </c>
      <c r="C83" s="77">
        <v>0.0</v>
      </c>
      <c r="D83" s="77">
        <v>2.0</v>
      </c>
      <c r="E83" s="77">
        <v>3.0</v>
      </c>
      <c r="F83" s="77">
        <v>0.0</v>
      </c>
      <c r="G83" s="77">
        <f t="shared" si="1"/>
        <v>5</v>
      </c>
      <c r="H83" s="57"/>
    </row>
    <row r="84" ht="19.5" hidden="1" customHeight="1">
      <c r="B84" s="76">
        <v>43739.0</v>
      </c>
      <c r="C84" s="77">
        <v>0.0</v>
      </c>
      <c r="D84" s="77">
        <v>4.0</v>
      </c>
      <c r="E84" s="77">
        <v>1.0</v>
      </c>
      <c r="F84" s="77">
        <v>0.0</v>
      </c>
      <c r="G84" s="77">
        <f t="shared" si="1"/>
        <v>5</v>
      </c>
      <c r="H84" s="57"/>
    </row>
    <row r="85" ht="19.5" hidden="1" customHeight="1">
      <c r="B85" s="76">
        <v>43770.0</v>
      </c>
      <c r="C85" s="77">
        <v>0.0</v>
      </c>
      <c r="D85" s="77">
        <v>8.0</v>
      </c>
      <c r="E85" s="77">
        <v>0.0</v>
      </c>
      <c r="F85" s="77">
        <v>0.0</v>
      </c>
      <c r="G85" s="77">
        <f t="shared" si="1"/>
        <v>8</v>
      </c>
      <c r="H85" s="57"/>
    </row>
    <row r="86" ht="19.5" hidden="1" customHeight="1">
      <c r="B86" s="76">
        <v>43800.0</v>
      </c>
      <c r="C86" s="77">
        <v>0.0</v>
      </c>
      <c r="D86" s="77">
        <v>6.0</v>
      </c>
      <c r="E86" s="77">
        <v>0.0</v>
      </c>
      <c r="F86" s="77">
        <v>0.0</v>
      </c>
      <c r="G86" s="77">
        <f t="shared" si="1"/>
        <v>6</v>
      </c>
      <c r="H86" s="57"/>
    </row>
    <row r="87" ht="19.5" hidden="1" customHeight="1">
      <c r="B87" s="76">
        <v>43831.0</v>
      </c>
      <c r="C87" s="77">
        <v>0.0</v>
      </c>
      <c r="D87" s="77">
        <v>4.0</v>
      </c>
      <c r="E87" s="77">
        <v>3.0</v>
      </c>
      <c r="F87" s="77">
        <v>0.0</v>
      </c>
      <c r="G87" s="77">
        <f t="shared" si="1"/>
        <v>7</v>
      </c>
      <c r="H87" s="57"/>
    </row>
    <row r="88" ht="19.5" hidden="1" customHeight="1">
      <c r="B88" s="76">
        <v>43862.0</v>
      </c>
      <c r="C88" s="77">
        <v>0.0</v>
      </c>
      <c r="D88" s="77">
        <v>4.0</v>
      </c>
      <c r="E88" s="77">
        <v>1.0</v>
      </c>
      <c r="F88" s="77">
        <v>0.0</v>
      </c>
      <c r="G88" s="77">
        <f t="shared" si="1"/>
        <v>5</v>
      </c>
      <c r="H88" s="57"/>
    </row>
    <row r="89" ht="19.5" hidden="1" customHeight="1">
      <c r="B89" s="76">
        <v>43891.0</v>
      </c>
      <c r="C89" s="77">
        <v>0.0</v>
      </c>
      <c r="D89" s="77">
        <v>1.0</v>
      </c>
      <c r="E89" s="77">
        <v>0.0</v>
      </c>
      <c r="F89" s="77">
        <v>0.0</v>
      </c>
      <c r="G89" s="77">
        <f t="shared" si="1"/>
        <v>1</v>
      </c>
      <c r="H89" s="57"/>
    </row>
    <row r="90" ht="19.5" hidden="1" customHeight="1">
      <c r="B90" s="76">
        <v>43922.0</v>
      </c>
      <c r="C90" s="77">
        <v>0.0</v>
      </c>
      <c r="D90" s="77">
        <v>0.0</v>
      </c>
      <c r="E90" s="77">
        <v>0.0</v>
      </c>
      <c r="F90" s="77">
        <v>0.0</v>
      </c>
      <c r="G90" s="77">
        <f t="shared" si="1"/>
        <v>0</v>
      </c>
      <c r="H90" s="57"/>
    </row>
    <row r="91" ht="19.5" hidden="1" customHeight="1">
      <c r="B91" s="76">
        <v>43952.0</v>
      </c>
      <c r="C91" s="77">
        <v>0.0</v>
      </c>
      <c r="D91" s="77">
        <v>3.0</v>
      </c>
      <c r="E91" s="77">
        <v>0.0</v>
      </c>
      <c r="F91" s="77">
        <v>0.0</v>
      </c>
      <c r="G91" s="77">
        <f t="shared" si="1"/>
        <v>3</v>
      </c>
      <c r="H91" s="57"/>
    </row>
    <row r="92" ht="19.5" hidden="1" customHeight="1">
      <c r="B92" s="76">
        <v>44018.0</v>
      </c>
      <c r="C92" s="77">
        <v>0.0</v>
      </c>
      <c r="D92" s="77">
        <v>2.0</v>
      </c>
      <c r="E92" s="77">
        <v>0.0</v>
      </c>
      <c r="F92" s="77">
        <v>0.0</v>
      </c>
      <c r="G92" s="77">
        <f t="shared" si="1"/>
        <v>2</v>
      </c>
      <c r="H92" s="57"/>
    </row>
    <row r="93" ht="19.5" hidden="1" customHeight="1">
      <c r="B93" s="76">
        <v>44013.0</v>
      </c>
      <c r="C93" s="77">
        <v>0.0</v>
      </c>
      <c r="D93" s="77">
        <v>0.0</v>
      </c>
      <c r="E93" s="77">
        <v>2.0</v>
      </c>
      <c r="F93" s="77">
        <v>0.0</v>
      </c>
      <c r="G93" s="77">
        <f t="shared" si="1"/>
        <v>2</v>
      </c>
      <c r="H93" s="57"/>
    </row>
    <row r="94" ht="19.5" hidden="1" customHeight="1">
      <c r="B94" s="76">
        <v>44044.0</v>
      </c>
      <c r="C94" s="77">
        <v>0.0</v>
      </c>
      <c r="D94" s="77">
        <v>0.0</v>
      </c>
      <c r="E94" s="77">
        <v>2.0</v>
      </c>
      <c r="F94" s="77">
        <v>0.0</v>
      </c>
      <c r="G94" s="77">
        <f t="shared" si="1"/>
        <v>2</v>
      </c>
      <c r="H94" s="57"/>
    </row>
    <row r="95" ht="19.5" hidden="1" customHeight="1">
      <c r="B95" s="76">
        <v>44075.0</v>
      </c>
      <c r="C95" s="77">
        <v>0.0</v>
      </c>
      <c r="D95" s="77">
        <v>1.0</v>
      </c>
      <c r="E95" s="77">
        <v>1.0</v>
      </c>
      <c r="F95" s="77">
        <v>0.0</v>
      </c>
      <c r="G95" s="77">
        <f t="shared" si="1"/>
        <v>2</v>
      </c>
      <c r="H95" s="57"/>
    </row>
    <row r="96" ht="19.5" hidden="1" customHeight="1">
      <c r="B96" s="76">
        <v>44105.0</v>
      </c>
      <c r="C96" s="77">
        <v>0.0</v>
      </c>
      <c r="D96" s="77">
        <v>2.0</v>
      </c>
      <c r="E96" s="77">
        <v>2.0</v>
      </c>
      <c r="F96" s="77">
        <v>0.0</v>
      </c>
      <c r="G96" s="77">
        <f t="shared" si="1"/>
        <v>4</v>
      </c>
      <c r="H96" s="57"/>
    </row>
    <row r="97" ht="19.5" hidden="1" customHeight="1">
      <c r="B97" s="76">
        <v>44136.0</v>
      </c>
      <c r="C97" s="77">
        <v>0.0</v>
      </c>
      <c r="D97" s="77">
        <v>0.0</v>
      </c>
      <c r="E97" s="77">
        <v>0.0</v>
      </c>
      <c r="F97" s="77">
        <v>0.0</v>
      </c>
      <c r="G97" s="77">
        <f t="shared" si="1"/>
        <v>0</v>
      </c>
      <c r="H97" s="57"/>
    </row>
    <row r="98" ht="19.5" hidden="1" customHeight="1">
      <c r="B98" s="76">
        <v>44166.0</v>
      </c>
      <c r="C98" s="77">
        <v>0.0</v>
      </c>
      <c r="D98" s="77">
        <v>2.0</v>
      </c>
      <c r="E98" s="77">
        <v>0.0</v>
      </c>
      <c r="F98" s="77">
        <v>0.0</v>
      </c>
      <c r="G98" s="77">
        <f t="shared" si="1"/>
        <v>2</v>
      </c>
      <c r="H98" s="57"/>
    </row>
    <row r="99" ht="19.5" hidden="1" customHeight="1">
      <c r="B99" s="76">
        <v>44197.0</v>
      </c>
      <c r="C99" s="77">
        <v>0.0</v>
      </c>
      <c r="D99" s="77">
        <v>3.0</v>
      </c>
      <c r="E99" s="77">
        <v>0.0</v>
      </c>
      <c r="F99" s="77">
        <v>0.0</v>
      </c>
      <c r="G99" s="77">
        <f t="shared" si="1"/>
        <v>3</v>
      </c>
      <c r="H99" s="57"/>
    </row>
    <row r="100" ht="19.5" hidden="1" customHeight="1">
      <c r="B100" s="76">
        <v>44228.0</v>
      </c>
      <c r="C100" s="77">
        <v>0.0</v>
      </c>
      <c r="D100" s="77">
        <v>1.0</v>
      </c>
      <c r="E100" s="77">
        <v>0.0</v>
      </c>
      <c r="F100" s="77">
        <v>0.0</v>
      </c>
      <c r="G100" s="77">
        <f t="shared" si="1"/>
        <v>1</v>
      </c>
      <c r="H100" s="57"/>
    </row>
    <row r="101" ht="19.5" hidden="1" customHeight="1">
      <c r="B101" s="76">
        <v>44256.0</v>
      </c>
      <c r="C101" s="77">
        <v>0.0</v>
      </c>
      <c r="D101" s="77">
        <v>11.0</v>
      </c>
      <c r="E101" s="77">
        <v>2.0</v>
      </c>
      <c r="F101" s="77">
        <v>2.0</v>
      </c>
      <c r="G101" s="77">
        <f t="shared" si="1"/>
        <v>15</v>
      </c>
      <c r="H101" s="57"/>
    </row>
    <row r="102" ht="19.5" hidden="1" customHeight="1">
      <c r="B102" s="76">
        <v>44287.0</v>
      </c>
      <c r="C102" s="77">
        <v>0.0</v>
      </c>
      <c r="D102" s="77">
        <v>33.0</v>
      </c>
      <c r="E102" s="77">
        <v>2.0</v>
      </c>
      <c r="F102" s="77">
        <v>1.0</v>
      </c>
      <c r="G102" s="77">
        <f t="shared" si="1"/>
        <v>36</v>
      </c>
      <c r="H102" s="57"/>
    </row>
    <row r="103" ht="19.5" hidden="1" customHeight="1">
      <c r="B103" s="76">
        <v>44317.0</v>
      </c>
      <c r="C103" s="77">
        <v>0.0</v>
      </c>
      <c r="D103" s="77">
        <v>13.0</v>
      </c>
      <c r="E103" s="77">
        <v>0.0</v>
      </c>
      <c r="F103" s="77">
        <v>0.0</v>
      </c>
      <c r="G103" s="77">
        <f t="shared" si="1"/>
        <v>13</v>
      </c>
      <c r="H103" s="57"/>
    </row>
    <row r="104" ht="19.5" hidden="1" customHeight="1">
      <c r="B104" s="76">
        <v>44348.0</v>
      </c>
      <c r="C104" s="77">
        <v>0.0</v>
      </c>
      <c r="D104" s="77">
        <v>13.0</v>
      </c>
      <c r="E104" s="77">
        <v>0.0</v>
      </c>
      <c r="F104" s="77">
        <v>0.0</v>
      </c>
      <c r="G104" s="77">
        <f t="shared" si="1"/>
        <v>13</v>
      </c>
      <c r="H104" s="57"/>
    </row>
    <row r="105" ht="19.5" hidden="1" customHeight="1">
      <c r="B105" s="76">
        <v>44378.0</v>
      </c>
      <c r="C105" s="77">
        <v>0.0</v>
      </c>
      <c r="D105" s="77">
        <v>7.0</v>
      </c>
      <c r="E105" s="77">
        <v>0.0</v>
      </c>
      <c r="F105" s="77">
        <v>0.0</v>
      </c>
      <c r="G105" s="77">
        <f t="shared" si="1"/>
        <v>7</v>
      </c>
      <c r="H105" s="57"/>
    </row>
    <row r="106" ht="19.5" hidden="1" customHeight="1">
      <c r="B106" s="76">
        <v>44409.0</v>
      </c>
      <c r="C106" s="77">
        <v>0.0</v>
      </c>
      <c r="D106" s="77">
        <v>6.0</v>
      </c>
      <c r="E106" s="77">
        <v>0.0</v>
      </c>
      <c r="F106" s="77">
        <v>0.0</v>
      </c>
      <c r="G106" s="77">
        <f t="shared" si="1"/>
        <v>6</v>
      </c>
      <c r="H106" s="57"/>
    </row>
    <row r="107" ht="19.5" hidden="1" customHeight="1">
      <c r="B107" s="76">
        <v>44440.0</v>
      </c>
      <c r="C107" s="77">
        <v>1.0</v>
      </c>
      <c r="D107" s="77">
        <v>2.0</v>
      </c>
      <c r="E107" s="77">
        <v>0.0</v>
      </c>
      <c r="F107" s="77">
        <v>0.0</v>
      </c>
      <c r="G107" s="77">
        <f t="shared" si="1"/>
        <v>3</v>
      </c>
      <c r="H107" s="57"/>
    </row>
    <row r="108" ht="19.5" hidden="1" customHeight="1">
      <c r="B108" s="76">
        <v>44470.0</v>
      </c>
      <c r="C108" s="77">
        <v>0.0</v>
      </c>
      <c r="D108" s="77">
        <v>6.0</v>
      </c>
      <c r="E108" s="77">
        <v>1.0</v>
      </c>
      <c r="F108" s="77">
        <v>0.0</v>
      </c>
      <c r="G108" s="77">
        <f t="shared" si="1"/>
        <v>7</v>
      </c>
      <c r="H108" s="57"/>
    </row>
    <row r="109" ht="19.5" hidden="1" customHeight="1">
      <c r="B109" s="76">
        <v>44501.0</v>
      </c>
      <c r="C109" s="77">
        <v>3.0</v>
      </c>
      <c r="D109" s="77">
        <v>5.0</v>
      </c>
      <c r="E109" s="77">
        <v>1.0</v>
      </c>
      <c r="F109" s="77">
        <v>1.0</v>
      </c>
      <c r="G109" s="77">
        <f t="shared" si="1"/>
        <v>10</v>
      </c>
      <c r="H109" s="57"/>
    </row>
    <row r="110" ht="19.5" hidden="1" customHeight="1">
      <c r="B110" s="76">
        <v>44531.0</v>
      </c>
      <c r="C110" s="77">
        <v>2.0</v>
      </c>
      <c r="D110" s="77">
        <v>8.0</v>
      </c>
      <c r="E110" s="77">
        <v>0.0</v>
      </c>
      <c r="F110" s="77">
        <v>0.0</v>
      </c>
      <c r="G110" s="77">
        <f t="shared" si="1"/>
        <v>10</v>
      </c>
      <c r="H110" s="57"/>
    </row>
    <row r="111" ht="19.5" hidden="1" customHeight="1">
      <c r="B111" s="76">
        <v>44562.0</v>
      </c>
      <c r="C111" s="77">
        <v>1.0</v>
      </c>
      <c r="D111" s="77">
        <v>1.0</v>
      </c>
      <c r="E111" s="77">
        <v>1.0</v>
      </c>
      <c r="F111" s="77">
        <v>0.0</v>
      </c>
      <c r="G111" s="77">
        <f t="shared" si="1"/>
        <v>3</v>
      </c>
      <c r="H111" s="57"/>
    </row>
    <row r="112" ht="19.5" hidden="1" customHeight="1">
      <c r="B112" s="76">
        <v>44593.0</v>
      </c>
      <c r="C112" s="77">
        <v>1.0</v>
      </c>
      <c r="D112" s="77">
        <v>5.0</v>
      </c>
      <c r="E112" s="77">
        <v>0.0</v>
      </c>
      <c r="F112" s="77">
        <v>0.0</v>
      </c>
      <c r="G112" s="77">
        <f t="shared" si="1"/>
        <v>6</v>
      </c>
      <c r="H112" s="57"/>
    </row>
    <row r="113" ht="19.5" hidden="1" customHeight="1">
      <c r="B113" s="76">
        <v>44621.0</v>
      </c>
      <c r="C113" s="77">
        <v>4.0</v>
      </c>
      <c r="D113" s="77">
        <v>3.0</v>
      </c>
      <c r="E113" s="77">
        <v>5.0</v>
      </c>
      <c r="F113" s="77">
        <v>1.0</v>
      </c>
      <c r="G113" s="77">
        <f t="shared" si="1"/>
        <v>13</v>
      </c>
      <c r="H113" s="57"/>
    </row>
    <row r="114" ht="19.5" hidden="1" customHeight="1">
      <c r="B114" s="76">
        <v>44652.0</v>
      </c>
      <c r="C114" s="77">
        <v>2.0</v>
      </c>
      <c r="D114" s="77">
        <v>6.0</v>
      </c>
      <c r="E114" s="77">
        <v>2.0</v>
      </c>
      <c r="F114" s="77">
        <v>0.0</v>
      </c>
      <c r="G114" s="77">
        <f t="shared" si="1"/>
        <v>10</v>
      </c>
      <c r="H114" s="57"/>
    </row>
    <row r="115" ht="19.5" hidden="1" customHeight="1">
      <c r="B115" s="76">
        <v>44682.0</v>
      </c>
      <c r="C115" s="77">
        <v>2.0</v>
      </c>
      <c r="D115" s="77">
        <v>2.0</v>
      </c>
      <c r="E115" s="77">
        <v>1.0</v>
      </c>
      <c r="F115" s="77">
        <v>0.0</v>
      </c>
      <c r="G115" s="77">
        <f t="shared" si="1"/>
        <v>5</v>
      </c>
      <c r="H115" s="57"/>
    </row>
    <row r="116" ht="19.5" hidden="1" customHeight="1">
      <c r="B116" s="76">
        <v>44713.0</v>
      </c>
      <c r="C116" s="77">
        <v>1.0</v>
      </c>
      <c r="D116" s="77">
        <v>6.0</v>
      </c>
      <c r="E116" s="77">
        <v>2.0</v>
      </c>
      <c r="F116" s="77">
        <v>0.0</v>
      </c>
      <c r="G116" s="77">
        <f t="shared" si="1"/>
        <v>9</v>
      </c>
      <c r="H116" s="57"/>
    </row>
    <row r="117" ht="19.5" hidden="1" customHeight="1">
      <c r="B117" s="76">
        <v>44743.0</v>
      </c>
      <c r="C117" s="77">
        <v>3.0</v>
      </c>
      <c r="D117" s="77">
        <v>5.0</v>
      </c>
      <c r="E117" s="77">
        <v>0.0</v>
      </c>
      <c r="F117" s="77">
        <v>0.0</v>
      </c>
      <c r="G117" s="77">
        <f t="shared" si="1"/>
        <v>8</v>
      </c>
      <c r="H117" s="57"/>
    </row>
    <row r="118" ht="19.5" hidden="1" customHeight="1">
      <c r="B118" s="76">
        <v>44774.0</v>
      </c>
      <c r="C118" s="77">
        <v>1.0</v>
      </c>
      <c r="D118" s="77">
        <v>4.0</v>
      </c>
      <c r="E118" s="77">
        <v>0.0</v>
      </c>
      <c r="F118" s="77">
        <v>0.0</v>
      </c>
      <c r="G118" s="77">
        <f t="shared" si="1"/>
        <v>5</v>
      </c>
      <c r="H118" s="57"/>
    </row>
    <row r="119" ht="19.5" hidden="1" customHeight="1">
      <c r="B119" s="76">
        <v>44805.0</v>
      </c>
      <c r="C119" s="77">
        <v>0.0</v>
      </c>
      <c r="D119" s="77">
        <v>3.0</v>
      </c>
      <c r="E119" s="77">
        <v>1.0</v>
      </c>
      <c r="F119" s="77">
        <v>0.0</v>
      </c>
      <c r="G119" s="77">
        <f t="shared" si="1"/>
        <v>4</v>
      </c>
      <c r="H119" s="57"/>
    </row>
    <row r="120" ht="19.5" hidden="1" customHeight="1">
      <c r="B120" s="76">
        <v>44835.0</v>
      </c>
      <c r="C120" s="77">
        <v>0.0</v>
      </c>
      <c r="D120" s="77">
        <v>7.0</v>
      </c>
      <c r="E120" s="77">
        <v>1.0</v>
      </c>
      <c r="F120" s="77">
        <v>0.0</v>
      </c>
      <c r="G120" s="77">
        <f t="shared" si="1"/>
        <v>8</v>
      </c>
      <c r="H120" s="57"/>
    </row>
    <row r="121" ht="19.5" hidden="1" customHeight="1">
      <c r="B121" s="76">
        <v>44866.0</v>
      </c>
      <c r="C121" s="77">
        <v>2.0</v>
      </c>
      <c r="D121" s="77">
        <v>2.0</v>
      </c>
      <c r="E121" s="77">
        <v>0.0</v>
      </c>
      <c r="F121" s="77">
        <v>0.0</v>
      </c>
      <c r="G121" s="77">
        <f t="shared" si="1"/>
        <v>4</v>
      </c>
      <c r="H121" s="57"/>
    </row>
    <row r="122" ht="19.5" hidden="1" customHeight="1">
      <c r="B122" s="76">
        <v>44896.0</v>
      </c>
      <c r="C122" s="77">
        <v>0.0</v>
      </c>
      <c r="D122" s="77">
        <v>3.0</v>
      </c>
      <c r="E122" s="77">
        <v>0.0</v>
      </c>
      <c r="F122" s="77">
        <v>0.0</v>
      </c>
      <c r="G122" s="77">
        <f t="shared" si="1"/>
        <v>3</v>
      </c>
      <c r="H122" s="57"/>
    </row>
    <row r="123" ht="19.5" hidden="1" customHeight="1">
      <c r="B123" s="76">
        <v>44927.0</v>
      </c>
      <c r="C123" s="77">
        <v>2.0</v>
      </c>
      <c r="D123" s="77">
        <v>5.0</v>
      </c>
      <c r="E123" s="77">
        <v>1.0</v>
      </c>
      <c r="F123" s="77">
        <v>0.0</v>
      </c>
      <c r="G123" s="77">
        <f t="shared" si="1"/>
        <v>8</v>
      </c>
      <c r="H123" s="57"/>
    </row>
    <row r="124" ht="19.5" hidden="1" customHeight="1">
      <c r="B124" s="76">
        <v>44958.0</v>
      </c>
      <c r="C124" s="77">
        <v>0.0</v>
      </c>
      <c r="D124" s="77">
        <v>0.0</v>
      </c>
      <c r="E124" s="77">
        <v>1.0</v>
      </c>
      <c r="F124" s="77">
        <v>0.0</v>
      </c>
      <c r="G124" s="77">
        <f t="shared" si="1"/>
        <v>1</v>
      </c>
      <c r="H124" s="57"/>
    </row>
    <row r="125" ht="19.5" hidden="1" customHeight="1">
      <c r="B125" s="76">
        <v>44986.0</v>
      </c>
      <c r="C125" s="77">
        <v>2.0</v>
      </c>
      <c r="D125" s="77">
        <v>4.0</v>
      </c>
      <c r="E125" s="77">
        <v>3.0</v>
      </c>
      <c r="F125" s="77">
        <v>0.0</v>
      </c>
      <c r="G125" s="77">
        <f t="shared" si="1"/>
        <v>9</v>
      </c>
      <c r="H125" s="57"/>
    </row>
    <row r="126" ht="19.5" hidden="1" customHeight="1">
      <c r="B126" s="76">
        <v>45017.0</v>
      </c>
      <c r="C126" s="77">
        <v>2.0</v>
      </c>
      <c r="D126" s="77">
        <v>6.0</v>
      </c>
      <c r="E126" s="77">
        <v>2.0</v>
      </c>
      <c r="F126" s="77">
        <v>0.0</v>
      </c>
      <c r="G126" s="77">
        <f t="shared" si="1"/>
        <v>10</v>
      </c>
      <c r="H126" s="57"/>
    </row>
    <row r="127" ht="19.5" hidden="1" customHeight="1">
      <c r="B127" s="76">
        <v>45047.0</v>
      </c>
      <c r="C127" s="77">
        <v>1.0</v>
      </c>
      <c r="D127" s="77">
        <v>0.0</v>
      </c>
      <c r="E127" s="77">
        <v>1.0</v>
      </c>
      <c r="F127" s="77">
        <v>0.0</v>
      </c>
      <c r="G127" s="77">
        <f t="shared" si="1"/>
        <v>2</v>
      </c>
      <c r="H127" s="57"/>
    </row>
    <row r="128" ht="19.5" hidden="1" customHeight="1">
      <c r="B128" s="76">
        <v>45078.0</v>
      </c>
      <c r="C128" s="77">
        <v>1.0</v>
      </c>
      <c r="D128" s="77">
        <v>2.0</v>
      </c>
      <c r="E128" s="77">
        <v>1.0</v>
      </c>
      <c r="F128" s="77">
        <v>0.0</v>
      </c>
      <c r="G128" s="77">
        <f t="shared" si="1"/>
        <v>4</v>
      </c>
      <c r="H128" s="57"/>
    </row>
    <row r="129" ht="19.5" hidden="1" customHeight="1">
      <c r="B129" s="76">
        <v>45108.0</v>
      </c>
      <c r="C129" s="77">
        <v>1.0</v>
      </c>
      <c r="D129" s="77">
        <v>3.0</v>
      </c>
      <c r="E129" s="77">
        <v>1.0</v>
      </c>
      <c r="F129" s="77">
        <v>0.0</v>
      </c>
      <c r="G129" s="77">
        <f t="shared" si="1"/>
        <v>5</v>
      </c>
      <c r="H129" s="57"/>
    </row>
    <row r="130" ht="19.5" hidden="1" customHeight="1">
      <c r="B130" s="76">
        <v>45139.0</v>
      </c>
      <c r="C130" s="77">
        <v>0.0</v>
      </c>
      <c r="D130" s="77">
        <v>5.0</v>
      </c>
      <c r="E130" s="77">
        <v>2.0</v>
      </c>
      <c r="F130" s="77">
        <v>0.0</v>
      </c>
      <c r="G130" s="77">
        <f t="shared" si="1"/>
        <v>7</v>
      </c>
      <c r="H130" s="57"/>
    </row>
    <row r="131" ht="19.5" hidden="1" customHeight="1">
      <c r="B131" s="76">
        <v>45170.0</v>
      </c>
      <c r="C131" s="77">
        <v>0.0</v>
      </c>
      <c r="D131" s="77">
        <v>7.0</v>
      </c>
      <c r="E131" s="77">
        <v>0.0</v>
      </c>
      <c r="F131" s="77">
        <v>0.0</v>
      </c>
      <c r="G131" s="77">
        <f t="shared" si="1"/>
        <v>7</v>
      </c>
      <c r="H131" s="57"/>
    </row>
    <row r="132" ht="19.5" hidden="1" customHeight="1">
      <c r="B132" s="76">
        <v>45200.0</v>
      </c>
      <c r="C132" s="77">
        <v>2.0</v>
      </c>
      <c r="D132" s="77">
        <v>5.0</v>
      </c>
      <c r="E132" s="77">
        <v>2.0</v>
      </c>
      <c r="F132" s="77">
        <v>0.0</v>
      </c>
      <c r="G132" s="77">
        <f t="shared" si="1"/>
        <v>9</v>
      </c>
      <c r="H132" s="57"/>
    </row>
    <row r="133" ht="19.5" hidden="1" customHeight="1">
      <c r="B133" s="76">
        <v>45231.0</v>
      </c>
      <c r="C133" s="77">
        <v>2.0</v>
      </c>
      <c r="D133" s="77">
        <v>4.0</v>
      </c>
      <c r="E133" s="77">
        <v>1.0</v>
      </c>
      <c r="F133" s="77">
        <v>0.0</v>
      </c>
      <c r="G133" s="77">
        <f t="shared" si="1"/>
        <v>7</v>
      </c>
      <c r="H133" s="57"/>
    </row>
    <row r="134" ht="19.5" hidden="1" customHeight="1">
      <c r="B134" s="76">
        <v>45261.0</v>
      </c>
      <c r="C134" s="77">
        <v>0.0</v>
      </c>
      <c r="D134" s="77">
        <v>3.0</v>
      </c>
      <c r="E134" s="77">
        <v>0.0</v>
      </c>
      <c r="F134" s="77">
        <v>0.0</v>
      </c>
      <c r="G134" s="77">
        <f t="shared" si="1"/>
        <v>3</v>
      </c>
      <c r="H134" s="57"/>
    </row>
    <row r="135" ht="19.5" hidden="1" customHeight="1">
      <c r="B135" s="76">
        <v>45292.0</v>
      </c>
      <c r="C135" s="77">
        <v>1.0</v>
      </c>
      <c r="D135" s="77">
        <v>4.0</v>
      </c>
      <c r="E135" s="77">
        <v>0.0</v>
      </c>
      <c r="F135" s="77">
        <v>0.0</v>
      </c>
      <c r="G135" s="77">
        <f t="shared" si="1"/>
        <v>5</v>
      </c>
      <c r="H135" s="57"/>
    </row>
    <row r="136" ht="19.5" hidden="1" customHeight="1">
      <c r="B136" s="76">
        <v>45323.0</v>
      </c>
      <c r="C136" s="77">
        <v>0.0</v>
      </c>
      <c r="D136" s="77">
        <v>4.0</v>
      </c>
      <c r="E136" s="77">
        <v>0.0</v>
      </c>
      <c r="F136" s="77">
        <v>0.0</v>
      </c>
      <c r="G136" s="77">
        <f t="shared" si="1"/>
        <v>4</v>
      </c>
      <c r="H136" s="57"/>
    </row>
    <row r="137" ht="19.5" hidden="1" customHeight="1">
      <c r="B137" s="76">
        <v>45352.0</v>
      </c>
      <c r="C137" s="77">
        <v>2.0</v>
      </c>
      <c r="D137" s="77">
        <v>4.0</v>
      </c>
      <c r="E137" s="77">
        <v>1.0</v>
      </c>
      <c r="F137" s="77">
        <v>0.0</v>
      </c>
      <c r="G137" s="77">
        <f t="shared" si="1"/>
        <v>7</v>
      </c>
      <c r="H137" s="57"/>
    </row>
    <row r="138" ht="19.5" hidden="1" customHeight="1">
      <c r="B138" s="76">
        <v>45383.0</v>
      </c>
      <c r="C138" s="77">
        <v>1.0</v>
      </c>
      <c r="D138" s="77">
        <v>0.0</v>
      </c>
      <c r="E138" s="77">
        <v>2.0</v>
      </c>
      <c r="F138" s="77">
        <v>1.0</v>
      </c>
      <c r="G138" s="77">
        <f t="shared" si="1"/>
        <v>4</v>
      </c>
      <c r="H138" s="57"/>
    </row>
    <row r="139" ht="19.5" hidden="1" customHeight="1">
      <c r="B139" s="76">
        <v>45413.0</v>
      </c>
      <c r="C139" s="77">
        <v>0.0</v>
      </c>
      <c r="D139" s="77">
        <v>3.0</v>
      </c>
      <c r="E139" s="77">
        <v>0.0</v>
      </c>
      <c r="F139" s="77">
        <v>0.0</v>
      </c>
      <c r="G139" s="77">
        <f t="shared" si="1"/>
        <v>3</v>
      </c>
      <c r="H139" s="57"/>
    </row>
    <row r="140" ht="19.5" hidden="1" customHeight="1">
      <c r="B140" s="76">
        <v>45444.0</v>
      </c>
      <c r="C140" s="77">
        <v>0.0</v>
      </c>
      <c r="D140" s="77">
        <v>5.0</v>
      </c>
      <c r="E140" s="77">
        <v>2.0</v>
      </c>
      <c r="F140" s="77">
        <v>0.0</v>
      </c>
      <c r="G140" s="77">
        <f t="shared" si="1"/>
        <v>7</v>
      </c>
      <c r="H140" s="57"/>
    </row>
    <row r="141" ht="19.5" hidden="1" customHeight="1">
      <c r="B141" s="76">
        <v>45474.0</v>
      </c>
      <c r="C141" s="77">
        <v>1.0</v>
      </c>
      <c r="D141" s="77">
        <v>4.0</v>
      </c>
      <c r="E141" s="77">
        <v>3.0</v>
      </c>
      <c r="F141" s="77">
        <v>1.0</v>
      </c>
      <c r="G141" s="77">
        <f t="shared" si="1"/>
        <v>9</v>
      </c>
      <c r="H141" s="57"/>
    </row>
    <row r="142" ht="19.5" hidden="1" customHeight="1">
      <c r="B142" s="76">
        <v>45505.0</v>
      </c>
      <c r="C142" s="77">
        <v>2.0</v>
      </c>
      <c r="D142" s="77">
        <v>9.0</v>
      </c>
      <c r="E142" s="77">
        <v>0.0</v>
      </c>
      <c r="F142" s="77">
        <v>1.0</v>
      </c>
      <c r="G142" s="77">
        <f t="shared" si="1"/>
        <v>12</v>
      </c>
      <c r="H142" s="57"/>
    </row>
    <row r="143" ht="19.5" hidden="1" customHeight="1">
      <c r="B143" s="76">
        <v>45536.0</v>
      </c>
      <c r="C143" s="77">
        <v>4.0</v>
      </c>
      <c r="D143" s="77">
        <v>3.0</v>
      </c>
      <c r="E143" s="77">
        <v>1.0</v>
      </c>
      <c r="F143" s="77">
        <v>0.0</v>
      </c>
      <c r="G143" s="77">
        <f t="shared" si="1"/>
        <v>8</v>
      </c>
      <c r="H143" s="57"/>
    </row>
    <row r="144" ht="19.5" hidden="1" customHeight="1">
      <c r="B144" s="76">
        <v>45566.0</v>
      </c>
      <c r="C144" s="77">
        <v>3.0</v>
      </c>
      <c r="D144" s="77">
        <v>3.0</v>
      </c>
      <c r="E144" s="77">
        <v>0.0</v>
      </c>
      <c r="F144" s="77">
        <v>1.0</v>
      </c>
      <c r="G144" s="77">
        <f t="shared" si="1"/>
        <v>7</v>
      </c>
      <c r="H144" s="57"/>
    </row>
    <row r="145" ht="19.5" hidden="1" customHeight="1">
      <c r="B145" s="76">
        <v>45597.0</v>
      </c>
      <c r="C145" s="77">
        <v>2.0</v>
      </c>
      <c r="D145" s="77">
        <v>1.0</v>
      </c>
      <c r="E145" s="77">
        <v>0.0</v>
      </c>
      <c r="F145" s="77">
        <v>0.0</v>
      </c>
      <c r="G145" s="77">
        <f t="shared" si="1"/>
        <v>3</v>
      </c>
      <c r="H145" s="57"/>
    </row>
    <row r="146" ht="19.5" hidden="1" customHeight="1">
      <c r="B146" s="76">
        <v>45627.0</v>
      </c>
      <c r="C146" s="77">
        <v>2.0</v>
      </c>
      <c r="D146" s="77">
        <v>1.0</v>
      </c>
      <c r="E146" s="77">
        <v>1.0</v>
      </c>
      <c r="F146" s="77">
        <v>2.0</v>
      </c>
      <c r="G146" s="77">
        <f t="shared" si="1"/>
        <v>6</v>
      </c>
      <c r="H146" s="57"/>
    </row>
    <row r="147" ht="19.5" hidden="1" customHeight="1">
      <c r="B147" s="76">
        <v>45658.0</v>
      </c>
      <c r="C147" s="77">
        <v>3.0</v>
      </c>
      <c r="D147" s="77">
        <v>1.0</v>
      </c>
      <c r="E147" s="77">
        <v>0.0</v>
      </c>
      <c r="F147" s="77">
        <v>0.0</v>
      </c>
      <c r="G147" s="77">
        <f t="shared" si="1"/>
        <v>4</v>
      </c>
      <c r="H147" s="57"/>
    </row>
    <row r="148" ht="19.5" customHeight="1">
      <c r="B148" s="76">
        <v>45689.0</v>
      </c>
      <c r="C148" s="77">
        <v>2.0</v>
      </c>
      <c r="D148" s="77">
        <v>3.0</v>
      </c>
      <c r="E148" s="77">
        <v>1.0</v>
      </c>
      <c r="F148" s="77">
        <v>0.0</v>
      </c>
      <c r="G148" s="77">
        <f t="shared" si="1"/>
        <v>6</v>
      </c>
      <c r="H148" s="57"/>
    </row>
    <row r="149" ht="19.5" customHeight="1">
      <c r="B149" s="76">
        <v>45717.0</v>
      </c>
      <c r="C149" s="77">
        <v>0.0</v>
      </c>
      <c r="D149" s="77">
        <v>1.0</v>
      </c>
      <c r="E149" s="77">
        <v>4.0</v>
      </c>
      <c r="F149" s="77">
        <v>0.0</v>
      </c>
      <c r="G149" s="77">
        <f t="shared" si="1"/>
        <v>5</v>
      </c>
      <c r="H149" s="57"/>
    </row>
    <row r="150" ht="19.5" customHeight="1">
      <c r="B150" s="76">
        <v>45748.0</v>
      </c>
      <c r="C150" s="77">
        <v>0.0</v>
      </c>
      <c r="D150" s="77">
        <v>2.0</v>
      </c>
      <c r="E150" s="77">
        <v>1.0</v>
      </c>
      <c r="F150" s="77">
        <v>0.0</v>
      </c>
      <c r="G150" s="77">
        <f t="shared" si="1"/>
        <v>3</v>
      </c>
      <c r="H150" s="57"/>
    </row>
    <row r="151" ht="19.5" customHeight="1">
      <c r="B151" s="76">
        <v>45778.0</v>
      </c>
      <c r="C151" s="77">
        <v>0.0</v>
      </c>
      <c r="D151" s="77">
        <v>2.0</v>
      </c>
      <c r="E151" s="77">
        <v>2.0</v>
      </c>
      <c r="F151" s="77">
        <v>0.0</v>
      </c>
      <c r="G151" s="77">
        <f t="shared" si="1"/>
        <v>4</v>
      </c>
      <c r="H151" s="57"/>
    </row>
    <row r="152" ht="19.5" customHeight="1">
      <c r="B152" s="76">
        <v>45809.0</v>
      </c>
      <c r="C152" s="77">
        <v>1.0</v>
      </c>
      <c r="D152" s="77">
        <v>4.0</v>
      </c>
      <c r="E152" s="77">
        <v>2.0</v>
      </c>
      <c r="F152" s="77">
        <v>0.0</v>
      </c>
      <c r="G152" s="77">
        <f t="shared" si="1"/>
        <v>7</v>
      </c>
      <c r="H152" s="57"/>
    </row>
    <row r="153" ht="19.5" customHeight="1">
      <c r="B153" s="76">
        <v>45839.0</v>
      </c>
      <c r="C153" s="77">
        <v>2.0</v>
      </c>
      <c r="D153" s="77">
        <v>8.0</v>
      </c>
      <c r="E153" s="77">
        <v>2.0</v>
      </c>
      <c r="F153" s="77">
        <v>0.0</v>
      </c>
      <c r="G153" s="77">
        <f t="shared" si="1"/>
        <v>12</v>
      </c>
      <c r="H153" s="57"/>
    </row>
    <row r="154" ht="19.5" customHeight="1">
      <c r="B154" s="76">
        <v>45870.0</v>
      </c>
      <c r="C154" s="77">
        <v>0.0</v>
      </c>
      <c r="D154" s="77">
        <v>14.0</v>
      </c>
      <c r="E154" s="77">
        <v>2.0</v>
      </c>
      <c r="F154" s="77">
        <v>0.0</v>
      </c>
      <c r="G154" s="77">
        <f t="shared" si="1"/>
        <v>16</v>
      </c>
      <c r="H154" s="57"/>
    </row>
    <row r="155" ht="19.5" customHeight="1">
      <c r="B155" s="76">
        <v>45901.0</v>
      </c>
      <c r="C155" s="77">
        <v>0.0</v>
      </c>
      <c r="D155" s="77">
        <v>4.0</v>
      </c>
      <c r="E155" s="77">
        <v>4.0</v>
      </c>
      <c r="F155" s="77">
        <v>0.0</v>
      </c>
      <c r="G155" s="77">
        <f t="shared" si="1"/>
        <v>8</v>
      </c>
      <c r="H155" s="57"/>
    </row>
    <row r="156" ht="19.5" customHeight="1">
      <c r="B156" s="76">
        <v>45931.0</v>
      </c>
      <c r="C156" s="77">
        <v>0.0</v>
      </c>
      <c r="D156" s="77">
        <v>3.0</v>
      </c>
      <c r="E156" s="77">
        <v>1.0</v>
      </c>
      <c r="F156" s="77">
        <v>1.0</v>
      </c>
      <c r="G156" s="77">
        <f t="shared" si="1"/>
        <v>5</v>
      </c>
      <c r="H156" s="57"/>
    </row>
    <row r="157" ht="19.5" customHeight="1">
      <c r="B157" s="76">
        <v>45962.0</v>
      </c>
      <c r="C157" s="77">
        <v>1.0</v>
      </c>
      <c r="D157" s="77">
        <v>7.0</v>
      </c>
      <c r="E157" s="77">
        <v>0.0</v>
      </c>
      <c r="F157" s="77">
        <v>0.0</v>
      </c>
      <c r="G157" s="77">
        <f t="shared" si="1"/>
        <v>8</v>
      </c>
      <c r="H157" s="57"/>
    </row>
    <row r="158" ht="19.5" customHeight="1">
      <c r="B158" s="76">
        <v>45992.0</v>
      </c>
      <c r="C158" s="77">
        <v>3.0</v>
      </c>
      <c r="D158" s="77">
        <v>10.0</v>
      </c>
      <c r="E158" s="77">
        <v>2.0</v>
      </c>
      <c r="F158" s="77">
        <v>0.0</v>
      </c>
      <c r="G158" s="77">
        <f t="shared" si="1"/>
        <v>15</v>
      </c>
      <c r="H158" s="57"/>
    </row>
    <row r="159" ht="19.5" customHeight="1">
      <c r="B159" s="76">
        <v>46023.0</v>
      </c>
      <c r="C159" s="77">
        <v>0.0</v>
      </c>
      <c r="D159" s="77">
        <v>1.0</v>
      </c>
      <c r="E159" s="77">
        <v>1.0</v>
      </c>
      <c r="F159" s="77">
        <v>0.0</v>
      </c>
      <c r="G159" s="77">
        <f t="shared" si="1"/>
        <v>2</v>
      </c>
      <c r="H159" s="57"/>
    </row>
    <row r="160" ht="19.5" customHeight="1">
      <c r="B160" s="76">
        <v>46054.0</v>
      </c>
      <c r="C160" s="77">
        <v>3.0</v>
      </c>
      <c r="D160" s="77">
        <v>3.0</v>
      </c>
      <c r="E160" s="77">
        <v>1.0</v>
      </c>
      <c r="F160" s="77">
        <v>0.0</v>
      </c>
      <c r="G160" s="77">
        <f t="shared" si="1"/>
        <v>7</v>
      </c>
      <c r="H160" s="57"/>
    </row>
    <row r="161" ht="19.5" customHeight="1">
      <c r="B161" s="82" t="s">
        <v>305</v>
      </c>
      <c r="C161" s="82">
        <f t="shared" ref="C161:G161" si="2">SUM(C3:C160)</f>
        <v>333</v>
      </c>
      <c r="D161" s="82">
        <f t="shared" si="2"/>
        <v>1010</v>
      </c>
      <c r="E161" s="82">
        <f t="shared" si="2"/>
        <v>195</v>
      </c>
      <c r="F161" s="82">
        <f t="shared" si="2"/>
        <v>16</v>
      </c>
      <c r="G161" s="82">
        <f t="shared" si="2"/>
        <v>1554</v>
      </c>
    </row>
    <row r="162" ht="12.75" customHeight="1">
      <c r="B162" s="57"/>
      <c r="C162" s="57"/>
      <c r="D162" s="57"/>
      <c r="E162" s="57"/>
      <c r="F162" s="57"/>
      <c r="G162" s="57"/>
    </row>
    <row r="163" ht="12.75" customHeight="1">
      <c r="A163" s="83"/>
      <c r="B163" s="84" t="s">
        <v>306</v>
      </c>
      <c r="C163" s="85"/>
      <c r="D163" s="85"/>
      <c r="E163" s="85"/>
      <c r="F163" s="85"/>
      <c r="G163" s="86"/>
    </row>
    <row r="164" ht="12.75" customHeight="1">
      <c r="A164" s="83"/>
      <c r="B164" s="87"/>
      <c r="C164" s="88"/>
      <c r="D164" s="88"/>
      <c r="E164" s="88"/>
      <c r="F164" s="88"/>
      <c r="G164" s="89"/>
    </row>
    <row r="165" ht="12.75" customHeight="1">
      <c r="A165" s="83"/>
      <c r="B165" s="90" t="s">
        <v>307</v>
      </c>
      <c r="C165" s="91"/>
      <c r="D165" s="91"/>
      <c r="E165" s="91"/>
      <c r="F165" s="91"/>
      <c r="G165" s="92"/>
      <c r="H165" s="93"/>
    </row>
    <row r="166" ht="12.75" customHeight="1">
      <c r="B166" s="94"/>
      <c r="G166" s="95"/>
    </row>
    <row r="167" ht="12.75" customHeight="1">
      <c r="B167" s="96"/>
      <c r="C167" s="97"/>
      <c r="D167" s="97"/>
      <c r="E167" s="97"/>
      <c r="F167" s="97"/>
      <c r="G167" s="98"/>
    </row>
    <row r="168" ht="12.75" customHeight="1">
      <c r="B168" s="99"/>
      <c r="C168" s="100"/>
      <c r="D168" s="100"/>
      <c r="E168" s="100"/>
      <c r="F168" s="100"/>
      <c r="G168" s="101"/>
    </row>
    <row r="169" ht="12.75" customHeight="1">
      <c r="B169" s="102" t="s">
        <v>308</v>
      </c>
      <c r="C169" s="8"/>
      <c r="D169" s="8"/>
      <c r="E169" s="8"/>
      <c r="F169" s="8"/>
      <c r="G169" s="103"/>
    </row>
    <row r="170" ht="12.75" customHeight="1">
      <c r="B170" s="99"/>
      <c r="C170" s="100"/>
      <c r="D170" s="100"/>
      <c r="E170" s="100"/>
      <c r="F170" s="100"/>
      <c r="G170" s="101"/>
    </row>
    <row r="171" ht="12.75" customHeight="1">
      <c r="B171" s="104" t="s">
        <v>309</v>
      </c>
      <c r="C171" s="91"/>
      <c r="D171" s="91"/>
      <c r="E171" s="91"/>
      <c r="F171" s="91"/>
      <c r="G171" s="92"/>
    </row>
    <row r="172" ht="12.75" customHeight="1">
      <c r="B172" s="105"/>
      <c r="G172" s="95"/>
    </row>
    <row r="173" ht="15.0" customHeight="1">
      <c r="B173" s="105"/>
      <c r="G173" s="95"/>
    </row>
    <row r="174" ht="12.75" customHeight="1">
      <c r="B174" s="87"/>
      <c r="C174" s="88"/>
      <c r="D174" s="88"/>
      <c r="E174" s="88"/>
      <c r="F174" s="88"/>
      <c r="G174" s="89"/>
    </row>
    <row r="175" ht="15.0"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sheetData>
  <mergeCells count="5">
    <mergeCell ref="B1:G1"/>
    <mergeCell ref="B163:G164"/>
    <mergeCell ref="B165:G167"/>
    <mergeCell ref="B169:G169"/>
    <mergeCell ref="B171:G174"/>
  </mergeCells>
  <printOptions/>
  <pageMargins bottom="0.3937007874015748" footer="0.0" header="0.0" left="0.31496062992125984" right="0.31496062992125984" top="0.5905511811023623"/>
  <pageSetup paperSize="5" scale="9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workbookViewId="0"/>
  </sheetViews>
  <sheetFormatPr customHeight="1" defaultColWidth="12.63" defaultRowHeight="15.0"/>
  <cols>
    <col customWidth="1" min="1" max="1" width="8.88"/>
    <col customWidth="1" min="2" max="2" width="19.88"/>
    <col customWidth="1" min="3" max="3" width="15.0"/>
    <col customWidth="1" min="4" max="4" width="10.63"/>
    <col customWidth="1" min="5" max="5" width="21.0"/>
    <col customWidth="1" min="6" max="6" width="21.75"/>
    <col customWidth="1" min="7" max="7" width="18.75"/>
    <col customWidth="1" min="8" max="8" width="12.75"/>
    <col customWidth="1" min="9" max="26" width="10.63"/>
  </cols>
  <sheetData>
    <row r="1">
      <c r="A1" s="106" t="s">
        <v>310</v>
      </c>
      <c r="B1" s="91"/>
      <c r="C1" s="91"/>
      <c r="D1" s="91"/>
      <c r="E1" s="91"/>
      <c r="F1" s="107"/>
    </row>
    <row r="2">
      <c r="A2" s="108"/>
      <c r="B2" s="97"/>
      <c r="C2" s="97"/>
      <c r="D2" s="97"/>
      <c r="E2" s="97"/>
      <c r="F2" s="109"/>
    </row>
    <row r="3" ht="19.5" customHeight="1">
      <c r="A3" s="110" t="s">
        <v>311</v>
      </c>
      <c r="B3" s="110" t="s">
        <v>312</v>
      </c>
      <c r="C3" s="110" t="s">
        <v>313</v>
      </c>
      <c r="D3" s="110" t="s">
        <v>314</v>
      </c>
      <c r="E3" s="110" t="s">
        <v>315</v>
      </c>
      <c r="F3" s="110" t="s">
        <v>316</v>
      </c>
    </row>
    <row r="4" ht="19.5" hidden="1" customHeight="1">
      <c r="A4" s="76">
        <v>41275.0</v>
      </c>
      <c r="B4" s="77">
        <v>7.0</v>
      </c>
      <c r="C4" s="77">
        <v>7.0</v>
      </c>
      <c r="D4" s="77">
        <v>595.0</v>
      </c>
      <c r="E4" s="111">
        <f t="shared" ref="E4:E75" si="1">B4/D4</f>
        <v>0.01176470588</v>
      </c>
      <c r="F4" s="30"/>
    </row>
    <row r="5" ht="19.5" hidden="1" customHeight="1">
      <c r="A5" s="76">
        <v>41306.0</v>
      </c>
      <c r="B5" s="77">
        <v>6.0</v>
      </c>
      <c r="C5" s="77">
        <v>10.0</v>
      </c>
      <c r="D5" s="77">
        <v>598.0</v>
      </c>
      <c r="E5" s="111">
        <f t="shared" si="1"/>
        <v>0.01003344482</v>
      </c>
      <c r="F5" s="30"/>
    </row>
    <row r="6" ht="19.5" hidden="1" customHeight="1">
      <c r="A6" s="76">
        <v>41334.0</v>
      </c>
      <c r="B6" s="77">
        <v>14.0</v>
      </c>
      <c r="C6" s="77">
        <v>9.0</v>
      </c>
      <c r="D6" s="77">
        <v>593.0</v>
      </c>
      <c r="E6" s="111">
        <f t="shared" si="1"/>
        <v>0.02360876897</v>
      </c>
      <c r="F6" s="30"/>
    </row>
    <row r="7" ht="19.5" hidden="1" customHeight="1">
      <c r="A7" s="76">
        <v>41365.0</v>
      </c>
      <c r="B7" s="77">
        <v>9.0</v>
      </c>
      <c r="C7" s="77">
        <v>14.0</v>
      </c>
      <c r="D7" s="77">
        <v>599.0</v>
      </c>
      <c r="E7" s="111">
        <f t="shared" si="1"/>
        <v>0.01502504174</v>
      </c>
      <c r="F7" s="30"/>
    </row>
    <row r="8" ht="19.5" hidden="1" customHeight="1">
      <c r="A8" s="76">
        <v>41395.0</v>
      </c>
      <c r="B8" s="77">
        <v>14.0</v>
      </c>
      <c r="C8" s="77">
        <v>10.0</v>
      </c>
      <c r="D8" s="77">
        <v>600.0</v>
      </c>
      <c r="E8" s="111">
        <f t="shared" si="1"/>
        <v>0.02333333333</v>
      </c>
      <c r="F8" s="112"/>
    </row>
    <row r="9" ht="19.5" hidden="1" customHeight="1">
      <c r="A9" s="76">
        <v>41426.0</v>
      </c>
      <c r="B9" s="77">
        <v>14.0</v>
      </c>
      <c r="C9" s="77">
        <v>14.0</v>
      </c>
      <c r="D9" s="77">
        <v>601.0</v>
      </c>
      <c r="E9" s="111">
        <f t="shared" si="1"/>
        <v>0.02329450915</v>
      </c>
      <c r="F9" s="30"/>
    </row>
    <row r="10" ht="19.5" hidden="1" customHeight="1">
      <c r="A10" s="76">
        <v>41456.0</v>
      </c>
      <c r="B10" s="77">
        <v>5.0</v>
      </c>
      <c r="C10" s="77">
        <v>10.0</v>
      </c>
      <c r="D10" s="77">
        <v>602.0</v>
      </c>
      <c r="E10" s="111">
        <f t="shared" si="1"/>
        <v>0.008305647841</v>
      </c>
      <c r="F10" s="30"/>
    </row>
    <row r="11" ht="19.5" hidden="1" customHeight="1">
      <c r="A11" s="76">
        <v>41487.0</v>
      </c>
      <c r="B11" s="77">
        <v>7.0</v>
      </c>
      <c r="C11" s="77">
        <v>10.0</v>
      </c>
      <c r="D11" s="77">
        <v>601.0</v>
      </c>
      <c r="E11" s="111">
        <f t="shared" si="1"/>
        <v>0.01164725458</v>
      </c>
      <c r="F11" s="30"/>
    </row>
    <row r="12" ht="19.5" hidden="1" customHeight="1">
      <c r="A12" s="76">
        <v>41518.0</v>
      </c>
      <c r="B12" s="77">
        <v>3.0</v>
      </c>
      <c r="C12" s="77">
        <v>7.0</v>
      </c>
      <c r="D12" s="77">
        <v>594.0</v>
      </c>
      <c r="E12" s="111">
        <f t="shared" si="1"/>
        <v>0.005050505051</v>
      </c>
      <c r="F12" s="30"/>
    </row>
    <row r="13" ht="19.5" hidden="1" customHeight="1">
      <c r="A13" s="76">
        <v>41548.0</v>
      </c>
      <c r="B13" s="77">
        <v>7.0</v>
      </c>
      <c r="C13" s="77">
        <v>7.0</v>
      </c>
      <c r="D13" s="77">
        <v>594.0</v>
      </c>
      <c r="E13" s="111">
        <f t="shared" si="1"/>
        <v>0.01178451178</v>
      </c>
      <c r="F13" s="30"/>
    </row>
    <row r="14" ht="19.5" hidden="1" customHeight="1">
      <c r="A14" s="76">
        <v>41579.0</v>
      </c>
      <c r="B14" s="77">
        <v>7.0</v>
      </c>
      <c r="C14" s="77">
        <v>14.0</v>
      </c>
      <c r="D14" s="77">
        <v>595.0</v>
      </c>
      <c r="E14" s="111">
        <f t="shared" si="1"/>
        <v>0.01176470588</v>
      </c>
      <c r="F14" s="30"/>
    </row>
    <row r="15" ht="19.5" hidden="1" customHeight="1">
      <c r="A15" s="76">
        <v>41609.0</v>
      </c>
      <c r="B15" s="77">
        <v>5.0</v>
      </c>
      <c r="C15" s="77">
        <v>14.0</v>
      </c>
      <c r="D15" s="77">
        <v>595.0</v>
      </c>
      <c r="E15" s="111">
        <f t="shared" si="1"/>
        <v>0.008403361345</v>
      </c>
      <c r="F15" s="30"/>
    </row>
    <row r="16" ht="19.5" hidden="1" customHeight="1">
      <c r="A16" s="76">
        <v>41640.0</v>
      </c>
      <c r="B16" s="77">
        <v>4.0</v>
      </c>
      <c r="C16" s="77">
        <v>24.0</v>
      </c>
      <c r="D16" s="77">
        <v>604.0</v>
      </c>
      <c r="E16" s="111">
        <f t="shared" si="1"/>
        <v>0.006622516556</v>
      </c>
      <c r="F16" s="30"/>
    </row>
    <row r="17" ht="19.5" hidden="1" customHeight="1">
      <c r="A17" s="76">
        <v>41671.0</v>
      </c>
      <c r="B17" s="77">
        <v>4.0</v>
      </c>
      <c r="C17" s="77">
        <v>15.0</v>
      </c>
      <c r="D17" s="77">
        <v>596.0</v>
      </c>
      <c r="E17" s="111">
        <f t="shared" si="1"/>
        <v>0.006711409396</v>
      </c>
      <c r="F17" s="30"/>
    </row>
    <row r="18" ht="19.5" hidden="1" customHeight="1">
      <c r="A18" s="76">
        <v>41699.0</v>
      </c>
      <c r="B18" s="77">
        <v>10.0</v>
      </c>
      <c r="C18" s="77">
        <v>11.0</v>
      </c>
      <c r="D18" s="77">
        <v>599.0</v>
      </c>
      <c r="E18" s="111">
        <f t="shared" si="1"/>
        <v>0.01669449082</v>
      </c>
      <c r="F18" s="30"/>
    </row>
    <row r="19" ht="19.5" hidden="1" customHeight="1">
      <c r="A19" s="76">
        <v>41730.0</v>
      </c>
      <c r="B19" s="77">
        <v>5.0</v>
      </c>
      <c r="C19" s="77">
        <v>13.0</v>
      </c>
      <c r="D19" s="77">
        <v>606.0</v>
      </c>
      <c r="E19" s="111">
        <f t="shared" si="1"/>
        <v>0.008250825083</v>
      </c>
      <c r="F19" s="113" t="s">
        <v>317</v>
      </c>
    </row>
    <row r="20" ht="19.5" hidden="1" customHeight="1">
      <c r="A20" s="76">
        <v>41760.0</v>
      </c>
      <c r="B20" s="77">
        <v>5.0</v>
      </c>
      <c r="C20" s="77">
        <v>7.0</v>
      </c>
      <c r="D20" s="77">
        <v>609.0</v>
      </c>
      <c r="E20" s="111">
        <f t="shared" si="1"/>
        <v>0.008210180624</v>
      </c>
      <c r="F20" s="30"/>
    </row>
    <row r="21" ht="19.5" hidden="1" customHeight="1">
      <c r="A21" s="76">
        <v>41791.0</v>
      </c>
      <c r="B21" s="77">
        <v>8.0</v>
      </c>
      <c r="C21" s="77">
        <v>13.0</v>
      </c>
      <c r="D21" s="77">
        <v>610.0</v>
      </c>
      <c r="E21" s="111">
        <f t="shared" si="1"/>
        <v>0.0131147541</v>
      </c>
      <c r="F21" s="113" t="s">
        <v>317</v>
      </c>
    </row>
    <row r="22" ht="19.5" hidden="1" customHeight="1">
      <c r="A22" s="76">
        <v>41821.0</v>
      </c>
      <c r="B22" s="77">
        <v>12.0</v>
      </c>
      <c r="C22" s="77">
        <v>6.0</v>
      </c>
      <c r="D22" s="77">
        <v>609.0</v>
      </c>
      <c r="E22" s="111">
        <f t="shared" si="1"/>
        <v>0.0197044335</v>
      </c>
      <c r="F22" s="113" t="s">
        <v>318</v>
      </c>
      <c r="G22" s="114" t="s">
        <v>319</v>
      </c>
    </row>
    <row r="23" ht="19.5" hidden="1" customHeight="1">
      <c r="A23" s="76">
        <v>41852.0</v>
      </c>
      <c r="B23" s="77">
        <v>5.0</v>
      </c>
      <c r="C23" s="77">
        <v>11.0</v>
      </c>
      <c r="D23" s="77">
        <v>568.0</v>
      </c>
      <c r="E23" s="111">
        <f t="shared" si="1"/>
        <v>0.008802816901</v>
      </c>
      <c r="F23" s="113" t="s">
        <v>318</v>
      </c>
      <c r="G23" s="114" t="s">
        <v>320</v>
      </c>
    </row>
    <row r="24" ht="19.5" hidden="1" customHeight="1">
      <c r="A24" s="76">
        <v>41883.0</v>
      </c>
      <c r="B24" s="77">
        <v>4.0</v>
      </c>
      <c r="C24" s="77">
        <v>7.0</v>
      </c>
      <c r="D24" s="77">
        <v>606.0</v>
      </c>
      <c r="E24" s="111">
        <f t="shared" si="1"/>
        <v>0.006600660066</v>
      </c>
      <c r="F24" s="113" t="s">
        <v>317</v>
      </c>
      <c r="G24" s="114" t="s">
        <v>321</v>
      </c>
    </row>
    <row r="25" ht="19.5" hidden="1" customHeight="1">
      <c r="A25" s="76">
        <v>41913.0</v>
      </c>
      <c r="B25" s="77">
        <v>6.0</v>
      </c>
      <c r="C25" s="77">
        <v>3.0</v>
      </c>
      <c r="D25" s="77">
        <v>607.0</v>
      </c>
      <c r="E25" s="111">
        <f t="shared" si="1"/>
        <v>0.009884678748</v>
      </c>
      <c r="F25" s="113" t="s">
        <v>322</v>
      </c>
    </row>
    <row r="26" ht="19.5" hidden="1" customHeight="1">
      <c r="A26" s="76">
        <v>41944.0</v>
      </c>
      <c r="B26" s="77">
        <v>9.0</v>
      </c>
      <c r="C26" s="77">
        <v>8.0</v>
      </c>
      <c r="D26" s="77">
        <v>614.0</v>
      </c>
      <c r="E26" s="111">
        <f t="shared" si="1"/>
        <v>0.01465798046</v>
      </c>
      <c r="F26" s="113" t="s">
        <v>317</v>
      </c>
      <c r="G26" s="114" t="s">
        <v>320</v>
      </c>
    </row>
    <row r="27" ht="19.5" hidden="1" customHeight="1">
      <c r="A27" s="76">
        <v>41974.0</v>
      </c>
      <c r="B27" s="77">
        <v>4.0</v>
      </c>
      <c r="C27" s="77">
        <v>8.0</v>
      </c>
      <c r="D27" s="77">
        <v>621.0</v>
      </c>
      <c r="E27" s="111">
        <f t="shared" si="1"/>
        <v>0.006441223833</v>
      </c>
      <c r="F27" s="113" t="s">
        <v>323</v>
      </c>
      <c r="G27" s="114"/>
    </row>
    <row r="28" ht="19.5" hidden="1" customHeight="1">
      <c r="A28" s="76">
        <v>42005.0</v>
      </c>
      <c r="B28" s="77">
        <v>5.0</v>
      </c>
      <c r="C28" s="77">
        <v>5.0</v>
      </c>
      <c r="D28" s="77">
        <v>619.0</v>
      </c>
      <c r="E28" s="111">
        <f t="shared" si="1"/>
        <v>0.008077544426</v>
      </c>
      <c r="F28" s="113" t="s">
        <v>323</v>
      </c>
      <c r="G28" s="114" t="s">
        <v>321</v>
      </c>
    </row>
    <row r="29" ht="19.5" hidden="1" customHeight="1">
      <c r="A29" s="76">
        <v>42036.0</v>
      </c>
      <c r="B29" s="77">
        <v>2.0</v>
      </c>
      <c r="C29" s="77">
        <v>7.0</v>
      </c>
      <c r="D29" s="77">
        <v>625.0</v>
      </c>
      <c r="E29" s="111">
        <f t="shared" si="1"/>
        <v>0.0032</v>
      </c>
      <c r="F29" s="30"/>
    </row>
    <row r="30" ht="19.5" hidden="1" customHeight="1">
      <c r="A30" s="76">
        <v>42064.0</v>
      </c>
      <c r="B30" s="77">
        <v>11.0</v>
      </c>
      <c r="C30" s="77">
        <v>8.0</v>
      </c>
      <c r="D30" s="77">
        <v>626.0</v>
      </c>
      <c r="E30" s="111">
        <f t="shared" si="1"/>
        <v>0.01757188498</v>
      </c>
      <c r="F30" s="113" t="s">
        <v>324</v>
      </c>
      <c r="G30" s="114" t="s">
        <v>325</v>
      </c>
    </row>
    <row r="31" ht="19.5" hidden="1" customHeight="1">
      <c r="A31" s="76">
        <v>42095.0</v>
      </c>
      <c r="B31" s="77">
        <v>9.0</v>
      </c>
      <c r="C31" s="77">
        <v>7.0</v>
      </c>
      <c r="D31" s="77">
        <v>628.0</v>
      </c>
      <c r="E31" s="111">
        <f t="shared" si="1"/>
        <v>0.01433121019</v>
      </c>
      <c r="F31" s="113" t="s">
        <v>318</v>
      </c>
      <c r="G31" s="114"/>
    </row>
    <row r="32" ht="19.5" hidden="1" customHeight="1">
      <c r="A32" s="76">
        <v>42125.0</v>
      </c>
      <c r="B32" s="77">
        <v>7.0</v>
      </c>
      <c r="C32" s="77">
        <v>4.0</v>
      </c>
      <c r="D32" s="77">
        <v>630.0</v>
      </c>
      <c r="E32" s="111">
        <f t="shared" si="1"/>
        <v>0.01111111111</v>
      </c>
      <c r="F32" s="113" t="s">
        <v>326</v>
      </c>
      <c r="G32" s="114" t="s">
        <v>320</v>
      </c>
    </row>
    <row r="33" ht="19.5" hidden="1" customHeight="1">
      <c r="A33" s="76">
        <v>42156.0</v>
      </c>
      <c r="B33" s="77">
        <v>9.0</v>
      </c>
      <c r="C33" s="77">
        <v>5.0</v>
      </c>
      <c r="D33" s="77">
        <v>635.0</v>
      </c>
      <c r="E33" s="111">
        <f t="shared" si="1"/>
        <v>0.01417322835</v>
      </c>
      <c r="F33" s="113" t="s">
        <v>318</v>
      </c>
      <c r="G33" s="114" t="s">
        <v>327</v>
      </c>
    </row>
    <row r="34" ht="19.5" hidden="1" customHeight="1">
      <c r="A34" s="76">
        <v>42186.0</v>
      </c>
      <c r="B34" s="77">
        <v>4.0</v>
      </c>
      <c r="C34" s="77">
        <v>0.0</v>
      </c>
      <c r="D34" s="77">
        <v>631.0</v>
      </c>
      <c r="E34" s="111">
        <f t="shared" si="1"/>
        <v>0.006339144216</v>
      </c>
      <c r="F34" s="30"/>
    </row>
    <row r="35" ht="19.5" hidden="1" customHeight="1">
      <c r="A35" s="76">
        <v>42217.0</v>
      </c>
      <c r="B35" s="77">
        <v>9.0</v>
      </c>
      <c r="C35" s="77">
        <v>8.0</v>
      </c>
      <c r="D35" s="77">
        <v>630.0</v>
      </c>
      <c r="E35" s="111">
        <f t="shared" si="1"/>
        <v>0.01428571429</v>
      </c>
      <c r="F35" s="113" t="s">
        <v>317</v>
      </c>
    </row>
    <row r="36" ht="19.5" hidden="1" customHeight="1">
      <c r="A36" s="76">
        <v>42248.0</v>
      </c>
      <c r="B36" s="77">
        <v>6.0</v>
      </c>
      <c r="C36" s="77">
        <v>6.0</v>
      </c>
      <c r="D36" s="77">
        <v>631.0</v>
      </c>
      <c r="E36" s="111">
        <f t="shared" si="1"/>
        <v>0.009508716323</v>
      </c>
      <c r="F36" s="113" t="s">
        <v>318</v>
      </c>
    </row>
    <row r="37" ht="19.5" hidden="1" customHeight="1">
      <c r="A37" s="76">
        <v>42278.0</v>
      </c>
      <c r="B37" s="77">
        <v>4.0</v>
      </c>
      <c r="C37" s="77">
        <v>8.0</v>
      </c>
      <c r="D37" s="77">
        <v>631.0</v>
      </c>
      <c r="E37" s="111">
        <f t="shared" si="1"/>
        <v>0.006339144216</v>
      </c>
      <c r="F37" s="113" t="s">
        <v>317</v>
      </c>
    </row>
    <row r="38" ht="19.5" hidden="1" customHeight="1">
      <c r="A38" s="76">
        <v>42309.0</v>
      </c>
      <c r="B38" s="77">
        <v>3.0</v>
      </c>
      <c r="C38" s="77">
        <v>8.0</v>
      </c>
      <c r="D38" s="77">
        <v>632.0</v>
      </c>
      <c r="E38" s="111">
        <f t="shared" si="1"/>
        <v>0.004746835443</v>
      </c>
      <c r="F38" s="113" t="s">
        <v>318</v>
      </c>
    </row>
    <row r="39" ht="19.5" hidden="1" customHeight="1">
      <c r="A39" s="76">
        <v>42339.0</v>
      </c>
      <c r="B39" s="77">
        <v>5.0</v>
      </c>
      <c r="C39" s="77">
        <v>7.0</v>
      </c>
      <c r="D39" s="77">
        <v>641.0</v>
      </c>
      <c r="E39" s="111">
        <f t="shared" si="1"/>
        <v>0.007800312012</v>
      </c>
      <c r="F39" s="113" t="s">
        <v>318</v>
      </c>
      <c r="G39" s="114" t="s">
        <v>320</v>
      </c>
      <c r="H39" s="114" t="s">
        <v>328</v>
      </c>
    </row>
    <row r="40" ht="19.5" hidden="1" customHeight="1">
      <c r="A40" s="76">
        <v>42370.0</v>
      </c>
      <c r="B40" s="77">
        <v>7.0</v>
      </c>
      <c r="C40" s="77">
        <v>4.0</v>
      </c>
      <c r="D40" s="77">
        <v>636.0</v>
      </c>
      <c r="E40" s="111">
        <f t="shared" si="1"/>
        <v>0.01100628931</v>
      </c>
      <c r="F40" s="113" t="s">
        <v>326</v>
      </c>
    </row>
    <row r="41" ht="19.5" hidden="1" customHeight="1">
      <c r="A41" s="76">
        <v>42401.0</v>
      </c>
      <c r="B41" s="77">
        <v>1.0</v>
      </c>
      <c r="C41" s="77">
        <v>7.0</v>
      </c>
      <c r="D41" s="77">
        <v>631.0</v>
      </c>
      <c r="E41" s="111">
        <f t="shared" si="1"/>
        <v>0.001584786054</v>
      </c>
      <c r="F41" s="113" t="s">
        <v>317</v>
      </c>
      <c r="G41" s="114" t="s">
        <v>329</v>
      </c>
    </row>
    <row r="42" ht="19.5" hidden="1" customHeight="1">
      <c r="A42" s="76">
        <v>42430.0</v>
      </c>
      <c r="B42" s="77">
        <v>4.0</v>
      </c>
      <c r="C42" s="77">
        <v>2.0</v>
      </c>
      <c r="D42" s="77">
        <v>629.0</v>
      </c>
      <c r="E42" s="111">
        <f t="shared" si="1"/>
        <v>0.006359300477</v>
      </c>
      <c r="F42" s="113" t="s">
        <v>318</v>
      </c>
      <c r="G42" s="5"/>
    </row>
    <row r="43" ht="19.5" hidden="1" customHeight="1">
      <c r="A43" s="76">
        <v>42461.0</v>
      </c>
      <c r="B43" s="77">
        <v>2.0</v>
      </c>
      <c r="C43" s="77">
        <v>6.0</v>
      </c>
      <c r="D43" s="77">
        <v>635.0</v>
      </c>
      <c r="E43" s="111">
        <f t="shared" si="1"/>
        <v>0.003149606299</v>
      </c>
      <c r="F43" s="113" t="s">
        <v>322</v>
      </c>
      <c r="G43" s="5"/>
    </row>
    <row r="44" ht="19.5" hidden="1" customHeight="1">
      <c r="A44" s="76">
        <v>42491.0</v>
      </c>
      <c r="B44" s="77">
        <v>11.0</v>
      </c>
      <c r="C44" s="77">
        <v>11.0</v>
      </c>
      <c r="D44" s="77">
        <v>632.0</v>
      </c>
      <c r="E44" s="111">
        <f t="shared" si="1"/>
        <v>0.01740506329</v>
      </c>
      <c r="F44" s="113" t="s">
        <v>329</v>
      </c>
      <c r="G44" s="5"/>
    </row>
    <row r="45" ht="19.5" hidden="1" customHeight="1">
      <c r="A45" s="76">
        <v>42522.0</v>
      </c>
      <c r="B45" s="77">
        <v>1.0</v>
      </c>
      <c r="C45" s="77">
        <v>6.0</v>
      </c>
      <c r="D45" s="77">
        <v>631.0</v>
      </c>
      <c r="E45" s="111">
        <f t="shared" si="1"/>
        <v>0.001584786054</v>
      </c>
      <c r="F45" s="113" t="s">
        <v>317</v>
      </c>
      <c r="G45" s="5"/>
    </row>
    <row r="46" ht="19.5" hidden="1" customHeight="1">
      <c r="A46" s="76">
        <v>42552.0</v>
      </c>
      <c r="B46" s="77">
        <v>10.0</v>
      </c>
      <c r="C46" s="77">
        <v>6.0</v>
      </c>
      <c r="D46" s="77">
        <v>625.0</v>
      </c>
      <c r="E46" s="111">
        <f t="shared" si="1"/>
        <v>0.016</v>
      </c>
      <c r="F46" s="113" t="s">
        <v>324</v>
      </c>
      <c r="G46" s="114" t="s">
        <v>329</v>
      </c>
    </row>
    <row r="47" ht="19.5" hidden="1" customHeight="1">
      <c r="A47" s="76">
        <v>42583.0</v>
      </c>
      <c r="B47" s="77">
        <v>7.0</v>
      </c>
      <c r="C47" s="77">
        <v>7.0</v>
      </c>
      <c r="D47" s="77">
        <v>622.0</v>
      </c>
      <c r="E47" s="111">
        <f t="shared" si="1"/>
        <v>0.01125401929</v>
      </c>
      <c r="F47" s="113" t="s">
        <v>324</v>
      </c>
      <c r="G47" s="114" t="s">
        <v>329</v>
      </c>
    </row>
    <row r="48" ht="19.5" hidden="1" customHeight="1">
      <c r="A48" s="76">
        <v>42614.0</v>
      </c>
      <c r="B48" s="77">
        <v>13.0</v>
      </c>
      <c r="C48" s="77">
        <v>8.0</v>
      </c>
      <c r="D48" s="77">
        <v>619.0</v>
      </c>
      <c r="E48" s="111">
        <f t="shared" si="1"/>
        <v>0.02100161551</v>
      </c>
      <c r="F48" s="113" t="s">
        <v>317</v>
      </c>
    </row>
    <row r="49" ht="19.5" hidden="1" customHeight="1">
      <c r="A49" s="76">
        <v>42644.0</v>
      </c>
      <c r="B49" s="77">
        <v>6.0</v>
      </c>
      <c r="C49" s="77">
        <v>10.0</v>
      </c>
      <c r="D49" s="77">
        <v>616.0</v>
      </c>
      <c r="E49" s="111">
        <f t="shared" si="1"/>
        <v>0.00974025974</v>
      </c>
      <c r="F49" s="113" t="s">
        <v>322</v>
      </c>
    </row>
    <row r="50" ht="19.5" hidden="1" customHeight="1">
      <c r="A50" s="76">
        <v>42675.0</v>
      </c>
      <c r="B50" s="77">
        <v>3.0</v>
      </c>
      <c r="C50" s="77">
        <v>15.0</v>
      </c>
      <c r="D50" s="77">
        <v>613.0</v>
      </c>
      <c r="E50" s="111">
        <f t="shared" si="1"/>
        <v>0.004893964111</v>
      </c>
      <c r="F50" s="113" t="s">
        <v>318</v>
      </c>
    </row>
    <row r="51" ht="19.5" hidden="1" customHeight="1">
      <c r="A51" s="76">
        <v>42705.0</v>
      </c>
      <c r="B51" s="77">
        <v>3.0</v>
      </c>
      <c r="C51" s="77">
        <v>6.0</v>
      </c>
      <c r="D51" s="77">
        <v>611.0</v>
      </c>
      <c r="E51" s="111">
        <f t="shared" si="1"/>
        <v>0.004909983633</v>
      </c>
      <c r="F51" s="113" t="s">
        <v>322</v>
      </c>
    </row>
    <row r="52" ht="19.5" hidden="1" customHeight="1">
      <c r="A52" s="76">
        <v>42736.0</v>
      </c>
      <c r="B52" s="77">
        <v>5.0</v>
      </c>
      <c r="C52" s="77">
        <v>6.0</v>
      </c>
      <c r="D52" s="77">
        <v>561.0</v>
      </c>
      <c r="E52" s="111">
        <f t="shared" si="1"/>
        <v>0.008912655971</v>
      </c>
      <c r="F52" s="113" t="s">
        <v>318</v>
      </c>
      <c r="G52" s="114" t="s">
        <v>330</v>
      </c>
    </row>
    <row r="53" ht="19.5" hidden="1" customHeight="1">
      <c r="A53" s="76">
        <v>42767.0</v>
      </c>
      <c r="B53" s="77">
        <v>2.0</v>
      </c>
      <c r="C53" s="77">
        <v>5.0</v>
      </c>
      <c r="D53" s="77">
        <v>564.0</v>
      </c>
      <c r="E53" s="111">
        <f t="shared" si="1"/>
        <v>0.003546099291</v>
      </c>
      <c r="F53" s="113" t="s">
        <v>318</v>
      </c>
      <c r="G53" s="114"/>
    </row>
    <row r="54" ht="19.5" hidden="1" customHeight="1">
      <c r="A54" s="76">
        <v>42795.0</v>
      </c>
      <c r="B54" s="77">
        <v>7.0</v>
      </c>
      <c r="C54" s="77">
        <v>11.0</v>
      </c>
      <c r="D54" s="77">
        <v>559.0</v>
      </c>
      <c r="E54" s="111">
        <f t="shared" si="1"/>
        <v>0.01252236136</v>
      </c>
      <c r="F54" s="113" t="s">
        <v>324</v>
      </c>
      <c r="G54" s="114"/>
    </row>
    <row r="55" ht="19.5" hidden="1" customHeight="1">
      <c r="A55" s="76">
        <v>42826.0</v>
      </c>
      <c r="B55" s="77">
        <v>5.0</v>
      </c>
      <c r="C55" s="77">
        <v>3.0</v>
      </c>
      <c r="D55" s="77">
        <v>556.0</v>
      </c>
      <c r="E55" s="111">
        <f t="shared" si="1"/>
        <v>0.008992805755</v>
      </c>
      <c r="F55" s="113" t="s">
        <v>331</v>
      </c>
      <c r="G55" s="114"/>
    </row>
    <row r="56" ht="19.5" hidden="1" customHeight="1">
      <c r="A56" s="76">
        <v>42856.0</v>
      </c>
      <c r="B56" s="77">
        <v>9.0</v>
      </c>
      <c r="C56" s="77">
        <v>3.0</v>
      </c>
      <c r="D56" s="77">
        <v>551.0</v>
      </c>
      <c r="E56" s="111">
        <f t="shared" si="1"/>
        <v>0.01633393829</v>
      </c>
      <c r="F56" s="113" t="s">
        <v>318</v>
      </c>
      <c r="G56" s="114"/>
    </row>
    <row r="57" ht="19.5" hidden="1" customHeight="1">
      <c r="A57" s="76">
        <v>42887.0</v>
      </c>
      <c r="B57" s="77">
        <v>9.0</v>
      </c>
      <c r="C57" s="77">
        <v>1.0</v>
      </c>
      <c r="D57" s="77">
        <v>549.0</v>
      </c>
      <c r="E57" s="111">
        <f t="shared" si="1"/>
        <v>0.01639344262</v>
      </c>
      <c r="F57" s="113" t="s">
        <v>318</v>
      </c>
      <c r="G57" s="114" t="s">
        <v>332</v>
      </c>
    </row>
    <row r="58" ht="19.5" hidden="1" customHeight="1">
      <c r="A58" s="76">
        <v>42917.0</v>
      </c>
      <c r="B58" s="77">
        <v>9.0</v>
      </c>
      <c r="C58" s="77">
        <v>3.0</v>
      </c>
      <c r="D58" s="77">
        <v>544.0</v>
      </c>
      <c r="E58" s="111">
        <f t="shared" si="1"/>
        <v>0.01654411765</v>
      </c>
      <c r="F58" s="113" t="s">
        <v>322</v>
      </c>
      <c r="G58" s="114"/>
    </row>
    <row r="59" ht="19.5" hidden="1" customHeight="1">
      <c r="A59" s="76">
        <v>42948.0</v>
      </c>
      <c r="B59" s="77">
        <v>6.0</v>
      </c>
      <c r="C59" s="77">
        <v>4.0</v>
      </c>
      <c r="D59" s="77">
        <v>540.0</v>
      </c>
      <c r="E59" s="111">
        <f t="shared" si="1"/>
        <v>0.01111111111</v>
      </c>
      <c r="F59" s="113" t="s">
        <v>322</v>
      </c>
      <c r="G59" s="114" t="s">
        <v>333</v>
      </c>
    </row>
    <row r="60" ht="19.5" hidden="1" customHeight="1">
      <c r="A60" s="76">
        <v>42979.0</v>
      </c>
      <c r="B60" s="77">
        <v>8.0</v>
      </c>
      <c r="C60" s="77">
        <v>12.0</v>
      </c>
      <c r="D60" s="77">
        <v>536.0</v>
      </c>
      <c r="E60" s="111">
        <f t="shared" si="1"/>
        <v>0.01492537313</v>
      </c>
      <c r="F60" s="113" t="s">
        <v>322</v>
      </c>
      <c r="G60" s="114"/>
    </row>
    <row r="61" ht="19.5" hidden="1" customHeight="1">
      <c r="A61" s="76">
        <v>43009.0</v>
      </c>
      <c r="B61" s="77">
        <v>8.0</v>
      </c>
      <c r="C61" s="77">
        <v>3.0</v>
      </c>
      <c r="D61" s="77">
        <v>535.0</v>
      </c>
      <c r="E61" s="111">
        <f t="shared" si="1"/>
        <v>0.01495327103</v>
      </c>
      <c r="F61" s="113" t="s">
        <v>324</v>
      </c>
      <c r="G61" s="114"/>
    </row>
    <row r="62" ht="19.5" hidden="1" customHeight="1">
      <c r="A62" s="76">
        <v>43040.0</v>
      </c>
      <c r="B62" s="77">
        <v>13.0</v>
      </c>
      <c r="C62" s="77">
        <v>6.0</v>
      </c>
      <c r="D62" s="77">
        <v>528.0</v>
      </c>
      <c r="E62" s="111">
        <f t="shared" si="1"/>
        <v>0.02462121212</v>
      </c>
      <c r="F62" s="113" t="s">
        <v>324</v>
      </c>
      <c r="G62" s="114"/>
    </row>
    <row r="63" ht="19.5" hidden="1" customHeight="1">
      <c r="A63" s="76">
        <v>43070.0</v>
      </c>
      <c r="B63" s="77">
        <v>5.0</v>
      </c>
      <c r="C63" s="77">
        <v>8.0</v>
      </c>
      <c r="D63" s="77">
        <v>523.0</v>
      </c>
      <c r="E63" s="111">
        <f t="shared" si="1"/>
        <v>0.009560229446</v>
      </c>
      <c r="F63" s="113" t="s">
        <v>324</v>
      </c>
      <c r="G63" s="114"/>
    </row>
    <row r="64" ht="19.5" hidden="1" customHeight="1">
      <c r="A64" s="76">
        <v>43101.0</v>
      </c>
      <c r="B64" s="77">
        <v>2.0</v>
      </c>
      <c r="C64" s="77">
        <v>2.0</v>
      </c>
      <c r="D64" s="77">
        <v>517.0</v>
      </c>
      <c r="E64" s="111">
        <f t="shared" si="1"/>
        <v>0.003868471954</v>
      </c>
      <c r="F64" s="113" t="s">
        <v>318</v>
      </c>
      <c r="G64" s="114" t="s">
        <v>332</v>
      </c>
    </row>
    <row r="65" ht="19.5" hidden="1" customHeight="1">
      <c r="A65" s="76">
        <v>43132.0</v>
      </c>
      <c r="B65" s="77">
        <v>5.0</v>
      </c>
      <c r="C65" s="77">
        <v>5.0</v>
      </c>
      <c r="D65" s="77">
        <v>515.0</v>
      </c>
      <c r="E65" s="111">
        <f t="shared" si="1"/>
        <v>0.009708737864</v>
      </c>
      <c r="F65" s="113" t="s">
        <v>318</v>
      </c>
      <c r="G65" s="114"/>
    </row>
    <row r="66" ht="19.5" hidden="1" customHeight="1">
      <c r="A66" s="76">
        <v>43160.0</v>
      </c>
      <c r="B66" s="77">
        <v>4.0</v>
      </c>
      <c r="C66" s="77">
        <v>10.0</v>
      </c>
      <c r="D66" s="77">
        <v>512.0</v>
      </c>
      <c r="E66" s="111">
        <f t="shared" si="1"/>
        <v>0.0078125</v>
      </c>
      <c r="F66" s="30"/>
      <c r="G66" s="5"/>
    </row>
    <row r="67" ht="19.5" hidden="1" customHeight="1">
      <c r="A67" s="76">
        <v>43191.0</v>
      </c>
      <c r="B67" s="77">
        <v>12.0</v>
      </c>
      <c r="C67" s="77">
        <v>7.0</v>
      </c>
      <c r="D67" s="77">
        <v>509.0</v>
      </c>
      <c r="E67" s="111">
        <f t="shared" si="1"/>
        <v>0.02357563851</v>
      </c>
      <c r="F67" s="113" t="s">
        <v>317</v>
      </c>
      <c r="G67" s="114" t="s">
        <v>332</v>
      </c>
    </row>
    <row r="68" ht="19.5" hidden="1" customHeight="1">
      <c r="A68" s="76">
        <v>43221.0</v>
      </c>
      <c r="B68" s="77">
        <v>8.0</v>
      </c>
      <c r="C68" s="77">
        <v>5.0</v>
      </c>
      <c r="D68" s="77">
        <v>503.0</v>
      </c>
      <c r="E68" s="111">
        <f t="shared" si="1"/>
        <v>0.01590457256</v>
      </c>
      <c r="F68" s="113" t="s">
        <v>322</v>
      </c>
      <c r="G68" s="114"/>
    </row>
    <row r="69" ht="19.5" hidden="1" customHeight="1">
      <c r="A69" s="76">
        <v>43252.0</v>
      </c>
      <c r="B69" s="77">
        <v>10.0</v>
      </c>
      <c r="C69" s="77">
        <v>2.0</v>
      </c>
      <c r="D69" s="77">
        <v>500.0</v>
      </c>
      <c r="E69" s="111">
        <f t="shared" si="1"/>
        <v>0.02</v>
      </c>
      <c r="F69" s="30"/>
      <c r="G69" s="5"/>
    </row>
    <row r="70" ht="19.5" hidden="1" customHeight="1">
      <c r="A70" s="76">
        <v>43282.0</v>
      </c>
      <c r="B70" s="77">
        <v>4.0</v>
      </c>
      <c r="C70" s="77">
        <v>8.0</v>
      </c>
      <c r="D70" s="77">
        <v>498.0</v>
      </c>
      <c r="E70" s="111">
        <f t="shared" si="1"/>
        <v>0.008032128514</v>
      </c>
      <c r="F70" s="113" t="s">
        <v>317</v>
      </c>
      <c r="G70" s="114"/>
    </row>
    <row r="71" ht="19.5" hidden="1" customHeight="1">
      <c r="A71" s="76">
        <v>43313.0</v>
      </c>
      <c r="B71" s="77">
        <v>3.0</v>
      </c>
      <c r="C71" s="77">
        <v>4.0</v>
      </c>
      <c r="D71" s="77">
        <v>467.0</v>
      </c>
      <c r="E71" s="111">
        <f t="shared" si="1"/>
        <v>0.006423982869</v>
      </c>
      <c r="F71" s="30"/>
      <c r="G71" s="5"/>
    </row>
    <row r="72" ht="19.5" hidden="1" customHeight="1">
      <c r="A72" s="76">
        <v>43344.0</v>
      </c>
      <c r="B72" s="77">
        <v>4.0</v>
      </c>
      <c r="C72" s="77">
        <v>2.0</v>
      </c>
      <c r="D72" s="77">
        <v>468.0</v>
      </c>
      <c r="E72" s="111">
        <f t="shared" si="1"/>
        <v>0.008547008547</v>
      </c>
      <c r="F72" s="30"/>
      <c r="G72" s="5"/>
    </row>
    <row r="73" ht="19.5" hidden="1" customHeight="1">
      <c r="A73" s="76">
        <v>43374.0</v>
      </c>
      <c r="B73" s="77">
        <v>5.0</v>
      </c>
      <c r="C73" s="77">
        <v>6.0</v>
      </c>
      <c r="D73" s="77">
        <v>465.0</v>
      </c>
      <c r="E73" s="111">
        <f t="shared" si="1"/>
        <v>0.01075268817</v>
      </c>
      <c r="F73" s="113" t="s">
        <v>318</v>
      </c>
      <c r="G73" s="5"/>
    </row>
    <row r="74" ht="19.5" hidden="1" customHeight="1">
      <c r="A74" s="76">
        <v>43405.0</v>
      </c>
      <c r="B74" s="77">
        <v>3.0</v>
      </c>
      <c r="C74" s="77">
        <v>3.0</v>
      </c>
      <c r="D74" s="77">
        <v>463.0</v>
      </c>
      <c r="E74" s="111">
        <f t="shared" si="1"/>
        <v>0.006479481641</v>
      </c>
      <c r="F74" s="113" t="s">
        <v>317</v>
      </c>
      <c r="G74" s="5"/>
    </row>
    <row r="75" ht="19.5" hidden="1" customHeight="1">
      <c r="A75" s="76">
        <v>43435.0</v>
      </c>
      <c r="B75" s="77">
        <v>3.0</v>
      </c>
      <c r="C75" s="77">
        <v>3.0</v>
      </c>
      <c r="D75" s="77">
        <v>461.0</v>
      </c>
      <c r="E75" s="111">
        <f t="shared" si="1"/>
        <v>0.006507592191</v>
      </c>
      <c r="F75" s="30"/>
      <c r="G75" s="5"/>
    </row>
    <row r="76" ht="19.5" hidden="1" customHeight="1">
      <c r="A76" s="76">
        <v>43466.0</v>
      </c>
      <c r="B76" s="77">
        <v>0.0</v>
      </c>
      <c r="C76" s="77">
        <v>0.0</v>
      </c>
      <c r="D76" s="77">
        <v>0.0</v>
      </c>
      <c r="E76" s="111">
        <v>0.0</v>
      </c>
      <c r="F76" s="30"/>
      <c r="G76" s="5"/>
    </row>
    <row r="77" ht="19.5" hidden="1" customHeight="1">
      <c r="A77" s="76">
        <v>43497.0</v>
      </c>
      <c r="B77" s="77">
        <v>1.0</v>
      </c>
      <c r="C77" s="77">
        <v>4.0</v>
      </c>
      <c r="D77" s="77">
        <v>456.0</v>
      </c>
      <c r="E77" s="111">
        <f t="shared" ref="E77:E161" si="2">B77/D77</f>
        <v>0.002192982456</v>
      </c>
      <c r="F77" s="113" t="s">
        <v>317</v>
      </c>
      <c r="G77" s="5"/>
    </row>
    <row r="78" ht="19.5" hidden="1" customHeight="1">
      <c r="A78" s="76">
        <v>43525.0</v>
      </c>
      <c r="B78" s="77">
        <v>2.0</v>
      </c>
      <c r="C78" s="77">
        <v>7.0</v>
      </c>
      <c r="D78" s="77">
        <v>452.0</v>
      </c>
      <c r="E78" s="111">
        <f t="shared" si="2"/>
        <v>0.004424778761</v>
      </c>
      <c r="F78" s="113" t="s">
        <v>317</v>
      </c>
      <c r="G78" s="5"/>
    </row>
    <row r="79" ht="19.5" hidden="1" customHeight="1">
      <c r="A79" s="76">
        <v>43556.0</v>
      </c>
      <c r="B79" s="77">
        <v>1.0</v>
      </c>
      <c r="C79" s="77">
        <v>7.0</v>
      </c>
      <c r="D79" s="77">
        <v>452.0</v>
      </c>
      <c r="E79" s="111">
        <f t="shared" si="2"/>
        <v>0.002212389381</v>
      </c>
      <c r="F79" s="113" t="s">
        <v>317</v>
      </c>
      <c r="G79" s="5"/>
    </row>
    <row r="80" ht="19.5" hidden="1" customHeight="1">
      <c r="A80" s="76">
        <v>43586.0</v>
      </c>
      <c r="B80" s="77">
        <v>7.0</v>
      </c>
      <c r="C80" s="77">
        <v>7.0</v>
      </c>
      <c r="D80" s="77">
        <v>451.0</v>
      </c>
      <c r="E80" s="111">
        <f t="shared" si="2"/>
        <v>0.0155210643</v>
      </c>
      <c r="F80" s="30"/>
      <c r="G80" s="5"/>
    </row>
    <row r="81" ht="19.5" hidden="1" customHeight="1">
      <c r="A81" s="76">
        <v>43617.0</v>
      </c>
      <c r="B81" s="77">
        <v>5.0</v>
      </c>
      <c r="C81" s="77">
        <v>1.0</v>
      </c>
      <c r="D81" s="77">
        <v>450.0</v>
      </c>
      <c r="E81" s="111">
        <f t="shared" si="2"/>
        <v>0.01111111111</v>
      </c>
      <c r="F81" s="113" t="s">
        <v>317</v>
      </c>
      <c r="G81" s="5"/>
    </row>
    <row r="82" ht="19.5" hidden="1" customHeight="1">
      <c r="A82" s="76">
        <v>43647.0</v>
      </c>
      <c r="B82" s="77">
        <v>6.0</v>
      </c>
      <c r="C82" s="77">
        <v>2.0</v>
      </c>
      <c r="D82" s="77">
        <v>442.0</v>
      </c>
      <c r="E82" s="111">
        <f t="shared" si="2"/>
        <v>0.01357466063</v>
      </c>
      <c r="F82" s="113" t="s">
        <v>334</v>
      </c>
      <c r="G82" s="5"/>
    </row>
    <row r="83" ht="19.5" hidden="1" customHeight="1">
      <c r="A83" s="76">
        <v>43678.0</v>
      </c>
      <c r="B83" s="77">
        <v>2.0</v>
      </c>
      <c r="C83" s="77">
        <v>3.0</v>
      </c>
      <c r="D83" s="77">
        <v>446.0</v>
      </c>
      <c r="E83" s="111">
        <f t="shared" si="2"/>
        <v>0.004484304933</v>
      </c>
      <c r="F83" s="30"/>
      <c r="G83" s="5"/>
    </row>
    <row r="84" ht="19.5" hidden="1" customHeight="1">
      <c r="A84" s="76">
        <v>43709.0</v>
      </c>
      <c r="B84" s="77">
        <v>5.0</v>
      </c>
      <c r="C84" s="77">
        <v>1.0</v>
      </c>
      <c r="D84" s="77">
        <v>446.0</v>
      </c>
      <c r="E84" s="111">
        <f t="shared" si="2"/>
        <v>0.01121076233</v>
      </c>
      <c r="F84" s="113" t="s">
        <v>318</v>
      </c>
      <c r="G84" s="5"/>
    </row>
    <row r="85" ht="19.5" hidden="1" customHeight="1">
      <c r="A85" s="76">
        <v>43739.0</v>
      </c>
      <c r="B85" s="77">
        <v>4.0</v>
      </c>
      <c r="C85" s="77">
        <v>15.0</v>
      </c>
      <c r="D85" s="77">
        <v>443.0</v>
      </c>
      <c r="E85" s="111">
        <f t="shared" si="2"/>
        <v>0.009029345372</v>
      </c>
      <c r="F85" s="113" t="s">
        <v>317</v>
      </c>
      <c r="G85" s="5"/>
    </row>
    <row r="86" ht="19.5" hidden="1" customHeight="1">
      <c r="A86" s="76">
        <v>43770.0</v>
      </c>
      <c r="B86" s="77">
        <v>2.0</v>
      </c>
      <c r="C86" s="77">
        <v>6.0</v>
      </c>
      <c r="D86" s="77">
        <v>440.0</v>
      </c>
      <c r="E86" s="111">
        <f t="shared" si="2"/>
        <v>0.004545454545</v>
      </c>
      <c r="F86" s="113" t="s">
        <v>317</v>
      </c>
      <c r="G86" s="5"/>
    </row>
    <row r="87" ht="19.5" hidden="1" customHeight="1">
      <c r="A87" s="76">
        <v>43800.0</v>
      </c>
      <c r="B87" s="77">
        <v>3.0</v>
      </c>
      <c r="C87" s="77">
        <v>3.0</v>
      </c>
      <c r="D87" s="77">
        <v>436.0</v>
      </c>
      <c r="E87" s="111">
        <f t="shared" si="2"/>
        <v>0.006880733945</v>
      </c>
      <c r="F87" s="30"/>
      <c r="G87" s="5"/>
    </row>
    <row r="88" ht="19.5" hidden="1" customHeight="1">
      <c r="A88" s="76">
        <v>43831.0</v>
      </c>
      <c r="B88" s="77">
        <v>6.0</v>
      </c>
      <c r="C88" s="77">
        <v>1.0</v>
      </c>
      <c r="D88" s="77">
        <v>437.0</v>
      </c>
      <c r="E88" s="111">
        <f t="shared" si="2"/>
        <v>0.01372997712</v>
      </c>
      <c r="F88" s="113" t="s">
        <v>318</v>
      </c>
      <c r="G88" s="5"/>
    </row>
    <row r="89" ht="19.5" hidden="1" customHeight="1">
      <c r="A89" s="76">
        <v>43862.0</v>
      </c>
      <c r="B89" s="77">
        <v>4.0</v>
      </c>
      <c r="C89" s="77">
        <v>1.0</v>
      </c>
      <c r="D89" s="77">
        <v>431.0</v>
      </c>
      <c r="E89" s="111">
        <f t="shared" si="2"/>
        <v>0.009280742459</v>
      </c>
      <c r="F89" s="30"/>
      <c r="G89" s="5"/>
    </row>
    <row r="90" ht="19.5" hidden="1" customHeight="1">
      <c r="A90" s="76">
        <v>43891.0</v>
      </c>
      <c r="B90" s="77">
        <v>1.0</v>
      </c>
      <c r="C90" s="77">
        <v>0.0</v>
      </c>
      <c r="D90" s="77">
        <v>431.0</v>
      </c>
      <c r="E90" s="111">
        <f t="shared" si="2"/>
        <v>0.002320185615</v>
      </c>
      <c r="F90" s="113" t="s">
        <v>317</v>
      </c>
      <c r="G90" s="5"/>
    </row>
    <row r="91" ht="19.5" hidden="1" customHeight="1">
      <c r="A91" s="76">
        <v>43922.0</v>
      </c>
      <c r="B91" s="77">
        <v>0.0</v>
      </c>
      <c r="C91" s="77">
        <v>0.0</v>
      </c>
      <c r="D91" s="77">
        <v>429.0</v>
      </c>
      <c r="E91" s="111">
        <f t="shared" si="2"/>
        <v>0</v>
      </c>
      <c r="F91" s="30"/>
      <c r="G91" s="5"/>
    </row>
    <row r="92" ht="19.5" hidden="1" customHeight="1">
      <c r="A92" s="76">
        <v>43952.0</v>
      </c>
      <c r="B92" s="77">
        <v>3.0</v>
      </c>
      <c r="C92" s="77">
        <v>0.0</v>
      </c>
      <c r="D92" s="77">
        <v>429.0</v>
      </c>
      <c r="E92" s="111">
        <f t="shared" si="2"/>
        <v>0.006993006993</v>
      </c>
      <c r="F92" s="30"/>
      <c r="G92" s="5"/>
    </row>
    <row r="93" ht="19.5" hidden="1" customHeight="1">
      <c r="A93" s="76">
        <v>43983.0</v>
      </c>
      <c r="B93" s="77">
        <v>2.0</v>
      </c>
      <c r="C93" s="77">
        <v>0.0</v>
      </c>
      <c r="D93" s="77">
        <v>430.0</v>
      </c>
      <c r="E93" s="111">
        <f t="shared" si="2"/>
        <v>0.004651162791</v>
      </c>
      <c r="F93" s="113" t="s">
        <v>329</v>
      </c>
      <c r="G93" s="5"/>
    </row>
    <row r="94" ht="19.5" hidden="1" customHeight="1">
      <c r="A94" s="76">
        <v>44013.0</v>
      </c>
      <c r="B94" s="77">
        <v>2.0</v>
      </c>
      <c r="C94" s="77">
        <v>0.0</v>
      </c>
      <c r="D94" s="77">
        <v>432.0</v>
      </c>
      <c r="E94" s="111">
        <f t="shared" si="2"/>
        <v>0.00462962963</v>
      </c>
      <c r="F94" s="30"/>
      <c r="G94" s="5"/>
    </row>
    <row r="95" ht="19.5" hidden="1" customHeight="1">
      <c r="A95" s="76">
        <v>44044.0</v>
      </c>
      <c r="B95" s="77">
        <v>2.0</v>
      </c>
      <c r="C95" s="77">
        <v>0.0</v>
      </c>
      <c r="D95" s="77">
        <v>431.0</v>
      </c>
      <c r="E95" s="111">
        <f t="shared" si="2"/>
        <v>0.00464037123</v>
      </c>
      <c r="F95" s="30"/>
      <c r="G95" s="5"/>
    </row>
    <row r="96" ht="19.5" hidden="1" customHeight="1">
      <c r="A96" s="76">
        <v>44075.0</v>
      </c>
      <c r="B96" s="77">
        <v>2.0</v>
      </c>
      <c r="C96" s="77">
        <v>0.0</v>
      </c>
      <c r="D96" s="77">
        <v>436.0</v>
      </c>
      <c r="E96" s="111">
        <f t="shared" si="2"/>
        <v>0.004587155963</v>
      </c>
      <c r="F96" s="113" t="s">
        <v>335</v>
      </c>
      <c r="G96" s="5"/>
    </row>
    <row r="97" ht="19.5" hidden="1" customHeight="1">
      <c r="A97" s="76">
        <v>44105.0</v>
      </c>
      <c r="B97" s="77">
        <v>3.0</v>
      </c>
      <c r="C97" s="77">
        <v>1.0</v>
      </c>
      <c r="D97" s="77">
        <v>435.0</v>
      </c>
      <c r="E97" s="111">
        <f t="shared" si="2"/>
        <v>0.006896551724</v>
      </c>
      <c r="F97" s="30"/>
      <c r="G97" s="5"/>
    </row>
    <row r="98" ht="19.5" hidden="1" customHeight="1">
      <c r="A98" s="76">
        <v>44136.0</v>
      </c>
      <c r="B98" s="77">
        <v>0.0</v>
      </c>
      <c r="C98" s="77">
        <v>0.0</v>
      </c>
      <c r="D98" s="77">
        <v>434.0</v>
      </c>
      <c r="E98" s="111">
        <f t="shared" si="2"/>
        <v>0</v>
      </c>
      <c r="F98" s="30"/>
      <c r="G98" s="5"/>
    </row>
    <row r="99" ht="19.5" hidden="1" customHeight="1">
      <c r="A99" s="76">
        <v>44166.0</v>
      </c>
      <c r="B99" s="77">
        <v>2.0</v>
      </c>
      <c r="C99" s="77">
        <v>0.0</v>
      </c>
      <c r="D99" s="77">
        <v>439.0</v>
      </c>
      <c r="E99" s="111">
        <f t="shared" si="2"/>
        <v>0.004555808656</v>
      </c>
      <c r="F99" s="30"/>
      <c r="G99" s="5"/>
    </row>
    <row r="100" ht="19.5" hidden="1" customHeight="1">
      <c r="A100" s="76">
        <v>44197.0</v>
      </c>
      <c r="B100" s="77">
        <v>3.0</v>
      </c>
      <c r="C100" s="77">
        <v>0.0</v>
      </c>
      <c r="D100" s="77">
        <v>444.0</v>
      </c>
      <c r="E100" s="111">
        <f t="shared" si="2"/>
        <v>0.006756756757</v>
      </c>
      <c r="F100" s="113" t="s">
        <v>317</v>
      </c>
      <c r="G100" s="5"/>
    </row>
    <row r="101" ht="19.5" hidden="1" customHeight="1">
      <c r="A101" s="76">
        <v>44228.0</v>
      </c>
      <c r="B101" s="77">
        <v>1.0</v>
      </c>
      <c r="C101" s="77">
        <v>0.0</v>
      </c>
      <c r="D101" s="77">
        <v>441.0</v>
      </c>
      <c r="E101" s="111">
        <f t="shared" si="2"/>
        <v>0.002267573696</v>
      </c>
      <c r="F101" s="30"/>
      <c r="G101" s="5"/>
    </row>
    <row r="102" ht="19.5" hidden="1" customHeight="1">
      <c r="A102" s="76">
        <v>44256.0</v>
      </c>
      <c r="B102" s="77">
        <v>15.0</v>
      </c>
      <c r="C102" s="77">
        <v>0.0</v>
      </c>
      <c r="D102" s="77">
        <v>446.0</v>
      </c>
      <c r="E102" s="111">
        <f t="shared" si="2"/>
        <v>0.033632287</v>
      </c>
      <c r="F102" s="113" t="s">
        <v>336</v>
      </c>
      <c r="G102" s="5"/>
    </row>
    <row r="103" ht="19.5" hidden="1" customHeight="1">
      <c r="A103" s="76">
        <v>44287.0</v>
      </c>
      <c r="B103" s="77">
        <v>36.0</v>
      </c>
      <c r="C103" s="77">
        <v>2.0</v>
      </c>
      <c r="D103" s="77">
        <v>450.0</v>
      </c>
      <c r="E103" s="111">
        <f t="shared" si="2"/>
        <v>0.08</v>
      </c>
      <c r="F103" s="113" t="s">
        <v>329</v>
      </c>
      <c r="G103" s="5"/>
    </row>
    <row r="104" ht="19.5" hidden="1" customHeight="1">
      <c r="A104" s="76">
        <v>44317.0</v>
      </c>
      <c r="B104" s="77">
        <v>13.0</v>
      </c>
      <c r="C104" s="77">
        <v>0.0</v>
      </c>
      <c r="D104" s="77">
        <v>461.0</v>
      </c>
      <c r="E104" s="111">
        <f t="shared" si="2"/>
        <v>0.02819956616</v>
      </c>
      <c r="F104" s="30"/>
      <c r="G104" s="5"/>
    </row>
    <row r="105" ht="19.5" hidden="1" customHeight="1">
      <c r="A105" s="76">
        <v>44348.0</v>
      </c>
      <c r="B105" s="77">
        <v>13.0</v>
      </c>
      <c r="C105" s="77">
        <v>0.0</v>
      </c>
      <c r="D105" s="77">
        <v>461.0</v>
      </c>
      <c r="E105" s="111">
        <f t="shared" si="2"/>
        <v>0.02819956616</v>
      </c>
      <c r="F105" s="30" t="s">
        <v>337</v>
      </c>
      <c r="G105" s="5"/>
    </row>
    <row r="106" ht="19.5" hidden="1" customHeight="1">
      <c r="A106" s="76">
        <v>44378.0</v>
      </c>
      <c r="B106" s="77">
        <v>7.0</v>
      </c>
      <c r="C106" s="77">
        <v>0.0</v>
      </c>
      <c r="D106" s="77">
        <v>474.0</v>
      </c>
      <c r="E106" s="111">
        <f t="shared" si="2"/>
        <v>0.01476793249</v>
      </c>
      <c r="F106" s="30" t="s">
        <v>338</v>
      </c>
      <c r="G106" s="5"/>
    </row>
    <row r="107" ht="19.5" hidden="1" customHeight="1">
      <c r="A107" s="76">
        <v>44409.0</v>
      </c>
      <c r="B107" s="77">
        <v>6.0</v>
      </c>
      <c r="C107" s="77">
        <v>0.0</v>
      </c>
      <c r="D107" s="77">
        <v>478.0</v>
      </c>
      <c r="E107" s="111">
        <f t="shared" si="2"/>
        <v>0.01255230126</v>
      </c>
      <c r="F107" s="30" t="s">
        <v>339</v>
      </c>
      <c r="G107" s="5"/>
    </row>
    <row r="108" ht="19.5" hidden="1" customHeight="1">
      <c r="A108" s="76">
        <v>44440.0</v>
      </c>
      <c r="B108" s="77">
        <v>2.0</v>
      </c>
      <c r="C108" s="77">
        <v>1.0</v>
      </c>
      <c r="D108" s="77">
        <v>476.0</v>
      </c>
      <c r="E108" s="111">
        <f t="shared" si="2"/>
        <v>0.004201680672</v>
      </c>
      <c r="F108" s="30" t="s">
        <v>340</v>
      </c>
      <c r="G108" s="5"/>
    </row>
    <row r="109" ht="19.5" hidden="1" customHeight="1">
      <c r="A109" s="76">
        <v>44470.0</v>
      </c>
      <c r="B109" s="77">
        <v>7.0</v>
      </c>
      <c r="C109" s="77">
        <v>0.0</v>
      </c>
      <c r="D109" s="77">
        <v>490.0</v>
      </c>
      <c r="E109" s="111">
        <f t="shared" si="2"/>
        <v>0.01428571429</v>
      </c>
      <c r="F109" s="30" t="s">
        <v>338</v>
      </c>
      <c r="G109" s="5"/>
    </row>
    <row r="110" ht="19.5" hidden="1" customHeight="1">
      <c r="A110" s="76">
        <v>44501.0</v>
      </c>
      <c r="B110" s="77">
        <v>7.0</v>
      </c>
      <c r="C110" s="77">
        <v>3.0</v>
      </c>
      <c r="D110" s="77">
        <v>492.0</v>
      </c>
      <c r="E110" s="111">
        <f t="shared" si="2"/>
        <v>0.01422764228</v>
      </c>
      <c r="F110" s="30" t="s">
        <v>341</v>
      </c>
      <c r="G110" s="5"/>
    </row>
    <row r="111" ht="19.5" hidden="1" customHeight="1">
      <c r="A111" s="76">
        <v>44531.0</v>
      </c>
      <c r="B111" s="77">
        <v>8.0</v>
      </c>
      <c r="C111" s="77">
        <v>2.0</v>
      </c>
      <c r="D111" s="77">
        <v>494.0</v>
      </c>
      <c r="E111" s="111">
        <f t="shared" si="2"/>
        <v>0.01619433198</v>
      </c>
      <c r="F111" s="30" t="s">
        <v>342</v>
      </c>
      <c r="G111" s="5"/>
    </row>
    <row r="112" ht="19.5" hidden="1" customHeight="1">
      <c r="A112" s="76">
        <v>44562.0</v>
      </c>
      <c r="B112" s="77">
        <v>2.0</v>
      </c>
      <c r="C112" s="77">
        <v>1.0</v>
      </c>
      <c r="D112" s="77">
        <v>495.0</v>
      </c>
      <c r="E112" s="111">
        <f t="shared" si="2"/>
        <v>0.00404040404</v>
      </c>
      <c r="F112" s="30" t="s">
        <v>343</v>
      </c>
      <c r="G112" s="5"/>
    </row>
    <row r="113" ht="19.5" hidden="1" customHeight="1">
      <c r="A113" s="76">
        <v>44593.0</v>
      </c>
      <c r="B113" s="77">
        <v>5.0</v>
      </c>
      <c r="C113" s="77">
        <v>1.0</v>
      </c>
      <c r="D113" s="77">
        <v>493.0</v>
      </c>
      <c r="E113" s="111">
        <f t="shared" si="2"/>
        <v>0.01014198783</v>
      </c>
      <c r="F113" s="30" t="s">
        <v>344</v>
      </c>
      <c r="G113" s="5"/>
    </row>
    <row r="114" ht="19.5" hidden="1" customHeight="1">
      <c r="A114" s="76">
        <v>44621.0</v>
      </c>
      <c r="B114" s="77">
        <v>9.0</v>
      </c>
      <c r="C114" s="77">
        <v>4.0</v>
      </c>
      <c r="D114" s="77">
        <v>493.0</v>
      </c>
      <c r="E114" s="111">
        <f t="shared" si="2"/>
        <v>0.01825557809</v>
      </c>
      <c r="F114" s="30" t="s">
        <v>345</v>
      </c>
      <c r="G114" s="5"/>
    </row>
    <row r="115" ht="19.5" hidden="1" customHeight="1">
      <c r="A115" s="76">
        <v>44652.0</v>
      </c>
      <c r="B115" s="77">
        <v>8.0</v>
      </c>
      <c r="C115" s="77">
        <v>2.0</v>
      </c>
      <c r="D115" s="77">
        <v>492.0</v>
      </c>
      <c r="E115" s="111">
        <f t="shared" si="2"/>
        <v>0.0162601626</v>
      </c>
      <c r="F115" s="30" t="s">
        <v>346</v>
      </c>
      <c r="G115" s="5"/>
    </row>
    <row r="116" ht="19.5" hidden="1" customHeight="1">
      <c r="A116" s="76">
        <v>44682.0</v>
      </c>
      <c r="B116" s="77">
        <v>3.0</v>
      </c>
      <c r="C116" s="77">
        <v>2.0</v>
      </c>
      <c r="D116" s="77">
        <v>492.0</v>
      </c>
      <c r="E116" s="111">
        <f t="shared" si="2"/>
        <v>0.006097560976</v>
      </c>
      <c r="F116" s="30"/>
      <c r="G116" s="5"/>
    </row>
    <row r="117" ht="19.5" hidden="1" customHeight="1">
      <c r="A117" s="76">
        <v>44713.0</v>
      </c>
      <c r="B117" s="77">
        <v>8.0</v>
      </c>
      <c r="C117" s="77">
        <v>1.0</v>
      </c>
      <c r="D117" s="77">
        <v>493.0</v>
      </c>
      <c r="E117" s="111">
        <f t="shared" si="2"/>
        <v>0.01622718053</v>
      </c>
      <c r="F117" s="30" t="s">
        <v>347</v>
      </c>
      <c r="G117" s="5"/>
    </row>
    <row r="118" ht="19.5" hidden="1" customHeight="1">
      <c r="A118" s="76">
        <v>44743.0</v>
      </c>
      <c r="B118" s="77">
        <v>5.0</v>
      </c>
      <c r="C118" s="77">
        <v>3.0</v>
      </c>
      <c r="D118" s="77">
        <v>492.0</v>
      </c>
      <c r="E118" s="111">
        <f t="shared" si="2"/>
        <v>0.01016260163</v>
      </c>
      <c r="F118" s="30" t="s">
        <v>348</v>
      </c>
      <c r="G118" s="5"/>
    </row>
    <row r="119" ht="19.5" hidden="1" customHeight="1">
      <c r="A119" s="76">
        <v>44774.0</v>
      </c>
      <c r="B119" s="77">
        <v>4.0</v>
      </c>
      <c r="C119" s="77">
        <v>1.0</v>
      </c>
      <c r="D119" s="77">
        <v>496.0</v>
      </c>
      <c r="E119" s="111">
        <f t="shared" si="2"/>
        <v>0.008064516129</v>
      </c>
      <c r="F119" s="30" t="s">
        <v>349</v>
      </c>
      <c r="G119" s="5"/>
    </row>
    <row r="120" ht="19.5" hidden="1" customHeight="1">
      <c r="A120" s="76">
        <v>44805.0</v>
      </c>
      <c r="B120" s="77">
        <v>4.0</v>
      </c>
      <c r="C120" s="77">
        <v>0.0</v>
      </c>
      <c r="D120" s="77">
        <v>501.0</v>
      </c>
      <c r="E120" s="111">
        <f t="shared" si="2"/>
        <v>0.007984031936</v>
      </c>
      <c r="F120" s="30" t="s">
        <v>317</v>
      </c>
      <c r="G120" s="5"/>
    </row>
    <row r="121" ht="19.5" hidden="1" customHeight="1">
      <c r="A121" s="76">
        <v>44835.0</v>
      </c>
      <c r="B121" s="77">
        <v>8.0</v>
      </c>
      <c r="C121" s="77">
        <v>1.0</v>
      </c>
      <c r="D121" s="77">
        <v>502.0</v>
      </c>
      <c r="E121" s="111">
        <f t="shared" si="2"/>
        <v>0.01593625498</v>
      </c>
      <c r="F121" s="30" t="s">
        <v>347</v>
      </c>
      <c r="G121" s="5"/>
    </row>
    <row r="122" ht="19.5" hidden="1" customHeight="1">
      <c r="A122" s="76">
        <v>44866.0</v>
      </c>
      <c r="B122" s="77">
        <v>2.0</v>
      </c>
      <c r="C122" s="77">
        <v>2.0</v>
      </c>
      <c r="D122" s="77">
        <v>501.0</v>
      </c>
      <c r="E122" s="111">
        <f t="shared" si="2"/>
        <v>0.003992015968</v>
      </c>
      <c r="F122" s="30" t="s">
        <v>350</v>
      </c>
      <c r="G122" s="5"/>
    </row>
    <row r="123" ht="19.5" hidden="1" customHeight="1">
      <c r="A123" s="76">
        <v>44896.0</v>
      </c>
      <c r="B123" s="77">
        <v>3.0</v>
      </c>
      <c r="C123" s="77">
        <v>0.0</v>
      </c>
      <c r="D123" s="77">
        <v>501.0</v>
      </c>
      <c r="E123" s="111">
        <f t="shared" si="2"/>
        <v>0.005988023952</v>
      </c>
      <c r="F123" s="30" t="s">
        <v>317</v>
      </c>
      <c r="G123" s="5"/>
    </row>
    <row r="124" ht="19.5" hidden="1" customHeight="1">
      <c r="A124" s="76">
        <v>44927.0</v>
      </c>
      <c r="B124" s="77">
        <v>6.0</v>
      </c>
      <c r="C124" s="77">
        <v>2.0</v>
      </c>
      <c r="D124" s="77">
        <v>503.0</v>
      </c>
      <c r="E124" s="111">
        <f t="shared" si="2"/>
        <v>0.01192842942</v>
      </c>
      <c r="F124" s="30" t="s">
        <v>317</v>
      </c>
      <c r="G124" s="5"/>
    </row>
    <row r="125" ht="19.5" hidden="1" customHeight="1">
      <c r="A125" s="76">
        <v>44958.0</v>
      </c>
      <c r="B125" s="77">
        <v>1.0</v>
      </c>
      <c r="C125" s="77">
        <v>0.0</v>
      </c>
      <c r="D125" s="77">
        <v>501.0</v>
      </c>
      <c r="E125" s="111">
        <f t="shared" si="2"/>
        <v>0.001996007984</v>
      </c>
      <c r="F125" s="30"/>
      <c r="G125" s="5"/>
    </row>
    <row r="126" ht="19.5" hidden="1" customHeight="1">
      <c r="A126" s="76">
        <v>44986.0</v>
      </c>
      <c r="B126" s="77">
        <v>7.0</v>
      </c>
      <c r="C126" s="77">
        <v>2.0</v>
      </c>
      <c r="D126" s="77">
        <v>500.0</v>
      </c>
      <c r="E126" s="111">
        <f t="shared" si="2"/>
        <v>0.014</v>
      </c>
      <c r="F126" s="30" t="s">
        <v>351</v>
      </c>
      <c r="G126" s="5"/>
    </row>
    <row r="127" ht="19.5" hidden="1" customHeight="1">
      <c r="A127" s="76">
        <v>45017.0</v>
      </c>
      <c r="B127" s="77">
        <v>8.0</v>
      </c>
      <c r="C127" s="77">
        <v>2.0</v>
      </c>
      <c r="D127" s="77">
        <v>504.0</v>
      </c>
      <c r="E127" s="111">
        <f t="shared" si="2"/>
        <v>0.01587301587</v>
      </c>
      <c r="F127" s="30" t="s">
        <v>352</v>
      </c>
      <c r="G127" s="5"/>
    </row>
    <row r="128" ht="19.5" hidden="1" customHeight="1">
      <c r="A128" s="76">
        <v>45047.0</v>
      </c>
      <c r="B128" s="77">
        <v>1.0</v>
      </c>
      <c r="C128" s="77">
        <v>1.0</v>
      </c>
      <c r="D128" s="77">
        <v>503.0</v>
      </c>
      <c r="E128" s="111">
        <f t="shared" si="2"/>
        <v>0.001988071571</v>
      </c>
      <c r="F128" s="30" t="s">
        <v>353</v>
      </c>
      <c r="G128" s="5"/>
    </row>
    <row r="129" ht="19.5" hidden="1" customHeight="1">
      <c r="A129" s="76">
        <v>45078.0</v>
      </c>
      <c r="B129" s="77">
        <v>2.0</v>
      </c>
      <c r="C129" s="77">
        <v>2.0</v>
      </c>
      <c r="D129" s="77">
        <v>502.0</v>
      </c>
      <c r="E129" s="111">
        <f t="shared" si="2"/>
        <v>0.003984063745</v>
      </c>
      <c r="F129" s="30" t="s">
        <v>353</v>
      </c>
      <c r="G129" s="5"/>
    </row>
    <row r="130" ht="19.5" hidden="1" customHeight="1">
      <c r="A130" s="76">
        <v>45108.0</v>
      </c>
      <c r="B130" s="77">
        <v>4.0</v>
      </c>
      <c r="C130" s="77">
        <v>1.0</v>
      </c>
      <c r="D130" s="77">
        <v>505.0</v>
      </c>
      <c r="E130" s="111">
        <f t="shared" si="2"/>
        <v>0.007920792079</v>
      </c>
      <c r="F130" s="30" t="s">
        <v>354</v>
      </c>
      <c r="G130" s="5"/>
    </row>
    <row r="131" ht="19.5" hidden="1" customHeight="1">
      <c r="A131" s="76">
        <v>45139.0</v>
      </c>
      <c r="B131" s="77">
        <v>7.0</v>
      </c>
      <c r="C131" s="77">
        <v>0.0</v>
      </c>
      <c r="D131" s="77">
        <v>505.0</v>
      </c>
      <c r="E131" s="111">
        <f t="shared" si="2"/>
        <v>0.01386138614</v>
      </c>
      <c r="F131" s="30" t="s">
        <v>355</v>
      </c>
      <c r="G131" s="5"/>
    </row>
    <row r="132" ht="19.5" hidden="1" customHeight="1">
      <c r="A132" s="76">
        <v>45170.0</v>
      </c>
      <c r="B132" s="77">
        <v>7.0</v>
      </c>
      <c r="C132" s="77">
        <v>0.0</v>
      </c>
      <c r="D132" s="77">
        <v>507.0</v>
      </c>
      <c r="E132" s="111">
        <f t="shared" si="2"/>
        <v>0.01380670611</v>
      </c>
      <c r="F132" s="30" t="s">
        <v>350</v>
      </c>
      <c r="G132" s="5"/>
    </row>
    <row r="133" ht="19.5" hidden="1" customHeight="1">
      <c r="A133" s="76">
        <v>45200.0</v>
      </c>
      <c r="B133" s="77">
        <v>7.0</v>
      </c>
      <c r="C133" s="77">
        <v>2.0</v>
      </c>
      <c r="D133" s="77">
        <v>506.0</v>
      </c>
      <c r="E133" s="111">
        <f t="shared" si="2"/>
        <v>0.01383399209</v>
      </c>
      <c r="F133" s="30" t="s">
        <v>356</v>
      </c>
      <c r="G133" s="5"/>
    </row>
    <row r="134" ht="19.5" hidden="1" customHeight="1">
      <c r="A134" s="76">
        <v>45231.0</v>
      </c>
      <c r="B134" s="77">
        <v>5.0</v>
      </c>
      <c r="C134" s="77">
        <v>2.0</v>
      </c>
      <c r="D134" s="77">
        <v>506.0</v>
      </c>
      <c r="E134" s="111">
        <f t="shared" si="2"/>
        <v>0.009881422925</v>
      </c>
      <c r="F134" s="30" t="s">
        <v>357</v>
      </c>
      <c r="G134" s="5"/>
    </row>
    <row r="135" ht="19.5" hidden="1" customHeight="1">
      <c r="A135" s="76">
        <v>45261.0</v>
      </c>
      <c r="B135" s="77">
        <v>3.0</v>
      </c>
      <c r="C135" s="77">
        <v>0.0</v>
      </c>
      <c r="D135" s="77">
        <v>513.0</v>
      </c>
      <c r="E135" s="111">
        <f t="shared" si="2"/>
        <v>0.005847953216</v>
      </c>
      <c r="F135" s="30" t="s">
        <v>340</v>
      </c>
      <c r="G135" s="5"/>
    </row>
    <row r="136" ht="19.5" hidden="1" customHeight="1">
      <c r="A136" s="76">
        <v>45292.0</v>
      </c>
      <c r="B136" s="77">
        <v>4.0</v>
      </c>
      <c r="C136" s="77">
        <v>1.0</v>
      </c>
      <c r="D136" s="77">
        <v>514.0</v>
      </c>
      <c r="E136" s="111">
        <f t="shared" si="2"/>
        <v>0.007782101167</v>
      </c>
      <c r="F136" s="30" t="s">
        <v>323</v>
      </c>
      <c r="G136" s="5"/>
    </row>
    <row r="137" ht="19.5" hidden="1" customHeight="1">
      <c r="A137" s="76">
        <v>45323.0</v>
      </c>
      <c r="B137" s="77">
        <v>4.0</v>
      </c>
      <c r="C137" s="77">
        <v>0.0</v>
      </c>
      <c r="D137" s="77">
        <v>504.0</v>
      </c>
      <c r="E137" s="111">
        <f t="shared" si="2"/>
        <v>0.007936507937</v>
      </c>
      <c r="F137" s="30" t="s">
        <v>350</v>
      </c>
      <c r="G137" s="5"/>
    </row>
    <row r="138" ht="19.5" hidden="1" customHeight="1">
      <c r="A138" s="76">
        <v>45352.0</v>
      </c>
      <c r="B138" s="77">
        <v>5.0</v>
      </c>
      <c r="C138" s="77">
        <v>2.0</v>
      </c>
      <c r="D138" s="77">
        <v>504.0</v>
      </c>
      <c r="E138" s="111">
        <f t="shared" si="2"/>
        <v>0.009920634921</v>
      </c>
      <c r="F138" s="30" t="s">
        <v>358</v>
      </c>
      <c r="G138" s="5"/>
    </row>
    <row r="139" ht="19.5" hidden="1" customHeight="1">
      <c r="A139" s="76">
        <v>45383.0</v>
      </c>
      <c r="B139" s="77">
        <v>3.0</v>
      </c>
      <c r="C139" s="77">
        <v>1.0</v>
      </c>
      <c r="D139" s="77">
        <v>504.0</v>
      </c>
      <c r="E139" s="111">
        <f t="shared" si="2"/>
        <v>0.005952380952</v>
      </c>
      <c r="F139" s="30" t="s">
        <v>353</v>
      </c>
      <c r="G139" s="5"/>
    </row>
    <row r="140" ht="19.5" hidden="1" customHeight="1">
      <c r="A140" s="76">
        <v>45413.0</v>
      </c>
      <c r="B140" s="77">
        <v>3.0</v>
      </c>
      <c r="C140" s="77">
        <v>0.0</v>
      </c>
      <c r="D140" s="77">
        <v>455.0</v>
      </c>
      <c r="E140" s="111">
        <f t="shared" si="2"/>
        <v>0.006593406593</v>
      </c>
      <c r="F140" s="30" t="s">
        <v>359</v>
      </c>
      <c r="G140" s="5"/>
    </row>
    <row r="141" ht="19.5" hidden="1" customHeight="1">
      <c r="A141" s="76">
        <v>45444.0</v>
      </c>
      <c r="B141" s="77">
        <v>7.0</v>
      </c>
      <c r="C141" s="77">
        <v>0.0</v>
      </c>
      <c r="D141" s="77">
        <v>449.0</v>
      </c>
      <c r="E141" s="111">
        <f t="shared" si="2"/>
        <v>0.01559020045</v>
      </c>
      <c r="F141" s="30" t="s">
        <v>360</v>
      </c>
      <c r="G141" s="5"/>
    </row>
    <row r="142" ht="19.5" hidden="1" customHeight="1">
      <c r="A142" s="76">
        <v>45474.0</v>
      </c>
      <c r="B142" s="77">
        <v>8.0</v>
      </c>
      <c r="C142" s="77">
        <v>1.0</v>
      </c>
      <c r="D142" s="77">
        <v>440.0</v>
      </c>
      <c r="E142" s="111">
        <f t="shared" si="2"/>
        <v>0.01818181818</v>
      </c>
      <c r="F142" s="30" t="s">
        <v>361</v>
      </c>
      <c r="G142" s="5"/>
    </row>
    <row r="143" ht="19.5" hidden="1" customHeight="1">
      <c r="A143" s="76">
        <v>45505.0</v>
      </c>
      <c r="B143" s="77">
        <v>10.0</v>
      </c>
      <c r="C143" s="77">
        <v>2.0</v>
      </c>
      <c r="D143" s="77">
        <v>440.0</v>
      </c>
      <c r="E143" s="111">
        <f t="shared" si="2"/>
        <v>0.02272727273</v>
      </c>
      <c r="F143" s="30" t="s">
        <v>362</v>
      </c>
      <c r="G143" s="5"/>
    </row>
    <row r="144" ht="19.5" hidden="1" customHeight="1">
      <c r="A144" s="76">
        <v>45536.0</v>
      </c>
      <c r="B144" s="77">
        <v>4.0</v>
      </c>
      <c r="C144" s="77">
        <v>4.0</v>
      </c>
      <c r="D144" s="77">
        <v>431.0</v>
      </c>
      <c r="E144" s="111">
        <f t="shared" si="2"/>
        <v>0.009280742459</v>
      </c>
      <c r="F144" s="30" t="s">
        <v>363</v>
      </c>
      <c r="G144" s="5"/>
    </row>
    <row r="145" ht="19.5" hidden="1" customHeight="1">
      <c r="A145" s="76">
        <v>45566.0</v>
      </c>
      <c r="B145" s="77">
        <v>4.0</v>
      </c>
      <c r="C145" s="77">
        <v>3.0</v>
      </c>
      <c r="D145" s="77">
        <v>428.0</v>
      </c>
      <c r="E145" s="111">
        <f t="shared" si="2"/>
        <v>0.009345794393</v>
      </c>
      <c r="F145" s="30" t="s">
        <v>358</v>
      </c>
      <c r="G145" s="5"/>
    </row>
    <row r="146" ht="19.5" hidden="1" customHeight="1">
      <c r="A146" s="76">
        <v>45597.0</v>
      </c>
      <c r="B146" s="77">
        <v>1.0</v>
      </c>
      <c r="C146" s="77">
        <v>2.0</v>
      </c>
      <c r="D146" s="77">
        <v>424.0</v>
      </c>
      <c r="E146" s="111">
        <f t="shared" si="2"/>
        <v>0.002358490566</v>
      </c>
      <c r="F146" s="30" t="s">
        <v>353</v>
      </c>
      <c r="G146" s="5"/>
    </row>
    <row r="147" ht="19.5" hidden="1" customHeight="1">
      <c r="A147" s="76">
        <v>45627.0</v>
      </c>
      <c r="B147" s="77">
        <v>4.0</v>
      </c>
      <c r="C147" s="77">
        <v>2.0</v>
      </c>
      <c r="D147" s="77">
        <v>423.0</v>
      </c>
      <c r="E147" s="111">
        <f t="shared" si="2"/>
        <v>0.009456264775</v>
      </c>
      <c r="F147" s="30" t="s">
        <v>320</v>
      </c>
      <c r="G147" s="5"/>
    </row>
    <row r="148" ht="19.5" hidden="1" customHeight="1">
      <c r="A148" s="76">
        <v>45658.0</v>
      </c>
      <c r="B148" s="77">
        <v>1.0</v>
      </c>
      <c r="C148" s="77">
        <v>3.0</v>
      </c>
      <c r="D148" s="77">
        <v>421.0</v>
      </c>
      <c r="E148" s="111">
        <f t="shared" si="2"/>
        <v>0.002375296912</v>
      </c>
      <c r="F148" s="30" t="s">
        <v>353</v>
      </c>
      <c r="G148" s="5"/>
    </row>
    <row r="149" ht="19.5" customHeight="1">
      <c r="A149" s="76">
        <v>45689.0</v>
      </c>
      <c r="B149" s="77">
        <v>4.0</v>
      </c>
      <c r="C149" s="77">
        <v>2.0</v>
      </c>
      <c r="D149" s="77">
        <v>419.0</v>
      </c>
      <c r="E149" s="111">
        <f t="shared" si="2"/>
        <v>0.009546539379</v>
      </c>
      <c r="F149" s="30" t="s">
        <v>353</v>
      </c>
      <c r="G149" s="5"/>
    </row>
    <row r="150" ht="19.5" customHeight="1">
      <c r="A150" s="76">
        <v>45717.0</v>
      </c>
      <c r="B150" s="77">
        <v>5.0</v>
      </c>
      <c r="C150" s="77">
        <v>0.0</v>
      </c>
      <c r="D150" s="77">
        <v>420.0</v>
      </c>
      <c r="E150" s="111">
        <f t="shared" si="2"/>
        <v>0.0119047619</v>
      </c>
      <c r="F150" s="30" t="s">
        <v>353</v>
      </c>
      <c r="G150" s="5"/>
    </row>
    <row r="151" ht="19.5" customHeight="1">
      <c r="A151" s="76">
        <v>45748.0</v>
      </c>
      <c r="B151" s="77">
        <v>3.0</v>
      </c>
      <c r="C151" s="77">
        <v>0.0</v>
      </c>
      <c r="D151" s="77">
        <v>422.0</v>
      </c>
      <c r="E151" s="111">
        <f t="shared" si="2"/>
        <v>0.007109004739</v>
      </c>
      <c r="F151" s="30" t="s">
        <v>353</v>
      </c>
      <c r="G151" s="5"/>
    </row>
    <row r="152" ht="19.5" customHeight="1">
      <c r="A152" s="76">
        <v>45778.0</v>
      </c>
      <c r="B152" s="77">
        <v>4.0</v>
      </c>
      <c r="C152" s="77">
        <v>0.0</v>
      </c>
      <c r="D152" s="77">
        <v>423.0</v>
      </c>
      <c r="E152" s="111">
        <f t="shared" si="2"/>
        <v>0.009456264775</v>
      </c>
      <c r="F152" s="30" t="s">
        <v>353</v>
      </c>
      <c r="G152" s="5"/>
    </row>
    <row r="153" ht="19.5" customHeight="1">
      <c r="A153" s="76">
        <v>45809.0</v>
      </c>
      <c r="B153" s="77">
        <v>6.0</v>
      </c>
      <c r="C153" s="77">
        <v>1.0</v>
      </c>
      <c r="D153" s="77">
        <v>423.0</v>
      </c>
      <c r="E153" s="111">
        <f t="shared" si="2"/>
        <v>0.01418439716</v>
      </c>
      <c r="F153" s="30" t="s">
        <v>320</v>
      </c>
      <c r="G153" s="5"/>
    </row>
    <row r="154" ht="19.5" customHeight="1">
      <c r="A154" s="76">
        <v>45839.0</v>
      </c>
      <c r="B154" s="77">
        <v>10.0</v>
      </c>
      <c r="C154" s="77">
        <v>2.0</v>
      </c>
      <c r="D154" s="77">
        <v>422.0</v>
      </c>
      <c r="E154" s="111">
        <f t="shared" si="2"/>
        <v>0.02369668246</v>
      </c>
      <c r="F154" s="30" t="s">
        <v>364</v>
      </c>
      <c r="G154" s="5"/>
    </row>
    <row r="155" ht="19.5" customHeight="1">
      <c r="A155" s="76">
        <v>45870.0</v>
      </c>
      <c r="B155" s="77">
        <v>16.0</v>
      </c>
      <c r="C155" s="77">
        <v>0.0</v>
      </c>
      <c r="D155" s="77">
        <v>420.0</v>
      </c>
      <c r="E155" s="111">
        <f t="shared" si="2"/>
        <v>0.0380952381</v>
      </c>
      <c r="F155" s="30" t="s">
        <v>365</v>
      </c>
      <c r="G155" s="5"/>
    </row>
    <row r="156" ht="19.5" customHeight="1">
      <c r="A156" s="76">
        <v>45901.0</v>
      </c>
      <c r="B156" s="77">
        <v>8.0</v>
      </c>
      <c r="C156" s="77">
        <v>0.0</v>
      </c>
      <c r="D156" s="77">
        <v>423.0</v>
      </c>
      <c r="E156" s="111">
        <f t="shared" si="2"/>
        <v>0.01891252955</v>
      </c>
      <c r="F156" s="30" t="s">
        <v>366</v>
      </c>
      <c r="G156" s="5"/>
    </row>
    <row r="157" ht="19.5" customHeight="1">
      <c r="A157" s="76">
        <v>45931.0</v>
      </c>
      <c r="B157" s="77">
        <v>5.0</v>
      </c>
      <c r="C157" s="77">
        <v>0.0</v>
      </c>
      <c r="D157" s="77">
        <v>425.0</v>
      </c>
      <c r="E157" s="111">
        <f t="shared" si="2"/>
        <v>0.01176470588</v>
      </c>
      <c r="F157" s="30" t="s">
        <v>323</v>
      </c>
      <c r="G157" s="5"/>
    </row>
    <row r="158" ht="19.5" customHeight="1">
      <c r="A158" s="76">
        <v>45962.0</v>
      </c>
      <c r="B158" s="77">
        <v>7.0</v>
      </c>
      <c r="C158" s="77">
        <v>1.0</v>
      </c>
      <c r="D158" s="77">
        <v>422.0</v>
      </c>
      <c r="E158" s="111">
        <f t="shared" si="2"/>
        <v>0.01658767773</v>
      </c>
      <c r="F158" s="30" t="s">
        <v>367</v>
      </c>
      <c r="G158" s="5"/>
    </row>
    <row r="159" ht="19.5" customHeight="1">
      <c r="A159" s="76">
        <v>45992.0</v>
      </c>
      <c r="B159" s="77">
        <v>12.0</v>
      </c>
      <c r="C159" s="77">
        <v>3.0</v>
      </c>
      <c r="D159" s="77">
        <v>426.0</v>
      </c>
      <c r="E159" s="111">
        <f t="shared" si="2"/>
        <v>0.02816901408</v>
      </c>
      <c r="F159" s="30" t="s">
        <v>368</v>
      </c>
      <c r="G159" s="5"/>
    </row>
    <row r="160" ht="19.5" customHeight="1">
      <c r="A160" s="76">
        <v>46023.0</v>
      </c>
      <c r="B160" s="77">
        <v>2.0</v>
      </c>
      <c r="C160" s="77">
        <v>0.0</v>
      </c>
      <c r="D160" s="77">
        <v>427.0</v>
      </c>
      <c r="E160" s="111">
        <f t="shared" si="2"/>
        <v>0.004683840749</v>
      </c>
      <c r="F160" s="30" t="s">
        <v>369</v>
      </c>
      <c r="G160" s="5"/>
    </row>
    <row r="161" ht="19.5" customHeight="1">
      <c r="A161" s="76">
        <v>46054.0</v>
      </c>
      <c r="B161" s="77">
        <v>4.0</v>
      </c>
      <c r="C161" s="77">
        <v>3.0</v>
      </c>
      <c r="D161" s="77">
        <v>423.0</v>
      </c>
      <c r="E161" s="111">
        <f t="shared" si="2"/>
        <v>0.009456264775</v>
      </c>
      <c r="F161" s="30" t="s">
        <v>370</v>
      </c>
      <c r="G161" s="5"/>
    </row>
    <row r="162" ht="18.75" customHeight="1">
      <c r="A162" s="115" t="s">
        <v>167</v>
      </c>
      <c r="B162" s="116">
        <f t="shared" ref="B162:E162" si="3">SUM(B4:B161)</f>
        <v>911</v>
      </c>
      <c r="C162" s="116">
        <f t="shared" si="3"/>
        <v>667</v>
      </c>
      <c r="D162" s="116">
        <f t="shared" si="3"/>
        <v>81052</v>
      </c>
      <c r="E162" s="117">
        <f t="shared" si="3"/>
        <v>1.774013226</v>
      </c>
      <c r="F162" s="118"/>
    </row>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
    <mergeCell ref="A1:F2"/>
  </mergeCells>
  <printOptions/>
  <pageMargins bottom="0.15748031496062992" footer="0.0" header="0.0" left="0.7874015748031497" right="0.7086614173228347" top="0.15748031496062992"/>
  <pageSetup paperSize="5" scale="9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EF3"/>
    <pageSetUpPr/>
  </sheetPr>
  <sheetViews>
    <sheetView workbookViewId="0"/>
  </sheetViews>
  <sheetFormatPr customHeight="1" defaultColWidth="12.63" defaultRowHeight="15.0"/>
  <cols>
    <col customWidth="1" min="1" max="1" width="3.0"/>
    <col customWidth="1" min="2" max="2" width="5.25"/>
    <col customWidth="1" min="3" max="3" width="34.75"/>
    <col customWidth="1" min="4" max="4" width="16.25"/>
    <col customWidth="1" min="5" max="5" width="44.13"/>
    <col customWidth="1" min="6" max="6" width="25.0"/>
    <col customWidth="1" min="7" max="26" width="10.63"/>
  </cols>
  <sheetData>
    <row r="1" ht="20.25" customHeight="1">
      <c r="A1" s="119" t="s">
        <v>371</v>
      </c>
      <c r="B1" s="8"/>
      <c r="C1" s="8"/>
      <c r="D1" s="8"/>
      <c r="E1" s="8"/>
      <c r="F1" s="9"/>
    </row>
    <row r="2" ht="12.75" customHeight="1">
      <c r="B2" s="57"/>
    </row>
    <row r="3" ht="18.0" customHeight="1">
      <c r="A3" s="120" t="s">
        <v>372</v>
      </c>
      <c r="B3" s="121"/>
      <c r="C3" s="121"/>
      <c r="D3" s="121"/>
      <c r="E3" s="121"/>
      <c r="F3" s="122"/>
    </row>
    <row r="4" ht="12.75" customHeight="1">
      <c r="A4" s="123"/>
      <c r="B4" s="57"/>
      <c r="D4" s="57"/>
      <c r="E4" s="57"/>
      <c r="F4" s="124"/>
    </row>
    <row r="5" ht="18.0" customHeight="1">
      <c r="A5" s="125" t="s">
        <v>373</v>
      </c>
      <c r="B5" s="126" t="s">
        <v>374</v>
      </c>
      <c r="C5" s="127" t="s">
        <v>375</v>
      </c>
      <c r="D5" s="126" t="s">
        <v>376</v>
      </c>
      <c r="E5" s="127" t="s">
        <v>377</v>
      </c>
      <c r="F5" s="128" t="s">
        <v>378</v>
      </c>
      <c r="G5" s="129"/>
      <c r="H5" s="129"/>
      <c r="I5" s="129"/>
      <c r="J5" s="129"/>
      <c r="K5" s="129"/>
      <c r="L5" s="129"/>
      <c r="M5" s="129"/>
      <c r="N5" s="129"/>
      <c r="O5" s="129"/>
      <c r="P5" s="129"/>
      <c r="Q5" s="129"/>
      <c r="R5" s="129"/>
      <c r="S5" s="129"/>
      <c r="T5" s="129"/>
      <c r="U5" s="129"/>
      <c r="V5" s="129"/>
      <c r="W5" s="129"/>
      <c r="X5" s="129"/>
      <c r="Y5" s="129"/>
      <c r="Z5" s="129"/>
    </row>
    <row r="6" ht="12.75" customHeight="1">
      <c r="A6" s="130">
        <v>1.0</v>
      </c>
      <c r="B6" s="131">
        <v>8950.0</v>
      </c>
      <c r="C6" s="132" t="s">
        <v>379</v>
      </c>
      <c r="D6" s="133">
        <v>46054.0</v>
      </c>
      <c r="E6" s="131" t="s">
        <v>293</v>
      </c>
      <c r="F6" s="132" t="s">
        <v>380</v>
      </c>
      <c r="G6" s="129"/>
      <c r="H6" s="129"/>
      <c r="I6" s="129"/>
      <c r="J6" s="129"/>
      <c r="K6" s="129"/>
      <c r="L6" s="129"/>
      <c r="M6" s="129"/>
      <c r="N6" s="129"/>
      <c r="O6" s="129"/>
      <c r="P6" s="129"/>
      <c r="Q6" s="129"/>
      <c r="R6" s="129"/>
      <c r="S6" s="129"/>
      <c r="T6" s="129"/>
      <c r="U6" s="129"/>
      <c r="V6" s="129"/>
      <c r="W6" s="129"/>
      <c r="X6" s="129"/>
      <c r="Y6" s="129"/>
      <c r="Z6" s="129"/>
    </row>
    <row r="7" ht="12.75" customHeight="1">
      <c r="A7" s="134"/>
      <c r="B7" s="135"/>
      <c r="C7" s="136"/>
      <c r="D7" s="137"/>
      <c r="E7" s="137"/>
      <c r="F7" s="138"/>
    </row>
    <row r="8" ht="12.75" customHeight="1">
      <c r="A8" s="120" t="s">
        <v>381</v>
      </c>
      <c r="B8" s="121"/>
      <c r="C8" s="121"/>
      <c r="D8" s="121"/>
      <c r="E8" s="121"/>
      <c r="F8" s="122"/>
    </row>
    <row r="9" ht="12.75" customHeight="1">
      <c r="A9" s="139"/>
      <c r="B9" s="140"/>
      <c r="C9" s="140"/>
      <c r="D9" s="140"/>
      <c r="E9" s="140"/>
      <c r="F9" s="140"/>
    </row>
    <row r="10" ht="18.0" customHeight="1">
      <c r="A10" s="141" t="s">
        <v>373</v>
      </c>
      <c r="B10" s="141" t="s">
        <v>374</v>
      </c>
      <c r="C10" s="141" t="s">
        <v>375</v>
      </c>
      <c r="D10" s="141" t="s">
        <v>382</v>
      </c>
      <c r="E10" s="141" t="s">
        <v>377</v>
      </c>
      <c r="F10" s="141" t="s">
        <v>378</v>
      </c>
      <c r="G10" s="129"/>
      <c r="H10" s="129"/>
      <c r="I10" s="129"/>
      <c r="J10" s="129"/>
      <c r="K10" s="129"/>
      <c r="L10" s="129"/>
      <c r="M10" s="129"/>
      <c r="N10" s="129"/>
      <c r="O10" s="129"/>
      <c r="P10" s="129"/>
      <c r="Q10" s="129"/>
      <c r="R10" s="129"/>
      <c r="S10" s="129"/>
      <c r="T10" s="129"/>
      <c r="U10" s="129"/>
      <c r="V10" s="129"/>
      <c r="W10" s="129"/>
      <c r="X10" s="129"/>
      <c r="Y10" s="129"/>
      <c r="Z10" s="129"/>
    </row>
    <row r="11" ht="12.75" customHeight="1">
      <c r="A11" s="142">
        <v>1.0</v>
      </c>
      <c r="B11" s="131">
        <v>8236.0</v>
      </c>
      <c r="C11" s="132" t="s">
        <v>383</v>
      </c>
      <c r="D11" s="133">
        <v>46081.0</v>
      </c>
      <c r="E11" s="131" t="s">
        <v>256</v>
      </c>
      <c r="F11" s="77" t="s">
        <v>384</v>
      </c>
      <c r="G11" s="57"/>
      <c r="H11" s="57"/>
      <c r="I11" s="57"/>
      <c r="J11" s="57"/>
      <c r="K11" s="57"/>
      <c r="L11" s="57"/>
      <c r="M11" s="57"/>
      <c r="N11" s="57"/>
      <c r="O11" s="57"/>
      <c r="P11" s="57"/>
      <c r="Q11" s="57"/>
      <c r="R11" s="57"/>
      <c r="S11" s="57"/>
      <c r="T11" s="57"/>
      <c r="U11" s="57"/>
      <c r="V11" s="57"/>
      <c r="W11" s="57"/>
      <c r="X11" s="57"/>
      <c r="Y11" s="57"/>
      <c r="Z11" s="57"/>
    </row>
    <row r="12" ht="12.75" customHeight="1">
      <c r="A12" s="142">
        <v>2.0</v>
      </c>
      <c r="B12" s="131">
        <v>8463.0</v>
      </c>
      <c r="C12" s="132" t="s">
        <v>385</v>
      </c>
      <c r="D12" s="133">
        <v>46081.0</v>
      </c>
      <c r="E12" s="131" t="s">
        <v>252</v>
      </c>
      <c r="F12" s="77" t="s">
        <v>386</v>
      </c>
    </row>
    <row r="13" ht="12.75" customHeight="1">
      <c r="A13" s="142">
        <v>3.0</v>
      </c>
      <c r="B13" s="131">
        <v>8714.0</v>
      </c>
      <c r="C13" s="132" t="s">
        <v>387</v>
      </c>
      <c r="D13" s="133">
        <v>46081.0</v>
      </c>
      <c r="E13" s="131" t="s">
        <v>258</v>
      </c>
      <c r="F13" s="77" t="s">
        <v>388</v>
      </c>
    </row>
    <row r="14" ht="12.75" customHeight="1">
      <c r="A14" s="142">
        <v>4.0</v>
      </c>
      <c r="B14" s="131">
        <v>8728.0</v>
      </c>
      <c r="C14" s="132" t="s">
        <v>389</v>
      </c>
      <c r="D14" s="133">
        <v>46081.0</v>
      </c>
      <c r="E14" s="131" t="s">
        <v>254</v>
      </c>
      <c r="F14" s="77" t="s">
        <v>390</v>
      </c>
    </row>
    <row r="15" ht="12.75" customHeight="1">
      <c r="B15" s="57"/>
    </row>
    <row r="16" ht="12.75" customHeight="1">
      <c r="B16" s="57"/>
    </row>
    <row r="17" ht="12.75" customHeight="1">
      <c r="B17" s="57"/>
    </row>
    <row r="18" ht="12.75" customHeight="1">
      <c r="B18" s="57"/>
    </row>
    <row r="19" ht="12.75" customHeight="1">
      <c r="B19" s="57"/>
    </row>
    <row r="20" ht="12.75" customHeight="1">
      <c r="B20" s="57"/>
    </row>
    <row r="21" ht="12.75" customHeight="1">
      <c r="B21" s="57"/>
    </row>
    <row r="22" ht="12.75" customHeight="1">
      <c r="B22" s="57"/>
    </row>
    <row r="23" ht="12.75" customHeight="1">
      <c r="B23" s="57"/>
    </row>
    <row r="24" ht="12.75" customHeight="1">
      <c r="B24" s="57"/>
    </row>
    <row r="25" ht="12.75" customHeight="1">
      <c r="B25" s="57"/>
    </row>
    <row r="26" ht="12.75" customHeight="1">
      <c r="B26" s="57"/>
    </row>
    <row r="27" ht="12.75" customHeight="1">
      <c r="B27" s="57"/>
    </row>
    <row r="28" ht="12.75" customHeight="1">
      <c r="B28" s="57"/>
    </row>
    <row r="29" ht="12.75" customHeight="1">
      <c r="B29" s="57"/>
    </row>
    <row r="30" ht="12.75" customHeight="1">
      <c r="B30" s="57"/>
    </row>
    <row r="31" ht="12.75" customHeight="1">
      <c r="B31" s="57"/>
    </row>
    <row r="32" ht="12.75" customHeight="1">
      <c r="B32" s="57"/>
    </row>
    <row r="33" ht="12.75" customHeight="1">
      <c r="B33" s="57"/>
    </row>
    <row r="34" ht="12.75" customHeight="1">
      <c r="B34" s="57"/>
    </row>
    <row r="35" ht="12.75" customHeight="1">
      <c r="B35" s="57"/>
    </row>
    <row r="36" ht="12.75" customHeight="1">
      <c r="B36" s="57"/>
    </row>
    <row r="37" ht="12.75" customHeight="1">
      <c r="B37" s="57"/>
    </row>
    <row r="38" ht="12.75" customHeight="1">
      <c r="B38" s="57"/>
    </row>
    <row r="39" ht="12.75" customHeight="1">
      <c r="B39" s="57"/>
    </row>
    <row r="40" ht="12.75" customHeight="1">
      <c r="B40" s="57"/>
    </row>
    <row r="41" ht="12.75" customHeight="1">
      <c r="B41" s="57"/>
    </row>
    <row r="42" ht="12.75" customHeight="1">
      <c r="B42" s="57"/>
    </row>
    <row r="43" ht="12.75" customHeight="1">
      <c r="B43" s="57"/>
    </row>
    <row r="44" ht="12.75" customHeight="1">
      <c r="B44" s="57"/>
    </row>
    <row r="45" ht="12.75" customHeight="1">
      <c r="B45" s="57"/>
    </row>
    <row r="46" ht="12.75" customHeight="1">
      <c r="B46" s="57"/>
    </row>
    <row r="47" ht="12.75" customHeight="1">
      <c r="B47" s="57"/>
    </row>
    <row r="48" ht="12.75" customHeight="1">
      <c r="B48" s="57"/>
    </row>
    <row r="49" ht="12.75" customHeight="1">
      <c r="B49" s="57"/>
    </row>
    <row r="50" ht="12.75" customHeight="1">
      <c r="B50" s="57"/>
    </row>
    <row r="51" ht="12.75" customHeight="1">
      <c r="B51" s="57"/>
    </row>
    <row r="52" ht="12.75" customHeight="1">
      <c r="B52" s="57"/>
    </row>
    <row r="53" ht="12.75" customHeight="1">
      <c r="B53" s="57"/>
    </row>
    <row r="54" ht="12.75" customHeight="1">
      <c r="B54" s="57"/>
    </row>
    <row r="55" ht="12.75" customHeight="1">
      <c r="B55" s="57"/>
    </row>
    <row r="56" ht="12.75" customHeight="1">
      <c r="B56" s="57"/>
    </row>
    <row r="57" ht="12.75" customHeight="1">
      <c r="B57" s="57"/>
    </row>
    <row r="58" ht="12.75" customHeight="1">
      <c r="B58" s="57"/>
    </row>
    <row r="59" ht="12.75" customHeight="1">
      <c r="B59" s="57"/>
    </row>
    <row r="60" ht="12.75" customHeight="1">
      <c r="B60" s="57"/>
    </row>
    <row r="61" ht="12.75" customHeight="1">
      <c r="B61" s="57"/>
    </row>
    <row r="62" ht="12.75" customHeight="1">
      <c r="B62" s="57"/>
    </row>
    <row r="63" ht="12.75" customHeight="1">
      <c r="B63" s="57"/>
    </row>
    <row r="64" ht="12.75" customHeight="1">
      <c r="B64" s="57"/>
    </row>
    <row r="65" ht="12.75" customHeight="1">
      <c r="B65" s="57"/>
    </row>
    <row r="66" ht="12.75" customHeight="1">
      <c r="B66" s="57"/>
    </row>
    <row r="67" ht="12.75" customHeight="1">
      <c r="B67" s="57"/>
    </row>
    <row r="68" ht="12.75" customHeight="1">
      <c r="B68" s="57"/>
    </row>
    <row r="69" ht="12.75" customHeight="1">
      <c r="B69" s="57"/>
    </row>
    <row r="70" ht="12.75" customHeight="1">
      <c r="B70" s="57"/>
    </row>
    <row r="71" ht="12.75" customHeight="1">
      <c r="B71" s="57"/>
    </row>
    <row r="72" ht="12.75" customHeight="1">
      <c r="B72" s="57"/>
    </row>
    <row r="73" ht="12.75" customHeight="1">
      <c r="B73" s="57"/>
    </row>
    <row r="74" ht="12.75" customHeight="1">
      <c r="B74" s="57"/>
    </row>
    <row r="75" ht="12.75" customHeight="1">
      <c r="B75" s="57"/>
    </row>
    <row r="76" ht="12.75" customHeight="1">
      <c r="B76" s="57"/>
    </row>
    <row r="77" ht="12.75" customHeight="1">
      <c r="B77" s="57"/>
    </row>
    <row r="78" ht="12.75" customHeight="1">
      <c r="B78" s="57"/>
    </row>
    <row r="79" ht="12.75" customHeight="1">
      <c r="B79" s="57"/>
    </row>
    <row r="80" ht="12.75" customHeight="1">
      <c r="B80" s="57"/>
    </row>
    <row r="81" ht="12.75" customHeight="1">
      <c r="B81" s="57"/>
    </row>
    <row r="82" ht="12.75" customHeight="1">
      <c r="B82" s="57"/>
    </row>
    <row r="83" ht="12.75" customHeight="1">
      <c r="B83" s="57"/>
    </row>
    <row r="84" ht="12.75" customHeight="1">
      <c r="B84" s="57"/>
    </row>
    <row r="85" ht="12.75" customHeight="1">
      <c r="B85" s="57"/>
    </row>
    <row r="86" ht="12.75" customHeight="1">
      <c r="B86" s="57"/>
    </row>
    <row r="87" ht="12.75" customHeight="1">
      <c r="B87" s="57"/>
    </row>
    <row r="88" ht="12.75" customHeight="1">
      <c r="B88" s="57"/>
    </row>
    <row r="89" ht="12.75" customHeight="1">
      <c r="B89" s="57"/>
    </row>
    <row r="90" ht="12.75" customHeight="1">
      <c r="B90" s="57"/>
    </row>
    <row r="91" ht="12.75" customHeight="1">
      <c r="B91" s="57"/>
    </row>
    <row r="92" ht="12.75" customHeight="1">
      <c r="B92" s="57"/>
    </row>
    <row r="93" ht="12.75" customHeight="1">
      <c r="B93" s="57"/>
    </row>
    <row r="94" ht="12.75" customHeight="1">
      <c r="B94" s="57"/>
    </row>
    <row r="95" ht="12.75" customHeight="1">
      <c r="B95" s="57"/>
    </row>
    <row r="96" ht="12.75" customHeight="1">
      <c r="B96" s="57"/>
    </row>
    <row r="97" ht="12.75" customHeight="1">
      <c r="B97" s="57"/>
    </row>
    <row r="98" ht="12.75" customHeight="1">
      <c r="B98" s="57"/>
    </row>
    <row r="99" ht="12.75" customHeight="1">
      <c r="B99" s="57"/>
    </row>
    <row r="100" ht="12.75" customHeight="1">
      <c r="B100" s="57"/>
    </row>
    <row r="101" ht="12.75" customHeight="1">
      <c r="B101" s="57"/>
    </row>
    <row r="102" ht="12.75" customHeight="1">
      <c r="B102" s="57"/>
    </row>
    <row r="103" ht="12.75" customHeight="1">
      <c r="B103" s="57"/>
    </row>
    <row r="104" ht="12.75" customHeight="1">
      <c r="B104" s="57"/>
    </row>
    <row r="105" ht="12.75" customHeight="1">
      <c r="B105" s="57"/>
    </row>
    <row r="106" ht="12.75" customHeight="1">
      <c r="B106" s="57"/>
    </row>
    <row r="107" ht="12.75" customHeight="1">
      <c r="B107" s="57"/>
    </row>
    <row r="108" ht="12.75" customHeight="1">
      <c r="B108" s="57"/>
    </row>
    <row r="109" ht="12.75" customHeight="1">
      <c r="B109" s="57"/>
    </row>
    <row r="110" ht="12.75" customHeight="1">
      <c r="B110" s="57"/>
    </row>
    <row r="111" ht="12.75" customHeight="1">
      <c r="B111" s="57"/>
    </row>
    <row r="112" ht="12.75" customHeight="1">
      <c r="B112" s="57"/>
    </row>
    <row r="113" ht="12.75" customHeight="1">
      <c r="B113" s="57"/>
    </row>
    <row r="114" ht="12.75" customHeight="1">
      <c r="B114" s="57"/>
    </row>
    <row r="115" ht="12.75" customHeight="1">
      <c r="B115" s="57"/>
    </row>
    <row r="116" ht="12.75" customHeight="1">
      <c r="B116" s="57"/>
    </row>
    <row r="117" ht="12.75" customHeight="1">
      <c r="B117" s="57"/>
    </row>
    <row r="118" ht="12.75" customHeight="1">
      <c r="B118" s="57"/>
    </row>
    <row r="119" ht="12.75" customHeight="1">
      <c r="B119" s="57"/>
    </row>
    <row r="120" ht="12.75" customHeight="1">
      <c r="B120" s="57"/>
    </row>
    <row r="121" ht="12.75" customHeight="1">
      <c r="B121" s="57"/>
    </row>
    <row r="122" ht="12.75" customHeight="1">
      <c r="B122" s="57"/>
    </row>
    <row r="123" ht="12.75" customHeight="1">
      <c r="B123" s="57"/>
    </row>
    <row r="124" ht="12.75" customHeight="1">
      <c r="B124" s="57"/>
    </row>
    <row r="125" ht="12.75" customHeight="1">
      <c r="B125" s="57"/>
    </row>
    <row r="126" ht="12.75" customHeight="1">
      <c r="B126" s="57"/>
    </row>
    <row r="127" ht="12.75" customHeight="1">
      <c r="B127" s="57"/>
    </row>
    <row r="128" ht="12.75" customHeight="1">
      <c r="B128" s="57"/>
    </row>
    <row r="129" ht="12.75" customHeight="1">
      <c r="B129" s="57"/>
    </row>
    <row r="130" ht="12.75" customHeight="1">
      <c r="B130" s="57"/>
    </row>
    <row r="131" ht="12.75" customHeight="1">
      <c r="B131" s="57"/>
    </row>
    <row r="132" ht="12.75" customHeight="1">
      <c r="B132" s="57"/>
    </row>
    <row r="133" ht="12.75" customHeight="1">
      <c r="B133" s="57"/>
    </row>
    <row r="134" ht="12.75" customHeight="1">
      <c r="B134" s="57"/>
    </row>
    <row r="135" ht="12.75" customHeight="1">
      <c r="B135" s="57"/>
    </row>
    <row r="136" ht="12.75" customHeight="1">
      <c r="B136" s="57"/>
    </row>
    <row r="137" ht="12.75" customHeight="1">
      <c r="B137" s="57"/>
    </row>
    <row r="138" ht="12.75" customHeight="1">
      <c r="B138" s="57"/>
    </row>
    <row r="139" ht="12.75" customHeight="1">
      <c r="B139" s="57"/>
    </row>
    <row r="140" ht="12.75" customHeight="1">
      <c r="B140" s="57"/>
    </row>
    <row r="141" ht="12.75" customHeight="1">
      <c r="B141" s="57"/>
    </row>
    <row r="142" ht="12.75" customHeight="1">
      <c r="B142" s="57"/>
    </row>
    <row r="143" ht="12.75" customHeight="1">
      <c r="B143" s="57"/>
    </row>
    <row r="144" ht="12.75" customHeight="1">
      <c r="B144" s="57"/>
    </row>
    <row r="145" ht="12.75" customHeight="1">
      <c r="B145" s="57"/>
    </row>
    <row r="146" ht="12.75" customHeight="1">
      <c r="B146" s="57"/>
    </row>
    <row r="147" ht="12.75" customHeight="1">
      <c r="B147" s="57"/>
    </row>
    <row r="148" ht="12.75" customHeight="1">
      <c r="B148" s="57"/>
    </row>
    <row r="149" ht="12.75" customHeight="1">
      <c r="B149" s="57"/>
    </row>
    <row r="150" ht="12.75" customHeight="1">
      <c r="B150" s="57"/>
    </row>
    <row r="151" ht="12.75" customHeight="1">
      <c r="B151" s="57"/>
    </row>
    <row r="152" ht="12.75" customHeight="1">
      <c r="B152" s="57"/>
    </row>
    <row r="153" ht="12.75" customHeight="1">
      <c r="B153" s="57"/>
    </row>
    <row r="154" ht="12.75" customHeight="1">
      <c r="B154" s="57"/>
    </row>
    <row r="155" ht="12.75" customHeight="1">
      <c r="B155" s="57"/>
    </row>
    <row r="156" ht="12.75" customHeight="1">
      <c r="B156" s="57"/>
    </row>
    <row r="157" ht="12.75" customHeight="1">
      <c r="B157" s="57"/>
    </row>
    <row r="158" ht="12.75" customHeight="1">
      <c r="B158" s="57"/>
    </row>
    <row r="159" ht="12.75" customHeight="1">
      <c r="B159" s="57"/>
    </row>
    <row r="160" ht="12.75" customHeight="1">
      <c r="B160" s="57"/>
    </row>
    <row r="161" ht="12.75" customHeight="1">
      <c r="B161" s="57"/>
    </row>
    <row r="162" ht="12.75" customHeight="1">
      <c r="B162" s="57"/>
    </row>
    <row r="163" ht="12.75" customHeight="1">
      <c r="B163" s="57"/>
    </row>
    <row r="164" ht="12.75" customHeight="1">
      <c r="B164" s="57"/>
    </row>
    <row r="165" ht="12.75" customHeight="1">
      <c r="B165" s="57"/>
    </row>
    <row r="166" ht="12.75" customHeight="1">
      <c r="B166" s="57"/>
    </row>
    <row r="167" ht="12.75" customHeight="1">
      <c r="B167" s="57"/>
    </row>
    <row r="168" ht="12.75" customHeight="1">
      <c r="B168" s="57"/>
    </row>
    <row r="169" ht="12.75" customHeight="1">
      <c r="B169" s="57"/>
    </row>
    <row r="170" ht="12.75" customHeight="1">
      <c r="B170" s="57"/>
    </row>
    <row r="171" ht="12.75" customHeight="1">
      <c r="B171" s="57"/>
    </row>
    <row r="172" ht="12.75" customHeight="1">
      <c r="B172" s="57"/>
    </row>
    <row r="173" ht="12.75" customHeight="1">
      <c r="B173" s="57"/>
    </row>
    <row r="174" ht="12.75" customHeight="1">
      <c r="B174" s="57"/>
    </row>
    <row r="175" ht="12.75" customHeight="1">
      <c r="B175" s="57"/>
    </row>
    <row r="176" ht="12.75" customHeight="1">
      <c r="B176" s="57"/>
    </row>
    <row r="177" ht="12.75" customHeight="1">
      <c r="B177" s="57"/>
    </row>
    <row r="178" ht="12.75" customHeight="1">
      <c r="B178" s="57"/>
    </row>
    <row r="179" ht="12.75" customHeight="1">
      <c r="B179" s="57"/>
    </row>
    <row r="180" ht="12.75" customHeight="1">
      <c r="B180" s="57"/>
    </row>
    <row r="181" ht="12.75" customHeight="1">
      <c r="B181" s="57"/>
    </row>
    <row r="182" ht="12.75" customHeight="1">
      <c r="B182" s="57"/>
    </row>
    <row r="183" ht="12.75" customHeight="1">
      <c r="B183" s="57"/>
    </row>
    <row r="184" ht="12.75" customHeight="1">
      <c r="B184" s="57"/>
    </row>
    <row r="185" ht="12.75" customHeight="1">
      <c r="B185" s="57"/>
    </row>
    <row r="186" ht="12.75" customHeight="1">
      <c r="B186" s="57"/>
    </row>
    <row r="187" ht="12.75" customHeight="1">
      <c r="B187" s="57"/>
    </row>
    <row r="188" ht="12.75" customHeight="1">
      <c r="B188" s="57"/>
    </row>
    <row r="189" ht="12.75" customHeight="1">
      <c r="B189" s="57"/>
    </row>
    <row r="190" ht="12.75" customHeight="1">
      <c r="B190" s="57"/>
    </row>
    <row r="191" ht="12.75" customHeight="1">
      <c r="B191" s="57"/>
    </row>
    <row r="192" ht="12.75" customHeight="1">
      <c r="B192" s="57"/>
    </row>
    <row r="193" ht="12.75" customHeight="1">
      <c r="B193" s="57"/>
    </row>
    <row r="194" ht="12.75" customHeight="1">
      <c r="B194" s="57"/>
    </row>
    <row r="195" ht="12.75" customHeight="1">
      <c r="B195" s="57"/>
    </row>
    <row r="196" ht="12.75" customHeight="1">
      <c r="B196" s="57"/>
    </row>
    <row r="197" ht="12.75" customHeight="1">
      <c r="B197" s="57"/>
    </row>
    <row r="198" ht="12.75" customHeight="1">
      <c r="B198" s="57"/>
    </row>
    <row r="199" ht="12.75" customHeight="1">
      <c r="B199" s="57"/>
    </row>
    <row r="200" ht="12.75" customHeight="1">
      <c r="B200" s="57"/>
    </row>
    <row r="201" ht="12.75" customHeight="1">
      <c r="B201" s="57"/>
    </row>
    <row r="202" ht="12.75" customHeight="1">
      <c r="B202" s="57"/>
    </row>
    <row r="203" ht="12.75" customHeight="1">
      <c r="B203" s="57"/>
    </row>
    <row r="204" ht="12.75" customHeight="1">
      <c r="B204" s="57"/>
    </row>
    <row r="205" ht="12.75" customHeight="1">
      <c r="B205" s="57"/>
    </row>
    <row r="206" ht="12.75" customHeight="1">
      <c r="B206" s="57"/>
    </row>
    <row r="207" ht="12.75" customHeight="1">
      <c r="B207" s="57"/>
    </row>
    <row r="208" ht="12.75" customHeight="1">
      <c r="B208" s="57"/>
    </row>
    <row r="209" ht="12.75" customHeight="1">
      <c r="B209" s="57"/>
    </row>
    <row r="210" ht="12.75" customHeight="1">
      <c r="B210" s="57"/>
    </row>
    <row r="211" ht="12.75" customHeight="1">
      <c r="B211" s="57"/>
    </row>
    <row r="212" ht="12.75" customHeight="1">
      <c r="B212" s="57"/>
    </row>
    <row r="213" ht="12.75" customHeight="1">
      <c r="B213" s="57"/>
    </row>
    <row r="214" ht="12.75" customHeight="1">
      <c r="B214" s="57"/>
    </row>
    <row r="215" ht="12.75" customHeight="1">
      <c r="B215" s="57"/>
    </row>
    <row r="216" ht="12.75" customHeight="1">
      <c r="B216" s="57"/>
    </row>
    <row r="217" ht="12.75" customHeight="1">
      <c r="B217" s="57"/>
    </row>
    <row r="218" ht="12.75" customHeight="1">
      <c r="B218" s="57"/>
    </row>
    <row r="219" ht="12.75" customHeight="1">
      <c r="B219" s="57"/>
    </row>
    <row r="220" ht="12.75" customHeight="1">
      <c r="B220" s="57"/>
    </row>
    <row r="221" ht="12.75" customHeight="1">
      <c r="B221" s="57"/>
    </row>
    <row r="222" ht="12.75" customHeight="1">
      <c r="B222" s="57"/>
    </row>
    <row r="223" ht="12.75" customHeight="1">
      <c r="B223" s="57"/>
    </row>
    <row r="224" ht="12.75" customHeight="1">
      <c r="B224" s="57"/>
    </row>
    <row r="225" ht="12.75" customHeight="1">
      <c r="B225" s="57"/>
    </row>
    <row r="226" ht="12.75" customHeight="1">
      <c r="B226" s="57"/>
    </row>
    <row r="227" ht="12.75" customHeight="1">
      <c r="B227" s="57"/>
    </row>
    <row r="228" ht="12.75" customHeight="1">
      <c r="B228" s="57"/>
    </row>
    <row r="229" ht="12.75" customHeight="1">
      <c r="B229" s="57"/>
    </row>
    <row r="230" ht="12.75" customHeight="1">
      <c r="B230" s="57"/>
    </row>
    <row r="231" ht="12.75" customHeight="1">
      <c r="B231" s="57"/>
    </row>
    <row r="232" ht="12.75" customHeight="1">
      <c r="B232" s="57"/>
    </row>
    <row r="233" ht="12.75" customHeight="1">
      <c r="B233" s="57"/>
    </row>
    <row r="234" ht="12.75" customHeight="1">
      <c r="B234" s="57"/>
    </row>
    <row r="235" ht="12.75" customHeight="1">
      <c r="B235" s="57"/>
    </row>
    <row r="236" ht="12.75" customHeight="1">
      <c r="B236" s="57"/>
    </row>
    <row r="237" ht="12.75" customHeight="1">
      <c r="B237" s="57"/>
    </row>
    <row r="238" ht="12.75" customHeight="1">
      <c r="B238" s="57"/>
    </row>
    <row r="239" ht="12.75" customHeight="1">
      <c r="B239" s="57"/>
    </row>
    <row r="240" ht="12.75" customHeight="1">
      <c r="B240" s="57"/>
    </row>
    <row r="241" ht="12.75" customHeight="1">
      <c r="B241" s="57"/>
    </row>
    <row r="242" ht="12.75" customHeight="1">
      <c r="B242" s="57"/>
    </row>
    <row r="243" ht="12.75" customHeight="1">
      <c r="B243" s="57"/>
    </row>
    <row r="244" ht="12.75" customHeight="1">
      <c r="B244" s="57"/>
    </row>
    <row r="245" ht="12.75" customHeight="1">
      <c r="B245" s="57"/>
    </row>
    <row r="246" ht="12.75" customHeight="1">
      <c r="B246" s="57"/>
    </row>
    <row r="247" ht="12.75" customHeight="1">
      <c r="B247" s="57"/>
    </row>
    <row r="248" ht="12.75" customHeight="1">
      <c r="B248" s="57"/>
    </row>
    <row r="249" ht="12.75" customHeight="1">
      <c r="B249" s="57"/>
    </row>
    <row r="250" ht="12.75" customHeight="1">
      <c r="B250" s="57"/>
    </row>
    <row r="251" ht="12.75" customHeight="1">
      <c r="B251" s="57"/>
    </row>
    <row r="252" ht="12.75" customHeight="1">
      <c r="B252" s="57"/>
    </row>
    <row r="253" ht="12.75" customHeight="1">
      <c r="B253" s="57"/>
    </row>
    <row r="254" ht="12.75" customHeight="1">
      <c r="B254" s="57"/>
    </row>
    <row r="255" ht="12.75" customHeight="1">
      <c r="B255" s="57"/>
    </row>
    <row r="256" ht="12.75" customHeight="1">
      <c r="B256" s="57"/>
    </row>
    <row r="257" ht="12.75" customHeight="1">
      <c r="B257" s="57"/>
    </row>
    <row r="258" ht="12.75" customHeight="1">
      <c r="B258" s="57"/>
    </row>
    <row r="259" ht="12.75" customHeight="1">
      <c r="B259" s="57"/>
    </row>
    <row r="260" ht="12.75" customHeight="1">
      <c r="B260" s="57"/>
    </row>
    <row r="261" ht="12.75" customHeight="1">
      <c r="B261" s="57"/>
    </row>
    <row r="262" ht="12.75" customHeight="1">
      <c r="B262" s="57"/>
    </row>
    <row r="263" ht="12.75" customHeight="1">
      <c r="B263" s="57"/>
    </row>
    <row r="264" ht="12.75" customHeight="1">
      <c r="B264" s="57"/>
    </row>
    <row r="265" ht="12.75" customHeight="1">
      <c r="B265" s="57"/>
    </row>
    <row r="266" ht="12.75" customHeight="1">
      <c r="B266" s="57"/>
    </row>
    <row r="267" ht="12.75" customHeight="1">
      <c r="B267" s="57"/>
    </row>
    <row r="268" ht="12.75" customHeight="1">
      <c r="B268" s="57"/>
    </row>
    <row r="269" ht="12.75" customHeight="1">
      <c r="B269" s="57"/>
    </row>
    <row r="270" ht="12.75" customHeight="1">
      <c r="B270" s="57"/>
    </row>
    <row r="271" ht="12.75" customHeight="1">
      <c r="B271" s="57"/>
    </row>
    <row r="272" ht="12.75" customHeight="1">
      <c r="B272" s="57"/>
    </row>
    <row r="273" ht="12.75" customHeight="1">
      <c r="B273" s="57"/>
    </row>
    <row r="274" ht="12.75" customHeight="1">
      <c r="B274" s="57"/>
    </row>
    <row r="275" ht="12.75" customHeight="1">
      <c r="B275" s="57"/>
    </row>
    <row r="276" ht="12.75" customHeight="1">
      <c r="B276" s="57"/>
    </row>
    <row r="277" ht="12.75" customHeight="1">
      <c r="B277" s="57"/>
    </row>
    <row r="278" ht="12.75" customHeight="1">
      <c r="B278" s="57"/>
    </row>
    <row r="279" ht="12.75" customHeight="1">
      <c r="B279" s="57"/>
    </row>
    <row r="280" ht="12.75" customHeight="1">
      <c r="B280" s="57"/>
    </row>
    <row r="281" ht="12.75" customHeight="1">
      <c r="B281" s="57"/>
    </row>
    <row r="282" ht="12.75" customHeight="1">
      <c r="B282" s="57"/>
    </row>
    <row r="283" ht="12.75" customHeight="1">
      <c r="B283" s="57"/>
    </row>
    <row r="284" ht="12.75" customHeight="1">
      <c r="B284" s="57"/>
    </row>
    <row r="285" ht="12.75" customHeight="1">
      <c r="B285" s="57"/>
    </row>
    <row r="286" ht="12.75" customHeight="1">
      <c r="B286" s="57"/>
    </row>
    <row r="287" ht="12.75" customHeight="1">
      <c r="B287" s="57"/>
    </row>
    <row r="288" ht="12.75" customHeight="1">
      <c r="B288" s="57"/>
    </row>
    <row r="289" ht="12.75" customHeight="1">
      <c r="B289" s="57"/>
    </row>
    <row r="290" ht="12.75" customHeight="1">
      <c r="B290" s="57"/>
    </row>
    <row r="291" ht="12.75" customHeight="1">
      <c r="B291" s="57"/>
    </row>
    <row r="292" ht="12.75" customHeight="1">
      <c r="B292" s="57"/>
    </row>
    <row r="293" ht="12.75" customHeight="1">
      <c r="B293" s="57"/>
    </row>
    <row r="294" ht="12.75" customHeight="1">
      <c r="B294" s="57"/>
    </row>
    <row r="295" ht="12.75" customHeight="1">
      <c r="B295" s="57"/>
    </row>
    <row r="296" ht="12.75" customHeight="1">
      <c r="B296" s="57"/>
    </row>
    <row r="297" ht="12.75" customHeight="1">
      <c r="B297" s="57"/>
    </row>
    <row r="298" ht="12.75" customHeight="1">
      <c r="B298" s="57"/>
    </row>
    <row r="299" ht="12.75" customHeight="1">
      <c r="B299" s="57"/>
    </row>
    <row r="300" ht="12.75" customHeight="1">
      <c r="B300" s="57"/>
    </row>
    <row r="301" ht="12.75" customHeight="1">
      <c r="B301" s="57"/>
    </row>
    <row r="302" ht="12.75" customHeight="1">
      <c r="B302" s="57"/>
    </row>
    <row r="303" ht="12.75" customHeight="1">
      <c r="B303" s="57"/>
    </row>
    <row r="304" ht="12.75" customHeight="1">
      <c r="B304" s="57"/>
    </row>
    <row r="305" ht="12.75" customHeight="1">
      <c r="B305" s="57"/>
    </row>
    <row r="306" ht="12.75" customHeight="1">
      <c r="B306" s="57"/>
    </row>
    <row r="307" ht="12.75" customHeight="1">
      <c r="B307" s="57"/>
    </row>
    <row r="308" ht="12.75" customHeight="1">
      <c r="B308" s="57"/>
    </row>
    <row r="309" ht="12.75" customHeight="1">
      <c r="B309" s="57"/>
    </row>
    <row r="310" ht="12.75" customHeight="1">
      <c r="B310" s="57"/>
    </row>
    <row r="311" ht="12.75" customHeight="1">
      <c r="B311" s="57"/>
    </row>
    <row r="312" ht="12.75" customHeight="1">
      <c r="B312" s="57"/>
    </row>
    <row r="313" ht="12.75" customHeight="1">
      <c r="B313" s="57"/>
    </row>
    <row r="314" ht="12.75" customHeight="1">
      <c r="B314" s="57"/>
    </row>
    <row r="315" ht="12.75" customHeight="1">
      <c r="B315" s="57"/>
    </row>
    <row r="316" ht="12.75" customHeight="1">
      <c r="B316" s="57"/>
    </row>
    <row r="317" ht="12.75" customHeight="1">
      <c r="B317" s="57"/>
    </row>
    <row r="318" ht="12.75" customHeight="1">
      <c r="B318" s="57"/>
    </row>
    <row r="319" ht="12.75" customHeight="1">
      <c r="B319" s="57"/>
    </row>
    <row r="320" ht="12.75" customHeight="1">
      <c r="B320" s="57"/>
    </row>
    <row r="321" ht="12.75" customHeight="1">
      <c r="B321" s="57"/>
    </row>
    <row r="322" ht="12.75" customHeight="1">
      <c r="B322" s="57"/>
    </row>
    <row r="323" ht="12.75" customHeight="1">
      <c r="B323" s="57"/>
    </row>
    <row r="324" ht="12.75" customHeight="1">
      <c r="B324" s="57"/>
    </row>
    <row r="325" ht="12.75" customHeight="1">
      <c r="B325" s="57"/>
    </row>
    <row r="326" ht="12.75" customHeight="1">
      <c r="B326" s="57"/>
    </row>
    <row r="327" ht="12.75" customHeight="1">
      <c r="B327" s="57"/>
    </row>
    <row r="328" ht="12.75" customHeight="1">
      <c r="B328" s="57"/>
    </row>
    <row r="329" ht="12.75" customHeight="1">
      <c r="B329" s="57"/>
    </row>
    <row r="330" ht="12.75" customHeight="1">
      <c r="B330" s="57"/>
    </row>
    <row r="331" ht="12.75" customHeight="1">
      <c r="B331" s="57"/>
    </row>
    <row r="332" ht="12.75" customHeight="1">
      <c r="B332" s="57"/>
    </row>
    <row r="333" ht="12.75" customHeight="1">
      <c r="B333" s="57"/>
    </row>
    <row r="334" ht="12.75" customHeight="1">
      <c r="B334" s="57"/>
    </row>
    <row r="335" ht="12.75" customHeight="1">
      <c r="B335" s="57"/>
    </row>
    <row r="336" ht="12.75" customHeight="1">
      <c r="B336" s="57"/>
    </row>
    <row r="337" ht="12.75" customHeight="1">
      <c r="B337" s="57"/>
    </row>
    <row r="338" ht="12.75" customHeight="1">
      <c r="B338" s="57"/>
    </row>
    <row r="339" ht="12.75" customHeight="1">
      <c r="B339" s="57"/>
    </row>
    <row r="340" ht="12.75" customHeight="1">
      <c r="B340" s="57"/>
    </row>
    <row r="341" ht="12.75" customHeight="1">
      <c r="B341" s="57"/>
    </row>
    <row r="342" ht="12.75" customHeight="1">
      <c r="B342" s="57"/>
    </row>
    <row r="343" ht="12.75" customHeight="1">
      <c r="B343" s="57"/>
    </row>
    <row r="344" ht="12.75" customHeight="1">
      <c r="B344" s="57"/>
    </row>
    <row r="345" ht="12.75" customHeight="1">
      <c r="B345" s="57"/>
    </row>
    <row r="346" ht="12.75" customHeight="1">
      <c r="B346" s="57"/>
    </row>
    <row r="347" ht="12.75" customHeight="1">
      <c r="B347" s="57"/>
    </row>
    <row r="348" ht="12.75" customHeight="1">
      <c r="B348" s="57"/>
    </row>
    <row r="349" ht="12.75" customHeight="1">
      <c r="B349" s="57"/>
    </row>
    <row r="350" ht="12.75" customHeight="1">
      <c r="B350" s="57"/>
    </row>
    <row r="351" ht="12.75" customHeight="1">
      <c r="B351" s="57"/>
    </row>
    <row r="352" ht="12.75" customHeight="1">
      <c r="B352" s="57"/>
    </row>
    <row r="353" ht="12.75" customHeight="1">
      <c r="B353" s="57"/>
    </row>
    <row r="354" ht="12.75" customHeight="1">
      <c r="B354" s="57"/>
    </row>
    <row r="355" ht="12.75" customHeight="1">
      <c r="B355" s="57"/>
    </row>
    <row r="356" ht="12.75" customHeight="1">
      <c r="B356" s="57"/>
    </row>
    <row r="357" ht="12.75" customHeight="1">
      <c r="B357" s="57"/>
    </row>
    <row r="358" ht="12.75" customHeight="1">
      <c r="B358" s="57"/>
    </row>
    <row r="359" ht="12.75" customHeight="1">
      <c r="B359" s="57"/>
    </row>
    <row r="360" ht="12.75" customHeight="1">
      <c r="B360" s="57"/>
    </row>
    <row r="361" ht="12.75" customHeight="1">
      <c r="B361" s="57"/>
    </row>
    <row r="362" ht="12.75" customHeight="1">
      <c r="B362" s="57"/>
    </row>
    <row r="363" ht="12.75" customHeight="1">
      <c r="B363" s="57"/>
    </row>
    <row r="364" ht="12.75" customHeight="1">
      <c r="B364" s="57"/>
    </row>
    <row r="365" ht="12.75" customHeight="1">
      <c r="B365" s="57"/>
    </row>
    <row r="366" ht="12.75" customHeight="1">
      <c r="B366" s="57"/>
    </row>
    <row r="367" ht="12.75" customHeight="1">
      <c r="B367" s="57"/>
    </row>
    <row r="368" ht="12.75" customHeight="1">
      <c r="B368" s="57"/>
    </row>
    <row r="369" ht="12.75" customHeight="1">
      <c r="B369" s="57"/>
    </row>
    <row r="370" ht="12.75" customHeight="1">
      <c r="B370" s="57"/>
    </row>
    <row r="371" ht="12.75" customHeight="1">
      <c r="B371" s="57"/>
    </row>
    <row r="372" ht="12.75" customHeight="1">
      <c r="B372" s="57"/>
    </row>
    <row r="373" ht="12.75" customHeight="1">
      <c r="B373" s="57"/>
    </row>
    <row r="374" ht="12.75" customHeight="1">
      <c r="B374" s="57"/>
    </row>
    <row r="375" ht="12.75" customHeight="1">
      <c r="B375" s="57"/>
    </row>
    <row r="376" ht="12.75" customHeight="1">
      <c r="B376" s="57"/>
    </row>
    <row r="377" ht="12.75" customHeight="1">
      <c r="B377" s="57"/>
    </row>
    <row r="378" ht="12.75" customHeight="1">
      <c r="B378" s="57"/>
    </row>
    <row r="379" ht="12.75" customHeight="1">
      <c r="B379" s="57"/>
    </row>
    <row r="380" ht="12.75" customHeight="1">
      <c r="B380" s="57"/>
    </row>
    <row r="381" ht="12.75" customHeight="1">
      <c r="B381" s="57"/>
    </row>
    <row r="382" ht="12.75" customHeight="1">
      <c r="B382" s="57"/>
    </row>
    <row r="383" ht="12.75" customHeight="1">
      <c r="B383" s="57"/>
    </row>
    <row r="384" ht="12.75" customHeight="1">
      <c r="B384" s="57"/>
    </row>
    <row r="385" ht="12.75" customHeight="1">
      <c r="B385" s="57"/>
    </row>
    <row r="386" ht="12.75" customHeight="1">
      <c r="B386" s="57"/>
    </row>
    <row r="387" ht="12.75" customHeight="1">
      <c r="B387" s="57"/>
    </row>
    <row r="388" ht="12.75" customHeight="1">
      <c r="B388" s="57"/>
    </row>
    <row r="389" ht="12.75" customHeight="1">
      <c r="B389" s="57"/>
    </row>
    <row r="390" ht="12.75" customHeight="1">
      <c r="B390" s="57"/>
    </row>
    <row r="391" ht="12.75" customHeight="1">
      <c r="B391" s="57"/>
    </row>
    <row r="392" ht="12.75" customHeight="1">
      <c r="B392" s="57"/>
    </row>
    <row r="393" ht="12.75" customHeight="1">
      <c r="B393" s="57"/>
    </row>
    <row r="394" ht="12.75" customHeight="1">
      <c r="B394" s="57"/>
    </row>
    <row r="395" ht="12.75" customHeight="1">
      <c r="B395" s="57"/>
    </row>
    <row r="396" ht="12.75" customHeight="1">
      <c r="B396" s="57"/>
    </row>
    <row r="397" ht="12.75" customHeight="1">
      <c r="B397" s="57"/>
    </row>
    <row r="398" ht="12.75" customHeight="1">
      <c r="B398" s="57"/>
    </row>
    <row r="399" ht="12.75" customHeight="1">
      <c r="B399" s="57"/>
    </row>
    <row r="400" ht="12.75" customHeight="1">
      <c r="B400" s="57"/>
    </row>
    <row r="401" ht="12.75" customHeight="1">
      <c r="B401" s="57"/>
    </row>
    <row r="402" ht="12.75" customHeight="1">
      <c r="B402" s="57"/>
    </row>
    <row r="403" ht="12.75" customHeight="1">
      <c r="B403" s="57"/>
    </row>
    <row r="404" ht="12.75" customHeight="1">
      <c r="B404" s="57"/>
    </row>
    <row r="405" ht="12.75" customHeight="1">
      <c r="B405" s="57"/>
    </row>
    <row r="406" ht="12.75" customHeight="1">
      <c r="B406" s="57"/>
    </row>
    <row r="407" ht="12.75" customHeight="1">
      <c r="B407" s="57"/>
    </row>
    <row r="408" ht="12.75" customHeight="1">
      <c r="B408" s="57"/>
    </row>
    <row r="409" ht="12.75" customHeight="1">
      <c r="B409" s="57"/>
    </row>
    <row r="410" ht="12.75" customHeight="1">
      <c r="B410" s="57"/>
    </row>
    <row r="411" ht="12.75" customHeight="1">
      <c r="B411" s="57"/>
    </row>
    <row r="412" ht="12.75" customHeight="1">
      <c r="B412" s="57"/>
    </row>
    <row r="413" ht="12.75" customHeight="1">
      <c r="B413" s="57"/>
    </row>
    <row r="414" ht="12.75" customHeight="1">
      <c r="B414" s="57"/>
    </row>
    <row r="415" ht="12.75" customHeight="1">
      <c r="B415" s="57"/>
    </row>
    <row r="416" ht="12.75" customHeight="1">
      <c r="B416" s="57"/>
    </row>
    <row r="417" ht="12.75" customHeight="1">
      <c r="B417" s="57"/>
    </row>
    <row r="418" ht="12.75" customHeight="1">
      <c r="B418" s="57"/>
    </row>
    <row r="419" ht="12.75" customHeight="1">
      <c r="B419" s="57"/>
    </row>
    <row r="420" ht="12.75" customHeight="1">
      <c r="B420" s="57"/>
    </row>
    <row r="421" ht="12.75" customHeight="1">
      <c r="B421" s="57"/>
    </row>
    <row r="422" ht="12.75" customHeight="1">
      <c r="B422" s="57"/>
    </row>
    <row r="423" ht="12.75" customHeight="1">
      <c r="B423" s="57"/>
    </row>
    <row r="424" ht="12.75" customHeight="1">
      <c r="B424" s="57"/>
    </row>
    <row r="425" ht="12.75" customHeight="1">
      <c r="B425" s="57"/>
    </row>
    <row r="426" ht="12.75" customHeight="1">
      <c r="B426" s="57"/>
    </row>
    <row r="427" ht="12.75" customHeight="1">
      <c r="B427" s="57"/>
    </row>
    <row r="428" ht="12.75" customHeight="1">
      <c r="B428" s="57"/>
    </row>
    <row r="429" ht="12.75" customHeight="1">
      <c r="B429" s="57"/>
    </row>
    <row r="430" ht="12.75" customHeight="1">
      <c r="B430" s="57"/>
    </row>
    <row r="431" ht="12.75" customHeight="1">
      <c r="B431" s="57"/>
    </row>
    <row r="432" ht="12.75" customHeight="1">
      <c r="B432" s="57"/>
    </row>
    <row r="433" ht="12.75" customHeight="1">
      <c r="B433" s="57"/>
    </row>
    <row r="434" ht="12.75" customHeight="1">
      <c r="B434" s="57"/>
    </row>
    <row r="435" ht="12.75" customHeight="1">
      <c r="B435" s="57"/>
    </row>
    <row r="436" ht="12.75" customHeight="1">
      <c r="B436" s="57"/>
    </row>
    <row r="437" ht="12.75" customHeight="1">
      <c r="B437" s="57"/>
    </row>
    <row r="438" ht="12.75" customHeight="1">
      <c r="B438" s="57"/>
    </row>
    <row r="439" ht="12.75" customHeight="1">
      <c r="B439" s="57"/>
    </row>
    <row r="440" ht="12.75" customHeight="1">
      <c r="B440" s="57"/>
    </row>
    <row r="441" ht="12.75" customHeight="1">
      <c r="B441" s="57"/>
    </row>
    <row r="442" ht="12.75" customHeight="1">
      <c r="B442" s="57"/>
    </row>
    <row r="443" ht="12.75" customHeight="1">
      <c r="B443" s="57"/>
    </row>
    <row r="444" ht="12.75" customHeight="1">
      <c r="B444" s="57"/>
    </row>
    <row r="445" ht="12.75" customHeight="1">
      <c r="B445" s="57"/>
    </row>
    <row r="446" ht="12.75" customHeight="1">
      <c r="B446" s="57"/>
    </row>
    <row r="447" ht="12.75" customHeight="1">
      <c r="B447" s="57"/>
    </row>
    <row r="448" ht="12.75" customHeight="1">
      <c r="B448" s="57"/>
    </row>
    <row r="449" ht="12.75" customHeight="1">
      <c r="B449" s="57"/>
    </row>
    <row r="450" ht="12.75" customHeight="1">
      <c r="B450" s="57"/>
    </row>
    <row r="451" ht="12.75" customHeight="1">
      <c r="B451" s="57"/>
    </row>
    <row r="452" ht="12.75" customHeight="1">
      <c r="B452" s="57"/>
    </row>
    <row r="453" ht="12.75" customHeight="1">
      <c r="B453" s="57"/>
    </row>
    <row r="454" ht="12.75" customHeight="1">
      <c r="B454" s="57"/>
    </row>
    <row r="455" ht="12.75" customHeight="1">
      <c r="B455" s="57"/>
    </row>
    <row r="456" ht="12.75" customHeight="1">
      <c r="B456" s="57"/>
    </row>
    <row r="457" ht="12.75" customHeight="1">
      <c r="B457" s="57"/>
    </row>
    <row r="458" ht="12.75" customHeight="1">
      <c r="B458" s="57"/>
    </row>
    <row r="459" ht="12.75" customHeight="1">
      <c r="B459" s="57"/>
    </row>
    <row r="460" ht="12.75" customHeight="1">
      <c r="B460" s="57"/>
    </row>
    <row r="461" ht="12.75" customHeight="1">
      <c r="B461" s="57"/>
    </row>
    <row r="462" ht="12.75" customHeight="1">
      <c r="B462" s="57"/>
    </row>
    <row r="463" ht="12.75" customHeight="1">
      <c r="B463" s="57"/>
    </row>
    <row r="464" ht="12.75" customHeight="1">
      <c r="B464" s="57"/>
    </row>
    <row r="465" ht="12.75" customHeight="1">
      <c r="B465" s="57"/>
    </row>
    <row r="466" ht="12.75" customHeight="1">
      <c r="B466" s="57"/>
    </row>
    <row r="467" ht="12.75" customHeight="1">
      <c r="B467" s="57"/>
    </row>
    <row r="468" ht="12.75" customHeight="1">
      <c r="B468" s="57"/>
    </row>
    <row r="469" ht="12.75" customHeight="1">
      <c r="B469" s="57"/>
    </row>
    <row r="470" ht="12.75" customHeight="1">
      <c r="B470" s="57"/>
    </row>
    <row r="471" ht="12.75" customHeight="1">
      <c r="B471" s="57"/>
    </row>
    <row r="472" ht="12.75" customHeight="1">
      <c r="B472" s="57"/>
    </row>
    <row r="473" ht="12.75" customHeight="1">
      <c r="B473" s="57"/>
    </row>
    <row r="474" ht="12.75" customHeight="1">
      <c r="B474" s="57"/>
    </row>
    <row r="475" ht="12.75" customHeight="1">
      <c r="B475" s="57"/>
    </row>
    <row r="476" ht="12.75" customHeight="1">
      <c r="B476" s="57"/>
    </row>
    <row r="477" ht="12.75" customHeight="1">
      <c r="B477" s="57"/>
    </row>
    <row r="478" ht="12.75" customHeight="1">
      <c r="B478" s="57"/>
    </row>
    <row r="479" ht="12.75" customHeight="1">
      <c r="B479" s="57"/>
    </row>
    <row r="480" ht="12.75" customHeight="1">
      <c r="B480" s="57"/>
    </row>
    <row r="481" ht="12.75" customHeight="1">
      <c r="B481" s="57"/>
    </row>
    <row r="482" ht="12.75" customHeight="1">
      <c r="B482" s="57"/>
    </row>
    <row r="483" ht="12.75" customHeight="1">
      <c r="B483" s="57"/>
    </row>
    <row r="484" ht="12.75" customHeight="1">
      <c r="B484" s="57"/>
    </row>
    <row r="485" ht="12.75" customHeight="1">
      <c r="B485" s="57"/>
    </row>
    <row r="486" ht="12.75" customHeight="1">
      <c r="B486" s="57"/>
    </row>
    <row r="487" ht="12.75" customHeight="1">
      <c r="B487" s="57"/>
    </row>
    <row r="488" ht="12.75" customHeight="1">
      <c r="B488" s="57"/>
    </row>
    <row r="489" ht="12.75" customHeight="1">
      <c r="B489" s="57"/>
    </row>
    <row r="490" ht="12.75" customHeight="1">
      <c r="B490" s="57"/>
    </row>
    <row r="491" ht="12.75" customHeight="1">
      <c r="B491" s="57"/>
    </row>
    <row r="492" ht="12.75" customHeight="1">
      <c r="B492" s="57"/>
    </row>
    <row r="493" ht="12.75" customHeight="1">
      <c r="B493" s="57"/>
    </row>
    <row r="494" ht="12.75" customHeight="1">
      <c r="B494" s="57"/>
    </row>
    <row r="495" ht="12.75" customHeight="1">
      <c r="B495" s="57"/>
    </row>
    <row r="496" ht="12.75" customHeight="1">
      <c r="B496" s="57"/>
    </row>
    <row r="497" ht="12.75" customHeight="1">
      <c r="B497" s="57"/>
    </row>
    <row r="498" ht="12.75" customHeight="1">
      <c r="B498" s="57"/>
    </row>
    <row r="499" ht="12.75" customHeight="1">
      <c r="B499" s="57"/>
    </row>
    <row r="500" ht="12.75" customHeight="1">
      <c r="B500" s="57"/>
    </row>
    <row r="501" ht="12.75" customHeight="1">
      <c r="B501" s="57"/>
    </row>
    <row r="502" ht="12.75" customHeight="1">
      <c r="B502" s="57"/>
    </row>
    <row r="503" ht="12.75" customHeight="1">
      <c r="B503" s="57"/>
    </row>
    <row r="504" ht="12.75" customHeight="1">
      <c r="B504" s="57"/>
    </row>
    <row r="505" ht="12.75" customHeight="1">
      <c r="B505" s="57"/>
    </row>
    <row r="506" ht="12.75" customHeight="1">
      <c r="B506" s="57"/>
    </row>
    <row r="507" ht="12.75" customHeight="1">
      <c r="B507" s="57"/>
    </row>
    <row r="508" ht="12.75" customHeight="1">
      <c r="B508" s="57"/>
    </row>
    <row r="509" ht="12.75" customHeight="1">
      <c r="B509" s="57"/>
    </row>
    <row r="510" ht="12.75" customHeight="1">
      <c r="B510" s="57"/>
    </row>
    <row r="511" ht="12.75" customHeight="1">
      <c r="B511" s="57"/>
    </row>
    <row r="512" ht="12.75" customHeight="1">
      <c r="B512" s="57"/>
    </row>
    <row r="513" ht="12.75" customHeight="1">
      <c r="B513" s="57"/>
    </row>
    <row r="514" ht="12.75" customHeight="1">
      <c r="B514" s="57"/>
    </row>
    <row r="515" ht="12.75" customHeight="1">
      <c r="B515" s="57"/>
    </row>
    <row r="516" ht="12.75" customHeight="1">
      <c r="B516" s="57"/>
    </row>
    <row r="517" ht="12.75" customHeight="1">
      <c r="B517" s="57"/>
    </row>
    <row r="518" ht="12.75" customHeight="1">
      <c r="B518" s="57"/>
    </row>
    <row r="519" ht="12.75" customHeight="1">
      <c r="B519" s="57"/>
    </row>
    <row r="520" ht="12.75" customHeight="1">
      <c r="B520" s="57"/>
    </row>
    <row r="521" ht="12.75" customHeight="1">
      <c r="B521" s="57"/>
    </row>
    <row r="522" ht="12.75" customHeight="1">
      <c r="B522" s="57"/>
    </row>
    <row r="523" ht="12.75" customHeight="1">
      <c r="B523" s="57"/>
    </row>
    <row r="524" ht="12.75" customHeight="1">
      <c r="B524" s="57"/>
    </row>
    <row r="525" ht="12.75" customHeight="1">
      <c r="B525" s="57"/>
    </row>
    <row r="526" ht="12.75" customHeight="1">
      <c r="B526" s="57"/>
    </row>
    <row r="527" ht="12.75" customHeight="1">
      <c r="B527" s="57"/>
    </row>
    <row r="528" ht="12.75" customHeight="1">
      <c r="B528" s="57"/>
    </row>
    <row r="529" ht="12.75" customHeight="1">
      <c r="B529" s="57"/>
    </row>
    <row r="530" ht="12.75" customHeight="1">
      <c r="B530" s="57"/>
    </row>
    <row r="531" ht="12.75" customHeight="1">
      <c r="B531" s="57"/>
    </row>
    <row r="532" ht="12.75" customHeight="1">
      <c r="B532" s="57"/>
    </row>
    <row r="533" ht="12.75" customHeight="1">
      <c r="B533" s="57"/>
    </row>
    <row r="534" ht="12.75" customHeight="1">
      <c r="B534" s="57"/>
    </row>
    <row r="535" ht="12.75" customHeight="1">
      <c r="B535" s="57"/>
    </row>
    <row r="536" ht="12.75" customHeight="1">
      <c r="B536" s="57"/>
    </row>
    <row r="537" ht="12.75" customHeight="1">
      <c r="B537" s="57"/>
    </row>
    <row r="538" ht="12.75" customHeight="1">
      <c r="B538" s="57"/>
    </row>
    <row r="539" ht="12.75" customHeight="1">
      <c r="B539" s="57"/>
    </row>
    <row r="540" ht="12.75" customHeight="1">
      <c r="B540" s="57"/>
    </row>
    <row r="541" ht="12.75" customHeight="1">
      <c r="B541" s="57"/>
    </row>
    <row r="542" ht="12.75" customHeight="1">
      <c r="B542" s="57"/>
    </row>
    <row r="543" ht="12.75" customHeight="1">
      <c r="B543" s="57"/>
    </row>
    <row r="544" ht="12.75" customHeight="1">
      <c r="B544" s="57"/>
    </row>
    <row r="545" ht="12.75" customHeight="1">
      <c r="B545" s="57"/>
    </row>
    <row r="546" ht="12.75" customHeight="1">
      <c r="B546" s="57"/>
    </row>
    <row r="547" ht="12.75" customHeight="1">
      <c r="B547" s="57"/>
    </row>
    <row r="548" ht="12.75" customHeight="1">
      <c r="B548" s="57"/>
    </row>
    <row r="549" ht="12.75" customHeight="1">
      <c r="B549" s="57"/>
    </row>
    <row r="550" ht="12.75" customHeight="1">
      <c r="B550" s="57"/>
    </row>
    <row r="551" ht="12.75" customHeight="1">
      <c r="B551" s="57"/>
    </row>
    <row r="552" ht="12.75" customHeight="1">
      <c r="B552" s="57"/>
    </row>
    <row r="553" ht="12.75" customHeight="1">
      <c r="B553" s="57"/>
    </row>
    <row r="554" ht="12.75" customHeight="1">
      <c r="B554" s="57"/>
    </row>
    <row r="555" ht="12.75" customHeight="1">
      <c r="B555" s="57"/>
    </row>
    <row r="556" ht="12.75" customHeight="1">
      <c r="B556" s="57"/>
    </row>
    <row r="557" ht="12.75" customHeight="1">
      <c r="B557" s="57"/>
    </row>
    <row r="558" ht="12.75" customHeight="1">
      <c r="B558" s="57"/>
    </row>
    <row r="559" ht="12.75" customHeight="1">
      <c r="B559" s="57"/>
    </row>
    <row r="560" ht="12.75" customHeight="1">
      <c r="B560" s="57"/>
    </row>
    <row r="561" ht="12.75" customHeight="1">
      <c r="B561" s="57"/>
    </row>
    <row r="562" ht="12.75" customHeight="1">
      <c r="B562" s="57"/>
    </row>
    <row r="563" ht="12.75" customHeight="1">
      <c r="B563" s="57"/>
    </row>
    <row r="564" ht="12.75" customHeight="1">
      <c r="B564" s="57"/>
    </row>
    <row r="565" ht="12.75" customHeight="1">
      <c r="B565" s="57"/>
    </row>
    <row r="566" ht="12.75" customHeight="1">
      <c r="B566" s="57"/>
    </row>
    <row r="567" ht="12.75" customHeight="1">
      <c r="B567" s="57"/>
    </row>
    <row r="568" ht="12.75" customHeight="1">
      <c r="B568" s="57"/>
    </row>
    <row r="569" ht="12.75" customHeight="1">
      <c r="B569" s="57"/>
    </row>
    <row r="570" ht="12.75" customHeight="1">
      <c r="B570" s="57"/>
    </row>
    <row r="571" ht="12.75" customHeight="1">
      <c r="B571" s="57"/>
    </row>
    <row r="572" ht="12.75" customHeight="1">
      <c r="B572" s="57"/>
    </row>
    <row r="573" ht="12.75" customHeight="1">
      <c r="B573" s="57"/>
    </row>
    <row r="574" ht="12.75" customHeight="1">
      <c r="B574" s="57"/>
    </row>
    <row r="575" ht="12.75" customHeight="1">
      <c r="B575" s="57"/>
    </row>
    <row r="576" ht="12.75" customHeight="1">
      <c r="B576" s="57"/>
    </row>
    <row r="577" ht="12.75" customHeight="1">
      <c r="B577" s="57"/>
    </row>
    <row r="578" ht="12.75" customHeight="1">
      <c r="B578" s="57"/>
    </row>
    <row r="579" ht="12.75" customHeight="1">
      <c r="B579" s="57"/>
    </row>
    <row r="580" ht="12.75" customHeight="1">
      <c r="B580" s="57"/>
    </row>
    <row r="581" ht="12.75" customHeight="1">
      <c r="B581" s="57"/>
    </row>
    <row r="582" ht="12.75" customHeight="1">
      <c r="B582" s="57"/>
    </row>
    <row r="583" ht="12.75" customHeight="1">
      <c r="B583" s="57"/>
    </row>
    <row r="584" ht="12.75" customHeight="1">
      <c r="B584" s="57"/>
    </row>
    <row r="585" ht="12.75" customHeight="1">
      <c r="B585" s="57"/>
    </row>
    <row r="586" ht="12.75" customHeight="1">
      <c r="B586" s="57"/>
    </row>
    <row r="587" ht="12.75" customHeight="1">
      <c r="B587" s="57"/>
    </row>
    <row r="588" ht="12.75" customHeight="1">
      <c r="B588" s="57"/>
    </row>
    <row r="589" ht="12.75" customHeight="1">
      <c r="B589" s="57"/>
    </row>
    <row r="590" ht="12.75" customHeight="1">
      <c r="B590" s="57"/>
    </row>
    <row r="591" ht="12.75" customHeight="1">
      <c r="B591" s="57"/>
    </row>
    <row r="592" ht="12.75" customHeight="1">
      <c r="B592" s="57"/>
    </row>
    <row r="593" ht="12.75" customHeight="1">
      <c r="B593" s="57"/>
    </row>
    <row r="594" ht="12.75" customHeight="1">
      <c r="B594" s="57"/>
    </row>
    <row r="595" ht="12.75" customHeight="1">
      <c r="B595" s="57"/>
    </row>
    <row r="596" ht="12.75" customHeight="1">
      <c r="B596" s="57"/>
    </row>
    <row r="597" ht="12.75" customHeight="1">
      <c r="B597" s="57"/>
    </row>
    <row r="598" ht="12.75" customHeight="1">
      <c r="B598" s="57"/>
    </row>
    <row r="599" ht="12.75" customHeight="1">
      <c r="B599" s="57"/>
    </row>
    <row r="600" ht="12.75" customHeight="1">
      <c r="B600" s="57"/>
    </row>
    <row r="601" ht="12.75" customHeight="1">
      <c r="B601" s="57"/>
    </row>
    <row r="602" ht="12.75" customHeight="1">
      <c r="B602" s="57"/>
    </row>
    <row r="603" ht="12.75" customHeight="1">
      <c r="B603" s="57"/>
    </row>
    <row r="604" ht="12.75" customHeight="1">
      <c r="B604" s="57"/>
    </row>
    <row r="605" ht="12.75" customHeight="1">
      <c r="B605" s="57"/>
    </row>
    <row r="606" ht="12.75" customHeight="1">
      <c r="B606" s="57"/>
    </row>
    <row r="607" ht="12.75" customHeight="1">
      <c r="B607" s="57"/>
    </row>
    <row r="608" ht="12.75" customHeight="1">
      <c r="B608" s="57"/>
    </row>
    <row r="609" ht="12.75" customHeight="1">
      <c r="B609" s="57"/>
    </row>
    <row r="610" ht="12.75" customHeight="1">
      <c r="B610" s="57"/>
    </row>
    <row r="611" ht="12.75" customHeight="1">
      <c r="B611" s="57"/>
    </row>
    <row r="612" ht="12.75" customHeight="1">
      <c r="B612" s="57"/>
    </row>
    <row r="613" ht="12.75" customHeight="1">
      <c r="B613" s="57"/>
    </row>
    <row r="614" ht="12.75" customHeight="1">
      <c r="B614" s="57"/>
    </row>
    <row r="615" ht="12.75" customHeight="1">
      <c r="B615" s="57"/>
    </row>
    <row r="616" ht="12.75" customHeight="1">
      <c r="B616" s="57"/>
    </row>
    <row r="617" ht="12.75" customHeight="1">
      <c r="B617" s="57"/>
    </row>
    <row r="618" ht="12.75" customHeight="1">
      <c r="B618" s="57"/>
    </row>
    <row r="619" ht="12.75" customHeight="1">
      <c r="B619" s="57"/>
    </row>
    <row r="620" ht="12.75" customHeight="1">
      <c r="B620" s="57"/>
    </row>
    <row r="621" ht="12.75" customHeight="1">
      <c r="B621" s="57"/>
    </row>
    <row r="622" ht="12.75" customHeight="1">
      <c r="B622" s="57"/>
    </row>
    <row r="623" ht="12.75" customHeight="1">
      <c r="B623" s="57"/>
    </row>
    <row r="624" ht="12.75" customHeight="1">
      <c r="B624" s="57"/>
    </row>
    <row r="625" ht="12.75" customHeight="1">
      <c r="B625" s="57"/>
    </row>
    <row r="626" ht="12.75" customHeight="1">
      <c r="B626" s="57"/>
    </row>
    <row r="627" ht="12.75" customHeight="1">
      <c r="B627" s="57"/>
    </row>
    <row r="628" ht="12.75" customHeight="1">
      <c r="B628" s="57"/>
    </row>
    <row r="629" ht="12.75" customHeight="1">
      <c r="B629" s="57"/>
    </row>
    <row r="630" ht="12.75" customHeight="1">
      <c r="B630" s="57"/>
    </row>
    <row r="631" ht="12.75" customHeight="1">
      <c r="B631" s="57"/>
    </row>
    <row r="632" ht="12.75" customHeight="1">
      <c r="B632" s="57"/>
    </row>
    <row r="633" ht="12.75" customHeight="1">
      <c r="B633" s="57"/>
    </row>
    <row r="634" ht="12.75" customHeight="1">
      <c r="B634" s="57"/>
    </row>
    <row r="635" ht="12.75" customHeight="1">
      <c r="B635" s="57"/>
    </row>
    <row r="636" ht="12.75" customHeight="1">
      <c r="B636" s="57"/>
    </row>
    <row r="637" ht="12.75" customHeight="1">
      <c r="B637" s="57"/>
    </row>
    <row r="638" ht="12.75" customHeight="1">
      <c r="B638" s="57"/>
    </row>
    <row r="639" ht="12.75" customHeight="1">
      <c r="B639" s="57"/>
    </row>
    <row r="640" ht="12.75" customHeight="1">
      <c r="B640" s="57"/>
    </row>
    <row r="641" ht="12.75" customHeight="1">
      <c r="B641" s="57"/>
    </row>
    <row r="642" ht="12.75" customHeight="1">
      <c r="B642" s="57"/>
    </row>
    <row r="643" ht="12.75" customHeight="1">
      <c r="B643" s="57"/>
    </row>
    <row r="644" ht="12.75" customHeight="1">
      <c r="B644" s="57"/>
    </row>
    <row r="645" ht="12.75" customHeight="1">
      <c r="B645" s="57"/>
    </row>
    <row r="646" ht="12.75" customHeight="1">
      <c r="B646" s="57"/>
    </row>
    <row r="647" ht="12.75" customHeight="1">
      <c r="B647" s="57"/>
    </row>
    <row r="648" ht="12.75" customHeight="1">
      <c r="B648" s="57"/>
    </row>
    <row r="649" ht="12.75" customHeight="1">
      <c r="B649" s="57"/>
    </row>
    <row r="650" ht="12.75" customHeight="1">
      <c r="B650" s="57"/>
    </row>
    <row r="651" ht="12.75" customHeight="1">
      <c r="B651" s="57"/>
    </row>
    <row r="652" ht="12.75" customHeight="1">
      <c r="B652" s="57"/>
    </row>
    <row r="653" ht="12.75" customHeight="1">
      <c r="B653" s="57"/>
    </row>
    <row r="654" ht="12.75" customHeight="1">
      <c r="B654" s="57"/>
    </row>
    <row r="655" ht="12.75" customHeight="1">
      <c r="B655" s="57"/>
    </row>
    <row r="656" ht="12.75" customHeight="1">
      <c r="B656" s="57"/>
    </row>
    <row r="657" ht="12.75" customHeight="1">
      <c r="B657" s="57"/>
    </row>
    <row r="658" ht="12.75" customHeight="1">
      <c r="B658" s="57"/>
    </row>
    <row r="659" ht="12.75" customHeight="1">
      <c r="B659" s="57"/>
    </row>
    <row r="660" ht="12.75" customHeight="1">
      <c r="B660" s="57"/>
    </row>
    <row r="661" ht="12.75" customHeight="1">
      <c r="B661" s="57"/>
    </row>
    <row r="662" ht="12.75" customHeight="1">
      <c r="B662" s="57"/>
    </row>
    <row r="663" ht="12.75" customHeight="1">
      <c r="B663" s="57"/>
    </row>
    <row r="664" ht="12.75" customHeight="1">
      <c r="B664" s="57"/>
    </row>
    <row r="665" ht="12.75" customHeight="1">
      <c r="B665" s="57"/>
    </row>
    <row r="666" ht="12.75" customHeight="1">
      <c r="B666" s="57"/>
    </row>
    <row r="667" ht="12.75" customHeight="1">
      <c r="B667" s="57"/>
    </row>
    <row r="668" ht="12.75" customHeight="1">
      <c r="B668" s="57"/>
    </row>
    <row r="669" ht="12.75" customHeight="1">
      <c r="B669" s="57"/>
    </row>
    <row r="670" ht="12.75" customHeight="1">
      <c r="B670" s="57"/>
    </row>
    <row r="671" ht="12.75" customHeight="1">
      <c r="B671" s="57"/>
    </row>
    <row r="672" ht="12.75" customHeight="1">
      <c r="B672" s="57"/>
    </row>
    <row r="673" ht="12.75" customHeight="1">
      <c r="B673" s="57"/>
    </row>
    <row r="674" ht="12.75" customHeight="1">
      <c r="B674" s="57"/>
    </row>
    <row r="675" ht="12.75" customHeight="1">
      <c r="B675" s="57"/>
    </row>
    <row r="676" ht="12.75" customHeight="1">
      <c r="B676" s="57"/>
    </row>
    <row r="677" ht="12.75" customHeight="1">
      <c r="B677" s="57"/>
    </row>
    <row r="678" ht="12.75" customHeight="1">
      <c r="B678" s="57"/>
    </row>
    <row r="679" ht="12.75" customHeight="1">
      <c r="B679" s="57"/>
    </row>
    <row r="680" ht="12.75" customHeight="1">
      <c r="B680" s="57"/>
    </row>
    <row r="681" ht="12.75" customHeight="1">
      <c r="B681" s="57"/>
    </row>
    <row r="682" ht="12.75" customHeight="1">
      <c r="B682" s="57"/>
    </row>
    <row r="683" ht="12.75" customHeight="1">
      <c r="B683" s="57"/>
    </row>
    <row r="684" ht="12.75" customHeight="1">
      <c r="B684" s="57"/>
    </row>
    <row r="685" ht="12.75" customHeight="1">
      <c r="B685" s="57"/>
    </row>
    <row r="686" ht="12.75" customHeight="1">
      <c r="B686" s="57"/>
    </row>
    <row r="687" ht="12.75" customHeight="1">
      <c r="B687" s="57"/>
    </row>
    <row r="688" ht="12.75" customHeight="1">
      <c r="B688" s="57"/>
    </row>
    <row r="689" ht="12.75" customHeight="1">
      <c r="B689" s="57"/>
    </row>
    <row r="690" ht="12.75" customHeight="1">
      <c r="B690" s="57"/>
    </row>
    <row r="691" ht="12.75" customHeight="1">
      <c r="B691" s="57"/>
    </row>
    <row r="692" ht="12.75" customHeight="1">
      <c r="B692" s="57"/>
    </row>
    <row r="693" ht="12.75" customHeight="1">
      <c r="B693" s="57"/>
    </row>
    <row r="694" ht="12.75" customHeight="1">
      <c r="B694" s="57"/>
    </row>
    <row r="695" ht="12.75" customHeight="1">
      <c r="B695" s="57"/>
    </row>
    <row r="696" ht="12.75" customHeight="1">
      <c r="B696" s="57"/>
    </row>
    <row r="697" ht="12.75" customHeight="1">
      <c r="B697" s="57"/>
    </row>
    <row r="698" ht="12.75" customHeight="1">
      <c r="B698" s="57"/>
    </row>
    <row r="699" ht="12.75" customHeight="1">
      <c r="B699" s="57"/>
    </row>
    <row r="700" ht="12.75" customHeight="1">
      <c r="B700" s="57"/>
    </row>
    <row r="701" ht="12.75" customHeight="1">
      <c r="B701" s="57"/>
    </row>
    <row r="702" ht="12.75" customHeight="1">
      <c r="B702" s="57"/>
    </row>
    <row r="703" ht="12.75" customHeight="1">
      <c r="B703" s="57"/>
    </row>
    <row r="704" ht="12.75" customHeight="1">
      <c r="B704" s="57"/>
    </row>
    <row r="705" ht="12.75" customHeight="1">
      <c r="B705" s="57"/>
    </row>
    <row r="706" ht="12.75" customHeight="1">
      <c r="B706" s="57"/>
    </row>
    <row r="707" ht="12.75" customHeight="1">
      <c r="B707" s="57"/>
    </row>
    <row r="708" ht="12.75" customHeight="1">
      <c r="B708" s="57"/>
    </row>
    <row r="709" ht="12.75" customHeight="1">
      <c r="B709" s="57"/>
    </row>
    <row r="710" ht="12.75" customHeight="1">
      <c r="B710" s="57"/>
    </row>
    <row r="711" ht="12.75" customHeight="1">
      <c r="B711" s="57"/>
    </row>
    <row r="712" ht="12.75" customHeight="1">
      <c r="B712" s="57"/>
    </row>
    <row r="713" ht="12.75" customHeight="1">
      <c r="B713" s="57"/>
    </row>
    <row r="714" ht="12.75" customHeight="1">
      <c r="B714" s="57"/>
    </row>
    <row r="715" ht="12.75" customHeight="1">
      <c r="B715" s="57"/>
    </row>
    <row r="716" ht="12.75" customHeight="1">
      <c r="B716" s="57"/>
    </row>
    <row r="717" ht="12.75" customHeight="1">
      <c r="B717" s="57"/>
    </row>
    <row r="718" ht="12.75" customHeight="1">
      <c r="B718" s="57"/>
    </row>
    <row r="719" ht="12.75" customHeight="1">
      <c r="B719" s="57"/>
    </row>
    <row r="720" ht="12.75" customHeight="1">
      <c r="B720" s="57"/>
    </row>
    <row r="721" ht="12.75" customHeight="1">
      <c r="B721" s="57"/>
    </row>
    <row r="722" ht="12.75" customHeight="1">
      <c r="B722" s="57"/>
    </row>
    <row r="723" ht="12.75" customHeight="1">
      <c r="B723" s="57"/>
    </row>
    <row r="724" ht="12.75" customHeight="1">
      <c r="B724" s="57"/>
    </row>
    <row r="725" ht="12.75" customHeight="1">
      <c r="B725" s="57"/>
    </row>
    <row r="726" ht="12.75" customHeight="1">
      <c r="B726" s="57"/>
    </row>
    <row r="727" ht="12.75" customHeight="1">
      <c r="B727" s="57"/>
    </row>
    <row r="728" ht="12.75" customHeight="1">
      <c r="B728" s="57"/>
    </row>
    <row r="729" ht="12.75" customHeight="1">
      <c r="B729" s="57"/>
    </row>
    <row r="730" ht="12.75" customHeight="1">
      <c r="B730" s="57"/>
    </row>
    <row r="731" ht="12.75" customHeight="1">
      <c r="B731" s="57"/>
    </row>
    <row r="732" ht="12.75" customHeight="1">
      <c r="B732" s="57"/>
    </row>
    <row r="733" ht="12.75" customHeight="1">
      <c r="B733" s="57"/>
    </row>
    <row r="734" ht="12.75" customHeight="1">
      <c r="B734" s="57"/>
    </row>
    <row r="735" ht="12.75" customHeight="1">
      <c r="B735" s="57"/>
    </row>
    <row r="736" ht="12.75" customHeight="1">
      <c r="B736" s="57"/>
    </row>
    <row r="737" ht="12.75" customHeight="1">
      <c r="B737" s="57"/>
    </row>
    <row r="738" ht="12.75" customHeight="1">
      <c r="B738" s="57"/>
    </row>
    <row r="739" ht="12.75" customHeight="1">
      <c r="B739" s="57"/>
    </row>
    <row r="740" ht="12.75" customHeight="1">
      <c r="B740" s="57"/>
    </row>
    <row r="741" ht="12.75" customHeight="1">
      <c r="B741" s="57"/>
    </row>
    <row r="742" ht="12.75" customHeight="1">
      <c r="B742" s="57"/>
    </row>
    <row r="743" ht="12.75" customHeight="1">
      <c r="B743" s="57"/>
    </row>
    <row r="744" ht="12.75" customHeight="1">
      <c r="B744" s="57"/>
    </row>
    <row r="745" ht="12.75" customHeight="1">
      <c r="B745" s="57"/>
    </row>
    <row r="746" ht="12.75" customHeight="1">
      <c r="B746" s="57"/>
    </row>
    <row r="747" ht="12.75" customHeight="1">
      <c r="B747" s="57"/>
    </row>
    <row r="748" ht="12.75" customHeight="1">
      <c r="B748" s="57"/>
    </row>
    <row r="749" ht="12.75" customHeight="1">
      <c r="B749" s="57"/>
    </row>
    <row r="750" ht="12.75" customHeight="1">
      <c r="B750" s="57"/>
    </row>
    <row r="751" ht="12.75" customHeight="1">
      <c r="B751" s="57"/>
    </row>
    <row r="752" ht="12.75" customHeight="1">
      <c r="B752" s="57"/>
    </row>
    <row r="753" ht="12.75" customHeight="1">
      <c r="B753" s="57"/>
    </row>
    <row r="754" ht="12.75" customHeight="1">
      <c r="B754" s="57"/>
    </row>
    <row r="755" ht="12.75" customHeight="1">
      <c r="B755" s="57"/>
    </row>
    <row r="756" ht="12.75" customHeight="1">
      <c r="B756" s="57"/>
    </row>
    <row r="757" ht="12.75" customHeight="1">
      <c r="B757" s="57"/>
    </row>
    <row r="758" ht="12.75" customHeight="1">
      <c r="B758" s="57"/>
    </row>
    <row r="759" ht="12.75" customHeight="1">
      <c r="B759" s="57"/>
    </row>
    <row r="760" ht="12.75" customHeight="1">
      <c r="B760" s="57"/>
    </row>
    <row r="761" ht="12.75" customHeight="1">
      <c r="B761" s="57"/>
    </row>
    <row r="762" ht="12.75" customHeight="1">
      <c r="B762" s="57"/>
    </row>
    <row r="763" ht="12.75" customHeight="1">
      <c r="B763" s="57"/>
    </row>
    <row r="764" ht="12.75" customHeight="1">
      <c r="B764" s="57"/>
    </row>
    <row r="765" ht="12.75" customHeight="1">
      <c r="B765" s="57"/>
    </row>
    <row r="766" ht="12.75" customHeight="1">
      <c r="B766" s="57"/>
    </row>
    <row r="767" ht="12.75" customHeight="1">
      <c r="B767" s="57"/>
    </row>
    <row r="768" ht="12.75" customHeight="1">
      <c r="B768" s="57"/>
    </row>
    <row r="769" ht="12.75" customHeight="1">
      <c r="B769" s="57"/>
    </row>
    <row r="770" ht="12.75" customHeight="1">
      <c r="B770" s="57"/>
    </row>
    <row r="771" ht="12.75" customHeight="1">
      <c r="B771" s="57"/>
    </row>
    <row r="772" ht="12.75" customHeight="1">
      <c r="B772" s="57"/>
    </row>
    <row r="773" ht="12.75" customHeight="1">
      <c r="B773" s="57"/>
    </row>
    <row r="774" ht="12.75" customHeight="1">
      <c r="B774" s="57"/>
    </row>
    <row r="775" ht="12.75" customHeight="1">
      <c r="B775" s="57"/>
    </row>
    <row r="776" ht="12.75" customHeight="1">
      <c r="B776" s="57"/>
    </row>
    <row r="777" ht="12.75" customHeight="1">
      <c r="B777" s="57"/>
    </row>
    <row r="778" ht="12.75" customHeight="1">
      <c r="B778" s="57"/>
    </row>
    <row r="779" ht="12.75" customHeight="1">
      <c r="B779" s="57"/>
    </row>
    <row r="780" ht="12.75" customHeight="1">
      <c r="B780" s="57"/>
    </row>
    <row r="781" ht="12.75" customHeight="1">
      <c r="B781" s="57"/>
    </row>
    <row r="782" ht="12.75" customHeight="1">
      <c r="B782" s="57"/>
    </row>
    <row r="783" ht="12.75" customHeight="1">
      <c r="B783" s="57"/>
    </row>
    <row r="784" ht="12.75" customHeight="1">
      <c r="B784" s="57"/>
    </row>
    <row r="785" ht="12.75" customHeight="1">
      <c r="B785" s="57"/>
    </row>
    <row r="786" ht="12.75" customHeight="1">
      <c r="B786" s="57"/>
    </row>
    <row r="787" ht="12.75" customHeight="1">
      <c r="B787" s="57"/>
    </row>
    <row r="788" ht="12.75" customHeight="1">
      <c r="B788" s="57"/>
    </row>
    <row r="789" ht="12.75" customHeight="1">
      <c r="B789" s="57"/>
    </row>
    <row r="790" ht="12.75" customHeight="1">
      <c r="B790" s="57"/>
    </row>
    <row r="791" ht="12.75" customHeight="1">
      <c r="B791" s="57"/>
    </row>
    <row r="792" ht="12.75" customHeight="1">
      <c r="B792" s="57"/>
    </row>
    <row r="793" ht="12.75" customHeight="1">
      <c r="B793" s="57"/>
    </row>
    <row r="794" ht="12.75" customHeight="1">
      <c r="B794" s="57"/>
    </row>
    <row r="795" ht="12.75" customHeight="1">
      <c r="B795" s="57"/>
    </row>
    <row r="796" ht="12.75" customHeight="1">
      <c r="B796" s="57"/>
    </row>
    <row r="797" ht="12.75" customHeight="1">
      <c r="B797" s="57"/>
    </row>
    <row r="798" ht="12.75" customHeight="1">
      <c r="B798" s="57"/>
    </row>
    <row r="799" ht="12.75" customHeight="1">
      <c r="B799" s="57"/>
    </row>
    <row r="800" ht="12.75" customHeight="1">
      <c r="B800" s="57"/>
    </row>
    <row r="801" ht="12.75" customHeight="1">
      <c r="B801" s="57"/>
    </row>
    <row r="802" ht="12.75" customHeight="1">
      <c r="B802" s="57"/>
    </row>
    <row r="803" ht="12.75" customHeight="1">
      <c r="B803" s="57"/>
    </row>
    <row r="804" ht="12.75" customHeight="1">
      <c r="B804" s="57"/>
    </row>
    <row r="805" ht="12.75" customHeight="1">
      <c r="B805" s="57"/>
    </row>
    <row r="806" ht="12.75" customHeight="1">
      <c r="B806" s="57"/>
    </row>
    <row r="807" ht="12.75" customHeight="1">
      <c r="B807" s="57"/>
    </row>
    <row r="808" ht="12.75" customHeight="1">
      <c r="B808" s="57"/>
    </row>
    <row r="809" ht="12.75" customHeight="1">
      <c r="B809" s="57"/>
    </row>
    <row r="810" ht="12.75" customHeight="1">
      <c r="B810" s="57"/>
    </row>
    <row r="811" ht="12.75" customHeight="1">
      <c r="B811" s="57"/>
    </row>
    <row r="812" ht="12.75" customHeight="1">
      <c r="B812" s="57"/>
    </row>
    <row r="813" ht="12.75" customHeight="1">
      <c r="B813" s="57"/>
    </row>
    <row r="814" ht="12.75" customHeight="1">
      <c r="B814" s="57"/>
    </row>
    <row r="815" ht="12.75" customHeight="1">
      <c r="B815" s="57"/>
    </row>
    <row r="816" ht="12.75" customHeight="1">
      <c r="B816" s="57"/>
    </row>
    <row r="817" ht="12.75" customHeight="1">
      <c r="B817" s="57"/>
    </row>
    <row r="818" ht="12.75" customHeight="1">
      <c r="B818" s="57"/>
    </row>
    <row r="819" ht="12.75" customHeight="1">
      <c r="B819" s="57"/>
    </row>
    <row r="820" ht="12.75" customHeight="1">
      <c r="B820" s="57"/>
    </row>
    <row r="821" ht="12.75" customHeight="1">
      <c r="B821" s="57"/>
    </row>
    <row r="822" ht="12.75" customHeight="1">
      <c r="B822" s="57"/>
    </row>
    <row r="823" ht="12.75" customHeight="1">
      <c r="B823" s="57"/>
    </row>
    <row r="824" ht="12.75" customHeight="1">
      <c r="B824" s="57"/>
    </row>
    <row r="825" ht="12.75" customHeight="1">
      <c r="B825" s="57"/>
    </row>
    <row r="826" ht="12.75" customHeight="1">
      <c r="B826" s="57"/>
    </row>
    <row r="827" ht="12.75" customHeight="1">
      <c r="B827" s="57"/>
    </row>
    <row r="828" ht="12.75" customHeight="1">
      <c r="B828" s="57"/>
    </row>
    <row r="829" ht="12.75" customHeight="1">
      <c r="B829" s="57"/>
    </row>
    <row r="830" ht="12.75" customHeight="1">
      <c r="B830" s="57"/>
    </row>
    <row r="831" ht="12.75" customHeight="1">
      <c r="B831" s="57"/>
    </row>
    <row r="832" ht="12.75" customHeight="1">
      <c r="B832" s="57"/>
    </row>
    <row r="833" ht="12.75" customHeight="1">
      <c r="B833" s="57"/>
    </row>
    <row r="834" ht="12.75" customHeight="1">
      <c r="B834" s="57"/>
    </row>
    <row r="835" ht="12.75" customHeight="1">
      <c r="B835" s="57"/>
    </row>
    <row r="836" ht="12.75" customHeight="1">
      <c r="B836" s="57"/>
    </row>
    <row r="837" ht="12.75" customHeight="1">
      <c r="B837" s="57"/>
    </row>
    <row r="838" ht="12.75" customHeight="1">
      <c r="B838" s="57"/>
    </row>
    <row r="839" ht="12.75" customHeight="1">
      <c r="B839" s="57"/>
    </row>
    <row r="840" ht="12.75" customHeight="1">
      <c r="B840" s="57"/>
    </row>
    <row r="841" ht="12.75" customHeight="1">
      <c r="B841" s="57"/>
    </row>
    <row r="842" ht="12.75" customHeight="1">
      <c r="B842" s="57"/>
    </row>
    <row r="843" ht="12.75" customHeight="1">
      <c r="B843" s="57"/>
    </row>
    <row r="844" ht="12.75" customHeight="1">
      <c r="B844" s="57"/>
    </row>
    <row r="845" ht="12.75" customHeight="1">
      <c r="B845" s="57"/>
    </row>
    <row r="846" ht="12.75" customHeight="1">
      <c r="B846" s="57"/>
    </row>
    <row r="847" ht="12.75" customHeight="1">
      <c r="B847" s="57"/>
    </row>
    <row r="848" ht="12.75" customHeight="1">
      <c r="B848" s="57"/>
    </row>
    <row r="849" ht="12.75" customHeight="1">
      <c r="B849" s="57"/>
    </row>
    <row r="850" ht="12.75" customHeight="1">
      <c r="B850" s="57"/>
    </row>
    <row r="851" ht="12.75" customHeight="1">
      <c r="B851" s="57"/>
    </row>
    <row r="852" ht="12.75" customHeight="1">
      <c r="B852" s="57"/>
    </row>
    <row r="853" ht="12.75" customHeight="1">
      <c r="B853" s="57"/>
    </row>
    <row r="854" ht="12.75" customHeight="1">
      <c r="B854" s="57"/>
    </row>
    <row r="855" ht="12.75" customHeight="1">
      <c r="B855" s="57"/>
    </row>
    <row r="856" ht="12.75" customHeight="1">
      <c r="B856" s="57"/>
    </row>
    <row r="857" ht="12.75" customHeight="1">
      <c r="B857" s="57"/>
    </row>
    <row r="858" ht="12.75" customHeight="1">
      <c r="B858" s="57"/>
    </row>
    <row r="859" ht="12.75" customHeight="1">
      <c r="B859" s="57"/>
    </row>
    <row r="860" ht="12.75" customHeight="1">
      <c r="B860" s="57"/>
    </row>
    <row r="861" ht="12.75" customHeight="1">
      <c r="B861" s="57"/>
    </row>
    <row r="862" ht="12.75" customHeight="1">
      <c r="B862" s="57"/>
    </row>
    <row r="863" ht="12.75" customHeight="1">
      <c r="B863" s="57"/>
    </row>
    <row r="864" ht="12.75" customHeight="1">
      <c r="B864" s="57"/>
    </row>
    <row r="865" ht="12.75" customHeight="1">
      <c r="B865" s="57"/>
    </row>
    <row r="866" ht="12.75" customHeight="1">
      <c r="B866" s="57"/>
    </row>
    <row r="867" ht="12.75" customHeight="1">
      <c r="B867" s="57"/>
    </row>
    <row r="868" ht="12.75" customHeight="1">
      <c r="B868" s="57"/>
    </row>
    <row r="869" ht="12.75" customHeight="1">
      <c r="B869" s="57"/>
    </row>
    <row r="870" ht="12.75" customHeight="1">
      <c r="B870" s="57"/>
    </row>
    <row r="871" ht="12.75" customHeight="1">
      <c r="B871" s="57"/>
    </row>
    <row r="872" ht="12.75" customHeight="1">
      <c r="B872" s="57"/>
    </row>
    <row r="873" ht="12.75" customHeight="1">
      <c r="B873" s="57"/>
    </row>
    <row r="874" ht="12.75" customHeight="1">
      <c r="B874" s="57"/>
    </row>
    <row r="875" ht="12.75" customHeight="1">
      <c r="B875" s="57"/>
    </row>
    <row r="876" ht="12.75" customHeight="1">
      <c r="B876" s="57"/>
    </row>
    <row r="877" ht="12.75" customHeight="1">
      <c r="B877" s="57"/>
    </row>
    <row r="878" ht="12.75" customHeight="1">
      <c r="B878" s="57"/>
    </row>
    <row r="879" ht="12.75" customHeight="1">
      <c r="B879" s="57"/>
    </row>
    <row r="880" ht="12.75" customHeight="1">
      <c r="B880" s="57"/>
    </row>
    <row r="881" ht="12.75" customHeight="1">
      <c r="B881" s="57"/>
    </row>
    <row r="882" ht="12.75" customHeight="1">
      <c r="B882" s="57"/>
    </row>
    <row r="883" ht="12.75" customHeight="1">
      <c r="B883" s="57"/>
    </row>
    <row r="884" ht="12.75" customHeight="1">
      <c r="B884" s="57"/>
    </row>
    <row r="885" ht="12.75" customHeight="1">
      <c r="B885" s="57"/>
    </row>
    <row r="886" ht="12.75" customHeight="1">
      <c r="B886" s="57"/>
    </row>
    <row r="887" ht="12.75" customHeight="1">
      <c r="B887" s="57"/>
    </row>
    <row r="888" ht="12.75" customHeight="1">
      <c r="B888" s="57"/>
    </row>
    <row r="889" ht="12.75" customHeight="1">
      <c r="B889" s="57"/>
    </row>
    <row r="890" ht="12.75" customHeight="1">
      <c r="B890" s="57"/>
    </row>
    <row r="891" ht="12.75" customHeight="1">
      <c r="B891" s="57"/>
    </row>
    <row r="892" ht="12.75" customHeight="1">
      <c r="B892" s="57"/>
    </row>
    <row r="893" ht="12.75" customHeight="1">
      <c r="B893" s="57"/>
    </row>
    <row r="894" ht="12.75" customHeight="1">
      <c r="B894" s="57"/>
    </row>
    <row r="895" ht="12.75" customHeight="1">
      <c r="B895" s="57"/>
    </row>
    <row r="896" ht="12.75" customHeight="1">
      <c r="B896" s="57"/>
    </row>
    <row r="897" ht="12.75" customHeight="1">
      <c r="B897" s="57"/>
    </row>
    <row r="898" ht="12.75" customHeight="1">
      <c r="B898" s="57"/>
    </row>
    <row r="899" ht="12.75" customHeight="1">
      <c r="B899" s="57"/>
    </row>
    <row r="900" ht="12.75" customHeight="1">
      <c r="B900" s="57"/>
    </row>
    <row r="901" ht="12.75" customHeight="1">
      <c r="B901" s="57"/>
    </row>
    <row r="902" ht="12.75" customHeight="1">
      <c r="B902" s="57"/>
    </row>
    <row r="903" ht="12.75" customHeight="1">
      <c r="B903" s="57"/>
    </row>
    <row r="904" ht="12.75" customHeight="1">
      <c r="B904" s="57"/>
    </row>
    <row r="905" ht="12.75" customHeight="1">
      <c r="B905" s="57"/>
    </row>
    <row r="906" ht="12.75" customHeight="1">
      <c r="B906" s="57"/>
    </row>
    <row r="907" ht="12.75" customHeight="1">
      <c r="B907" s="57"/>
    </row>
    <row r="908" ht="12.75" customHeight="1">
      <c r="B908" s="57"/>
    </row>
    <row r="909" ht="12.75" customHeight="1">
      <c r="B909" s="57"/>
    </row>
    <row r="910" ht="12.75" customHeight="1">
      <c r="B910" s="57"/>
    </row>
    <row r="911" ht="12.75" customHeight="1">
      <c r="B911" s="57"/>
    </row>
    <row r="912" ht="12.75" customHeight="1">
      <c r="B912" s="57"/>
    </row>
    <row r="913" ht="12.75" customHeight="1">
      <c r="B913" s="57"/>
    </row>
    <row r="914" ht="12.75" customHeight="1">
      <c r="B914" s="57"/>
    </row>
    <row r="915" ht="12.75" customHeight="1">
      <c r="B915" s="57"/>
    </row>
    <row r="916" ht="12.75" customHeight="1">
      <c r="B916" s="57"/>
    </row>
    <row r="917" ht="12.75" customHeight="1">
      <c r="B917" s="57"/>
    </row>
    <row r="918" ht="12.75" customHeight="1">
      <c r="B918" s="57"/>
    </row>
    <row r="919" ht="12.75" customHeight="1">
      <c r="B919" s="57"/>
    </row>
    <row r="920" ht="12.75" customHeight="1">
      <c r="B920" s="57"/>
    </row>
    <row r="921" ht="12.75" customHeight="1">
      <c r="B921" s="57"/>
    </row>
    <row r="922" ht="12.75" customHeight="1">
      <c r="B922" s="57"/>
    </row>
    <row r="923" ht="12.75" customHeight="1">
      <c r="B923" s="57"/>
    </row>
    <row r="924" ht="12.75" customHeight="1">
      <c r="B924" s="57"/>
    </row>
    <row r="925" ht="12.75" customHeight="1">
      <c r="B925" s="57"/>
    </row>
    <row r="926" ht="12.75" customHeight="1">
      <c r="B926" s="57"/>
    </row>
    <row r="927" ht="12.75" customHeight="1">
      <c r="B927" s="57"/>
    </row>
    <row r="928" ht="12.75" customHeight="1">
      <c r="B928" s="57"/>
    </row>
    <row r="929" ht="12.75" customHeight="1">
      <c r="B929" s="57"/>
    </row>
    <row r="930" ht="12.75" customHeight="1">
      <c r="B930" s="57"/>
    </row>
    <row r="931" ht="12.75" customHeight="1">
      <c r="B931" s="57"/>
    </row>
    <row r="932" ht="12.75" customHeight="1">
      <c r="B932" s="57"/>
    </row>
    <row r="933" ht="12.75" customHeight="1">
      <c r="B933" s="57"/>
    </row>
    <row r="934" ht="12.75" customHeight="1">
      <c r="B934" s="57"/>
    </row>
    <row r="935" ht="12.75" customHeight="1">
      <c r="B935" s="57"/>
    </row>
    <row r="936" ht="12.75" customHeight="1">
      <c r="B936" s="57"/>
    </row>
    <row r="937" ht="12.75" customHeight="1">
      <c r="B937" s="57"/>
    </row>
    <row r="938" ht="12.75" customHeight="1">
      <c r="B938" s="57"/>
    </row>
    <row r="939" ht="12.75" customHeight="1">
      <c r="B939" s="57"/>
    </row>
    <row r="940" ht="12.75" customHeight="1">
      <c r="B940" s="57"/>
    </row>
    <row r="941" ht="12.75" customHeight="1">
      <c r="B941" s="57"/>
    </row>
    <row r="942" ht="12.75" customHeight="1">
      <c r="B942" s="57"/>
    </row>
    <row r="943" ht="12.75" customHeight="1">
      <c r="B943" s="57"/>
    </row>
    <row r="944" ht="12.75" customHeight="1">
      <c r="B944" s="57"/>
    </row>
    <row r="945" ht="12.75" customHeight="1">
      <c r="B945" s="57"/>
    </row>
    <row r="946" ht="12.75" customHeight="1">
      <c r="B946" s="57"/>
    </row>
    <row r="947" ht="12.75" customHeight="1">
      <c r="B947" s="57"/>
    </row>
    <row r="948" ht="12.75" customHeight="1">
      <c r="B948" s="57"/>
    </row>
    <row r="949" ht="12.75" customHeight="1">
      <c r="B949" s="57"/>
    </row>
    <row r="950" ht="12.75" customHeight="1">
      <c r="B950" s="57"/>
    </row>
    <row r="951" ht="12.75" customHeight="1">
      <c r="B951" s="57"/>
    </row>
    <row r="952" ht="12.75" customHeight="1">
      <c r="B952" s="57"/>
    </row>
    <row r="953" ht="12.75" customHeight="1">
      <c r="B953" s="57"/>
    </row>
    <row r="954" ht="12.75" customHeight="1">
      <c r="B954" s="57"/>
    </row>
    <row r="955" ht="12.75" customHeight="1">
      <c r="B955" s="57"/>
    </row>
    <row r="956" ht="12.75" customHeight="1">
      <c r="B956" s="57"/>
    </row>
    <row r="957" ht="12.75" customHeight="1">
      <c r="B957" s="57"/>
    </row>
    <row r="958" ht="12.75" customHeight="1">
      <c r="B958" s="57"/>
    </row>
    <row r="959" ht="12.75" customHeight="1">
      <c r="B959" s="57"/>
    </row>
    <row r="960" ht="12.75" customHeight="1">
      <c r="B960" s="57"/>
    </row>
    <row r="961" ht="12.75" customHeight="1">
      <c r="B961" s="57"/>
    </row>
    <row r="962" ht="12.75" customHeight="1">
      <c r="B962" s="57"/>
    </row>
    <row r="963" ht="12.75" customHeight="1">
      <c r="B963" s="57"/>
    </row>
    <row r="964" ht="12.75" customHeight="1">
      <c r="B964" s="57"/>
    </row>
    <row r="965" ht="12.75" customHeight="1">
      <c r="B965" s="57"/>
    </row>
    <row r="966" ht="12.75" customHeight="1">
      <c r="B966" s="57"/>
    </row>
    <row r="967" ht="12.75" customHeight="1">
      <c r="B967" s="57"/>
    </row>
    <row r="968" ht="12.75" customHeight="1">
      <c r="B968" s="57"/>
    </row>
    <row r="969" ht="12.75" customHeight="1">
      <c r="B969" s="57"/>
    </row>
    <row r="970" ht="12.75" customHeight="1">
      <c r="B970" s="57"/>
    </row>
    <row r="971" ht="12.75" customHeight="1">
      <c r="B971" s="57"/>
    </row>
    <row r="972" ht="12.75" customHeight="1">
      <c r="B972" s="57"/>
    </row>
    <row r="973" ht="12.75" customHeight="1">
      <c r="B973" s="57"/>
    </row>
    <row r="974" ht="12.75" customHeight="1">
      <c r="B974" s="57"/>
    </row>
    <row r="975" ht="12.75" customHeight="1">
      <c r="B975" s="57"/>
    </row>
    <row r="976" ht="12.75" customHeight="1">
      <c r="B976" s="57"/>
    </row>
    <row r="977" ht="12.75" customHeight="1">
      <c r="B977" s="57"/>
    </row>
    <row r="978" ht="12.75" customHeight="1">
      <c r="B978" s="57"/>
    </row>
    <row r="979" ht="12.75" customHeight="1">
      <c r="B979" s="57"/>
    </row>
    <row r="980" ht="12.75" customHeight="1">
      <c r="B980" s="57"/>
    </row>
    <row r="981" ht="12.75" customHeight="1">
      <c r="B981" s="57"/>
    </row>
    <row r="982" ht="12.75" customHeight="1">
      <c r="B982" s="57"/>
    </row>
    <row r="983" ht="12.75" customHeight="1">
      <c r="B983" s="57"/>
    </row>
    <row r="984" ht="12.75" customHeight="1">
      <c r="B984" s="57"/>
    </row>
    <row r="985" ht="12.75" customHeight="1">
      <c r="B985" s="57"/>
    </row>
    <row r="986" ht="12.75" customHeight="1">
      <c r="B986" s="57"/>
    </row>
    <row r="987" ht="12.75" customHeight="1">
      <c r="B987" s="57"/>
    </row>
    <row r="988" ht="12.75" customHeight="1">
      <c r="B988" s="57"/>
    </row>
    <row r="989" ht="12.75" customHeight="1">
      <c r="B989" s="57"/>
    </row>
    <row r="990" ht="12.75" customHeight="1">
      <c r="B990" s="57"/>
    </row>
    <row r="991" ht="12.75" customHeight="1">
      <c r="B991" s="57"/>
    </row>
    <row r="992" ht="12.75" customHeight="1">
      <c r="B992" s="57"/>
    </row>
    <row r="993" ht="12.75" customHeight="1">
      <c r="B993" s="57"/>
    </row>
    <row r="994" ht="12.75" customHeight="1">
      <c r="B994" s="57"/>
    </row>
    <row r="995" ht="12.75" customHeight="1">
      <c r="B995" s="57"/>
    </row>
    <row r="996" ht="12.75" customHeight="1">
      <c r="B996" s="57"/>
    </row>
    <row r="997" ht="12.75" customHeight="1">
      <c r="B997" s="57"/>
    </row>
    <row r="998" ht="12.75" customHeight="1">
      <c r="B998" s="57"/>
    </row>
    <row r="999" ht="12.75" customHeight="1">
      <c r="B999" s="57"/>
    </row>
    <row r="1000" ht="12.75" customHeight="1">
      <c r="B1000" s="57"/>
    </row>
  </sheetData>
  <mergeCells count="3">
    <mergeCell ref="A1:F1"/>
    <mergeCell ref="A3:F3"/>
    <mergeCell ref="A8:F8"/>
  </mergeCells>
  <printOptions/>
  <pageMargins bottom="0.1968503937007874" footer="0.0" header="0.0" left="0.7480314960629921" right="0.7480314960629921" top="0.3937007874015748"/>
  <pageSetup paperSize="5"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13"/>
    <col customWidth="1" hidden="1" min="2" max="2" width="6.63"/>
    <col customWidth="1" hidden="1" min="3" max="3" width="18.88"/>
    <col customWidth="1" hidden="1" min="4" max="4" width="12.75"/>
    <col customWidth="1" hidden="1" min="5" max="5" width="11.75"/>
    <col customWidth="1" hidden="1" min="6" max="6" width="12.75"/>
    <col customWidth="1" hidden="1" min="7" max="7" width="13.75"/>
    <col customWidth="1" hidden="1" min="8" max="8" width="6.63"/>
    <col customWidth="1" hidden="1" min="9" max="9" width="18.88"/>
    <col customWidth="1" hidden="1" min="10" max="10" width="12.75"/>
    <col customWidth="1" hidden="1" min="11" max="11" width="10.13"/>
    <col customWidth="1" hidden="1" min="12" max="12" width="13.75"/>
    <col customWidth="1" hidden="1" min="13" max="13" width="6.63"/>
    <col customWidth="1" hidden="1" min="14" max="14" width="18.88"/>
    <col customWidth="1" hidden="1" min="15" max="15" width="12.75"/>
    <col customWidth="1" hidden="1" min="16" max="16" width="13.75"/>
    <col customWidth="1" hidden="1" min="17" max="17" width="6.63"/>
    <col customWidth="1" hidden="1" min="18" max="18" width="18.88"/>
    <col customWidth="1" hidden="1" min="19" max="19" width="12.75"/>
    <col customWidth="1" hidden="1" min="20" max="20" width="11.75"/>
    <col customWidth="1" hidden="1" min="21" max="21" width="13.75"/>
    <col customWidth="1" hidden="1" min="22" max="22" width="6.63"/>
    <col customWidth="1" hidden="1" min="23" max="23" width="18.88"/>
    <col customWidth="1" hidden="1" min="24" max="24" width="12.75"/>
    <col customWidth="1" hidden="1" min="25" max="25" width="11.75"/>
    <col customWidth="1" hidden="1" min="26" max="26" width="13.75"/>
    <col customWidth="1" hidden="1" min="27" max="27" width="6.63"/>
    <col customWidth="1" hidden="1" min="28" max="28" width="18.88"/>
    <col customWidth="1" hidden="1" min="29" max="30" width="13.75"/>
    <col customWidth="1" hidden="1" min="31" max="31" width="19.75"/>
    <col customWidth="1" hidden="1" min="32" max="32" width="13.75"/>
    <col customWidth="1" hidden="1" min="33" max="33" width="6.63"/>
    <col customWidth="1" hidden="1" min="34" max="34" width="18.88"/>
    <col customWidth="1" hidden="1" min="35" max="35" width="13.75"/>
    <col customWidth="1" hidden="1" min="36" max="36" width="11.75"/>
    <col customWidth="1" hidden="1" min="37" max="37" width="19.75"/>
    <col customWidth="1" hidden="1" min="38" max="38" width="13.75"/>
    <col customWidth="1" hidden="1" min="39" max="39" width="6.63"/>
    <col customWidth="1" hidden="1" min="40" max="40" width="18.88"/>
    <col customWidth="1" hidden="1" min="41" max="41" width="13.75"/>
    <col customWidth="1" hidden="1" min="42" max="42" width="11.75"/>
    <col customWidth="1" hidden="1" min="43" max="43" width="19.75"/>
    <col customWidth="1" hidden="1" min="44" max="44" width="13.75"/>
    <col customWidth="1" hidden="1" min="45" max="45" width="6.63"/>
    <col customWidth="1" hidden="1" min="46" max="46" width="18.88"/>
    <col customWidth="1" hidden="1" min="47" max="47" width="12.75"/>
    <col customWidth="1" hidden="1" min="48" max="48" width="10.13"/>
    <col customWidth="1" hidden="1" min="49" max="49" width="13.75"/>
    <col customWidth="1" hidden="1" min="50" max="50" width="6.63"/>
    <col customWidth="1" hidden="1" min="51" max="51" width="18.88"/>
    <col customWidth="1" hidden="1" min="52" max="52" width="12.75"/>
    <col customWidth="1" hidden="1" min="53" max="53" width="11.75"/>
    <col customWidth="1" hidden="1" min="54" max="54" width="13.75"/>
    <col customWidth="1" hidden="1" min="55" max="55" width="6.63"/>
    <col customWidth="1" hidden="1" min="56" max="56" width="18.88"/>
    <col customWidth="1" hidden="1" min="57" max="57" width="12.75"/>
    <col customWidth="1" hidden="1" min="58" max="58" width="14.63"/>
    <col customWidth="1" hidden="1" min="59" max="59" width="11.75"/>
    <col customWidth="1" hidden="1" min="60" max="60" width="13.75"/>
    <col customWidth="1" min="61" max="61" width="6.63"/>
    <col customWidth="1" min="62" max="62" width="18.88"/>
    <col customWidth="1" min="63" max="63" width="12.75"/>
    <col customWidth="1" min="64" max="64" width="14.63"/>
    <col customWidth="1" min="65" max="66" width="13.75"/>
    <col customWidth="1" min="67" max="67" width="10.63"/>
  </cols>
  <sheetData>
    <row r="1" ht="17.25" customHeight="1">
      <c r="A1" s="143" t="s">
        <v>391</v>
      </c>
    </row>
    <row r="2" ht="12.75" customHeight="1"/>
    <row r="3" ht="12.75" customHeight="1">
      <c r="A3" s="144"/>
      <c r="B3" s="145">
        <v>2024.0</v>
      </c>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60"/>
      <c r="BO3" s="146">
        <v>2025.0</v>
      </c>
    </row>
    <row r="4" ht="12.75" customHeight="1">
      <c r="A4" s="147" t="s">
        <v>392</v>
      </c>
      <c r="B4" s="148" t="s">
        <v>393</v>
      </c>
      <c r="C4" s="25"/>
      <c r="D4" s="25"/>
      <c r="E4" s="25"/>
      <c r="F4" s="25"/>
      <c r="G4" s="149"/>
      <c r="H4" s="148" t="s">
        <v>394</v>
      </c>
      <c r="I4" s="25"/>
      <c r="J4" s="25"/>
      <c r="K4" s="25"/>
      <c r="L4" s="149"/>
      <c r="M4" s="148" t="s">
        <v>395</v>
      </c>
      <c r="N4" s="25"/>
      <c r="O4" s="25"/>
      <c r="P4" s="149"/>
      <c r="Q4" s="148" t="s">
        <v>396</v>
      </c>
      <c r="R4" s="25"/>
      <c r="S4" s="25"/>
      <c r="T4" s="25"/>
      <c r="U4" s="149"/>
      <c r="V4" s="148" t="s">
        <v>397</v>
      </c>
      <c r="W4" s="25"/>
      <c r="X4" s="25"/>
      <c r="Y4" s="25"/>
      <c r="Z4" s="149"/>
      <c r="AA4" s="148" t="s">
        <v>398</v>
      </c>
      <c r="AB4" s="25"/>
      <c r="AC4" s="25"/>
      <c r="AD4" s="25"/>
      <c r="AE4" s="25"/>
      <c r="AF4" s="149"/>
      <c r="AG4" s="148" t="s">
        <v>399</v>
      </c>
      <c r="AH4" s="25"/>
      <c r="AI4" s="25"/>
      <c r="AJ4" s="25"/>
      <c r="AK4" s="25"/>
      <c r="AL4" s="149"/>
      <c r="AM4" s="148" t="s">
        <v>400</v>
      </c>
      <c r="AN4" s="25"/>
      <c r="AO4" s="25"/>
      <c r="AP4" s="25"/>
      <c r="AQ4" s="25"/>
      <c r="AR4" s="149"/>
      <c r="AS4" s="148" t="s">
        <v>401</v>
      </c>
      <c r="AT4" s="25"/>
      <c r="AU4" s="25"/>
      <c r="AV4" s="25"/>
      <c r="AW4" s="149"/>
      <c r="AX4" s="148" t="s">
        <v>402</v>
      </c>
      <c r="AY4" s="25"/>
      <c r="AZ4" s="25"/>
      <c r="BA4" s="25"/>
      <c r="BB4" s="149"/>
      <c r="BC4" s="148" t="s">
        <v>403</v>
      </c>
      <c r="BD4" s="25"/>
      <c r="BE4" s="25"/>
      <c r="BF4" s="25"/>
      <c r="BG4" s="25"/>
      <c r="BH4" s="149"/>
      <c r="BI4" s="148" t="s">
        <v>404</v>
      </c>
      <c r="BJ4" s="25"/>
      <c r="BK4" s="25"/>
      <c r="BL4" s="25"/>
      <c r="BM4" s="25"/>
      <c r="BN4" s="149"/>
    </row>
    <row r="5" ht="12.75" customHeight="1">
      <c r="A5" s="147" t="s">
        <v>405</v>
      </c>
      <c r="B5" s="150" t="s">
        <v>406</v>
      </c>
      <c r="C5" s="151" t="s">
        <v>407</v>
      </c>
      <c r="D5" s="152" t="s">
        <v>408</v>
      </c>
      <c r="E5" s="151" t="s">
        <v>409</v>
      </c>
      <c r="F5" s="151" t="s">
        <v>410</v>
      </c>
      <c r="G5" s="151" t="s">
        <v>305</v>
      </c>
      <c r="H5" s="150" t="s">
        <v>406</v>
      </c>
      <c r="I5" s="151" t="s">
        <v>407</v>
      </c>
      <c r="J5" s="152" t="s">
        <v>408</v>
      </c>
      <c r="K5" s="151" t="s">
        <v>409</v>
      </c>
      <c r="L5" s="151" t="s">
        <v>305</v>
      </c>
      <c r="M5" s="150" t="s">
        <v>406</v>
      </c>
      <c r="N5" s="151" t="s">
        <v>407</v>
      </c>
      <c r="O5" s="152" t="s">
        <v>408</v>
      </c>
      <c r="P5" s="151" t="s">
        <v>305</v>
      </c>
      <c r="Q5" s="150" t="s">
        <v>406</v>
      </c>
      <c r="R5" s="151" t="s">
        <v>407</v>
      </c>
      <c r="S5" s="152" t="s">
        <v>408</v>
      </c>
      <c r="T5" s="151" t="s">
        <v>409</v>
      </c>
      <c r="U5" s="151" t="s">
        <v>305</v>
      </c>
      <c r="V5" s="150" t="s">
        <v>406</v>
      </c>
      <c r="W5" s="151" t="s">
        <v>407</v>
      </c>
      <c r="X5" s="152" t="s">
        <v>408</v>
      </c>
      <c r="Y5" s="151" t="s">
        <v>409</v>
      </c>
      <c r="Z5" s="151" t="s">
        <v>305</v>
      </c>
      <c r="AA5" s="150" t="s">
        <v>406</v>
      </c>
      <c r="AB5" s="151" t="s">
        <v>407</v>
      </c>
      <c r="AC5" s="152" t="s">
        <v>408</v>
      </c>
      <c r="AD5" s="151" t="s">
        <v>409</v>
      </c>
      <c r="AE5" s="151" t="s">
        <v>411</v>
      </c>
      <c r="AF5" s="151" t="s">
        <v>305</v>
      </c>
      <c r="AG5" s="150" t="s">
        <v>406</v>
      </c>
      <c r="AH5" s="151" t="s">
        <v>407</v>
      </c>
      <c r="AI5" s="152" t="s">
        <v>408</v>
      </c>
      <c r="AJ5" s="151" t="s">
        <v>409</v>
      </c>
      <c r="AK5" s="151" t="s">
        <v>411</v>
      </c>
      <c r="AL5" s="151" t="s">
        <v>305</v>
      </c>
      <c r="AM5" s="150" t="s">
        <v>406</v>
      </c>
      <c r="AN5" s="151" t="s">
        <v>407</v>
      </c>
      <c r="AO5" s="152" t="s">
        <v>408</v>
      </c>
      <c r="AP5" s="151" t="s">
        <v>409</v>
      </c>
      <c r="AQ5" s="151" t="s">
        <v>411</v>
      </c>
      <c r="AR5" s="151" t="s">
        <v>305</v>
      </c>
      <c r="AS5" s="150" t="s">
        <v>406</v>
      </c>
      <c r="AT5" s="151" t="s">
        <v>407</v>
      </c>
      <c r="AU5" s="152" t="s">
        <v>408</v>
      </c>
      <c r="AV5" s="151" t="s">
        <v>409</v>
      </c>
      <c r="AW5" s="151" t="s">
        <v>305</v>
      </c>
      <c r="AX5" s="150" t="s">
        <v>406</v>
      </c>
      <c r="AY5" s="151" t="s">
        <v>407</v>
      </c>
      <c r="AZ5" s="152" t="s">
        <v>408</v>
      </c>
      <c r="BA5" s="151" t="s">
        <v>409</v>
      </c>
      <c r="BB5" s="151" t="s">
        <v>305</v>
      </c>
      <c r="BC5" s="150" t="s">
        <v>406</v>
      </c>
      <c r="BD5" s="151" t="s">
        <v>407</v>
      </c>
      <c r="BE5" s="152" t="s">
        <v>408</v>
      </c>
      <c r="BF5" s="151" t="s">
        <v>412</v>
      </c>
      <c r="BG5" s="151" t="s">
        <v>409</v>
      </c>
      <c r="BH5" s="151" t="s">
        <v>305</v>
      </c>
      <c r="BI5" s="150" t="s">
        <v>406</v>
      </c>
      <c r="BJ5" s="152" t="s">
        <v>407</v>
      </c>
      <c r="BK5" s="152" t="s">
        <v>408</v>
      </c>
      <c r="BL5" s="151" t="s">
        <v>412</v>
      </c>
      <c r="BM5" s="151" t="s">
        <v>409</v>
      </c>
      <c r="BN5" s="151" t="s">
        <v>305</v>
      </c>
    </row>
    <row r="6" ht="12.75" customHeight="1">
      <c r="A6" s="153" t="s">
        <v>413</v>
      </c>
      <c r="B6" s="154">
        <v>11.0</v>
      </c>
      <c r="C6" s="155">
        <v>2.0579443930000003E7</v>
      </c>
      <c r="D6" s="155">
        <v>249219.27</v>
      </c>
      <c r="E6" s="155">
        <v>0.0</v>
      </c>
      <c r="F6" s="155">
        <v>1080000.0</v>
      </c>
      <c r="G6" s="155">
        <f t="shared" ref="G6:G10" si="1">SUM(C6:F6)</f>
        <v>21908663.2</v>
      </c>
      <c r="H6" s="154">
        <v>11.0</v>
      </c>
      <c r="I6" s="155">
        <v>1.5873852270000001E7</v>
      </c>
      <c r="J6" s="155">
        <v>374014.44999999995</v>
      </c>
      <c r="K6" s="155">
        <v>0.0</v>
      </c>
      <c r="L6" s="155">
        <f t="shared" ref="L6:L10" si="2">SUM(I6:K6)</f>
        <v>16247866.72</v>
      </c>
      <c r="M6" s="154">
        <v>11.0</v>
      </c>
      <c r="N6" s="155">
        <v>1.8136857530000005E7</v>
      </c>
      <c r="O6" s="155">
        <v>209478.52</v>
      </c>
      <c r="P6" s="155">
        <f t="shared" ref="P6:P10" si="3">SUM(N6:O6)</f>
        <v>18346336.05</v>
      </c>
      <c r="Q6" s="154">
        <v>11.0</v>
      </c>
      <c r="R6" s="155">
        <v>1.9319951049999997E7</v>
      </c>
      <c r="S6" s="155">
        <v>300047.89</v>
      </c>
      <c r="T6" s="155">
        <v>0.0</v>
      </c>
      <c r="U6" s="155">
        <f t="shared" ref="U6:U10" si="4">SUM(R6:T6)</f>
        <v>19619998.94</v>
      </c>
      <c r="V6" s="154">
        <v>10.0</v>
      </c>
      <c r="W6" s="155">
        <v>2.0132797520000003E7</v>
      </c>
      <c r="X6" s="155">
        <v>239810.97</v>
      </c>
      <c r="Y6" s="155">
        <v>0.0</v>
      </c>
      <c r="Z6" s="155">
        <f t="shared" ref="Z6:Z10" si="5">SUM(W6:Y6)</f>
        <v>20372608.49</v>
      </c>
      <c r="AA6" s="154">
        <v>10.0</v>
      </c>
      <c r="AB6" s="155">
        <v>2.0043001490000002E7</v>
      </c>
      <c r="AC6" s="155">
        <v>186372.15</v>
      </c>
      <c r="AD6" s="155">
        <v>1.055091977E7</v>
      </c>
      <c r="AE6" s="155">
        <v>500000.0</v>
      </c>
      <c r="AF6" s="155">
        <f t="shared" ref="AF6:AF10" si="6">SUM(AB6:AE6)</f>
        <v>31280293.41</v>
      </c>
      <c r="AG6" s="154">
        <v>10.0</v>
      </c>
      <c r="AH6" s="155">
        <v>2.1944207310000006E7</v>
      </c>
      <c r="AI6" s="155">
        <v>114270.79</v>
      </c>
      <c r="AJ6" s="155">
        <v>0.0</v>
      </c>
      <c r="AK6" s="155">
        <v>500000.0</v>
      </c>
      <c r="AL6" s="155">
        <f t="shared" ref="AL6:AL10" si="7">SUM(AH6:AK6)</f>
        <v>22558478.1</v>
      </c>
      <c r="AM6" s="154">
        <v>9.0</v>
      </c>
      <c r="AN6" s="155">
        <v>3.0934839730000004E7</v>
      </c>
      <c r="AO6" s="155">
        <v>152244.12</v>
      </c>
      <c r="AP6" s="155">
        <v>586781.3400000001</v>
      </c>
      <c r="AQ6" s="155">
        <v>320000.0</v>
      </c>
      <c r="AR6" s="155">
        <f t="shared" ref="AR6:AR10" si="8">SUM(AN6:AQ6)</f>
        <v>31993865.19</v>
      </c>
      <c r="AS6" s="154">
        <v>8.0</v>
      </c>
      <c r="AT6" s="155">
        <v>2.0420507810000002E7</v>
      </c>
      <c r="AU6" s="155">
        <v>778833.05</v>
      </c>
      <c r="AV6" s="155">
        <v>0.0</v>
      </c>
      <c r="AW6" s="155">
        <f t="shared" ref="AW6:AW10" si="9">SUM(AT6:AV6)</f>
        <v>21199340.86</v>
      </c>
      <c r="AX6" s="154">
        <v>8.0</v>
      </c>
      <c r="AY6" s="155">
        <v>3.5534326739999995E7</v>
      </c>
      <c r="AZ6" s="155">
        <v>266102.13</v>
      </c>
      <c r="BA6" s="155">
        <v>0.0</v>
      </c>
      <c r="BB6" s="155">
        <f t="shared" ref="BB6:BB10" si="10">SUM(AY6:BA6)</f>
        <v>35800428.87</v>
      </c>
      <c r="BC6" s="154">
        <v>8.0</v>
      </c>
      <c r="BD6" s="54">
        <v>2.2677803890000004E7</v>
      </c>
      <c r="BE6" s="155">
        <v>132249.04</v>
      </c>
      <c r="BF6" s="155">
        <v>400000.0</v>
      </c>
      <c r="BG6" s="155">
        <v>0.0</v>
      </c>
      <c r="BH6" s="155">
        <f t="shared" ref="BH6:BH10" si="11">SUM(BD6:BG6)</f>
        <v>23210052.93</v>
      </c>
      <c r="BI6" s="154">
        <v>8.0</v>
      </c>
      <c r="BJ6" s="156">
        <v>2.106163484E7</v>
      </c>
      <c r="BK6" s="155">
        <v>36978.55</v>
      </c>
      <c r="BL6" s="155"/>
      <c r="BM6" s="155">
        <v>1.156751593E7</v>
      </c>
      <c r="BN6" s="155">
        <f t="shared" ref="BN6:BN10" si="12">SUM(BJ6:BM6)</f>
        <v>32666129.32</v>
      </c>
    </row>
    <row r="7" ht="12.75" customHeight="1">
      <c r="A7" s="153" t="s">
        <v>176</v>
      </c>
      <c r="B7" s="154">
        <v>11.0</v>
      </c>
      <c r="C7" s="155">
        <v>2.1016508299999997E7</v>
      </c>
      <c r="D7" s="155">
        <v>1640139.6600000001</v>
      </c>
      <c r="E7" s="155">
        <v>0.0</v>
      </c>
      <c r="F7" s="155">
        <v>1320000.0</v>
      </c>
      <c r="G7" s="155">
        <f t="shared" si="1"/>
        <v>23976647.96</v>
      </c>
      <c r="H7" s="154">
        <v>11.0</v>
      </c>
      <c r="I7" s="155">
        <v>1.7661423350000005E7</v>
      </c>
      <c r="J7" s="155">
        <v>2674979.46</v>
      </c>
      <c r="K7" s="155">
        <v>0.0</v>
      </c>
      <c r="L7" s="155">
        <f t="shared" si="2"/>
        <v>20336402.81</v>
      </c>
      <c r="M7" s="154">
        <v>11.0</v>
      </c>
      <c r="N7" s="155">
        <v>1.6464489249999989E7</v>
      </c>
      <c r="O7" s="155">
        <v>1919491.5500000003</v>
      </c>
      <c r="P7" s="155">
        <f t="shared" si="3"/>
        <v>18383980.8</v>
      </c>
      <c r="Q7" s="154">
        <v>11.0</v>
      </c>
      <c r="R7" s="155">
        <v>8.533055005000001E7</v>
      </c>
      <c r="S7" s="155">
        <v>1305938.33</v>
      </c>
      <c r="T7" s="155">
        <v>1415989.1799999997</v>
      </c>
      <c r="U7" s="155">
        <f t="shared" si="4"/>
        <v>88052477.56</v>
      </c>
      <c r="V7" s="154">
        <v>9.0</v>
      </c>
      <c r="W7" s="155">
        <v>1.6367787409999998E7</v>
      </c>
      <c r="X7" s="155">
        <v>1937754.1600000001</v>
      </c>
      <c r="Y7" s="155">
        <v>0.0</v>
      </c>
      <c r="Z7" s="155">
        <f t="shared" si="5"/>
        <v>18305541.57</v>
      </c>
      <c r="AA7" s="154">
        <v>9.0</v>
      </c>
      <c r="AB7" s="155">
        <v>1.638571087E7</v>
      </c>
      <c r="AC7" s="155">
        <v>5580502.0</v>
      </c>
      <c r="AD7" s="155">
        <v>1.105429569E7</v>
      </c>
      <c r="AE7" s="155">
        <v>450000.0</v>
      </c>
      <c r="AF7" s="155">
        <f t="shared" si="6"/>
        <v>33470508.56</v>
      </c>
      <c r="AG7" s="154">
        <v>9.0</v>
      </c>
      <c r="AH7" s="155">
        <v>1.8145161200000003E7</v>
      </c>
      <c r="AI7" s="155">
        <v>3767016.66</v>
      </c>
      <c r="AJ7" s="155">
        <v>0.0</v>
      </c>
      <c r="AK7" s="155">
        <v>450000.0</v>
      </c>
      <c r="AL7" s="155">
        <f t="shared" si="7"/>
        <v>22362177.86</v>
      </c>
      <c r="AM7" s="154">
        <v>9.0</v>
      </c>
      <c r="AN7" s="155">
        <v>2.2401902160000004E7</v>
      </c>
      <c r="AO7" s="155">
        <v>4203405.77</v>
      </c>
      <c r="AP7" s="155">
        <v>660743.8</v>
      </c>
      <c r="AQ7" s="155">
        <v>636713.0</v>
      </c>
      <c r="AR7" s="155">
        <f t="shared" si="8"/>
        <v>27902764.73</v>
      </c>
      <c r="AS7" s="154">
        <v>8.0</v>
      </c>
      <c r="AT7" s="155">
        <v>2.197608393E7</v>
      </c>
      <c r="AU7" s="155">
        <v>2424049.04</v>
      </c>
      <c r="AV7" s="155">
        <v>1014694.3300000001</v>
      </c>
      <c r="AW7" s="155">
        <f t="shared" si="9"/>
        <v>25414827.3</v>
      </c>
      <c r="AX7" s="154">
        <v>8.0</v>
      </c>
      <c r="AY7" s="155">
        <v>2.655720847E7</v>
      </c>
      <c r="AZ7" s="155">
        <v>1006225.64</v>
      </c>
      <c r="BA7" s="155">
        <v>0.0</v>
      </c>
      <c r="BB7" s="155">
        <f t="shared" si="10"/>
        <v>27563434.11</v>
      </c>
      <c r="BC7" s="154">
        <v>8.0</v>
      </c>
      <c r="BD7" s="155">
        <v>1.6483200950000001E7</v>
      </c>
      <c r="BE7" s="155">
        <v>3093308.49</v>
      </c>
      <c r="BF7" s="155">
        <v>350000.0</v>
      </c>
      <c r="BG7" s="155">
        <v>0.0</v>
      </c>
      <c r="BH7" s="155">
        <f t="shared" si="11"/>
        <v>19926509.44</v>
      </c>
      <c r="BI7" s="154">
        <v>7.0</v>
      </c>
      <c r="BJ7" s="155">
        <v>1.620633232E7</v>
      </c>
      <c r="BK7" s="155">
        <v>2482826.34</v>
      </c>
      <c r="BL7" s="155"/>
      <c r="BM7" s="155">
        <v>1.010951433E7</v>
      </c>
      <c r="BN7" s="155">
        <f t="shared" si="12"/>
        <v>28798672.99</v>
      </c>
    </row>
    <row r="8" ht="12.75" customHeight="1">
      <c r="A8" s="153" t="s">
        <v>414</v>
      </c>
      <c r="B8" s="154">
        <v>7.0</v>
      </c>
      <c r="C8" s="155">
        <v>1.672430076E7</v>
      </c>
      <c r="D8" s="155">
        <v>451822.32</v>
      </c>
      <c r="E8" s="155">
        <v>0.0</v>
      </c>
      <c r="F8" s="155">
        <v>840000.0</v>
      </c>
      <c r="G8" s="155">
        <f t="shared" si="1"/>
        <v>18016123.08</v>
      </c>
      <c r="H8" s="154">
        <v>7.0</v>
      </c>
      <c r="I8" s="155">
        <v>1.6182437370000001E7</v>
      </c>
      <c r="J8" s="155">
        <v>763774.88</v>
      </c>
      <c r="K8" s="155">
        <v>0.0</v>
      </c>
      <c r="L8" s="155">
        <f t="shared" si="2"/>
        <v>16946212.25</v>
      </c>
      <c r="M8" s="154">
        <v>7.0</v>
      </c>
      <c r="N8" s="155">
        <v>1.6083015340000004E7</v>
      </c>
      <c r="O8" s="155">
        <v>984529.36</v>
      </c>
      <c r="P8" s="155">
        <f t="shared" si="3"/>
        <v>17067544.7</v>
      </c>
      <c r="Q8" s="154">
        <v>7.0</v>
      </c>
      <c r="R8" s="155">
        <v>2.599143934E7</v>
      </c>
      <c r="S8" s="155">
        <v>1118463.46</v>
      </c>
      <c r="T8" s="155">
        <v>817106.88</v>
      </c>
      <c r="U8" s="155">
        <f t="shared" si="4"/>
        <v>27927009.68</v>
      </c>
      <c r="V8" s="154">
        <v>7.0</v>
      </c>
      <c r="W8" s="155">
        <v>1.4993671599999998E7</v>
      </c>
      <c r="X8" s="155">
        <v>886888.4</v>
      </c>
      <c r="Y8" s="155">
        <v>0.0</v>
      </c>
      <c r="Z8" s="155">
        <f t="shared" si="5"/>
        <v>15880560</v>
      </c>
      <c r="AA8" s="154">
        <v>7.0</v>
      </c>
      <c r="AB8" s="155">
        <v>1.5428976739999998E7</v>
      </c>
      <c r="AC8" s="155">
        <v>1410764.56</v>
      </c>
      <c r="AD8" s="155">
        <v>8536755.43</v>
      </c>
      <c r="AE8" s="155">
        <v>350000.0</v>
      </c>
      <c r="AF8" s="155">
        <f t="shared" si="6"/>
        <v>25726496.73</v>
      </c>
      <c r="AG8" s="154">
        <v>7.0</v>
      </c>
      <c r="AH8" s="155">
        <v>1.7065457330000002E7</v>
      </c>
      <c r="AI8" s="155">
        <v>365403.76</v>
      </c>
      <c r="AJ8" s="155">
        <v>0.0</v>
      </c>
      <c r="AK8" s="155">
        <v>350000.0</v>
      </c>
      <c r="AL8" s="155">
        <f t="shared" si="7"/>
        <v>17780861.09</v>
      </c>
      <c r="AM8" s="154">
        <v>7.0</v>
      </c>
      <c r="AN8" s="155">
        <v>1.8655487360000003E7</v>
      </c>
      <c r="AO8" s="155">
        <v>186665.44</v>
      </c>
      <c r="AP8" s="155">
        <v>180525.0</v>
      </c>
      <c r="AQ8" s="155">
        <v>0.0</v>
      </c>
      <c r="AR8" s="155">
        <f t="shared" si="8"/>
        <v>19022677.8</v>
      </c>
      <c r="AS8" s="154">
        <v>9.0</v>
      </c>
      <c r="AT8" s="155">
        <v>2.218558755E7</v>
      </c>
      <c r="AU8" s="155">
        <v>1204130.36</v>
      </c>
      <c r="AV8" s="155">
        <v>0.0</v>
      </c>
      <c r="AW8" s="155">
        <f t="shared" si="9"/>
        <v>23389717.91</v>
      </c>
      <c r="AX8" s="154">
        <v>9.0</v>
      </c>
      <c r="AY8" s="155">
        <v>3.590153555E7</v>
      </c>
      <c r="AZ8" s="155">
        <v>1112777.28</v>
      </c>
      <c r="BA8" s="155">
        <v>0.0</v>
      </c>
      <c r="BB8" s="155">
        <f t="shared" si="10"/>
        <v>37014312.83</v>
      </c>
      <c r="BC8" s="154">
        <v>9.0</v>
      </c>
      <c r="BD8" s="155">
        <v>2.1671520549999997E7</v>
      </c>
      <c r="BE8" s="155">
        <v>533802.14</v>
      </c>
      <c r="BF8" s="155">
        <v>400000.0</v>
      </c>
      <c r="BG8" s="155">
        <v>0.0</v>
      </c>
      <c r="BH8" s="155">
        <f t="shared" si="11"/>
        <v>22605322.69</v>
      </c>
      <c r="BI8" s="154">
        <v>8.0</v>
      </c>
      <c r="BJ8" s="155">
        <v>2.154381097E7</v>
      </c>
      <c r="BK8" s="155">
        <v>2756911.44</v>
      </c>
      <c r="BL8" s="155"/>
      <c r="BM8" s="155">
        <v>1.228952127E7</v>
      </c>
      <c r="BN8" s="155">
        <f t="shared" si="12"/>
        <v>36590243.68</v>
      </c>
    </row>
    <row r="9" ht="12.75" customHeight="1">
      <c r="A9" s="153" t="s">
        <v>415</v>
      </c>
      <c r="B9" s="154">
        <v>4.0</v>
      </c>
      <c r="C9" s="155">
        <v>8597101.17</v>
      </c>
      <c r="D9" s="155">
        <v>198395.47</v>
      </c>
      <c r="E9" s="155">
        <v>0.0</v>
      </c>
      <c r="F9" s="155">
        <v>480000.0</v>
      </c>
      <c r="G9" s="155">
        <f t="shared" si="1"/>
        <v>9275496.64</v>
      </c>
      <c r="H9" s="154">
        <v>4.0</v>
      </c>
      <c r="I9" s="155">
        <v>5839905.130000001</v>
      </c>
      <c r="J9" s="155">
        <v>173215.14</v>
      </c>
      <c r="K9" s="155">
        <v>0.0</v>
      </c>
      <c r="L9" s="155">
        <f t="shared" si="2"/>
        <v>6013120.27</v>
      </c>
      <c r="M9" s="154">
        <v>4.0</v>
      </c>
      <c r="N9" s="155">
        <v>5427261.6</v>
      </c>
      <c r="O9" s="155">
        <v>0.0</v>
      </c>
      <c r="P9" s="155">
        <f t="shared" si="3"/>
        <v>5427261.6</v>
      </c>
      <c r="Q9" s="154">
        <v>4.0</v>
      </c>
      <c r="R9" s="155">
        <v>5960480.520000001</v>
      </c>
      <c r="S9" s="155">
        <v>134837.7</v>
      </c>
      <c r="T9" s="155">
        <v>0.0</v>
      </c>
      <c r="U9" s="155">
        <f t="shared" si="4"/>
        <v>6095318.22</v>
      </c>
      <c r="V9" s="154">
        <v>3.0</v>
      </c>
      <c r="W9" s="155">
        <v>6513683.32</v>
      </c>
      <c r="X9" s="155">
        <v>126945.92</v>
      </c>
      <c r="Y9" s="155">
        <v>0.0</v>
      </c>
      <c r="Z9" s="155">
        <f t="shared" si="5"/>
        <v>6640629.24</v>
      </c>
      <c r="AA9" s="154">
        <v>3.0</v>
      </c>
      <c r="AB9" s="155">
        <v>6501773.780000001</v>
      </c>
      <c r="AC9" s="155">
        <v>612199.98</v>
      </c>
      <c r="AD9" s="155">
        <v>2907724.7</v>
      </c>
      <c r="AE9" s="155">
        <v>150000.0</v>
      </c>
      <c r="AF9" s="155">
        <f t="shared" si="6"/>
        <v>10171698.46</v>
      </c>
      <c r="AG9" s="154">
        <v>3.0</v>
      </c>
      <c r="AH9" s="155">
        <v>6422108.869999999</v>
      </c>
      <c r="AI9" s="155">
        <v>832279.5800000001</v>
      </c>
      <c r="AJ9" s="155">
        <v>0.0</v>
      </c>
      <c r="AK9" s="155">
        <v>150000.0</v>
      </c>
      <c r="AL9" s="155">
        <f t="shared" si="7"/>
        <v>7404388.45</v>
      </c>
      <c r="AM9" s="154">
        <v>3.0</v>
      </c>
      <c r="AN9" s="155">
        <v>7130792.640000001</v>
      </c>
      <c r="AO9" s="155">
        <v>192603.72</v>
      </c>
      <c r="AP9" s="155">
        <v>42939.0</v>
      </c>
      <c r="AQ9" s="155">
        <v>160000.0</v>
      </c>
      <c r="AR9" s="155">
        <f t="shared" si="8"/>
        <v>7526335.36</v>
      </c>
      <c r="AS9" s="154">
        <v>3.0</v>
      </c>
      <c r="AT9" s="155">
        <v>7061259.42</v>
      </c>
      <c r="AU9" s="155">
        <v>224251.97</v>
      </c>
      <c r="AV9" s="155">
        <v>0.0</v>
      </c>
      <c r="AW9" s="155">
        <f t="shared" si="9"/>
        <v>7285511.39</v>
      </c>
      <c r="AX9" s="154">
        <v>3.0</v>
      </c>
      <c r="AY9" s="155">
        <v>1.4181731770000001E7</v>
      </c>
      <c r="AZ9" s="155">
        <v>139417.74</v>
      </c>
      <c r="BA9" s="155">
        <v>0.0</v>
      </c>
      <c r="BB9" s="155">
        <f t="shared" si="10"/>
        <v>14321149.51</v>
      </c>
      <c r="BC9" s="154">
        <v>3.0</v>
      </c>
      <c r="BD9" s="155">
        <v>7812158.450000003</v>
      </c>
      <c r="BE9" s="155">
        <v>577578.11</v>
      </c>
      <c r="BF9" s="155">
        <v>150000.0</v>
      </c>
      <c r="BG9" s="155">
        <v>0.0</v>
      </c>
      <c r="BH9" s="155">
        <f t="shared" si="11"/>
        <v>8539736.56</v>
      </c>
      <c r="BI9" s="154">
        <v>3.0</v>
      </c>
      <c r="BJ9" s="155">
        <v>5970185.74</v>
      </c>
      <c r="BK9" s="155">
        <v>400580.11</v>
      </c>
      <c r="BL9" s="155"/>
      <c r="BM9" s="155">
        <v>4415054.31</v>
      </c>
      <c r="BN9" s="155">
        <f t="shared" si="12"/>
        <v>10785820.16</v>
      </c>
    </row>
    <row r="10" ht="12.75" customHeight="1">
      <c r="A10" s="153" t="s">
        <v>181</v>
      </c>
      <c r="B10" s="154">
        <v>18.0</v>
      </c>
      <c r="C10" s="155">
        <v>3.3204149959999997E7</v>
      </c>
      <c r="D10" s="155">
        <v>0.0</v>
      </c>
      <c r="E10" s="155">
        <v>0.0</v>
      </c>
      <c r="F10" s="155">
        <v>2160000.0</v>
      </c>
      <c r="G10" s="155">
        <f t="shared" si="1"/>
        <v>35364149.96</v>
      </c>
      <c r="H10" s="154">
        <v>18.0</v>
      </c>
      <c r="I10" s="155">
        <v>2.9739449300000012E7</v>
      </c>
      <c r="J10" s="155">
        <v>105785.18</v>
      </c>
      <c r="K10" s="155">
        <v>0.0</v>
      </c>
      <c r="L10" s="155">
        <f t="shared" si="2"/>
        <v>29845234.48</v>
      </c>
      <c r="M10" s="154">
        <v>18.0</v>
      </c>
      <c r="N10" s="155">
        <v>2.814680445E7</v>
      </c>
      <c r="O10" s="155">
        <v>0.0</v>
      </c>
      <c r="P10" s="155">
        <f t="shared" si="3"/>
        <v>28146804.45</v>
      </c>
      <c r="Q10" s="154">
        <v>18.0</v>
      </c>
      <c r="R10" s="155">
        <v>2.8092684200000003E7</v>
      </c>
      <c r="S10" s="155">
        <v>9278.1</v>
      </c>
      <c r="T10" s="155">
        <v>0.0</v>
      </c>
      <c r="U10" s="155">
        <f t="shared" si="4"/>
        <v>28101962.3</v>
      </c>
      <c r="V10" s="154">
        <v>20.0</v>
      </c>
      <c r="W10" s="155">
        <v>3.3222494109999996E7</v>
      </c>
      <c r="X10" s="155">
        <v>0.0</v>
      </c>
      <c r="Y10" s="155">
        <v>0.0</v>
      </c>
      <c r="Z10" s="155">
        <f t="shared" si="5"/>
        <v>33222494.11</v>
      </c>
      <c r="AA10" s="154">
        <v>20.0</v>
      </c>
      <c r="AB10" s="155">
        <v>3.1609576359999996E7</v>
      </c>
      <c r="AC10" s="155">
        <v>0.0</v>
      </c>
      <c r="AD10" s="155">
        <v>1.911983049E7</v>
      </c>
      <c r="AE10" s="155">
        <v>1000000.0</v>
      </c>
      <c r="AF10" s="155">
        <f t="shared" si="6"/>
        <v>51729406.85</v>
      </c>
      <c r="AG10" s="154">
        <v>20.0</v>
      </c>
      <c r="AH10" s="155">
        <v>3.3132634090000007E7</v>
      </c>
      <c r="AI10" s="155">
        <v>0.0</v>
      </c>
      <c r="AJ10" s="155">
        <v>0.0</v>
      </c>
      <c r="AK10" s="155">
        <v>1000000.0</v>
      </c>
      <c r="AL10" s="155">
        <f t="shared" si="7"/>
        <v>34132634.09</v>
      </c>
      <c r="AM10" s="154">
        <v>20.0</v>
      </c>
      <c r="AN10" s="155">
        <v>3.824958836E7</v>
      </c>
      <c r="AO10" s="155">
        <v>1580905.46</v>
      </c>
      <c r="AP10" s="155">
        <v>23841.0</v>
      </c>
      <c r="AQ10" s="155">
        <v>0.0</v>
      </c>
      <c r="AR10" s="155">
        <f t="shared" si="8"/>
        <v>39854334.82</v>
      </c>
      <c r="AS10" s="154">
        <v>20.0</v>
      </c>
      <c r="AT10" s="155">
        <v>3.780098152E7</v>
      </c>
      <c r="AU10" s="155">
        <v>0.0</v>
      </c>
      <c r="AV10" s="155">
        <v>0.0</v>
      </c>
      <c r="AW10" s="155">
        <f t="shared" si="9"/>
        <v>37800981.52</v>
      </c>
      <c r="AX10" s="154">
        <v>20.0</v>
      </c>
      <c r="AY10" s="155">
        <v>6.5116248949999996E7</v>
      </c>
      <c r="AZ10" s="155">
        <v>0.0</v>
      </c>
      <c r="BA10" s="155">
        <v>0.0</v>
      </c>
      <c r="BB10" s="155">
        <f t="shared" si="10"/>
        <v>65116248.95</v>
      </c>
      <c r="BC10" s="154">
        <v>20.0</v>
      </c>
      <c r="BD10" s="155">
        <v>4.087133831000001E7</v>
      </c>
      <c r="BE10" s="155">
        <v>138015.8</v>
      </c>
      <c r="BF10" s="155">
        <v>1000000.0</v>
      </c>
      <c r="BG10" s="155">
        <v>0.0</v>
      </c>
      <c r="BH10" s="155">
        <f t="shared" si="11"/>
        <v>42009354.11</v>
      </c>
      <c r="BI10" s="154">
        <v>20.0</v>
      </c>
      <c r="BJ10" s="155">
        <v>4.208315187E7</v>
      </c>
      <c r="BK10" s="155"/>
      <c r="BL10" s="155"/>
      <c r="BM10" s="155">
        <v>2.189854564E7</v>
      </c>
      <c r="BN10" s="155">
        <f t="shared" si="12"/>
        <v>63981697.51</v>
      </c>
    </row>
    <row r="11" ht="12.75" customHeight="1">
      <c r="A11" s="147" t="s">
        <v>416</v>
      </c>
      <c r="B11" s="157">
        <f t="shared" ref="B11:BN11" si="13">SUM(B6:B10)</f>
        <v>51</v>
      </c>
      <c r="C11" s="157">
        <f t="shared" si="13"/>
        <v>100121504.1</v>
      </c>
      <c r="D11" s="157">
        <f t="shared" si="13"/>
        <v>2539576.72</v>
      </c>
      <c r="E11" s="157">
        <f t="shared" si="13"/>
        <v>0</v>
      </c>
      <c r="F11" s="157">
        <f t="shared" si="13"/>
        <v>5880000</v>
      </c>
      <c r="G11" s="157">
        <f t="shared" si="13"/>
        <v>108541080.8</v>
      </c>
      <c r="H11" s="157">
        <f t="shared" si="13"/>
        <v>51</v>
      </c>
      <c r="I11" s="157">
        <f t="shared" si="13"/>
        <v>85297067.42</v>
      </c>
      <c r="J11" s="157">
        <f t="shared" si="13"/>
        <v>4091769.11</v>
      </c>
      <c r="K11" s="157">
        <f t="shared" si="13"/>
        <v>0</v>
      </c>
      <c r="L11" s="157">
        <f t="shared" si="13"/>
        <v>89388836.53</v>
      </c>
      <c r="M11" s="157">
        <f t="shared" si="13"/>
        <v>51</v>
      </c>
      <c r="N11" s="157">
        <f t="shared" si="13"/>
        <v>84258428.17</v>
      </c>
      <c r="O11" s="157">
        <f t="shared" si="13"/>
        <v>3113499.43</v>
      </c>
      <c r="P11" s="157">
        <f t="shared" si="13"/>
        <v>87371927.6</v>
      </c>
      <c r="Q11" s="157">
        <f t="shared" si="13"/>
        <v>51</v>
      </c>
      <c r="R11" s="157">
        <f t="shared" si="13"/>
        <v>164695105.2</v>
      </c>
      <c r="S11" s="157">
        <f t="shared" si="13"/>
        <v>2868565.48</v>
      </c>
      <c r="T11" s="157">
        <f t="shared" si="13"/>
        <v>2233096.06</v>
      </c>
      <c r="U11" s="157">
        <f t="shared" si="13"/>
        <v>169796766.7</v>
      </c>
      <c r="V11" s="157">
        <f t="shared" si="13"/>
        <v>49</v>
      </c>
      <c r="W11" s="157">
        <f t="shared" si="13"/>
        <v>91230433.96</v>
      </c>
      <c r="X11" s="157">
        <f t="shared" si="13"/>
        <v>3191399.45</v>
      </c>
      <c r="Y11" s="157">
        <f t="shared" si="13"/>
        <v>0</v>
      </c>
      <c r="Z11" s="157">
        <f t="shared" si="13"/>
        <v>94421833.41</v>
      </c>
      <c r="AA11" s="157">
        <f t="shared" si="13"/>
        <v>49</v>
      </c>
      <c r="AB11" s="157">
        <f t="shared" si="13"/>
        <v>89969039.24</v>
      </c>
      <c r="AC11" s="157">
        <f t="shared" si="13"/>
        <v>7789838.69</v>
      </c>
      <c r="AD11" s="157">
        <f t="shared" si="13"/>
        <v>52169526.08</v>
      </c>
      <c r="AE11" s="157">
        <f t="shared" si="13"/>
        <v>2450000</v>
      </c>
      <c r="AF11" s="157">
        <f t="shared" si="13"/>
        <v>152378404</v>
      </c>
      <c r="AG11" s="157">
        <f t="shared" si="13"/>
        <v>49</v>
      </c>
      <c r="AH11" s="157">
        <f t="shared" si="13"/>
        <v>96709568.8</v>
      </c>
      <c r="AI11" s="157">
        <f t="shared" si="13"/>
        <v>5078970.79</v>
      </c>
      <c r="AJ11" s="157">
        <f t="shared" si="13"/>
        <v>0</v>
      </c>
      <c r="AK11" s="157">
        <f t="shared" si="13"/>
        <v>2450000</v>
      </c>
      <c r="AL11" s="157">
        <f t="shared" si="13"/>
        <v>104238539.6</v>
      </c>
      <c r="AM11" s="157">
        <f t="shared" si="13"/>
        <v>48</v>
      </c>
      <c r="AN11" s="157">
        <f t="shared" si="13"/>
        <v>117372610.3</v>
      </c>
      <c r="AO11" s="157">
        <f t="shared" si="13"/>
        <v>6315824.51</v>
      </c>
      <c r="AP11" s="157">
        <f t="shared" si="13"/>
        <v>1494830.14</v>
      </c>
      <c r="AQ11" s="157">
        <f t="shared" si="13"/>
        <v>1116713</v>
      </c>
      <c r="AR11" s="157">
        <f t="shared" si="13"/>
        <v>126299977.9</v>
      </c>
      <c r="AS11" s="157">
        <f t="shared" si="13"/>
        <v>48</v>
      </c>
      <c r="AT11" s="157">
        <f t="shared" si="13"/>
        <v>109444420.2</v>
      </c>
      <c r="AU11" s="157">
        <f t="shared" si="13"/>
        <v>4631264.42</v>
      </c>
      <c r="AV11" s="157">
        <f t="shared" si="13"/>
        <v>1014694.33</v>
      </c>
      <c r="AW11" s="157">
        <f t="shared" si="13"/>
        <v>115090379</v>
      </c>
      <c r="AX11" s="157">
        <f t="shared" si="13"/>
        <v>48</v>
      </c>
      <c r="AY11" s="157">
        <f t="shared" si="13"/>
        <v>177291051.5</v>
      </c>
      <c r="AZ11" s="157">
        <f t="shared" si="13"/>
        <v>2524522.79</v>
      </c>
      <c r="BA11" s="157">
        <f t="shared" si="13"/>
        <v>0</v>
      </c>
      <c r="BB11" s="157">
        <f t="shared" si="13"/>
        <v>179815574.3</v>
      </c>
      <c r="BC11" s="157">
        <f t="shared" si="13"/>
        <v>48</v>
      </c>
      <c r="BD11" s="157">
        <f t="shared" si="13"/>
        <v>109516022.2</v>
      </c>
      <c r="BE11" s="157">
        <f t="shared" si="13"/>
        <v>4474953.58</v>
      </c>
      <c r="BF11" s="157">
        <f t="shared" si="13"/>
        <v>2300000</v>
      </c>
      <c r="BG11" s="157">
        <f t="shared" si="13"/>
        <v>0</v>
      </c>
      <c r="BH11" s="158">
        <f t="shared" si="13"/>
        <v>116290975.7</v>
      </c>
      <c r="BI11" s="157">
        <f t="shared" si="13"/>
        <v>46</v>
      </c>
      <c r="BJ11" s="157">
        <f t="shared" si="13"/>
        <v>106865115.7</v>
      </c>
      <c r="BK11" s="157">
        <f t="shared" si="13"/>
        <v>5677296.44</v>
      </c>
      <c r="BL11" s="157">
        <f t="shared" si="13"/>
        <v>0</v>
      </c>
      <c r="BM11" s="157">
        <f t="shared" si="13"/>
        <v>60280151.48</v>
      </c>
      <c r="BN11" s="158">
        <f t="shared" si="13"/>
        <v>172822563.7</v>
      </c>
    </row>
    <row r="12" ht="12.75" customHeight="1">
      <c r="A12" s="153"/>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159"/>
      <c r="AV12" s="159"/>
      <c r="AW12" s="159"/>
      <c r="AX12" s="159"/>
      <c r="AY12" s="159"/>
      <c r="AZ12" s="159"/>
      <c r="BA12" s="159"/>
      <c r="BB12" s="159"/>
      <c r="BC12" s="159"/>
      <c r="BD12" s="159"/>
      <c r="BE12" s="159"/>
      <c r="BF12" s="159"/>
      <c r="BG12" s="159"/>
      <c r="BH12" s="159"/>
      <c r="BI12" s="159"/>
      <c r="BJ12" s="159"/>
      <c r="BK12" s="159"/>
      <c r="BL12" s="159"/>
      <c r="BM12" s="159"/>
      <c r="BN12" s="159"/>
    </row>
    <row r="13" ht="12.75" customHeight="1">
      <c r="A13" s="147" t="s">
        <v>392</v>
      </c>
      <c r="B13" s="150" t="s">
        <v>406</v>
      </c>
      <c r="C13" s="151" t="s">
        <v>407</v>
      </c>
      <c r="D13" s="152" t="s">
        <v>408</v>
      </c>
      <c r="E13" s="151" t="s">
        <v>409</v>
      </c>
      <c r="F13" s="151" t="s">
        <v>410</v>
      </c>
      <c r="G13" s="151" t="s">
        <v>305</v>
      </c>
      <c r="H13" s="150" t="s">
        <v>406</v>
      </c>
      <c r="I13" s="151" t="s">
        <v>407</v>
      </c>
      <c r="J13" s="152" t="s">
        <v>408</v>
      </c>
      <c r="K13" s="151" t="s">
        <v>409</v>
      </c>
      <c r="L13" s="151" t="s">
        <v>305</v>
      </c>
      <c r="M13" s="150" t="s">
        <v>406</v>
      </c>
      <c r="N13" s="151" t="s">
        <v>407</v>
      </c>
      <c r="O13" s="152" t="s">
        <v>408</v>
      </c>
      <c r="P13" s="151" t="s">
        <v>305</v>
      </c>
      <c r="Q13" s="150" t="s">
        <v>406</v>
      </c>
      <c r="R13" s="151" t="s">
        <v>407</v>
      </c>
      <c r="S13" s="152" t="s">
        <v>408</v>
      </c>
      <c r="T13" s="151" t="s">
        <v>409</v>
      </c>
      <c r="U13" s="151" t="s">
        <v>305</v>
      </c>
      <c r="V13" s="150" t="s">
        <v>406</v>
      </c>
      <c r="W13" s="151" t="s">
        <v>407</v>
      </c>
      <c r="X13" s="152" t="s">
        <v>408</v>
      </c>
      <c r="Y13" s="151" t="s">
        <v>409</v>
      </c>
      <c r="Z13" s="151" t="s">
        <v>305</v>
      </c>
      <c r="AA13" s="150" t="s">
        <v>406</v>
      </c>
      <c r="AB13" s="151" t="s">
        <v>407</v>
      </c>
      <c r="AC13" s="152" t="s">
        <v>408</v>
      </c>
      <c r="AD13" s="151" t="s">
        <v>409</v>
      </c>
      <c r="AE13" s="151" t="s">
        <v>411</v>
      </c>
      <c r="AF13" s="151" t="s">
        <v>305</v>
      </c>
      <c r="AG13" s="150" t="s">
        <v>406</v>
      </c>
      <c r="AH13" s="151" t="s">
        <v>407</v>
      </c>
      <c r="AI13" s="152" t="s">
        <v>408</v>
      </c>
      <c r="AJ13" s="151" t="s">
        <v>409</v>
      </c>
      <c r="AK13" s="151" t="s">
        <v>411</v>
      </c>
      <c r="AL13" s="151" t="s">
        <v>305</v>
      </c>
      <c r="AM13" s="150" t="s">
        <v>406</v>
      </c>
      <c r="AN13" s="151" t="s">
        <v>407</v>
      </c>
      <c r="AO13" s="152" t="s">
        <v>408</v>
      </c>
      <c r="AP13" s="151" t="s">
        <v>409</v>
      </c>
      <c r="AQ13" s="151" t="s">
        <v>411</v>
      </c>
      <c r="AR13" s="151" t="s">
        <v>305</v>
      </c>
      <c r="AS13" s="150" t="s">
        <v>406</v>
      </c>
      <c r="AT13" s="151" t="s">
        <v>407</v>
      </c>
      <c r="AU13" s="152" t="s">
        <v>408</v>
      </c>
      <c r="AV13" s="151" t="s">
        <v>409</v>
      </c>
      <c r="AW13" s="151" t="s">
        <v>305</v>
      </c>
      <c r="AX13" s="150" t="s">
        <v>406</v>
      </c>
      <c r="AY13" s="151" t="s">
        <v>407</v>
      </c>
      <c r="AZ13" s="152" t="s">
        <v>408</v>
      </c>
      <c r="BA13" s="151" t="s">
        <v>409</v>
      </c>
      <c r="BB13" s="151" t="s">
        <v>305</v>
      </c>
      <c r="BC13" s="150" t="s">
        <v>406</v>
      </c>
      <c r="BD13" s="151" t="s">
        <v>407</v>
      </c>
      <c r="BE13" s="152" t="s">
        <v>408</v>
      </c>
      <c r="BF13" s="151" t="s">
        <v>412</v>
      </c>
      <c r="BG13" s="151" t="s">
        <v>409</v>
      </c>
      <c r="BH13" s="151" t="s">
        <v>305</v>
      </c>
      <c r="BI13" s="150" t="s">
        <v>406</v>
      </c>
      <c r="BJ13" s="151" t="s">
        <v>407</v>
      </c>
      <c r="BK13" s="152" t="s">
        <v>408</v>
      </c>
      <c r="BL13" s="151" t="s">
        <v>412</v>
      </c>
      <c r="BM13" s="151" t="s">
        <v>409</v>
      </c>
      <c r="BN13" s="151" t="s">
        <v>305</v>
      </c>
    </row>
    <row r="14" ht="12.75" customHeight="1">
      <c r="A14" s="147" t="s">
        <v>417</v>
      </c>
      <c r="B14" s="160"/>
      <c r="C14" s="161"/>
      <c r="D14" s="161"/>
      <c r="E14" s="161"/>
      <c r="F14" s="161"/>
      <c r="G14" s="161"/>
      <c r="H14" s="160"/>
      <c r="I14" s="161"/>
      <c r="J14" s="161"/>
      <c r="K14" s="161"/>
      <c r="L14" s="161"/>
      <c r="M14" s="160"/>
      <c r="N14" s="161"/>
      <c r="O14" s="161"/>
      <c r="P14" s="161"/>
      <c r="Q14" s="160"/>
      <c r="R14" s="161"/>
      <c r="S14" s="161"/>
      <c r="T14" s="161"/>
      <c r="U14" s="161"/>
      <c r="V14" s="160"/>
      <c r="W14" s="161"/>
      <c r="X14" s="161"/>
      <c r="Y14" s="161"/>
      <c r="Z14" s="161"/>
      <c r="AA14" s="160"/>
      <c r="AB14" s="161"/>
      <c r="AC14" s="161"/>
      <c r="AD14" s="161"/>
      <c r="AE14" s="161"/>
      <c r="AF14" s="161"/>
      <c r="AG14" s="160"/>
      <c r="AH14" s="161"/>
      <c r="AI14" s="161"/>
      <c r="AJ14" s="161"/>
      <c r="AK14" s="161"/>
      <c r="AL14" s="161"/>
      <c r="AM14" s="160"/>
      <c r="AN14" s="161"/>
      <c r="AO14" s="161"/>
      <c r="AP14" s="161"/>
      <c r="AQ14" s="161"/>
      <c r="AR14" s="161"/>
      <c r="AS14" s="160"/>
      <c r="AT14" s="161"/>
      <c r="AU14" s="161"/>
      <c r="AV14" s="161"/>
      <c r="AW14" s="161"/>
      <c r="AX14" s="160"/>
      <c r="AY14" s="161"/>
      <c r="AZ14" s="161"/>
      <c r="BA14" s="161"/>
      <c r="BB14" s="161"/>
      <c r="BC14" s="160"/>
      <c r="BD14" s="161"/>
      <c r="BE14" s="161"/>
      <c r="BF14" s="161"/>
      <c r="BG14" s="161"/>
      <c r="BH14" s="161"/>
      <c r="BI14" s="160"/>
      <c r="BJ14" s="161"/>
      <c r="BK14" s="161"/>
      <c r="BL14" s="161"/>
      <c r="BM14" s="161"/>
      <c r="BN14" s="161"/>
    </row>
    <row r="15" ht="12.75" customHeight="1">
      <c r="A15" s="153" t="s">
        <v>417</v>
      </c>
      <c r="B15" s="154">
        <v>2.0</v>
      </c>
      <c r="C15" s="155">
        <v>5636383.94</v>
      </c>
      <c r="D15" s="155">
        <v>0.0</v>
      </c>
      <c r="E15" s="155">
        <v>0.0</v>
      </c>
      <c r="F15" s="155">
        <v>240000.0</v>
      </c>
      <c r="G15" s="155">
        <f>SUM(C15:F15)</f>
        <v>5876383.94</v>
      </c>
      <c r="H15" s="154">
        <v>2.0</v>
      </c>
      <c r="I15" s="155">
        <v>5104913.58</v>
      </c>
      <c r="J15" s="155">
        <v>0.0</v>
      </c>
      <c r="K15" s="155">
        <v>0.0</v>
      </c>
      <c r="L15" s="155">
        <f>SUM(I15:K15)</f>
        <v>5104913.58</v>
      </c>
      <c r="M15" s="154">
        <v>2.0</v>
      </c>
      <c r="N15" s="155">
        <v>5418850.599999999</v>
      </c>
      <c r="O15" s="155">
        <v>0.0</v>
      </c>
      <c r="P15" s="155">
        <f>SUM(N15:O15)</f>
        <v>5418850.6</v>
      </c>
      <c r="Q15" s="154">
        <v>2.0</v>
      </c>
      <c r="R15" s="155">
        <v>5289809.079999998</v>
      </c>
      <c r="S15" s="155">
        <v>0.0</v>
      </c>
      <c r="T15" s="155">
        <v>0.0</v>
      </c>
      <c r="U15" s="155">
        <f>SUM(R15:T15)</f>
        <v>5289809.08</v>
      </c>
      <c r="V15" s="154">
        <v>2.0</v>
      </c>
      <c r="W15" s="155">
        <v>5799308.38</v>
      </c>
      <c r="X15" s="155">
        <v>0.0</v>
      </c>
      <c r="Y15" s="155">
        <v>0.0</v>
      </c>
      <c r="Z15" s="155">
        <f>SUM(W15:Y15)</f>
        <v>5799308.38</v>
      </c>
      <c r="AA15" s="154">
        <v>2.0</v>
      </c>
      <c r="AB15" s="155">
        <v>5800492.289999999</v>
      </c>
      <c r="AC15" s="155">
        <v>0.0</v>
      </c>
      <c r="AD15" s="155">
        <v>2900245.51</v>
      </c>
      <c r="AE15" s="155">
        <v>100000.0</v>
      </c>
      <c r="AF15" s="155">
        <f>SUM(AB15:AE15)</f>
        <v>8800737.8</v>
      </c>
      <c r="AG15" s="154">
        <v>2.0</v>
      </c>
      <c r="AH15" s="155">
        <v>8171148.779999999</v>
      </c>
      <c r="AI15" s="155">
        <v>0.0</v>
      </c>
      <c r="AJ15" s="155">
        <v>0.0</v>
      </c>
      <c r="AK15" s="155">
        <v>150000.0</v>
      </c>
      <c r="AL15" s="155">
        <f>SUM(AH15:AK15)</f>
        <v>8321148.78</v>
      </c>
      <c r="AM15" s="154">
        <v>2.0</v>
      </c>
      <c r="AN15" s="155">
        <v>6378676.4</v>
      </c>
      <c r="AO15" s="155">
        <v>43526.92</v>
      </c>
      <c r="AP15" s="155">
        <v>34809.0</v>
      </c>
      <c r="AQ15" s="155">
        <v>160000.0</v>
      </c>
      <c r="AR15" s="155">
        <f>SUM(AN15:AQ15)</f>
        <v>6617012.32</v>
      </c>
      <c r="AS15" s="154">
        <v>2.0</v>
      </c>
      <c r="AT15" s="155">
        <v>7093479.950000001</v>
      </c>
      <c r="AU15" s="155">
        <v>244704.28999999998</v>
      </c>
      <c r="AV15" s="155">
        <v>0.0</v>
      </c>
      <c r="AW15" s="155">
        <f>SUM(AT15:AV15)</f>
        <v>7338184.24</v>
      </c>
      <c r="AX15" s="154">
        <v>2.0</v>
      </c>
      <c r="AY15" s="155">
        <v>1.185604051E7</v>
      </c>
      <c r="AZ15" s="155">
        <v>56585.7</v>
      </c>
      <c r="BA15" s="155">
        <v>0.0</v>
      </c>
      <c r="BB15" s="155">
        <f>SUM(AY15:BA15)</f>
        <v>11912626.21</v>
      </c>
      <c r="BC15" s="154">
        <v>2.0</v>
      </c>
      <c r="BD15" s="155">
        <v>6786604.21</v>
      </c>
      <c r="BE15" s="155">
        <v>35610.54</v>
      </c>
      <c r="BF15" s="155">
        <v>100000.0</v>
      </c>
      <c r="BG15" s="155">
        <v>0.0</v>
      </c>
      <c r="BH15" s="155">
        <f>SUM(BD15:BG15)</f>
        <v>6922214.75</v>
      </c>
      <c r="BI15" s="154">
        <v>2.0</v>
      </c>
      <c r="BJ15" s="155">
        <v>6973336.85</v>
      </c>
      <c r="BK15" s="155"/>
      <c r="BL15" s="155"/>
      <c r="BM15" s="155">
        <v>3732694.1</v>
      </c>
      <c r="BN15" s="155">
        <f>SUM(BJ15:BM15)</f>
        <v>10706030.95</v>
      </c>
    </row>
    <row r="16" ht="12.75" customHeight="1">
      <c r="A16" s="147" t="s">
        <v>416</v>
      </c>
      <c r="B16" s="162">
        <f t="shared" ref="B16:BN16" si="14">+B15</f>
        <v>2</v>
      </c>
      <c r="C16" s="162">
        <f t="shared" si="14"/>
        <v>5636383.94</v>
      </c>
      <c r="D16" s="162">
        <f t="shared" si="14"/>
        <v>0</v>
      </c>
      <c r="E16" s="162">
        <f t="shared" si="14"/>
        <v>0</v>
      </c>
      <c r="F16" s="162">
        <f t="shared" si="14"/>
        <v>240000</v>
      </c>
      <c r="G16" s="162">
        <f t="shared" si="14"/>
        <v>5876383.94</v>
      </c>
      <c r="H16" s="162">
        <f t="shared" si="14"/>
        <v>2</v>
      </c>
      <c r="I16" s="162">
        <f t="shared" si="14"/>
        <v>5104913.58</v>
      </c>
      <c r="J16" s="162">
        <f t="shared" si="14"/>
        <v>0</v>
      </c>
      <c r="K16" s="162">
        <f t="shared" si="14"/>
        <v>0</v>
      </c>
      <c r="L16" s="162">
        <f t="shared" si="14"/>
        <v>5104913.58</v>
      </c>
      <c r="M16" s="162">
        <f t="shared" si="14"/>
        <v>2</v>
      </c>
      <c r="N16" s="162">
        <f t="shared" si="14"/>
        <v>5418850.6</v>
      </c>
      <c r="O16" s="162">
        <f t="shared" si="14"/>
        <v>0</v>
      </c>
      <c r="P16" s="162">
        <f t="shared" si="14"/>
        <v>5418850.6</v>
      </c>
      <c r="Q16" s="162">
        <f t="shared" si="14"/>
        <v>2</v>
      </c>
      <c r="R16" s="162">
        <f t="shared" si="14"/>
        <v>5289809.08</v>
      </c>
      <c r="S16" s="162">
        <f t="shared" si="14"/>
        <v>0</v>
      </c>
      <c r="T16" s="162">
        <f t="shared" si="14"/>
        <v>0</v>
      </c>
      <c r="U16" s="162">
        <f t="shared" si="14"/>
        <v>5289809.08</v>
      </c>
      <c r="V16" s="162">
        <f t="shared" si="14"/>
        <v>2</v>
      </c>
      <c r="W16" s="162">
        <f t="shared" si="14"/>
        <v>5799308.38</v>
      </c>
      <c r="X16" s="162">
        <f t="shared" si="14"/>
        <v>0</v>
      </c>
      <c r="Y16" s="162">
        <f t="shared" si="14"/>
        <v>0</v>
      </c>
      <c r="Z16" s="162">
        <f t="shared" si="14"/>
        <v>5799308.38</v>
      </c>
      <c r="AA16" s="162">
        <f t="shared" si="14"/>
        <v>2</v>
      </c>
      <c r="AB16" s="162">
        <f t="shared" si="14"/>
        <v>5800492.29</v>
      </c>
      <c r="AC16" s="162">
        <f t="shared" si="14"/>
        <v>0</v>
      </c>
      <c r="AD16" s="162">
        <f t="shared" si="14"/>
        <v>2900245.51</v>
      </c>
      <c r="AE16" s="162">
        <f t="shared" si="14"/>
        <v>100000</v>
      </c>
      <c r="AF16" s="162">
        <f t="shared" si="14"/>
        <v>8800737.8</v>
      </c>
      <c r="AG16" s="162">
        <f t="shared" si="14"/>
        <v>2</v>
      </c>
      <c r="AH16" s="162">
        <f t="shared" si="14"/>
        <v>8171148.78</v>
      </c>
      <c r="AI16" s="162">
        <f t="shared" si="14"/>
        <v>0</v>
      </c>
      <c r="AJ16" s="162">
        <f t="shared" si="14"/>
        <v>0</v>
      </c>
      <c r="AK16" s="162">
        <f t="shared" si="14"/>
        <v>150000</v>
      </c>
      <c r="AL16" s="162">
        <f t="shared" si="14"/>
        <v>8321148.78</v>
      </c>
      <c r="AM16" s="162">
        <f t="shared" si="14"/>
        <v>2</v>
      </c>
      <c r="AN16" s="162">
        <f t="shared" si="14"/>
        <v>6378676.4</v>
      </c>
      <c r="AO16" s="162">
        <f t="shared" si="14"/>
        <v>43526.92</v>
      </c>
      <c r="AP16" s="162">
        <f t="shared" si="14"/>
        <v>34809</v>
      </c>
      <c r="AQ16" s="162">
        <f t="shared" si="14"/>
        <v>160000</v>
      </c>
      <c r="AR16" s="162">
        <f t="shared" si="14"/>
        <v>6617012.32</v>
      </c>
      <c r="AS16" s="162">
        <f t="shared" si="14"/>
        <v>2</v>
      </c>
      <c r="AT16" s="162">
        <f t="shared" si="14"/>
        <v>7093479.95</v>
      </c>
      <c r="AU16" s="162">
        <f t="shared" si="14"/>
        <v>244704.29</v>
      </c>
      <c r="AV16" s="162">
        <f t="shared" si="14"/>
        <v>0</v>
      </c>
      <c r="AW16" s="162">
        <f t="shared" si="14"/>
        <v>7338184.24</v>
      </c>
      <c r="AX16" s="162">
        <f t="shared" si="14"/>
        <v>2</v>
      </c>
      <c r="AY16" s="162">
        <f t="shared" si="14"/>
        <v>11856040.51</v>
      </c>
      <c r="AZ16" s="162">
        <f t="shared" si="14"/>
        <v>56585.7</v>
      </c>
      <c r="BA16" s="162">
        <f t="shared" si="14"/>
        <v>0</v>
      </c>
      <c r="BB16" s="162">
        <f t="shared" si="14"/>
        <v>11912626.21</v>
      </c>
      <c r="BC16" s="162">
        <f t="shared" si="14"/>
        <v>2</v>
      </c>
      <c r="BD16" s="162">
        <f t="shared" si="14"/>
        <v>6786604.21</v>
      </c>
      <c r="BE16" s="162">
        <f t="shared" si="14"/>
        <v>35610.54</v>
      </c>
      <c r="BF16" s="162">
        <f t="shared" si="14"/>
        <v>100000</v>
      </c>
      <c r="BG16" s="162">
        <f t="shared" si="14"/>
        <v>0</v>
      </c>
      <c r="BH16" s="162">
        <f t="shared" si="14"/>
        <v>6922214.75</v>
      </c>
      <c r="BI16" s="162">
        <f t="shared" si="14"/>
        <v>2</v>
      </c>
      <c r="BJ16" s="162">
        <f t="shared" si="14"/>
        <v>6973336.85</v>
      </c>
      <c r="BK16" s="162" t="str">
        <f t="shared" si="14"/>
        <v/>
      </c>
      <c r="BL16" s="162" t="str">
        <f t="shared" si="14"/>
        <v/>
      </c>
      <c r="BM16" s="162">
        <f t="shared" si="14"/>
        <v>3732694.1</v>
      </c>
      <c r="BN16" s="162">
        <f t="shared" si="14"/>
        <v>10706030.95</v>
      </c>
    </row>
    <row r="17" ht="12.75" customHeight="1">
      <c r="A17" s="153"/>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59"/>
      <c r="AX17" s="159"/>
      <c r="AY17" s="159"/>
      <c r="AZ17" s="159"/>
      <c r="BA17" s="159"/>
      <c r="BB17" s="159"/>
      <c r="BC17" s="159"/>
      <c r="BD17" s="159"/>
      <c r="BE17" s="159"/>
      <c r="BF17" s="159"/>
      <c r="BG17" s="159"/>
      <c r="BH17" s="159"/>
      <c r="BI17" s="159"/>
      <c r="BJ17" s="159"/>
      <c r="BK17" s="159"/>
      <c r="BL17" s="159"/>
      <c r="BM17" s="159"/>
      <c r="BN17" s="159"/>
    </row>
    <row r="18" ht="12.75" customHeight="1">
      <c r="A18" s="147" t="s">
        <v>392</v>
      </c>
      <c r="B18" s="163" t="s">
        <v>406</v>
      </c>
      <c r="C18" s="152" t="s">
        <v>407</v>
      </c>
      <c r="D18" s="152" t="s">
        <v>408</v>
      </c>
      <c r="E18" s="151" t="s">
        <v>409</v>
      </c>
      <c r="F18" s="151" t="s">
        <v>410</v>
      </c>
      <c r="G18" s="152" t="s">
        <v>305</v>
      </c>
      <c r="H18" s="163" t="s">
        <v>406</v>
      </c>
      <c r="I18" s="152" t="s">
        <v>407</v>
      </c>
      <c r="J18" s="152" t="s">
        <v>408</v>
      </c>
      <c r="K18" s="151" t="s">
        <v>409</v>
      </c>
      <c r="L18" s="152" t="s">
        <v>305</v>
      </c>
      <c r="M18" s="163" t="s">
        <v>406</v>
      </c>
      <c r="N18" s="152" t="s">
        <v>407</v>
      </c>
      <c r="O18" s="152" t="s">
        <v>408</v>
      </c>
      <c r="P18" s="152" t="s">
        <v>305</v>
      </c>
      <c r="Q18" s="163" t="s">
        <v>406</v>
      </c>
      <c r="R18" s="152" t="s">
        <v>407</v>
      </c>
      <c r="S18" s="152" t="s">
        <v>408</v>
      </c>
      <c r="T18" s="151" t="s">
        <v>409</v>
      </c>
      <c r="U18" s="152" t="s">
        <v>305</v>
      </c>
      <c r="V18" s="163" t="s">
        <v>406</v>
      </c>
      <c r="W18" s="152" t="s">
        <v>407</v>
      </c>
      <c r="X18" s="152" t="s">
        <v>408</v>
      </c>
      <c r="Y18" s="151" t="s">
        <v>409</v>
      </c>
      <c r="Z18" s="152" t="s">
        <v>305</v>
      </c>
      <c r="AA18" s="163" t="s">
        <v>406</v>
      </c>
      <c r="AB18" s="152" t="s">
        <v>407</v>
      </c>
      <c r="AC18" s="152" t="s">
        <v>408</v>
      </c>
      <c r="AD18" s="151" t="s">
        <v>409</v>
      </c>
      <c r="AE18" s="151" t="s">
        <v>411</v>
      </c>
      <c r="AF18" s="152" t="s">
        <v>305</v>
      </c>
      <c r="AG18" s="163" t="s">
        <v>406</v>
      </c>
      <c r="AH18" s="152" t="s">
        <v>407</v>
      </c>
      <c r="AI18" s="152" t="s">
        <v>408</v>
      </c>
      <c r="AJ18" s="151" t="s">
        <v>409</v>
      </c>
      <c r="AK18" s="151" t="s">
        <v>411</v>
      </c>
      <c r="AL18" s="152" t="s">
        <v>305</v>
      </c>
      <c r="AM18" s="163" t="s">
        <v>406</v>
      </c>
      <c r="AN18" s="152" t="s">
        <v>407</v>
      </c>
      <c r="AO18" s="152" t="s">
        <v>408</v>
      </c>
      <c r="AP18" s="151" t="s">
        <v>409</v>
      </c>
      <c r="AQ18" s="151" t="s">
        <v>411</v>
      </c>
      <c r="AR18" s="152" t="s">
        <v>305</v>
      </c>
      <c r="AS18" s="163" t="s">
        <v>406</v>
      </c>
      <c r="AT18" s="152" t="s">
        <v>407</v>
      </c>
      <c r="AU18" s="152" t="s">
        <v>408</v>
      </c>
      <c r="AV18" s="151" t="s">
        <v>409</v>
      </c>
      <c r="AW18" s="152" t="s">
        <v>305</v>
      </c>
      <c r="AX18" s="163" t="s">
        <v>406</v>
      </c>
      <c r="AY18" s="152" t="s">
        <v>407</v>
      </c>
      <c r="AZ18" s="152" t="s">
        <v>408</v>
      </c>
      <c r="BA18" s="151" t="s">
        <v>409</v>
      </c>
      <c r="BB18" s="152" t="s">
        <v>305</v>
      </c>
      <c r="BC18" s="163" t="s">
        <v>406</v>
      </c>
      <c r="BD18" s="152" t="s">
        <v>407</v>
      </c>
      <c r="BE18" s="152" t="s">
        <v>408</v>
      </c>
      <c r="BF18" s="151" t="s">
        <v>412</v>
      </c>
      <c r="BG18" s="151" t="s">
        <v>409</v>
      </c>
      <c r="BH18" s="152" t="s">
        <v>305</v>
      </c>
      <c r="BI18" s="163" t="s">
        <v>406</v>
      </c>
      <c r="BJ18" s="152" t="s">
        <v>407</v>
      </c>
      <c r="BK18" s="152" t="s">
        <v>408</v>
      </c>
      <c r="BL18" s="151" t="s">
        <v>412</v>
      </c>
      <c r="BM18" s="151" t="s">
        <v>409</v>
      </c>
      <c r="BN18" s="152" t="s">
        <v>305</v>
      </c>
    </row>
    <row r="19" ht="12.75" customHeight="1">
      <c r="A19" s="147" t="s">
        <v>418</v>
      </c>
      <c r="B19" s="164"/>
      <c r="C19" s="165"/>
      <c r="D19" s="165"/>
      <c r="E19" s="165"/>
      <c r="F19" s="165"/>
      <c r="G19" s="165"/>
      <c r="H19" s="164"/>
      <c r="I19" s="165"/>
      <c r="J19" s="165"/>
      <c r="K19" s="165"/>
      <c r="L19" s="165"/>
      <c r="M19" s="164"/>
      <c r="N19" s="165"/>
      <c r="O19" s="165"/>
      <c r="P19" s="165"/>
      <c r="Q19" s="164"/>
      <c r="R19" s="165"/>
      <c r="S19" s="165"/>
      <c r="T19" s="165"/>
      <c r="U19" s="165"/>
      <c r="V19" s="164"/>
      <c r="W19" s="165"/>
      <c r="X19" s="165"/>
      <c r="Y19" s="165"/>
      <c r="Z19" s="165"/>
      <c r="AA19" s="164"/>
      <c r="AB19" s="165"/>
      <c r="AC19" s="165"/>
      <c r="AD19" s="165"/>
      <c r="AE19" s="165"/>
      <c r="AF19" s="165"/>
      <c r="AG19" s="164"/>
      <c r="AH19" s="165"/>
      <c r="AI19" s="165"/>
      <c r="AJ19" s="165"/>
      <c r="AK19" s="165"/>
      <c r="AL19" s="165"/>
      <c r="AM19" s="164"/>
      <c r="AN19" s="165"/>
      <c r="AO19" s="165"/>
      <c r="AP19" s="165"/>
      <c r="AQ19" s="165"/>
      <c r="AR19" s="165"/>
      <c r="AS19" s="164"/>
      <c r="AT19" s="165"/>
      <c r="AU19" s="165"/>
      <c r="AV19" s="165"/>
      <c r="AW19" s="165"/>
      <c r="AX19" s="164"/>
      <c r="AY19" s="165"/>
      <c r="AZ19" s="165"/>
      <c r="BA19" s="165"/>
      <c r="BB19" s="165"/>
      <c r="BC19" s="164"/>
      <c r="BD19" s="165"/>
      <c r="BE19" s="165"/>
      <c r="BF19" s="165"/>
      <c r="BG19" s="165"/>
      <c r="BH19" s="165"/>
      <c r="BI19" s="164"/>
      <c r="BJ19" s="165"/>
      <c r="BK19" s="165"/>
      <c r="BL19" s="165"/>
      <c r="BM19" s="165"/>
      <c r="BN19" s="165"/>
    </row>
    <row r="20" ht="12.75" customHeight="1">
      <c r="A20" s="153" t="s">
        <v>418</v>
      </c>
      <c r="B20" s="154">
        <v>4.0</v>
      </c>
      <c r="C20" s="155">
        <v>1.0340003109999998E7</v>
      </c>
      <c r="D20" s="155">
        <v>152575.88</v>
      </c>
      <c r="E20" s="155">
        <v>0.0</v>
      </c>
      <c r="F20" s="155">
        <v>480000.0</v>
      </c>
      <c r="G20" s="155">
        <f t="shared" ref="G20:G31" si="15">SUM(C20:F20)</f>
        <v>10972578.99</v>
      </c>
      <c r="H20" s="154">
        <v>4.0</v>
      </c>
      <c r="I20" s="155">
        <v>9180557.659999998</v>
      </c>
      <c r="J20" s="155">
        <v>136577.68</v>
      </c>
      <c r="K20" s="155">
        <v>0.0</v>
      </c>
      <c r="L20" s="155">
        <f t="shared" ref="L20:L31" si="16">SUM(I20:K20)</f>
        <v>9317135.34</v>
      </c>
      <c r="M20" s="154">
        <v>4.0</v>
      </c>
      <c r="N20" s="155">
        <v>9227559.040000003</v>
      </c>
      <c r="O20" s="155">
        <v>41761.8</v>
      </c>
      <c r="P20" s="155">
        <f t="shared" ref="P20:P31" si="17">SUM(N20:O20)</f>
        <v>9269320.84</v>
      </c>
      <c r="Q20" s="154">
        <v>4.0</v>
      </c>
      <c r="R20" s="155">
        <v>9327896.170000002</v>
      </c>
      <c r="S20" s="155">
        <v>407977.32</v>
      </c>
      <c r="T20" s="155">
        <v>0.0</v>
      </c>
      <c r="U20" s="155">
        <f t="shared" ref="U20:U31" si="18">SUM(R20:T20)</f>
        <v>9735873.49</v>
      </c>
      <c r="V20" s="154">
        <v>1.0</v>
      </c>
      <c r="W20" s="155">
        <v>1.0157961770000003E7</v>
      </c>
      <c r="X20" s="155">
        <v>249125.92</v>
      </c>
      <c r="Y20" s="155">
        <v>0.0</v>
      </c>
      <c r="Z20" s="155">
        <f t="shared" ref="Z20:Z31" si="19">SUM(W20:Y20)</f>
        <v>10407087.69</v>
      </c>
      <c r="AA20" s="154">
        <v>1.0</v>
      </c>
      <c r="AB20" s="155">
        <v>1.0011204360000001E7</v>
      </c>
      <c r="AC20" s="155">
        <v>1929059.65</v>
      </c>
      <c r="AD20" s="155">
        <v>5981173.39</v>
      </c>
      <c r="AE20" s="155">
        <v>200000.0</v>
      </c>
      <c r="AF20" s="155">
        <f t="shared" ref="AF20:AF29" si="20">SUM(AB20:AE20)</f>
        <v>18121437.4</v>
      </c>
      <c r="AG20" s="154">
        <v>1.0</v>
      </c>
      <c r="AH20" s="155">
        <v>1.0393709340000002E7</v>
      </c>
      <c r="AI20" s="155">
        <v>727257.29</v>
      </c>
      <c r="AJ20" s="155">
        <v>0.0</v>
      </c>
      <c r="AK20" s="155">
        <v>200000.0</v>
      </c>
      <c r="AL20" s="155">
        <f t="shared" ref="AL20:AL29" si="21">SUM(AH20:AK20)</f>
        <v>11320966.63</v>
      </c>
      <c r="AM20" s="154">
        <v>4.0</v>
      </c>
      <c r="AN20" s="155">
        <v>1.132316563E7</v>
      </c>
      <c r="AO20" s="155">
        <v>1292923.8399999999</v>
      </c>
      <c r="AP20" s="155">
        <v>97978.0</v>
      </c>
      <c r="AQ20" s="155">
        <v>160000.0</v>
      </c>
      <c r="AR20" s="155">
        <f t="shared" ref="AR20:AR29" si="22">SUM(AN20:AQ20)</f>
        <v>12874067.47</v>
      </c>
      <c r="AS20" s="154">
        <v>4.0</v>
      </c>
      <c r="AT20" s="155">
        <v>1.221954897E7</v>
      </c>
      <c r="AU20" s="155">
        <v>342752.77</v>
      </c>
      <c r="AV20" s="155">
        <v>0.0</v>
      </c>
      <c r="AW20" s="155">
        <f t="shared" ref="AW20:AW31" si="23">SUM(AT20:AV20)</f>
        <v>12562301.74</v>
      </c>
      <c r="AX20" s="154">
        <v>4.0</v>
      </c>
      <c r="AY20" s="155">
        <v>2.2841699490000002E7</v>
      </c>
      <c r="AZ20" s="155">
        <v>66200.83</v>
      </c>
      <c r="BA20" s="155">
        <v>0.0</v>
      </c>
      <c r="BB20" s="155">
        <f t="shared" ref="BB20:BB31" si="24">SUM(AY20:BA20)</f>
        <v>22907900.32</v>
      </c>
      <c r="BC20" s="154">
        <v>4.0</v>
      </c>
      <c r="BD20" s="155">
        <v>1.525985625E7</v>
      </c>
      <c r="BE20" s="155">
        <v>1021905.23</v>
      </c>
      <c r="BF20" s="155">
        <v>200000.0</v>
      </c>
      <c r="BG20" s="155">
        <v>0.0</v>
      </c>
      <c r="BH20" s="155">
        <f t="shared" ref="BH20:BH31" si="25">SUM(BD20:BG20)</f>
        <v>16481761.48</v>
      </c>
      <c r="BI20" s="154">
        <v>4.0</v>
      </c>
      <c r="BJ20" s="155">
        <v>7529802.47</v>
      </c>
      <c r="BK20" s="155">
        <v>736831.16</v>
      </c>
      <c r="BL20" s="155"/>
      <c r="BM20" s="155">
        <v>4565383.62</v>
      </c>
      <c r="BN20" s="155">
        <f t="shared" ref="BN20:BN31" si="26">SUM(BJ20:BM20)</f>
        <v>12832017.25</v>
      </c>
    </row>
    <row r="21" ht="12.75" customHeight="1">
      <c r="A21" s="153" t="s">
        <v>419</v>
      </c>
      <c r="B21" s="154">
        <v>17.0</v>
      </c>
      <c r="C21" s="155">
        <v>3.7985375870000005E7</v>
      </c>
      <c r="D21" s="155">
        <v>4551367.68</v>
      </c>
      <c r="E21" s="155">
        <v>0.0</v>
      </c>
      <c r="F21" s="155">
        <v>2040000.0</v>
      </c>
      <c r="G21" s="155">
        <f t="shared" si="15"/>
        <v>44576743.55</v>
      </c>
      <c r="H21" s="154">
        <v>17.0</v>
      </c>
      <c r="I21" s="155">
        <v>3.1694930439999986E7</v>
      </c>
      <c r="J21" s="155">
        <v>6314626.9399999995</v>
      </c>
      <c r="K21" s="155">
        <v>0.0</v>
      </c>
      <c r="L21" s="155">
        <f t="shared" si="16"/>
        <v>38009557.38</v>
      </c>
      <c r="M21" s="154">
        <v>17.0</v>
      </c>
      <c r="N21" s="155">
        <v>3.495162135999999E7</v>
      </c>
      <c r="O21" s="155">
        <v>5704519.58</v>
      </c>
      <c r="P21" s="155">
        <f t="shared" si="17"/>
        <v>40656140.94</v>
      </c>
      <c r="Q21" s="154">
        <v>17.0</v>
      </c>
      <c r="R21" s="155">
        <v>3.2439438280000005E7</v>
      </c>
      <c r="S21" s="155">
        <v>5050539.640000001</v>
      </c>
      <c r="T21" s="155">
        <v>0.0</v>
      </c>
      <c r="U21" s="155">
        <f t="shared" si="18"/>
        <v>37489977.92</v>
      </c>
      <c r="V21" s="154">
        <v>17.0</v>
      </c>
      <c r="W21" s="155">
        <v>3.372670418E7</v>
      </c>
      <c r="X21" s="155">
        <v>5260191.6</v>
      </c>
      <c r="Y21" s="155">
        <v>0.0</v>
      </c>
      <c r="Z21" s="155">
        <f t="shared" si="19"/>
        <v>38986895.78</v>
      </c>
      <c r="AA21" s="154">
        <v>16.0</v>
      </c>
      <c r="AB21" s="155">
        <v>4.30060224E7</v>
      </c>
      <c r="AC21" s="155">
        <v>8038528.180000001</v>
      </c>
      <c r="AD21" s="155">
        <v>2.264178819E7</v>
      </c>
      <c r="AE21" s="155">
        <v>850000.0</v>
      </c>
      <c r="AF21" s="155">
        <f t="shared" si="20"/>
        <v>74536338.77</v>
      </c>
      <c r="AG21" s="154">
        <v>16.0</v>
      </c>
      <c r="AH21" s="155">
        <v>3.2720333830000006E7</v>
      </c>
      <c r="AI21" s="155">
        <v>7596102.09</v>
      </c>
      <c r="AJ21" s="155">
        <v>0.0</v>
      </c>
      <c r="AK21" s="155">
        <v>800000.0</v>
      </c>
      <c r="AL21" s="155">
        <f t="shared" si="21"/>
        <v>41116435.92</v>
      </c>
      <c r="AM21" s="154">
        <v>16.0</v>
      </c>
      <c r="AN21" s="155">
        <v>3.6774750160000004E7</v>
      </c>
      <c r="AO21" s="155">
        <v>6806532.5600000005</v>
      </c>
      <c r="AP21" s="155">
        <v>134146.0</v>
      </c>
      <c r="AQ21" s="155">
        <v>0.0</v>
      </c>
      <c r="AR21" s="155">
        <f t="shared" si="22"/>
        <v>43715428.72</v>
      </c>
      <c r="AS21" s="154">
        <v>15.0</v>
      </c>
      <c r="AT21" s="155">
        <v>3.3935833239999995E7</v>
      </c>
      <c r="AU21" s="155">
        <v>7728391.95</v>
      </c>
      <c r="AV21" s="155">
        <v>0.0</v>
      </c>
      <c r="AW21" s="155">
        <f t="shared" si="23"/>
        <v>41664225.19</v>
      </c>
      <c r="AX21" s="154">
        <v>15.0</v>
      </c>
      <c r="AY21" s="155">
        <v>6.347216323E7</v>
      </c>
      <c r="AZ21" s="155">
        <v>5906967.78</v>
      </c>
      <c r="BA21" s="155">
        <v>0.0</v>
      </c>
      <c r="BB21" s="155">
        <f t="shared" si="24"/>
        <v>69379131.01</v>
      </c>
      <c r="BC21" s="154">
        <v>15.0</v>
      </c>
      <c r="BD21" s="155">
        <v>3.584698969E7</v>
      </c>
      <c r="BE21" s="155">
        <v>7547274.18</v>
      </c>
      <c r="BF21" s="155">
        <v>750000.0</v>
      </c>
      <c r="BG21" s="155">
        <v>0.0</v>
      </c>
      <c r="BH21" s="155">
        <f t="shared" si="25"/>
        <v>44144263.87</v>
      </c>
      <c r="BI21" s="154">
        <v>15.0</v>
      </c>
      <c r="BJ21" s="155">
        <v>3.920158533E7</v>
      </c>
      <c r="BK21" s="155">
        <v>6668373.72</v>
      </c>
      <c r="BL21" s="155"/>
      <c r="BM21" s="155">
        <v>2.326739979E7</v>
      </c>
      <c r="BN21" s="155">
        <f t="shared" si="26"/>
        <v>69137358.84</v>
      </c>
    </row>
    <row r="22" ht="12.75" customHeight="1">
      <c r="A22" s="153" t="s">
        <v>420</v>
      </c>
      <c r="B22" s="154">
        <v>22.0</v>
      </c>
      <c r="C22" s="155">
        <v>4.451432181000001E7</v>
      </c>
      <c r="D22" s="155">
        <v>3604213.6099999994</v>
      </c>
      <c r="E22" s="155">
        <v>0.0</v>
      </c>
      <c r="F22" s="155">
        <v>2520000.0</v>
      </c>
      <c r="G22" s="155">
        <f t="shared" si="15"/>
        <v>50638535.42</v>
      </c>
      <c r="H22" s="154">
        <v>22.0</v>
      </c>
      <c r="I22" s="155">
        <v>3.7170538019999996E7</v>
      </c>
      <c r="J22" s="155">
        <v>3722864.47</v>
      </c>
      <c r="K22" s="155">
        <v>0.0</v>
      </c>
      <c r="L22" s="155">
        <f t="shared" si="16"/>
        <v>40893402.49</v>
      </c>
      <c r="M22" s="154">
        <v>22.0</v>
      </c>
      <c r="N22" s="155">
        <v>3.991729510999999E7</v>
      </c>
      <c r="O22" s="155">
        <v>3661944.57</v>
      </c>
      <c r="P22" s="155">
        <f t="shared" si="17"/>
        <v>43579239.68</v>
      </c>
      <c r="Q22" s="154">
        <v>22.0</v>
      </c>
      <c r="R22" s="155">
        <v>5.074562927999999E7</v>
      </c>
      <c r="S22" s="155">
        <v>3046905.25</v>
      </c>
      <c r="T22" s="155">
        <v>2286653.3200000003</v>
      </c>
      <c r="U22" s="155">
        <f t="shared" si="18"/>
        <v>56079187.85</v>
      </c>
      <c r="V22" s="154">
        <v>21.0</v>
      </c>
      <c r="W22" s="155">
        <v>3.84410424E7</v>
      </c>
      <c r="X22" s="155">
        <v>4633261.67</v>
      </c>
      <c r="Y22" s="155">
        <v>0.0</v>
      </c>
      <c r="Z22" s="155">
        <f t="shared" si="19"/>
        <v>43074304.07</v>
      </c>
      <c r="AA22" s="154">
        <v>21.0</v>
      </c>
      <c r="AB22" s="155">
        <v>3.933881974E7</v>
      </c>
      <c r="AC22" s="155">
        <v>1.8797853330000002E7</v>
      </c>
      <c r="AD22" s="155">
        <v>2.917383479E7</v>
      </c>
      <c r="AE22" s="155">
        <v>1050000.0</v>
      </c>
      <c r="AF22" s="155">
        <f t="shared" si="20"/>
        <v>88360507.86</v>
      </c>
      <c r="AG22" s="154">
        <v>21.0</v>
      </c>
      <c r="AH22" s="155">
        <v>4.3323574260000005E7</v>
      </c>
      <c r="AI22" s="155">
        <v>1.289907164E7</v>
      </c>
      <c r="AJ22" s="155">
        <v>0.0</v>
      </c>
      <c r="AK22" s="155">
        <v>1050000.0</v>
      </c>
      <c r="AL22" s="155">
        <f t="shared" si="21"/>
        <v>57272645.9</v>
      </c>
      <c r="AM22" s="154">
        <v>21.0</v>
      </c>
      <c r="AN22" s="155">
        <v>4.856396893E7</v>
      </c>
      <c r="AO22" s="155">
        <v>9633350.69</v>
      </c>
      <c r="AP22" s="155">
        <v>532671.0</v>
      </c>
      <c r="AQ22" s="155">
        <v>160000.0</v>
      </c>
      <c r="AR22" s="155">
        <f t="shared" si="22"/>
        <v>58889990.62</v>
      </c>
      <c r="AS22" s="154">
        <v>21.0</v>
      </c>
      <c r="AT22" s="155">
        <v>5.565715661999999E7</v>
      </c>
      <c r="AU22" s="155">
        <v>4309084.86</v>
      </c>
      <c r="AV22" s="155">
        <v>979584.0900000001</v>
      </c>
      <c r="AW22" s="155">
        <f t="shared" si="23"/>
        <v>60945825.57</v>
      </c>
      <c r="AX22" s="154">
        <v>21.0</v>
      </c>
      <c r="AY22" s="155">
        <v>7.964249010000001E7</v>
      </c>
      <c r="AZ22" s="155">
        <v>4186212.98</v>
      </c>
      <c r="BA22" s="155">
        <v>0.0</v>
      </c>
      <c r="BB22" s="155">
        <f t="shared" si="24"/>
        <v>83828703.08</v>
      </c>
      <c r="BC22" s="154">
        <v>21.0</v>
      </c>
      <c r="BD22" s="155">
        <v>5.192438495000001E7</v>
      </c>
      <c r="BE22" s="155">
        <v>1.403411234E7</v>
      </c>
      <c r="BF22" s="155">
        <v>1050000.0</v>
      </c>
      <c r="BG22" s="155">
        <v>0.0</v>
      </c>
      <c r="BH22" s="155">
        <f t="shared" si="25"/>
        <v>67008497.29</v>
      </c>
      <c r="BI22" s="154">
        <v>21.0</v>
      </c>
      <c r="BJ22" s="155">
        <v>5.383509866E7</v>
      </c>
      <c r="BK22" s="155">
        <v>3750318.15</v>
      </c>
      <c r="BL22" s="155"/>
      <c r="BM22" s="155">
        <v>3.175921683E7</v>
      </c>
      <c r="BN22" s="155">
        <f t="shared" si="26"/>
        <v>89344633.64</v>
      </c>
    </row>
    <row r="23" ht="12.75" customHeight="1">
      <c r="A23" s="153" t="s">
        <v>421</v>
      </c>
      <c r="B23" s="154">
        <v>42.0</v>
      </c>
      <c r="C23" s="155">
        <v>9.331265883999999E7</v>
      </c>
      <c r="D23" s="155">
        <v>4705951.94</v>
      </c>
      <c r="E23" s="155">
        <v>1148732.6400000001</v>
      </c>
      <c r="F23" s="155">
        <v>5040000.0</v>
      </c>
      <c r="G23" s="155">
        <f t="shared" si="15"/>
        <v>104207343.4</v>
      </c>
      <c r="H23" s="154">
        <v>42.0</v>
      </c>
      <c r="I23" s="155">
        <v>6.823457487000002E7</v>
      </c>
      <c r="J23" s="155">
        <v>1.184886223E7</v>
      </c>
      <c r="K23" s="155">
        <v>0.0</v>
      </c>
      <c r="L23" s="155">
        <f t="shared" si="16"/>
        <v>80083437.1</v>
      </c>
      <c r="M23" s="154">
        <v>42.0</v>
      </c>
      <c r="N23" s="155">
        <v>6.858427238000001E7</v>
      </c>
      <c r="O23" s="155">
        <v>2440396.9899999998</v>
      </c>
      <c r="P23" s="155">
        <f t="shared" si="17"/>
        <v>71024669.37</v>
      </c>
      <c r="Q23" s="154">
        <v>42.0</v>
      </c>
      <c r="R23" s="155">
        <v>9.654012234E7</v>
      </c>
      <c r="S23" s="155">
        <v>7544269.89</v>
      </c>
      <c r="T23" s="155">
        <v>2132125.8</v>
      </c>
      <c r="U23" s="155">
        <f t="shared" si="18"/>
        <v>106216518</v>
      </c>
      <c r="V23" s="154">
        <v>37.0</v>
      </c>
      <c r="W23" s="155">
        <v>6.802464154E7</v>
      </c>
      <c r="X23" s="155">
        <v>4585109.88</v>
      </c>
      <c r="Y23" s="155">
        <v>0.0</v>
      </c>
      <c r="Z23" s="155">
        <f t="shared" si="19"/>
        <v>72609751.42</v>
      </c>
      <c r="AA23" s="154">
        <v>35.0</v>
      </c>
      <c r="AB23" s="155">
        <v>7.46711674E7</v>
      </c>
      <c r="AC23" s="155">
        <v>2.6500344080000002E7</v>
      </c>
      <c r="AD23" s="155">
        <v>4.618481124E7</v>
      </c>
      <c r="AE23" s="155">
        <v>1800000.0</v>
      </c>
      <c r="AF23" s="155">
        <f t="shared" si="20"/>
        <v>149156322.7</v>
      </c>
      <c r="AG23" s="154">
        <v>34.0</v>
      </c>
      <c r="AH23" s="155">
        <v>1.3801775629999998E8</v>
      </c>
      <c r="AI23" s="155">
        <v>3.15400327E7</v>
      </c>
      <c r="AJ23" s="155">
        <v>855833.48</v>
      </c>
      <c r="AK23" s="155">
        <v>1750000.0</v>
      </c>
      <c r="AL23" s="155">
        <f t="shared" si="21"/>
        <v>172163622.5</v>
      </c>
      <c r="AM23" s="154">
        <v>34.0</v>
      </c>
      <c r="AN23" s="155">
        <v>1.014307883E8</v>
      </c>
      <c r="AO23" s="155">
        <v>1.901981136E7</v>
      </c>
      <c r="AP23" s="155">
        <v>1451661.86</v>
      </c>
      <c r="AQ23" s="155">
        <v>0.0</v>
      </c>
      <c r="AR23" s="155">
        <f t="shared" si="22"/>
        <v>121902261.5</v>
      </c>
      <c r="AS23" s="154">
        <v>33.0</v>
      </c>
      <c r="AT23" s="155">
        <v>6.949612092999998E7</v>
      </c>
      <c r="AU23" s="155">
        <v>5456388.77</v>
      </c>
      <c r="AV23" s="155">
        <v>0.0</v>
      </c>
      <c r="AW23" s="155">
        <f t="shared" si="23"/>
        <v>74952509.7</v>
      </c>
      <c r="AX23" s="154">
        <v>33.0</v>
      </c>
      <c r="AY23" s="155">
        <v>1.1796733357000002E8</v>
      </c>
      <c r="AZ23" s="155">
        <v>3445846.37</v>
      </c>
      <c r="BA23" s="155">
        <v>0.0</v>
      </c>
      <c r="BB23" s="155">
        <f t="shared" si="24"/>
        <v>121413179.9</v>
      </c>
      <c r="BC23" s="154">
        <v>33.0</v>
      </c>
      <c r="BD23" s="155">
        <v>7.133769791999997E7</v>
      </c>
      <c r="BE23" s="155">
        <v>9274172.24</v>
      </c>
      <c r="BF23" s="155">
        <v>1650000.0</v>
      </c>
      <c r="BG23" s="155">
        <v>0.0</v>
      </c>
      <c r="BH23" s="155">
        <f t="shared" si="25"/>
        <v>82261870.16</v>
      </c>
      <c r="BI23" s="154">
        <v>33.0</v>
      </c>
      <c r="BJ23" s="155">
        <v>7.675267756E7</v>
      </c>
      <c r="BK23" s="155">
        <v>5528805.57</v>
      </c>
      <c r="BL23" s="155"/>
      <c r="BM23" s="155">
        <v>4.776142582E7</v>
      </c>
      <c r="BN23" s="155">
        <f t="shared" si="26"/>
        <v>130042909</v>
      </c>
    </row>
    <row r="24" ht="12.75" customHeight="1">
      <c r="A24" s="153" t="s">
        <v>422</v>
      </c>
      <c r="B24" s="154">
        <v>49.0</v>
      </c>
      <c r="C24" s="155">
        <v>9.991832729E7</v>
      </c>
      <c r="D24" s="155">
        <v>7327955.62</v>
      </c>
      <c r="E24" s="155">
        <v>0.0</v>
      </c>
      <c r="F24" s="155">
        <v>5640000.0</v>
      </c>
      <c r="G24" s="155">
        <f t="shared" si="15"/>
        <v>112886282.9</v>
      </c>
      <c r="H24" s="154">
        <v>49.0</v>
      </c>
      <c r="I24" s="155">
        <v>8.463965045999998E7</v>
      </c>
      <c r="J24" s="155">
        <v>1.029529786E7</v>
      </c>
      <c r="K24" s="155">
        <v>0.0</v>
      </c>
      <c r="L24" s="155">
        <f t="shared" si="16"/>
        <v>94934948.32</v>
      </c>
      <c r="M24" s="154">
        <v>49.0</v>
      </c>
      <c r="N24" s="155">
        <v>8.927601236E7</v>
      </c>
      <c r="O24" s="155">
        <v>9695926.17</v>
      </c>
      <c r="P24" s="155">
        <f t="shared" si="17"/>
        <v>98971938.53</v>
      </c>
      <c r="Q24" s="154">
        <v>49.0</v>
      </c>
      <c r="R24" s="155">
        <v>1.1049366402999999E8</v>
      </c>
      <c r="S24" s="155">
        <v>1.484651571E7</v>
      </c>
      <c r="T24" s="155">
        <v>797889.6499999999</v>
      </c>
      <c r="U24" s="155">
        <f t="shared" si="18"/>
        <v>126138069.4</v>
      </c>
      <c r="V24" s="154">
        <v>49.0</v>
      </c>
      <c r="W24" s="155">
        <v>9.185838948E7</v>
      </c>
      <c r="X24" s="155">
        <v>1.4869226690000001E7</v>
      </c>
      <c r="Y24" s="155">
        <v>1131353.9300000002</v>
      </c>
      <c r="Z24" s="155">
        <f t="shared" si="19"/>
        <v>107858970.1</v>
      </c>
      <c r="AA24" s="154">
        <v>48.0</v>
      </c>
      <c r="AB24" s="155">
        <v>8.787596271E7</v>
      </c>
      <c r="AC24" s="155">
        <v>3.949135747E7</v>
      </c>
      <c r="AD24" s="155">
        <v>6.461402046E7</v>
      </c>
      <c r="AE24" s="155">
        <v>2400000.0</v>
      </c>
      <c r="AF24" s="155">
        <f t="shared" si="20"/>
        <v>194381340.6</v>
      </c>
      <c r="AG24" s="154">
        <v>46.0</v>
      </c>
      <c r="AH24" s="155">
        <v>8.912209861E7</v>
      </c>
      <c r="AI24" s="155">
        <v>3.45377676E7</v>
      </c>
      <c r="AJ24" s="155">
        <v>267308.95</v>
      </c>
      <c r="AK24" s="155">
        <v>2300000.0</v>
      </c>
      <c r="AL24" s="155">
        <f t="shared" si="21"/>
        <v>126227175.2</v>
      </c>
      <c r="AM24" s="154">
        <v>46.0</v>
      </c>
      <c r="AN24" s="155">
        <v>9.927842359E7</v>
      </c>
      <c r="AO24" s="155">
        <v>2.442742102E7</v>
      </c>
      <c r="AP24" s="155">
        <v>1096368.0</v>
      </c>
      <c r="AQ24" s="155">
        <v>0.0</v>
      </c>
      <c r="AR24" s="155">
        <f t="shared" si="22"/>
        <v>124802212.6</v>
      </c>
      <c r="AS24" s="154">
        <v>45.0</v>
      </c>
      <c r="AT24" s="155">
        <v>9.630471739000002E7</v>
      </c>
      <c r="AU24" s="155">
        <v>1.040180589E7</v>
      </c>
      <c r="AV24" s="155">
        <v>0.0</v>
      </c>
      <c r="AW24" s="155">
        <f t="shared" si="23"/>
        <v>106706523.3</v>
      </c>
      <c r="AX24" s="154">
        <v>45.0</v>
      </c>
      <c r="AY24" s="155">
        <v>1.7611379211E8</v>
      </c>
      <c r="AZ24" s="155">
        <v>4559582.54</v>
      </c>
      <c r="BA24" s="155">
        <v>681916.6200000001</v>
      </c>
      <c r="BB24" s="155">
        <f t="shared" si="24"/>
        <v>181355291.3</v>
      </c>
      <c r="BC24" s="154">
        <v>45.0</v>
      </c>
      <c r="BD24" s="155">
        <v>9.861788269999996E7</v>
      </c>
      <c r="BE24" s="155">
        <v>3.569435396E7</v>
      </c>
      <c r="BF24" s="155">
        <v>2200000.0</v>
      </c>
      <c r="BG24" s="155">
        <v>0.0</v>
      </c>
      <c r="BH24" s="155">
        <f t="shared" si="25"/>
        <v>136512236.7</v>
      </c>
      <c r="BI24" s="154">
        <v>46.0</v>
      </c>
      <c r="BJ24" s="155">
        <v>1.0936868884E8</v>
      </c>
      <c r="BK24" s="155">
        <v>1.256546892E7</v>
      </c>
      <c r="BL24" s="155"/>
      <c r="BM24" s="155">
        <v>6.974647507E7</v>
      </c>
      <c r="BN24" s="155">
        <f t="shared" si="26"/>
        <v>191680632.8</v>
      </c>
    </row>
    <row r="25" ht="12.75" customHeight="1">
      <c r="A25" s="153" t="s">
        <v>423</v>
      </c>
      <c r="B25" s="154">
        <v>23.0</v>
      </c>
      <c r="C25" s="155">
        <v>4.24110549E7</v>
      </c>
      <c r="D25" s="155">
        <v>2955750.22</v>
      </c>
      <c r="E25" s="155">
        <v>0.0</v>
      </c>
      <c r="F25" s="155">
        <v>2760000.0</v>
      </c>
      <c r="G25" s="155">
        <f t="shared" si="15"/>
        <v>48126805.12</v>
      </c>
      <c r="H25" s="154">
        <v>23.0</v>
      </c>
      <c r="I25" s="155">
        <v>3.717823675E7</v>
      </c>
      <c r="J25" s="155">
        <v>1313896.41</v>
      </c>
      <c r="K25" s="155">
        <v>0.0</v>
      </c>
      <c r="L25" s="155">
        <f t="shared" si="16"/>
        <v>38492133.16</v>
      </c>
      <c r="M25" s="154">
        <v>23.0</v>
      </c>
      <c r="N25" s="155">
        <v>3.7919989839999996E7</v>
      </c>
      <c r="O25" s="155">
        <v>697604.77</v>
      </c>
      <c r="P25" s="155">
        <f t="shared" si="17"/>
        <v>38617594.61</v>
      </c>
      <c r="Q25" s="154">
        <v>23.0</v>
      </c>
      <c r="R25" s="155">
        <v>9.948812419000001E7</v>
      </c>
      <c r="S25" s="155">
        <v>2120355.71</v>
      </c>
      <c r="T25" s="155">
        <v>2279612.7800000003</v>
      </c>
      <c r="U25" s="155">
        <f t="shared" si="18"/>
        <v>103888092.7</v>
      </c>
      <c r="V25" s="154">
        <v>21.0</v>
      </c>
      <c r="W25" s="155">
        <v>3.754726802E7</v>
      </c>
      <c r="X25" s="155">
        <v>3206265.7199999997</v>
      </c>
      <c r="Y25" s="155">
        <v>0.0</v>
      </c>
      <c r="Z25" s="155">
        <f t="shared" si="19"/>
        <v>40753533.74</v>
      </c>
      <c r="AA25" s="154">
        <v>21.0</v>
      </c>
      <c r="AB25" s="155">
        <v>3.764900341000001E7</v>
      </c>
      <c r="AC25" s="155">
        <v>2.383912642E7</v>
      </c>
      <c r="AD25" s="155">
        <v>3.072871126E7</v>
      </c>
      <c r="AE25" s="155">
        <v>1050000.0</v>
      </c>
      <c r="AF25" s="155">
        <f t="shared" si="20"/>
        <v>93266841.09</v>
      </c>
      <c r="AG25" s="154">
        <v>21.0</v>
      </c>
      <c r="AH25" s="155">
        <v>4.549513143E7</v>
      </c>
      <c r="AI25" s="155">
        <v>65926.08</v>
      </c>
      <c r="AJ25" s="155">
        <v>0.0</v>
      </c>
      <c r="AK25" s="155">
        <v>1050000.0</v>
      </c>
      <c r="AL25" s="155">
        <f t="shared" si="21"/>
        <v>46611057.51</v>
      </c>
      <c r="AM25" s="154">
        <v>22.0</v>
      </c>
      <c r="AN25" s="155">
        <v>4.8855420699999996E7</v>
      </c>
      <c r="AO25" s="155">
        <v>1.4623489870000001E7</v>
      </c>
      <c r="AP25" s="155">
        <v>683285.0</v>
      </c>
      <c r="AQ25" s="155">
        <v>160000.0</v>
      </c>
      <c r="AR25" s="155">
        <f t="shared" si="22"/>
        <v>64322195.57</v>
      </c>
      <c r="AS25" s="154">
        <v>22.0</v>
      </c>
      <c r="AT25" s="155">
        <v>4.835885337E7</v>
      </c>
      <c r="AU25" s="155">
        <v>3017834.44</v>
      </c>
      <c r="AV25" s="155">
        <v>0.0</v>
      </c>
      <c r="AW25" s="155">
        <f t="shared" si="23"/>
        <v>51376687.81</v>
      </c>
      <c r="AX25" s="154">
        <v>22.0</v>
      </c>
      <c r="AY25" s="155">
        <v>8.763174458E7</v>
      </c>
      <c r="AZ25" s="155">
        <v>885859.2000000001</v>
      </c>
      <c r="BA25" s="155">
        <v>0.0</v>
      </c>
      <c r="BB25" s="155">
        <f t="shared" si="24"/>
        <v>88517603.78</v>
      </c>
      <c r="BC25" s="154">
        <v>22.0</v>
      </c>
      <c r="BD25" s="155">
        <v>5.1913942230000004E7</v>
      </c>
      <c r="BE25" s="155">
        <v>1.1629761530000001E7</v>
      </c>
      <c r="BF25" s="155">
        <v>1100000.0</v>
      </c>
      <c r="BG25" s="155">
        <v>0.0</v>
      </c>
      <c r="BH25" s="155">
        <f t="shared" si="25"/>
        <v>64643703.76</v>
      </c>
      <c r="BI25" s="154">
        <v>22.0</v>
      </c>
      <c r="BJ25" s="155">
        <v>5.51140214E7</v>
      </c>
      <c r="BK25" s="155">
        <v>7267896.44</v>
      </c>
      <c r="BL25" s="155"/>
      <c r="BM25" s="155">
        <v>3.374717995E7</v>
      </c>
      <c r="BN25" s="155">
        <f t="shared" si="26"/>
        <v>96129097.79</v>
      </c>
    </row>
    <row r="26" ht="12.75" customHeight="1">
      <c r="A26" s="153" t="s">
        <v>424</v>
      </c>
      <c r="B26" s="154">
        <v>18.0</v>
      </c>
      <c r="C26" s="155">
        <v>3.744226031999999E7</v>
      </c>
      <c r="D26" s="155">
        <v>3717759.3899999997</v>
      </c>
      <c r="E26" s="155">
        <v>0.0</v>
      </c>
      <c r="F26" s="155">
        <v>2160000.0</v>
      </c>
      <c r="G26" s="155">
        <f t="shared" si="15"/>
        <v>43320019.71</v>
      </c>
      <c r="H26" s="154">
        <v>18.0</v>
      </c>
      <c r="I26" s="155">
        <v>3.2583702090000007E7</v>
      </c>
      <c r="J26" s="155">
        <v>4264239.880000001</v>
      </c>
      <c r="K26" s="155">
        <v>0.0</v>
      </c>
      <c r="L26" s="155">
        <f t="shared" si="16"/>
        <v>36847941.97</v>
      </c>
      <c r="M26" s="154">
        <v>18.0</v>
      </c>
      <c r="N26" s="155">
        <v>3.553026387999999E7</v>
      </c>
      <c r="O26" s="155">
        <v>1176978.41</v>
      </c>
      <c r="P26" s="155">
        <f t="shared" si="17"/>
        <v>36707242.29</v>
      </c>
      <c r="Q26" s="154">
        <v>18.0</v>
      </c>
      <c r="R26" s="155">
        <v>6.355895936E7</v>
      </c>
      <c r="S26" s="155">
        <v>2264551.66</v>
      </c>
      <c r="T26" s="155">
        <v>1073317.4700000002</v>
      </c>
      <c r="U26" s="155">
        <f t="shared" si="18"/>
        <v>66896828.49</v>
      </c>
      <c r="V26" s="154">
        <v>17.0</v>
      </c>
      <c r="W26" s="155">
        <v>3.320781113E7</v>
      </c>
      <c r="X26" s="155">
        <v>2151882.08</v>
      </c>
      <c r="Y26" s="155">
        <v>0.0</v>
      </c>
      <c r="Z26" s="155">
        <f t="shared" si="19"/>
        <v>35359693.21</v>
      </c>
      <c r="AA26" s="154">
        <v>17.0</v>
      </c>
      <c r="AB26" s="155">
        <v>3.186222003E7</v>
      </c>
      <c r="AC26" s="155">
        <v>8140353.68</v>
      </c>
      <c r="AD26" s="155">
        <v>2.204737404E7</v>
      </c>
      <c r="AE26" s="155">
        <v>850000.0</v>
      </c>
      <c r="AF26" s="155">
        <f t="shared" si="20"/>
        <v>62899947.75</v>
      </c>
      <c r="AG26" s="154">
        <v>16.0</v>
      </c>
      <c r="AH26" s="155">
        <v>3.372512523000001E7</v>
      </c>
      <c r="AI26" s="155">
        <v>8016476.05</v>
      </c>
      <c r="AJ26" s="155">
        <v>0.0</v>
      </c>
      <c r="AK26" s="155">
        <v>800000.0</v>
      </c>
      <c r="AL26" s="155">
        <f t="shared" si="21"/>
        <v>42541601.28</v>
      </c>
      <c r="AM26" s="154">
        <v>16.0</v>
      </c>
      <c r="AN26" s="155">
        <v>3.669375956999999E7</v>
      </c>
      <c r="AO26" s="155">
        <v>5594634.62</v>
      </c>
      <c r="AP26" s="155">
        <v>256607.0</v>
      </c>
      <c r="AQ26" s="155">
        <v>160000.0</v>
      </c>
      <c r="AR26" s="155">
        <f t="shared" si="22"/>
        <v>42705001.19</v>
      </c>
      <c r="AS26" s="154">
        <v>16.0</v>
      </c>
      <c r="AT26" s="155">
        <v>3.5585428849999994E7</v>
      </c>
      <c r="AU26" s="155">
        <v>2111238.21</v>
      </c>
      <c r="AV26" s="155">
        <v>0.0</v>
      </c>
      <c r="AW26" s="155">
        <f t="shared" si="23"/>
        <v>37696667.06</v>
      </c>
      <c r="AX26" s="154">
        <v>16.0</v>
      </c>
      <c r="AY26" s="155">
        <v>6.916605906000002E7</v>
      </c>
      <c r="AZ26" s="155">
        <v>1238006.04</v>
      </c>
      <c r="BA26" s="155">
        <v>0.0</v>
      </c>
      <c r="BB26" s="155">
        <f t="shared" si="24"/>
        <v>70404065.1</v>
      </c>
      <c r="BC26" s="154">
        <v>16.0</v>
      </c>
      <c r="BD26" s="155">
        <v>3.8357648629999995E7</v>
      </c>
      <c r="BE26" s="155">
        <v>6864695.3</v>
      </c>
      <c r="BF26" s="155">
        <v>800000.0</v>
      </c>
      <c r="BG26" s="155">
        <v>0.0</v>
      </c>
      <c r="BH26" s="155">
        <f t="shared" si="25"/>
        <v>46022343.93</v>
      </c>
      <c r="BI26" s="154">
        <v>16.0</v>
      </c>
      <c r="BJ26" s="155">
        <v>3.817967225E7</v>
      </c>
      <c r="BK26" s="155">
        <v>3091423.25</v>
      </c>
      <c r="BL26" s="155"/>
      <c r="BM26" s="155">
        <v>2.309657095E7</v>
      </c>
      <c r="BN26" s="155">
        <f t="shared" si="26"/>
        <v>64367666.45</v>
      </c>
    </row>
    <row r="27" ht="12.75" customHeight="1">
      <c r="A27" s="153" t="s">
        <v>425</v>
      </c>
      <c r="B27" s="154">
        <v>34.0</v>
      </c>
      <c r="C27" s="155">
        <v>6.484508022000001E7</v>
      </c>
      <c r="D27" s="155">
        <v>8123146.149999999</v>
      </c>
      <c r="E27" s="155">
        <v>0.0</v>
      </c>
      <c r="F27" s="155">
        <v>4080000.0</v>
      </c>
      <c r="G27" s="155">
        <f t="shared" si="15"/>
        <v>77048226.37</v>
      </c>
      <c r="H27" s="154">
        <v>34.0</v>
      </c>
      <c r="I27" s="155">
        <v>5.656144814000001E7</v>
      </c>
      <c r="J27" s="155">
        <v>1.1791737559999999E7</v>
      </c>
      <c r="K27" s="155">
        <v>0.0</v>
      </c>
      <c r="L27" s="155">
        <f t="shared" si="16"/>
        <v>68353185.7</v>
      </c>
      <c r="M27" s="154">
        <v>34.0</v>
      </c>
      <c r="N27" s="155">
        <v>5.929144592999999E7</v>
      </c>
      <c r="O27" s="155">
        <v>6118607.65</v>
      </c>
      <c r="P27" s="155">
        <f t="shared" si="17"/>
        <v>65410053.58</v>
      </c>
      <c r="Q27" s="154">
        <v>34.0</v>
      </c>
      <c r="R27" s="155">
        <v>9.617356154E7</v>
      </c>
      <c r="S27" s="155">
        <v>9188167.98</v>
      </c>
      <c r="T27" s="155">
        <v>1393388.74</v>
      </c>
      <c r="U27" s="155">
        <f t="shared" si="18"/>
        <v>106755118.3</v>
      </c>
      <c r="V27" s="154">
        <v>32.0</v>
      </c>
      <c r="W27" s="155">
        <v>5.7990805239999995E7</v>
      </c>
      <c r="X27" s="155">
        <v>1.479607145E7</v>
      </c>
      <c r="Y27" s="155">
        <v>0.0</v>
      </c>
      <c r="Z27" s="155">
        <f t="shared" si="19"/>
        <v>72786876.69</v>
      </c>
      <c r="AA27" s="154">
        <v>31.0</v>
      </c>
      <c r="AB27" s="155">
        <v>6.157304587999999E7</v>
      </c>
      <c r="AC27" s="155">
        <v>2.603581379E7</v>
      </c>
      <c r="AD27" s="155">
        <v>4.17135222E7</v>
      </c>
      <c r="AE27" s="155">
        <v>1600000.0</v>
      </c>
      <c r="AF27" s="155">
        <f t="shared" si="20"/>
        <v>130922381.9</v>
      </c>
      <c r="AG27" s="154">
        <v>31.0</v>
      </c>
      <c r="AH27" s="155">
        <v>6.258001781999999E7</v>
      </c>
      <c r="AI27" s="155">
        <v>8597273.219999999</v>
      </c>
      <c r="AJ27" s="155">
        <v>0.0</v>
      </c>
      <c r="AK27" s="155">
        <v>1550000.0</v>
      </c>
      <c r="AL27" s="155">
        <f t="shared" si="21"/>
        <v>72727291.04</v>
      </c>
      <c r="AM27" s="154">
        <v>30.0</v>
      </c>
      <c r="AN27" s="155">
        <v>6.534659092000001E7</v>
      </c>
      <c r="AO27" s="155">
        <v>2.5636204E7</v>
      </c>
      <c r="AP27" s="155">
        <v>643356.0</v>
      </c>
      <c r="AQ27" s="155">
        <v>160000.0</v>
      </c>
      <c r="AR27" s="155">
        <f t="shared" si="22"/>
        <v>91786150.92</v>
      </c>
      <c r="AS27" s="154">
        <v>30.0</v>
      </c>
      <c r="AT27" s="155">
        <v>6.7077423E7</v>
      </c>
      <c r="AU27" s="155">
        <v>1938127.77</v>
      </c>
      <c r="AV27" s="155">
        <v>0.0</v>
      </c>
      <c r="AW27" s="155">
        <f t="shared" si="23"/>
        <v>69015550.77</v>
      </c>
      <c r="AX27" s="154">
        <v>30.0</v>
      </c>
      <c r="AY27" s="155">
        <v>1.1496279718E8</v>
      </c>
      <c r="AZ27" s="155">
        <v>4359914.57</v>
      </c>
      <c r="BA27" s="155">
        <v>0.0</v>
      </c>
      <c r="BB27" s="155">
        <f t="shared" si="24"/>
        <v>119322711.8</v>
      </c>
      <c r="BC27" s="154">
        <v>30.0</v>
      </c>
      <c r="BD27" s="155">
        <v>6.332457249999998E7</v>
      </c>
      <c r="BE27" s="155">
        <v>5652164.359999999</v>
      </c>
      <c r="BF27" s="155">
        <v>1450000.0</v>
      </c>
      <c r="BG27" s="155">
        <v>0.0</v>
      </c>
      <c r="BH27" s="155">
        <f t="shared" si="25"/>
        <v>70426736.86</v>
      </c>
      <c r="BI27" s="154">
        <v>29.0</v>
      </c>
      <c r="BJ27" s="155">
        <v>6.501461657E7</v>
      </c>
      <c r="BK27" s="155">
        <v>1379455.71</v>
      </c>
      <c r="BL27" s="155"/>
      <c r="BM27" s="155">
        <v>4.430479016E7</v>
      </c>
      <c r="BN27" s="155">
        <f t="shared" si="26"/>
        <v>110698862.4</v>
      </c>
    </row>
    <row r="28" ht="12.75" customHeight="1">
      <c r="A28" s="153" t="s">
        <v>426</v>
      </c>
      <c r="B28" s="154">
        <v>0.0</v>
      </c>
      <c r="C28" s="155"/>
      <c r="D28" s="155"/>
      <c r="E28" s="155"/>
      <c r="F28" s="155"/>
      <c r="G28" s="155">
        <f t="shared" si="15"/>
        <v>0</v>
      </c>
      <c r="H28" s="154">
        <v>0.0</v>
      </c>
      <c r="I28" s="155">
        <v>0.0</v>
      </c>
      <c r="J28" s="155">
        <v>0.0</v>
      </c>
      <c r="K28" s="155"/>
      <c r="L28" s="155">
        <f t="shared" si="16"/>
        <v>0</v>
      </c>
      <c r="M28" s="154">
        <v>0.0</v>
      </c>
      <c r="N28" s="155"/>
      <c r="O28" s="155"/>
      <c r="P28" s="155">
        <f t="shared" si="17"/>
        <v>0</v>
      </c>
      <c r="Q28" s="154">
        <v>0.0</v>
      </c>
      <c r="R28" s="155">
        <v>0.0</v>
      </c>
      <c r="S28" s="155">
        <v>0.0</v>
      </c>
      <c r="T28" s="155"/>
      <c r="U28" s="155">
        <f t="shared" si="18"/>
        <v>0</v>
      </c>
      <c r="V28" s="154">
        <v>0.0</v>
      </c>
      <c r="W28" s="155">
        <v>0.0</v>
      </c>
      <c r="X28" s="155">
        <v>0.0</v>
      </c>
      <c r="Y28" s="155"/>
      <c r="Z28" s="155">
        <f t="shared" si="19"/>
        <v>0</v>
      </c>
      <c r="AA28" s="154">
        <v>0.0</v>
      </c>
      <c r="AB28" s="155">
        <v>0.0</v>
      </c>
      <c r="AC28" s="155">
        <v>0.0</v>
      </c>
      <c r="AD28" s="155"/>
      <c r="AE28" s="155"/>
      <c r="AF28" s="155">
        <f t="shared" si="20"/>
        <v>0</v>
      </c>
      <c r="AG28" s="154">
        <v>0.0</v>
      </c>
      <c r="AH28" s="155">
        <v>0.0</v>
      </c>
      <c r="AI28" s="155">
        <v>0.0</v>
      </c>
      <c r="AJ28" s="155"/>
      <c r="AK28" s="155"/>
      <c r="AL28" s="155">
        <f t="shared" si="21"/>
        <v>0</v>
      </c>
      <c r="AM28" s="154">
        <v>0.0</v>
      </c>
      <c r="AN28" s="155">
        <v>0.0</v>
      </c>
      <c r="AO28" s="155">
        <v>0.0</v>
      </c>
      <c r="AP28" s="155">
        <v>0.0</v>
      </c>
      <c r="AQ28" s="155">
        <v>0.0</v>
      </c>
      <c r="AR28" s="155">
        <f t="shared" si="22"/>
        <v>0</v>
      </c>
      <c r="AS28" s="154">
        <v>0.0</v>
      </c>
      <c r="AT28" s="155">
        <v>0.0</v>
      </c>
      <c r="AU28" s="155">
        <v>0.0</v>
      </c>
      <c r="AV28" s="155">
        <v>0.0</v>
      </c>
      <c r="AW28" s="155">
        <f t="shared" si="23"/>
        <v>0</v>
      </c>
      <c r="AX28" s="154">
        <v>0.0</v>
      </c>
      <c r="AY28" s="155">
        <v>0.0</v>
      </c>
      <c r="AZ28" s="155">
        <v>0.0</v>
      </c>
      <c r="BA28" s="155">
        <v>0.0</v>
      </c>
      <c r="BB28" s="155">
        <f t="shared" si="24"/>
        <v>0</v>
      </c>
      <c r="BC28" s="154">
        <v>0.0</v>
      </c>
      <c r="BD28" s="155">
        <v>0.0</v>
      </c>
      <c r="BE28" s="155">
        <v>0.0</v>
      </c>
      <c r="BF28" s="155"/>
      <c r="BG28" s="155">
        <v>0.0</v>
      </c>
      <c r="BH28" s="155">
        <f t="shared" si="25"/>
        <v>0</v>
      </c>
      <c r="BI28" s="154">
        <v>0.0</v>
      </c>
      <c r="BJ28" s="155"/>
      <c r="BK28" s="155"/>
      <c r="BL28" s="155"/>
      <c r="BM28" s="155">
        <v>0.0</v>
      </c>
      <c r="BN28" s="155">
        <f t="shared" si="26"/>
        <v>0</v>
      </c>
    </row>
    <row r="29" ht="12.75" customHeight="1">
      <c r="A29" s="153" t="s">
        <v>427</v>
      </c>
      <c r="B29" s="154">
        <v>8.0</v>
      </c>
      <c r="C29" s="155">
        <v>1.3968667830000002E7</v>
      </c>
      <c r="D29" s="155">
        <v>895447.27</v>
      </c>
      <c r="E29" s="155">
        <v>0.0</v>
      </c>
      <c r="F29" s="155">
        <v>960000.0</v>
      </c>
      <c r="G29" s="155">
        <f t="shared" si="15"/>
        <v>15824115.1</v>
      </c>
      <c r="H29" s="154">
        <v>8.0</v>
      </c>
      <c r="I29" s="155">
        <v>1.231192063E7</v>
      </c>
      <c r="J29" s="155">
        <v>1463828.88</v>
      </c>
      <c r="K29" s="155">
        <v>0.0</v>
      </c>
      <c r="L29" s="155">
        <f t="shared" si="16"/>
        <v>13775749.51</v>
      </c>
      <c r="M29" s="154">
        <v>8.0</v>
      </c>
      <c r="N29" s="155">
        <v>1.355728494E7</v>
      </c>
      <c r="O29" s="155">
        <v>1329192.52</v>
      </c>
      <c r="P29" s="155">
        <f t="shared" si="17"/>
        <v>14886477.46</v>
      </c>
      <c r="Q29" s="154">
        <v>8.0</v>
      </c>
      <c r="R29" s="155">
        <v>1.2298655100000001E7</v>
      </c>
      <c r="S29" s="155">
        <v>1104157.17</v>
      </c>
      <c r="T29" s="155">
        <v>0.0</v>
      </c>
      <c r="U29" s="155">
        <f t="shared" si="18"/>
        <v>13402812.27</v>
      </c>
      <c r="V29" s="154">
        <v>8.0</v>
      </c>
      <c r="W29" s="155">
        <v>1.3441253679999998E7</v>
      </c>
      <c r="X29" s="155">
        <v>1354919.8399999999</v>
      </c>
      <c r="Y29" s="155">
        <v>0.0</v>
      </c>
      <c r="Z29" s="155">
        <f t="shared" si="19"/>
        <v>14796173.52</v>
      </c>
      <c r="AA29" s="154">
        <v>8.0</v>
      </c>
      <c r="AB29" s="155">
        <v>1.2867560389999997E7</v>
      </c>
      <c r="AC29" s="155">
        <v>2419368.45</v>
      </c>
      <c r="AD29" s="155">
        <v>8577600.81</v>
      </c>
      <c r="AE29" s="155">
        <v>400000.0</v>
      </c>
      <c r="AF29" s="155">
        <f t="shared" si="20"/>
        <v>24264529.65</v>
      </c>
      <c r="AG29" s="154">
        <v>8.0</v>
      </c>
      <c r="AH29" s="155">
        <v>1.4231157589999994E7</v>
      </c>
      <c r="AI29" s="155">
        <v>2081582.76</v>
      </c>
      <c r="AJ29" s="155">
        <v>0.0</v>
      </c>
      <c r="AK29" s="155">
        <v>400000.0</v>
      </c>
      <c r="AL29" s="155">
        <f t="shared" si="21"/>
        <v>16712740.35</v>
      </c>
      <c r="AM29" s="154">
        <v>8.0</v>
      </c>
      <c r="AN29" s="155">
        <v>1.5698060729999997E7</v>
      </c>
      <c r="AO29" s="155">
        <v>2274009.11</v>
      </c>
      <c r="AP29" s="155">
        <v>48606.0</v>
      </c>
      <c r="AQ29" s="155">
        <v>0.0</v>
      </c>
      <c r="AR29" s="155">
        <f t="shared" si="22"/>
        <v>18020675.84</v>
      </c>
      <c r="AS29" s="154">
        <v>7.0</v>
      </c>
      <c r="AT29" s="155">
        <v>1.3349241510000002E7</v>
      </c>
      <c r="AU29" s="155">
        <v>1561247.92</v>
      </c>
      <c r="AV29" s="155">
        <v>0.0</v>
      </c>
      <c r="AW29" s="155">
        <f t="shared" si="23"/>
        <v>14910489.43</v>
      </c>
      <c r="AX29" s="154">
        <v>7.0</v>
      </c>
      <c r="AY29" s="155">
        <v>2.526826427E7</v>
      </c>
      <c r="AZ29" s="155">
        <v>1266117.09</v>
      </c>
      <c r="BA29" s="155">
        <v>0.0</v>
      </c>
      <c r="BB29" s="155">
        <f t="shared" si="24"/>
        <v>26534381.36</v>
      </c>
      <c r="BC29" s="154">
        <v>7.0</v>
      </c>
      <c r="BD29" s="155">
        <v>1.4566727679999998E7</v>
      </c>
      <c r="BE29" s="155">
        <v>2445216.25</v>
      </c>
      <c r="BF29" s="155">
        <v>350000.0</v>
      </c>
      <c r="BG29" s="155">
        <v>0.0</v>
      </c>
      <c r="BH29" s="155">
        <f t="shared" si="25"/>
        <v>17361943.93</v>
      </c>
      <c r="BI29" s="154">
        <v>7.0</v>
      </c>
      <c r="BJ29" s="155">
        <v>1.493246759E7</v>
      </c>
      <c r="BK29" s="155">
        <v>1676349.6</v>
      </c>
      <c r="BL29" s="155"/>
      <c r="BM29" s="155">
        <v>8934999.59</v>
      </c>
      <c r="BN29" s="155">
        <f t="shared" si="26"/>
        <v>25543816.78</v>
      </c>
    </row>
    <row r="30" ht="12.75" customHeight="1">
      <c r="A30" s="153" t="s">
        <v>428</v>
      </c>
      <c r="B30" s="154">
        <v>0.0</v>
      </c>
      <c r="C30" s="155"/>
      <c r="D30" s="155"/>
      <c r="E30" s="155"/>
      <c r="F30" s="155"/>
      <c r="G30" s="155">
        <f t="shared" si="15"/>
        <v>0</v>
      </c>
      <c r="H30" s="154">
        <v>0.0</v>
      </c>
      <c r="I30" s="155"/>
      <c r="J30" s="155"/>
      <c r="K30" s="155"/>
      <c r="L30" s="155">
        <f t="shared" si="16"/>
        <v>0</v>
      </c>
      <c r="M30" s="154">
        <v>0.0</v>
      </c>
      <c r="N30" s="155"/>
      <c r="O30" s="155"/>
      <c r="P30" s="155">
        <f t="shared" si="17"/>
        <v>0</v>
      </c>
      <c r="Q30" s="154">
        <v>0.0</v>
      </c>
      <c r="R30" s="155"/>
      <c r="S30" s="155"/>
      <c r="T30" s="155"/>
      <c r="U30" s="155">
        <f t="shared" si="18"/>
        <v>0</v>
      </c>
      <c r="V30" s="154">
        <v>0.0</v>
      </c>
      <c r="W30" s="155"/>
      <c r="X30" s="155"/>
      <c r="Y30" s="155"/>
      <c r="Z30" s="155">
        <f t="shared" si="19"/>
        <v>0</v>
      </c>
      <c r="AA30" s="154">
        <v>0.0</v>
      </c>
      <c r="AB30" s="155"/>
      <c r="AC30" s="155"/>
      <c r="AD30" s="155"/>
      <c r="AE30" s="155"/>
      <c r="AF30" s="155">
        <f t="shared" ref="AF30:AF31" si="27">SUM(AB30:AD30)</f>
        <v>0</v>
      </c>
      <c r="AG30" s="154">
        <v>0.0</v>
      </c>
      <c r="AH30" s="155"/>
      <c r="AI30" s="155"/>
      <c r="AJ30" s="155"/>
      <c r="AK30" s="155"/>
      <c r="AL30" s="155">
        <f t="shared" ref="AL30:AL31" si="28">SUM(AH30:AJ30)</f>
        <v>0</v>
      </c>
      <c r="AM30" s="154">
        <v>0.0</v>
      </c>
      <c r="AN30" s="155"/>
      <c r="AO30" s="155"/>
      <c r="AP30" s="155"/>
      <c r="AQ30" s="155"/>
      <c r="AR30" s="155">
        <f t="shared" ref="AR30:AR31" si="29">SUM(AN30:AP30)</f>
        <v>0</v>
      </c>
      <c r="AS30" s="154">
        <v>0.0</v>
      </c>
      <c r="AT30" s="155"/>
      <c r="AU30" s="155"/>
      <c r="AV30" s="155"/>
      <c r="AW30" s="155">
        <f t="shared" si="23"/>
        <v>0</v>
      </c>
      <c r="AX30" s="154">
        <v>0.0</v>
      </c>
      <c r="AY30" s="155"/>
      <c r="AZ30" s="155"/>
      <c r="BA30" s="155"/>
      <c r="BB30" s="155">
        <f t="shared" si="24"/>
        <v>0</v>
      </c>
      <c r="BC30" s="154">
        <v>0.0</v>
      </c>
      <c r="BD30" s="155"/>
      <c r="BE30" s="155"/>
      <c r="BF30" s="155"/>
      <c r="BG30" s="155"/>
      <c r="BH30" s="155">
        <f t="shared" si="25"/>
        <v>0</v>
      </c>
      <c r="BI30" s="154">
        <v>0.0</v>
      </c>
      <c r="BJ30" s="155"/>
      <c r="BK30" s="155"/>
      <c r="BL30" s="155"/>
      <c r="BM30" s="155"/>
      <c r="BN30" s="155">
        <f t="shared" si="26"/>
        <v>0</v>
      </c>
    </row>
    <row r="31" ht="12.75" customHeight="1">
      <c r="A31" s="153" t="s">
        <v>429</v>
      </c>
      <c r="B31" s="154">
        <v>0.0</v>
      </c>
      <c r="C31" s="155"/>
      <c r="D31" s="155"/>
      <c r="E31" s="155"/>
      <c r="F31" s="155"/>
      <c r="G31" s="155">
        <f t="shared" si="15"/>
        <v>0</v>
      </c>
      <c r="H31" s="154">
        <v>0.0</v>
      </c>
      <c r="I31" s="155"/>
      <c r="J31" s="155"/>
      <c r="K31" s="155"/>
      <c r="L31" s="155">
        <f t="shared" si="16"/>
        <v>0</v>
      </c>
      <c r="M31" s="154">
        <v>0.0</v>
      </c>
      <c r="N31" s="155"/>
      <c r="O31" s="155"/>
      <c r="P31" s="155">
        <f t="shared" si="17"/>
        <v>0</v>
      </c>
      <c r="Q31" s="154">
        <v>0.0</v>
      </c>
      <c r="R31" s="155"/>
      <c r="S31" s="155"/>
      <c r="T31" s="155"/>
      <c r="U31" s="155">
        <f t="shared" si="18"/>
        <v>0</v>
      </c>
      <c r="V31" s="154">
        <v>0.0</v>
      </c>
      <c r="W31" s="155"/>
      <c r="X31" s="155"/>
      <c r="Y31" s="155"/>
      <c r="Z31" s="155">
        <f t="shared" si="19"/>
        <v>0</v>
      </c>
      <c r="AA31" s="154">
        <v>0.0</v>
      </c>
      <c r="AB31" s="155"/>
      <c r="AC31" s="155"/>
      <c r="AD31" s="155"/>
      <c r="AE31" s="155"/>
      <c r="AF31" s="155">
        <f t="shared" si="27"/>
        <v>0</v>
      </c>
      <c r="AG31" s="154">
        <v>0.0</v>
      </c>
      <c r="AH31" s="155"/>
      <c r="AI31" s="155"/>
      <c r="AJ31" s="155"/>
      <c r="AK31" s="155"/>
      <c r="AL31" s="155">
        <f t="shared" si="28"/>
        <v>0</v>
      </c>
      <c r="AM31" s="154">
        <v>0.0</v>
      </c>
      <c r="AN31" s="155"/>
      <c r="AO31" s="155"/>
      <c r="AP31" s="155"/>
      <c r="AQ31" s="155"/>
      <c r="AR31" s="155">
        <f t="shared" si="29"/>
        <v>0</v>
      </c>
      <c r="AS31" s="154">
        <v>0.0</v>
      </c>
      <c r="AT31" s="155"/>
      <c r="AU31" s="155"/>
      <c r="AV31" s="155"/>
      <c r="AW31" s="155">
        <f t="shared" si="23"/>
        <v>0</v>
      </c>
      <c r="AX31" s="154">
        <v>0.0</v>
      </c>
      <c r="AY31" s="155"/>
      <c r="AZ31" s="155"/>
      <c r="BA31" s="155"/>
      <c r="BB31" s="155">
        <f t="shared" si="24"/>
        <v>0</v>
      </c>
      <c r="BC31" s="154">
        <v>0.0</v>
      </c>
      <c r="BD31" s="155"/>
      <c r="BE31" s="155"/>
      <c r="BF31" s="155"/>
      <c r="BG31" s="155"/>
      <c r="BH31" s="155">
        <f t="shared" si="25"/>
        <v>0</v>
      </c>
      <c r="BI31" s="154">
        <v>0.0</v>
      </c>
      <c r="BJ31" s="155"/>
      <c r="BK31" s="155"/>
      <c r="BL31" s="155"/>
      <c r="BM31" s="155"/>
      <c r="BN31" s="155">
        <f t="shared" si="26"/>
        <v>0</v>
      </c>
    </row>
    <row r="32" ht="12.75" customHeight="1">
      <c r="A32" s="147" t="s">
        <v>416</v>
      </c>
      <c r="B32" s="157">
        <f t="shared" ref="B32:BN32" si="30">SUM(B20:B31)</f>
        <v>217</v>
      </c>
      <c r="C32" s="158">
        <f t="shared" si="30"/>
        <v>444737750.2</v>
      </c>
      <c r="D32" s="158">
        <f t="shared" si="30"/>
        <v>36034167.76</v>
      </c>
      <c r="E32" s="158">
        <f t="shared" si="30"/>
        <v>1148732.64</v>
      </c>
      <c r="F32" s="158">
        <f t="shared" si="30"/>
        <v>25680000</v>
      </c>
      <c r="G32" s="158">
        <f t="shared" si="30"/>
        <v>507600650.6</v>
      </c>
      <c r="H32" s="157">
        <f t="shared" si="30"/>
        <v>217</v>
      </c>
      <c r="I32" s="158">
        <f t="shared" si="30"/>
        <v>369555559.1</v>
      </c>
      <c r="J32" s="158">
        <f t="shared" si="30"/>
        <v>51151931.91</v>
      </c>
      <c r="K32" s="158">
        <f t="shared" si="30"/>
        <v>0</v>
      </c>
      <c r="L32" s="158">
        <f t="shared" si="30"/>
        <v>420707491</v>
      </c>
      <c r="M32" s="157">
        <f t="shared" si="30"/>
        <v>217</v>
      </c>
      <c r="N32" s="158">
        <f t="shared" si="30"/>
        <v>388255744.8</v>
      </c>
      <c r="O32" s="158">
        <f t="shared" si="30"/>
        <v>30866932.46</v>
      </c>
      <c r="P32" s="158">
        <f t="shared" si="30"/>
        <v>419122677.3</v>
      </c>
      <c r="Q32" s="157">
        <f t="shared" si="30"/>
        <v>217</v>
      </c>
      <c r="R32" s="158">
        <f t="shared" si="30"/>
        <v>571066050.3</v>
      </c>
      <c r="S32" s="158">
        <f t="shared" si="30"/>
        <v>45573440.33</v>
      </c>
      <c r="T32" s="158">
        <f t="shared" si="30"/>
        <v>9962987.76</v>
      </c>
      <c r="U32" s="158">
        <f t="shared" si="30"/>
        <v>626602478.4</v>
      </c>
      <c r="V32" s="157">
        <f t="shared" si="30"/>
        <v>203</v>
      </c>
      <c r="W32" s="158">
        <f t="shared" si="30"/>
        <v>384395877.4</v>
      </c>
      <c r="X32" s="158">
        <f t="shared" si="30"/>
        <v>51106054.85</v>
      </c>
      <c r="Y32" s="158">
        <f t="shared" si="30"/>
        <v>1131353.93</v>
      </c>
      <c r="Z32" s="158">
        <f t="shared" si="30"/>
        <v>436633286.2</v>
      </c>
      <c r="AA32" s="157">
        <f t="shared" si="30"/>
        <v>198</v>
      </c>
      <c r="AB32" s="158">
        <f t="shared" si="30"/>
        <v>398855006.3</v>
      </c>
      <c r="AC32" s="158">
        <f t="shared" si="30"/>
        <v>155191805.1</v>
      </c>
      <c r="AD32" s="158">
        <f t="shared" si="30"/>
        <v>271662836.4</v>
      </c>
      <c r="AE32" s="158">
        <f t="shared" si="30"/>
        <v>10200000</v>
      </c>
      <c r="AF32" s="158">
        <f t="shared" si="30"/>
        <v>835909647.8</v>
      </c>
      <c r="AG32" s="157">
        <f t="shared" si="30"/>
        <v>194</v>
      </c>
      <c r="AH32" s="158">
        <f t="shared" si="30"/>
        <v>469608904.4</v>
      </c>
      <c r="AI32" s="158">
        <f t="shared" si="30"/>
        <v>106061489.4</v>
      </c>
      <c r="AJ32" s="158">
        <f t="shared" si="30"/>
        <v>1123142.43</v>
      </c>
      <c r="AK32" s="158">
        <f t="shared" si="30"/>
        <v>9900000</v>
      </c>
      <c r="AL32" s="158">
        <f t="shared" si="30"/>
        <v>586693536.3</v>
      </c>
      <c r="AM32" s="157">
        <f t="shared" si="30"/>
        <v>197</v>
      </c>
      <c r="AN32" s="158">
        <f t="shared" si="30"/>
        <v>463964928.5</v>
      </c>
      <c r="AO32" s="158">
        <f t="shared" si="30"/>
        <v>109308377.1</v>
      </c>
      <c r="AP32" s="158">
        <f t="shared" si="30"/>
        <v>4944678.86</v>
      </c>
      <c r="AQ32" s="158">
        <f t="shared" si="30"/>
        <v>800000</v>
      </c>
      <c r="AR32" s="158">
        <f t="shared" si="30"/>
        <v>579017984.5</v>
      </c>
      <c r="AS32" s="157">
        <f t="shared" si="30"/>
        <v>193</v>
      </c>
      <c r="AT32" s="158">
        <f t="shared" si="30"/>
        <v>431984323.9</v>
      </c>
      <c r="AU32" s="158">
        <f t="shared" si="30"/>
        <v>36866872.58</v>
      </c>
      <c r="AV32" s="158">
        <f t="shared" si="30"/>
        <v>979584.09</v>
      </c>
      <c r="AW32" s="158">
        <f t="shared" si="30"/>
        <v>469830780.6</v>
      </c>
      <c r="AX32" s="157">
        <f t="shared" si="30"/>
        <v>193</v>
      </c>
      <c r="AY32" s="158">
        <f t="shared" si="30"/>
        <v>757066343.6</v>
      </c>
      <c r="AZ32" s="158">
        <f t="shared" si="30"/>
        <v>25914707.4</v>
      </c>
      <c r="BA32" s="158">
        <f t="shared" si="30"/>
        <v>681916.62</v>
      </c>
      <c r="BB32" s="158">
        <f t="shared" si="30"/>
        <v>783662967.6</v>
      </c>
      <c r="BC32" s="157">
        <f t="shared" si="30"/>
        <v>193</v>
      </c>
      <c r="BD32" s="158">
        <f t="shared" si="30"/>
        <v>441149702.6</v>
      </c>
      <c r="BE32" s="158">
        <f t="shared" si="30"/>
        <v>94163655.39</v>
      </c>
      <c r="BF32" s="158">
        <f t="shared" si="30"/>
        <v>9550000</v>
      </c>
      <c r="BG32" s="158">
        <f t="shared" si="30"/>
        <v>0</v>
      </c>
      <c r="BH32" s="158">
        <f t="shared" si="30"/>
        <v>544863357.9</v>
      </c>
      <c r="BI32" s="157">
        <f t="shared" si="30"/>
        <v>193</v>
      </c>
      <c r="BJ32" s="158">
        <f t="shared" si="30"/>
        <v>459928630.7</v>
      </c>
      <c r="BK32" s="158">
        <f t="shared" si="30"/>
        <v>42664922.52</v>
      </c>
      <c r="BL32" s="158">
        <f t="shared" si="30"/>
        <v>0</v>
      </c>
      <c r="BM32" s="158">
        <f t="shared" si="30"/>
        <v>287183441.8</v>
      </c>
      <c r="BN32" s="158">
        <f t="shared" si="30"/>
        <v>789776995</v>
      </c>
    </row>
    <row r="33" ht="12.75" customHeight="1">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row>
    <row r="34" ht="12.75" customHeight="1">
      <c r="A34" s="147" t="s">
        <v>392</v>
      </c>
      <c r="B34" s="163" t="s">
        <v>406</v>
      </c>
      <c r="C34" s="152" t="s">
        <v>407</v>
      </c>
      <c r="D34" s="152" t="s">
        <v>408</v>
      </c>
      <c r="E34" s="151" t="s">
        <v>409</v>
      </c>
      <c r="F34" s="151" t="s">
        <v>410</v>
      </c>
      <c r="G34" s="152" t="s">
        <v>305</v>
      </c>
      <c r="H34" s="163" t="s">
        <v>406</v>
      </c>
      <c r="I34" s="152" t="s">
        <v>407</v>
      </c>
      <c r="J34" s="152" t="s">
        <v>408</v>
      </c>
      <c r="K34" s="151" t="s">
        <v>409</v>
      </c>
      <c r="L34" s="152" t="s">
        <v>305</v>
      </c>
      <c r="M34" s="163" t="s">
        <v>406</v>
      </c>
      <c r="N34" s="152" t="s">
        <v>407</v>
      </c>
      <c r="O34" s="152" t="s">
        <v>408</v>
      </c>
      <c r="P34" s="152" t="s">
        <v>305</v>
      </c>
      <c r="Q34" s="163" t="s">
        <v>406</v>
      </c>
      <c r="R34" s="152" t="s">
        <v>407</v>
      </c>
      <c r="S34" s="152" t="s">
        <v>408</v>
      </c>
      <c r="T34" s="151" t="s">
        <v>409</v>
      </c>
      <c r="U34" s="152" t="s">
        <v>305</v>
      </c>
      <c r="V34" s="163" t="s">
        <v>406</v>
      </c>
      <c r="W34" s="152" t="s">
        <v>407</v>
      </c>
      <c r="X34" s="152" t="s">
        <v>408</v>
      </c>
      <c r="Y34" s="151" t="s">
        <v>409</v>
      </c>
      <c r="Z34" s="152" t="s">
        <v>305</v>
      </c>
      <c r="AA34" s="163" t="s">
        <v>406</v>
      </c>
      <c r="AB34" s="152" t="s">
        <v>407</v>
      </c>
      <c r="AC34" s="152" t="s">
        <v>408</v>
      </c>
      <c r="AD34" s="151" t="s">
        <v>409</v>
      </c>
      <c r="AE34" s="151" t="s">
        <v>411</v>
      </c>
      <c r="AF34" s="152" t="s">
        <v>305</v>
      </c>
      <c r="AG34" s="163" t="s">
        <v>406</v>
      </c>
      <c r="AH34" s="152" t="s">
        <v>407</v>
      </c>
      <c r="AI34" s="152" t="s">
        <v>408</v>
      </c>
      <c r="AJ34" s="151" t="s">
        <v>409</v>
      </c>
      <c r="AK34" s="151" t="s">
        <v>411</v>
      </c>
      <c r="AL34" s="152" t="s">
        <v>305</v>
      </c>
      <c r="AM34" s="163" t="s">
        <v>406</v>
      </c>
      <c r="AN34" s="152" t="s">
        <v>407</v>
      </c>
      <c r="AO34" s="152" t="s">
        <v>408</v>
      </c>
      <c r="AP34" s="151" t="s">
        <v>409</v>
      </c>
      <c r="AQ34" s="151" t="s">
        <v>411</v>
      </c>
      <c r="AR34" s="152" t="s">
        <v>305</v>
      </c>
      <c r="AS34" s="163" t="s">
        <v>406</v>
      </c>
      <c r="AT34" s="152" t="s">
        <v>407</v>
      </c>
      <c r="AU34" s="152" t="s">
        <v>408</v>
      </c>
      <c r="AV34" s="151" t="s">
        <v>409</v>
      </c>
      <c r="AW34" s="152" t="s">
        <v>305</v>
      </c>
      <c r="AX34" s="163" t="s">
        <v>406</v>
      </c>
      <c r="AY34" s="152" t="s">
        <v>407</v>
      </c>
      <c r="AZ34" s="152" t="s">
        <v>408</v>
      </c>
      <c r="BA34" s="151" t="s">
        <v>409</v>
      </c>
      <c r="BB34" s="152" t="s">
        <v>305</v>
      </c>
      <c r="BC34" s="163" t="s">
        <v>406</v>
      </c>
      <c r="BD34" s="152" t="s">
        <v>407</v>
      </c>
      <c r="BE34" s="152" t="s">
        <v>408</v>
      </c>
      <c r="BF34" s="151" t="s">
        <v>412</v>
      </c>
      <c r="BG34" s="151" t="s">
        <v>409</v>
      </c>
      <c r="BH34" s="152" t="s">
        <v>305</v>
      </c>
      <c r="BI34" s="163" t="s">
        <v>406</v>
      </c>
      <c r="BJ34" s="152" t="s">
        <v>407</v>
      </c>
      <c r="BK34" s="152" t="s">
        <v>408</v>
      </c>
      <c r="BL34" s="151" t="s">
        <v>412</v>
      </c>
      <c r="BM34" s="151" t="s">
        <v>409</v>
      </c>
      <c r="BN34" s="152" t="s">
        <v>305</v>
      </c>
    </row>
    <row r="35" ht="12.75" customHeight="1">
      <c r="A35" s="147" t="s">
        <v>204</v>
      </c>
      <c r="B35" s="164"/>
      <c r="C35" s="165"/>
      <c r="D35" s="165"/>
      <c r="E35" s="165"/>
      <c r="F35" s="165"/>
      <c r="G35" s="165"/>
      <c r="H35" s="164"/>
      <c r="I35" s="165"/>
      <c r="J35" s="165"/>
      <c r="K35" s="165"/>
      <c r="L35" s="165"/>
      <c r="M35" s="164"/>
      <c r="N35" s="165"/>
      <c r="O35" s="165"/>
      <c r="P35" s="165"/>
      <c r="Q35" s="164"/>
      <c r="R35" s="165"/>
      <c r="S35" s="165"/>
      <c r="T35" s="165"/>
      <c r="U35" s="165"/>
      <c r="V35" s="164"/>
      <c r="W35" s="165"/>
      <c r="X35" s="165"/>
      <c r="Y35" s="165"/>
      <c r="Z35" s="165"/>
      <c r="AA35" s="164"/>
      <c r="AB35" s="165"/>
      <c r="AC35" s="165"/>
      <c r="AD35" s="165"/>
      <c r="AE35" s="165"/>
      <c r="AF35" s="165"/>
      <c r="AG35" s="164"/>
      <c r="AH35" s="165"/>
      <c r="AI35" s="165"/>
      <c r="AJ35" s="165"/>
      <c r="AK35" s="165"/>
      <c r="AL35" s="165"/>
      <c r="AM35" s="164"/>
      <c r="AN35" s="165"/>
      <c r="AO35" s="165"/>
      <c r="AP35" s="165"/>
      <c r="AQ35" s="165"/>
      <c r="AR35" s="165"/>
      <c r="AS35" s="164"/>
      <c r="AT35" s="165"/>
      <c r="AU35" s="165"/>
      <c r="AV35" s="165"/>
      <c r="AW35" s="165"/>
      <c r="AX35" s="164"/>
      <c r="AY35" s="165"/>
      <c r="AZ35" s="165"/>
      <c r="BA35" s="165"/>
      <c r="BB35" s="165"/>
      <c r="BC35" s="164"/>
      <c r="BD35" s="165"/>
      <c r="BE35" s="165"/>
      <c r="BF35" s="165"/>
      <c r="BG35" s="165"/>
      <c r="BH35" s="165"/>
      <c r="BI35" s="164"/>
      <c r="BJ35" s="165"/>
      <c r="BK35" s="165"/>
      <c r="BL35" s="165"/>
      <c r="BM35" s="165"/>
      <c r="BN35" s="165"/>
    </row>
    <row r="36" ht="12.75" customHeight="1">
      <c r="A36" s="153" t="s">
        <v>204</v>
      </c>
      <c r="B36" s="154">
        <v>5.0</v>
      </c>
      <c r="C36" s="155">
        <v>2.4923872240000002E7</v>
      </c>
      <c r="D36" s="155">
        <v>0.0</v>
      </c>
      <c r="E36" s="155">
        <v>759775.29</v>
      </c>
      <c r="F36" s="155">
        <v>600000.0</v>
      </c>
      <c r="G36" s="155">
        <f>SUM(C36:F36)</f>
        <v>26283647.53</v>
      </c>
      <c r="H36" s="154">
        <v>5.0</v>
      </c>
      <c r="I36" s="155">
        <v>3582366.7500000005</v>
      </c>
      <c r="J36" s="155">
        <v>14006.78</v>
      </c>
      <c r="K36" s="155">
        <v>0.0</v>
      </c>
      <c r="L36" s="155">
        <f>SUM(I36:K36)</f>
        <v>3596373.53</v>
      </c>
      <c r="M36" s="154">
        <v>5.0</v>
      </c>
      <c r="N36" s="155">
        <v>2420002.2100000004</v>
      </c>
      <c r="O36" s="155">
        <v>15127.32</v>
      </c>
      <c r="P36" s="155">
        <f>SUM(N36:O36)</f>
        <v>2435129.53</v>
      </c>
      <c r="Q36" s="154">
        <v>5.0</v>
      </c>
      <c r="R36" s="155">
        <v>2415366.5100000002</v>
      </c>
      <c r="S36" s="155">
        <v>0.0</v>
      </c>
      <c r="T36" s="155">
        <v>0.0</v>
      </c>
      <c r="U36" s="155">
        <f>SUM(R36:T36)</f>
        <v>2415366.51</v>
      </c>
      <c r="V36" s="154">
        <v>1.0</v>
      </c>
      <c r="W36" s="155">
        <v>3206416.44</v>
      </c>
      <c r="X36" s="155">
        <v>0.0</v>
      </c>
      <c r="Y36" s="155">
        <v>0.0</v>
      </c>
      <c r="Z36" s="155">
        <f>SUM(W36:Y36)</f>
        <v>3206416.44</v>
      </c>
      <c r="AA36" s="154">
        <v>1.0</v>
      </c>
      <c r="AB36" s="155">
        <v>2588674.9</v>
      </c>
      <c r="AC36" s="155">
        <v>0.0</v>
      </c>
      <c r="AD36" s="155">
        <v>1598578.29</v>
      </c>
      <c r="AE36" s="155">
        <v>50000.0</v>
      </c>
      <c r="AF36" s="155">
        <f>SUM(AB36:AE36)</f>
        <v>4237253.19</v>
      </c>
      <c r="AG36" s="154">
        <v>1.0</v>
      </c>
      <c r="AH36" s="155">
        <v>2755374.29</v>
      </c>
      <c r="AI36" s="155">
        <v>0.0</v>
      </c>
      <c r="AJ36" s="155">
        <v>0.0</v>
      </c>
      <c r="AK36" s="155">
        <v>50000.0</v>
      </c>
      <c r="AL36" s="155">
        <f>SUM(AH36:AK36)</f>
        <v>2805374.29</v>
      </c>
      <c r="AM36" s="154">
        <v>1.0</v>
      </c>
      <c r="AN36" s="155">
        <v>3060691.45</v>
      </c>
      <c r="AO36" s="155">
        <v>51766.02</v>
      </c>
      <c r="AP36" s="155">
        <v>0.0</v>
      </c>
      <c r="AQ36" s="155">
        <v>0.0</v>
      </c>
      <c r="AR36" s="155">
        <f>SUM(AN36:AQ36)</f>
        <v>3112457.47</v>
      </c>
      <c r="AS36" s="154">
        <v>1.0</v>
      </c>
      <c r="AT36" s="155">
        <v>2902545.4699999997</v>
      </c>
      <c r="AU36" s="155">
        <v>235051.02</v>
      </c>
      <c r="AV36" s="155">
        <v>0.0</v>
      </c>
      <c r="AW36" s="155">
        <f>SUM(AT36:AV36)</f>
        <v>3137596.49</v>
      </c>
      <c r="AX36" s="154">
        <v>1.0</v>
      </c>
      <c r="AY36" s="155">
        <v>5274447.6</v>
      </c>
      <c r="AZ36" s="155">
        <v>17776.45</v>
      </c>
      <c r="BA36" s="155">
        <v>0.0</v>
      </c>
      <c r="BB36" s="155">
        <f>SUM(AY36:BA36)</f>
        <v>5292224.05</v>
      </c>
      <c r="BC36" s="154">
        <v>1.0</v>
      </c>
      <c r="BD36" s="155">
        <v>3218728.26</v>
      </c>
      <c r="BE36" s="155">
        <v>0.0</v>
      </c>
      <c r="BF36" s="155">
        <v>50000.0</v>
      </c>
      <c r="BG36" s="155">
        <v>0.0</v>
      </c>
      <c r="BH36" s="155">
        <f t="shared" ref="BH36:BH37" si="31">SUM(BD36:BG36)</f>
        <v>3268728.26</v>
      </c>
      <c r="BI36" s="154">
        <v>1.0</v>
      </c>
      <c r="BJ36" s="155">
        <v>3891525.68</v>
      </c>
      <c r="BK36" s="155">
        <v>0.0</v>
      </c>
      <c r="BL36" s="155"/>
      <c r="BM36" s="155">
        <v>1646793.34</v>
      </c>
      <c r="BN36" s="155">
        <f t="shared" ref="BN36:BN37" si="32">SUM(BJ36:BM36)</f>
        <v>5538319.02</v>
      </c>
    </row>
    <row r="37" ht="12.75" customHeight="1">
      <c r="A37" s="153" t="s">
        <v>430</v>
      </c>
      <c r="B37" s="155">
        <v>0.0</v>
      </c>
      <c r="C37" s="155">
        <v>0.0</v>
      </c>
      <c r="D37" s="155">
        <v>0.0</v>
      </c>
      <c r="E37" s="155">
        <v>0.0</v>
      </c>
      <c r="F37" s="155">
        <v>0.0</v>
      </c>
      <c r="G37" s="155">
        <v>0.0</v>
      </c>
      <c r="H37" s="155">
        <v>0.0</v>
      </c>
      <c r="I37" s="155">
        <v>0.0</v>
      </c>
      <c r="J37" s="155">
        <v>0.0</v>
      </c>
      <c r="K37" s="155">
        <v>0.0</v>
      </c>
      <c r="L37" s="155">
        <v>0.0</v>
      </c>
      <c r="M37" s="155">
        <v>0.0</v>
      </c>
      <c r="N37" s="155">
        <v>0.0</v>
      </c>
      <c r="O37" s="155">
        <v>0.0</v>
      </c>
      <c r="P37" s="155">
        <v>0.0</v>
      </c>
      <c r="Q37" s="155">
        <v>0.0</v>
      </c>
      <c r="R37" s="155">
        <v>0.0</v>
      </c>
      <c r="S37" s="155">
        <v>0.0</v>
      </c>
      <c r="T37" s="155">
        <v>0.0</v>
      </c>
      <c r="U37" s="155">
        <v>0.0</v>
      </c>
      <c r="V37" s="155">
        <v>0.0</v>
      </c>
      <c r="W37" s="155">
        <v>0.0</v>
      </c>
      <c r="X37" s="155">
        <v>0.0</v>
      </c>
      <c r="Y37" s="155">
        <v>0.0</v>
      </c>
      <c r="Z37" s="155">
        <v>0.0</v>
      </c>
      <c r="AA37" s="155">
        <v>0.0</v>
      </c>
      <c r="AB37" s="155">
        <v>0.0</v>
      </c>
      <c r="AC37" s="155">
        <v>0.0</v>
      </c>
      <c r="AD37" s="155">
        <v>0.0</v>
      </c>
      <c r="AE37" s="155">
        <v>0.0</v>
      </c>
      <c r="AF37" s="155">
        <v>0.0</v>
      </c>
      <c r="AG37" s="155">
        <v>0.0</v>
      </c>
      <c r="AH37" s="155">
        <v>0.0</v>
      </c>
      <c r="AI37" s="155">
        <v>0.0</v>
      </c>
      <c r="AJ37" s="155">
        <v>0.0</v>
      </c>
      <c r="AK37" s="155">
        <v>0.0</v>
      </c>
      <c r="AL37" s="155">
        <v>0.0</v>
      </c>
      <c r="AM37" s="155">
        <v>0.0</v>
      </c>
      <c r="AN37" s="155">
        <v>0.0</v>
      </c>
      <c r="AO37" s="155">
        <v>0.0</v>
      </c>
      <c r="AP37" s="155">
        <v>0.0</v>
      </c>
      <c r="AQ37" s="155">
        <v>0.0</v>
      </c>
      <c r="AR37" s="155">
        <v>0.0</v>
      </c>
      <c r="AS37" s="155">
        <v>0.0</v>
      </c>
      <c r="AT37" s="155">
        <v>0.0</v>
      </c>
      <c r="AU37" s="155">
        <v>0.0</v>
      </c>
      <c r="AV37" s="155">
        <v>0.0</v>
      </c>
      <c r="AW37" s="155">
        <v>0.0</v>
      </c>
      <c r="AX37" s="155">
        <v>0.0</v>
      </c>
      <c r="AY37" s="155">
        <v>0.0</v>
      </c>
      <c r="AZ37" s="155">
        <v>0.0</v>
      </c>
      <c r="BA37" s="155">
        <v>0.0</v>
      </c>
      <c r="BB37" s="155">
        <v>0.0</v>
      </c>
      <c r="BC37" s="154"/>
      <c r="BD37" s="155">
        <v>1200000.0</v>
      </c>
      <c r="BE37" s="155">
        <v>0.0</v>
      </c>
      <c r="BF37" s="155"/>
      <c r="BG37" s="155"/>
      <c r="BH37" s="155">
        <f t="shared" si="31"/>
        <v>1200000</v>
      </c>
      <c r="BI37" s="154">
        <v>1.0</v>
      </c>
      <c r="BJ37" s="155">
        <v>4040000.0</v>
      </c>
      <c r="BK37" s="155">
        <v>0.0</v>
      </c>
      <c r="BL37" s="155"/>
      <c r="BM37" s="155">
        <v>448888.88</v>
      </c>
      <c r="BN37" s="155">
        <f t="shared" si="32"/>
        <v>4488888.88</v>
      </c>
    </row>
    <row r="38" ht="12.75" customHeight="1">
      <c r="A38" s="147" t="s">
        <v>416</v>
      </c>
      <c r="B38" s="157">
        <f t="shared" ref="B38:BC38" si="33">SUM(B36)</f>
        <v>5</v>
      </c>
      <c r="C38" s="158">
        <f t="shared" si="33"/>
        <v>24923872.24</v>
      </c>
      <c r="D38" s="158">
        <f t="shared" si="33"/>
        <v>0</v>
      </c>
      <c r="E38" s="158">
        <f t="shared" si="33"/>
        <v>759775.29</v>
      </c>
      <c r="F38" s="158">
        <f t="shared" si="33"/>
        <v>600000</v>
      </c>
      <c r="G38" s="158">
        <f t="shared" si="33"/>
        <v>26283647.53</v>
      </c>
      <c r="H38" s="157">
        <f t="shared" si="33"/>
        <v>5</v>
      </c>
      <c r="I38" s="158">
        <f t="shared" si="33"/>
        <v>3582366.75</v>
      </c>
      <c r="J38" s="158">
        <f t="shared" si="33"/>
        <v>14006.78</v>
      </c>
      <c r="K38" s="158">
        <f t="shared" si="33"/>
        <v>0</v>
      </c>
      <c r="L38" s="158">
        <f t="shared" si="33"/>
        <v>3596373.53</v>
      </c>
      <c r="M38" s="157">
        <f t="shared" si="33"/>
        <v>5</v>
      </c>
      <c r="N38" s="158">
        <f t="shared" si="33"/>
        <v>2420002.21</v>
      </c>
      <c r="O38" s="158">
        <f t="shared" si="33"/>
        <v>15127.32</v>
      </c>
      <c r="P38" s="158">
        <f t="shared" si="33"/>
        <v>2435129.53</v>
      </c>
      <c r="Q38" s="157">
        <f t="shared" si="33"/>
        <v>5</v>
      </c>
      <c r="R38" s="158">
        <f t="shared" si="33"/>
        <v>2415366.51</v>
      </c>
      <c r="S38" s="158">
        <f t="shared" si="33"/>
        <v>0</v>
      </c>
      <c r="T38" s="158">
        <f t="shared" si="33"/>
        <v>0</v>
      </c>
      <c r="U38" s="158">
        <f t="shared" si="33"/>
        <v>2415366.51</v>
      </c>
      <c r="V38" s="157">
        <f t="shared" si="33"/>
        <v>1</v>
      </c>
      <c r="W38" s="158">
        <f t="shared" si="33"/>
        <v>3206416.44</v>
      </c>
      <c r="X38" s="158">
        <f t="shared" si="33"/>
        <v>0</v>
      </c>
      <c r="Y38" s="158">
        <f t="shared" si="33"/>
        <v>0</v>
      </c>
      <c r="Z38" s="158">
        <f t="shared" si="33"/>
        <v>3206416.44</v>
      </c>
      <c r="AA38" s="157">
        <f t="shared" si="33"/>
        <v>1</v>
      </c>
      <c r="AB38" s="158">
        <f t="shared" si="33"/>
        <v>2588674.9</v>
      </c>
      <c r="AC38" s="158">
        <f t="shared" si="33"/>
        <v>0</v>
      </c>
      <c r="AD38" s="158">
        <f t="shared" si="33"/>
        <v>1598578.29</v>
      </c>
      <c r="AE38" s="158">
        <f t="shared" si="33"/>
        <v>50000</v>
      </c>
      <c r="AF38" s="158">
        <f t="shared" si="33"/>
        <v>4237253.19</v>
      </c>
      <c r="AG38" s="157">
        <f t="shared" si="33"/>
        <v>1</v>
      </c>
      <c r="AH38" s="158">
        <f t="shared" si="33"/>
        <v>2755374.29</v>
      </c>
      <c r="AI38" s="158">
        <f t="shared" si="33"/>
        <v>0</v>
      </c>
      <c r="AJ38" s="158">
        <f t="shared" si="33"/>
        <v>0</v>
      </c>
      <c r="AK38" s="158">
        <f t="shared" si="33"/>
        <v>50000</v>
      </c>
      <c r="AL38" s="158">
        <f t="shared" si="33"/>
        <v>2805374.29</v>
      </c>
      <c r="AM38" s="157">
        <f t="shared" si="33"/>
        <v>1</v>
      </c>
      <c r="AN38" s="158">
        <f t="shared" si="33"/>
        <v>3060691.45</v>
      </c>
      <c r="AO38" s="158">
        <f t="shared" si="33"/>
        <v>51766.02</v>
      </c>
      <c r="AP38" s="158">
        <f t="shared" si="33"/>
        <v>0</v>
      </c>
      <c r="AQ38" s="158">
        <f t="shared" si="33"/>
        <v>0</v>
      </c>
      <c r="AR38" s="158">
        <f t="shared" si="33"/>
        <v>3112457.47</v>
      </c>
      <c r="AS38" s="157">
        <f t="shared" si="33"/>
        <v>1</v>
      </c>
      <c r="AT38" s="158">
        <f t="shared" si="33"/>
        <v>2902545.47</v>
      </c>
      <c r="AU38" s="158">
        <f t="shared" si="33"/>
        <v>235051.02</v>
      </c>
      <c r="AV38" s="158">
        <f t="shared" si="33"/>
        <v>0</v>
      </c>
      <c r="AW38" s="158">
        <f t="shared" si="33"/>
        <v>3137596.49</v>
      </c>
      <c r="AX38" s="157">
        <f t="shared" si="33"/>
        <v>1</v>
      </c>
      <c r="AY38" s="158">
        <f t="shared" si="33"/>
        <v>5274447.6</v>
      </c>
      <c r="AZ38" s="158">
        <f t="shared" si="33"/>
        <v>17776.45</v>
      </c>
      <c r="BA38" s="158">
        <f t="shared" si="33"/>
        <v>0</v>
      </c>
      <c r="BB38" s="158">
        <f t="shared" si="33"/>
        <v>5292224.05</v>
      </c>
      <c r="BC38" s="157">
        <f t="shared" si="33"/>
        <v>1</v>
      </c>
      <c r="BD38" s="158">
        <f>SUM(BD36:BD37)</f>
        <v>4418728.26</v>
      </c>
      <c r="BE38" s="158">
        <f t="shared" ref="BE38:BG38" si="34">SUM(BE36)</f>
        <v>0</v>
      </c>
      <c r="BF38" s="158">
        <f t="shared" si="34"/>
        <v>50000</v>
      </c>
      <c r="BG38" s="158">
        <f t="shared" si="34"/>
        <v>0</v>
      </c>
      <c r="BH38" s="158">
        <f>SUM(BH36:BH37)</f>
        <v>4468728.26</v>
      </c>
      <c r="BI38" s="166">
        <v>2.0</v>
      </c>
      <c r="BJ38" s="158">
        <f>SUM(BJ36:BJ37)</f>
        <v>7931525.68</v>
      </c>
      <c r="BK38" s="158">
        <f t="shared" ref="BK38:BL38" si="35">SUM(BK36)</f>
        <v>0</v>
      </c>
      <c r="BL38" s="158">
        <f t="shared" si="35"/>
        <v>0</v>
      </c>
      <c r="BM38" s="158">
        <f t="shared" ref="BM38:BN38" si="36">SUM(BM36:BM37)</f>
        <v>2095682.22</v>
      </c>
      <c r="BN38" s="158">
        <f t="shared" si="36"/>
        <v>10027207.9</v>
      </c>
    </row>
    <row r="39" ht="12.75" customHeight="1">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c r="AA39" s="159"/>
      <c r="AB39" s="159"/>
      <c r="AC39" s="159"/>
      <c r="AD39" s="159"/>
      <c r="AE39" s="159"/>
      <c r="AF39" s="159"/>
      <c r="AG39" s="159"/>
      <c r="AH39" s="159"/>
      <c r="AI39" s="159"/>
      <c r="AJ39" s="159"/>
      <c r="AK39" s="159"/>
      <c r="AL39" s="159"/>
      <c r="AM39" s="159"/>
      <c r="AN39" s="159"/>
      <c r="AO39" s="159"/>
      <c r="AP39" s="159"/>
      <c r="AQ39" s="159"/>
      <c r="AR39" s="159"/>
      <c r="AS39" s="159"/>
      <c r="AT39" s="159"/>
      <c r="AU39" s="159"/>
      <c r="AV39" s="159"/>
      <c r="AW39" s="159"/>
      <c r="AX39" s="159"/>
      <c r="AY39" s="159"/>
      <c r="AZ39" s="159"/>
      <c r="BA39" s="159"/>
      <c r="BB39" s="159"/>
      <c r="BC39" s="159"/>
      <c r="BD39" s="159"/>
      <c r="BE39" s="159"/>
      <c r="BF39" s="159"/>
      <c r="BG39" s="159"/>
      <c r="BH39" s="159"/>
      <c r="BI39" s="159"/>
      <c r="BJ39" s="159"/>
      <c r="BK39" s="159"/>
      <c r="BL39" s="159"/>
      <c r="BM39" s="159"/>
      <c r="BN39" s="159"/>
    </row>
    <row r="40" ht="12.75" customHeight="1">
      <c r="A40" s="147" t="s">
        <v>392</v>
      </c>
      <c r="B40" s="163" t="s">
        <v>406</v>
      </c>
      <c r="C40" s="152" t="s">
        <v>407</v>
      </c>
      <c r="D40" s="152" t="s">
        <v>408</v>
      </c>
      <c r="E40" s="151" t="s">
        <v>409</v>
      </c>
      <c r="F40" s="151" t="s">
        <v>410</v>
      </c>
      <c r="G40" s="152" t="s">
        <v>305</v>
      </c>
      <c r="H40" s="163" t="s">
        <v>406</v>
      </c>
      <c r="I40" s="152" t="s">
        <v>407</v>
      </c>
      <c r="J40" s="152" t="s">
        <v>408</v>
      </c>
      <c r="K40" s="151" t="s">
        <v>409</v>
      </c>
      <c r="L40" s="152" t="s">
        <v>305</v>
      </c>
      <c r="M40" s="163" t="s">
        <v>406</v>
      </c>
      <c r="N40" s="152" t="s">
        <v>407</v>
      </c>
      <c r="O40" s="152" t="s">
        <v>408</v>
      </c>
      <c r="P40" s="152" t="s">
        <v>305</v>
      </c>
      <c r="Q40" s="163" t="s">
        <v>406</v>
      </c>
      <c r="R40" s="152" t="s">
        <v>407</v>
      </c>
      <c r="S40" s="152" t="s">
        <v>408</v>
      </c>
      <c r="T40" s="151" t="s">
        <v>409</v>
      </c>
      <c r="U40" s="152" t="s">
        <v>305</v>
      </c>
      <c r="V40" s="163" t="s">
        <v>406</v>
      </c>
      <c r="W40" s="152" t="s">
        <v>407</v>
      </c>
      <c r="X40" s="152" t="s">
        <v>408</v>
      </c>
      <c r="Y40" s="151" t="s">
        <v>409</v>
      </c>
      <c r="Z40" s="152" t="s">
        <v>305</v>
      </c>
      <c r="AA40" s="163" t="s">
        <v>406</v>
      </c>
      <c r="AB40" s="152" t="s">
        <v>407</v>
      </c>
      <c r="AC40" s="152" t="s">
        <v>408</v>
      </c>
      <c r="AD40" s="151" t="s">
        <v>409</v>
      </c>
      <c r="AE40" s="151" t="s">
        <v>411</v>
      </c>
      <c r="AF40" s="152" t="s">
        <v>305</v>
      </c>
      <c r="AG40" s="163" t="s">
        <v>406</v>
      </c>
      <c r="AH40" s="152" t="s">
        <v>407</v>
      </c>
      <c r="AI40" s="152" t="s">
        <v>408</v>
      </c>
      <c r="AJ40" s="151" t="s">
        <v>409</v>
      </c>
      <c r="AK40" s="151" t="s">
        <v>411</v>
      </c>
      <c r="AL40" s="152" t="s">
        <v>305</v>
      </c>
      <c r="AM40" s="163" t="s">
        <v>406</v>
      </c>
      <c r="AN40" s="152" t="s">
        <v>407</v>
      </c>
      <c r="AO40" s="152" t="s">
        <v>408</v>
      </c>
      <c r="AP40" s="151" t="s">
        <v>409</v>
      </c>
      <c r="AQ40" s="151" t="s">
        <v>411</v>
      </c>
      <c r="AR40" s="152" t="s">
        <v>305</v>
      </c>
      <c r="AS40" s="163" t="s">
        <v>406</v>
      </c>
      <c r="AT40" s="152" t="s">
        <v>407</v>
      </c>
      <c r="AU40" s="152" t="s">
        <v>408</v>
      </c>
      <c r="AV40" s="151" t="s">
        <v>409</v>
      </c>
      <c r="AW40" s="152" t="s">
        <v>305</v>
      </c>
      <c r="AX40" s="163" t="s">
        <v>406</v>
      </c>
      <c r="AY40" s="152" t="s">
        <v>407</v>
      </c>
      <c r="AZ40" s="152" t="s">
        <v>408</v>
      </c>
      <c r="BA40" s="151" t="s">
        <v>409</v>
      </c>
      <c r="BB40" s="152" t="s">
        <v>305</v>
      </c>
      <c r="BC40" s="163" t="s">
        <v>406</v>
      </c>
      <c r="BD40" s="152" t="s">
        <v>407</v>
      </c>
      <c r="BE40" s="152" t="s">
        <v>408</v>
      </c>
      <c r="BF40" s="151" t="s">
        <v>412</v>
      </c>
      <c r="BG40" s="151" t="s">
        <v>409</v>
      </c>
      <c r="BH40" s="152" t="s">
        <v>305</v>
      </c>
      <c r="BI40" s="163" t="s">
        <v>406</v>
      </c>
      <c r="BJ40" s="152" t="s">
        <v>407</v>
      </c>
      <c r="BK40" s="152" t="s">
        <v>408</v>
      </c>
      <c r="BL40" s="151" t="s">
        <v>412</v>
      </c>
      <c r="BM40" s="151" t="s">
        <v>409</v>
      </c>
      <c r="BN40" s="152" t="s">
        <v>305</v>
      </c>
    </row>
    <row r="41" ht="12.75" customHeight="1">
      <c r="A41" s="147" t="s">
        <v>431</v>
      </c>
      <c r="B41" s="167"/>
      <c r="C41" s="167"/>
      <c r="D41" s="167"/>
      <c r="E41" s="167"/>
      <c r="F41" s="167"/>
      <c r="G41" s="164"/>
      <c r="H41" s="167"/>
      <c r="I41" s="167"/>
      <c r="J41" s="167"/>
      <c r="K41" s="167"/>
      <c r="L41" s="164"/>
      <c r="M41" s="167"/>
      <c r="N41" s="167"/>
      <c r="O41" s="167"/>
      <c r="P41" s="164"/>
      <c r="Q41" s="167"/>
      <c r="R41" s="167"/>
      <c r="S41" s="167"/>
      <c r="T41" s="167"/>
      <c r="U41" s="164"/>
      <c r="V41" s="167"/>
      <c r="W41" s="167"/>
      <c r="X41" s="167"/>
      <c r="Y41" s="167"/>
      <c r="Z41" s="164"/>
      <c r="AA41" s="167"/>
      <c r="AB41" s="167"/>
      <c r="AC41" s="167"/>
      <c r="AD41" s="167"/>
      <c r="AE41" s="167"/>
      <c r="AF41" s="164"/>
      <c r="AG41" s="167"/>
      <c r="AH41" s="167"/>
      <c r="AI41" s="167"/>
      <c r="AJ41" s="167"/>
      <c r="AK41" s="167"/>
      <c r="AL41" s="164"/>
      <c r="AM41" s="167"/>
      <c r="AN41" s="167"/>
      <c r="AO41" s="167"/>
      <c r="AP41" s="167"/>
      <c r="AQ41" s="167"/>
      <c r="AR41" s="164"/>
      <c r="AS41" s="167"/>
      <c r="AT41" s="167"/>
      <c r="AU41" s="167"/>
      <c r="AV41" s="167"/>
      <c r="AW41" s="164"/>
      <c r="AX41" s="167"/>
      <c r="AY41" s="167"/>
      <c r="AZ41" s="167"/>
      <c r="BA41" s="167"/>
      <c r="BB41" s="164"/>
      <c r="BC41" s="167"/>
      <c r="BD41" s="167"/>
      <c r="BE41" s="167"/>
      <c r="BF41" s="167"/>
      <c r="BG41" s="167"/>
      <c r="BH41" s="164"/>
      <c r="BI41" s="167"/>
      <c r="BJ41" s="167"/>
      <c r="BK41" s="167"/>
      <c r="BL41" s="167"/>
      <c r="BM41" s="167"/>
      <c r="BN41" s="164"/>
    </row>
    <row r="42" ht="12.75" customHeight="1">
      <c r="A42" s="153" t="s">
        <v>431</v>
      </c>
      <c r="B42" s="168">
        <v>3.0</v>
      </c>
      <c r="C42" s="155">
        <v>3.024008775E7</v>
      </c>
      <c r="D42" s="155">
        <v>0.0</v>
      </c>
      <c r="E42" s="155">
        <v>1012957.54</v>
      </c>
      <c r="F42" s="155">
        <v>360000.0</v>
      </c>
      <c r="G42" s="155">
        <f>SUM(C42:F42)</f>
        <v>31613045.29</v>
      </c>
      <c r="H42" s="168">
        <v>3.0</v>
      </c>
      <c r="I42" s="155">
        <v>6928184.600000001</v>
      </c>
      <c r="J42" s="155">
        <v>0.0</v>
      </c>
      <c r="K42" s="155">
        <v>0.0</v>
      </c>
      <c r="L42" s="155">
        <f>SUM(I42:K42)</f>
        <v>6928184.6</v>
      </c>
      <c r="M42" s="168">
        <v>3.0</v>
      </c>
      <c r="N42" s="155">
        <v>7546627.19</v>
      </c>
      <c r="O42" s="155">
        <v>0.0</v>
      </c>
      <c r="P42" s="155">
        <f>SUM(N42:O42)</f>
        <v>7546627.19</v>
      </c>
      <c r="Q42" s="168">
        <v>3.0</v>
      </c>
      <c r="R42" s="155">
        <v>7598502.49</v>
      </c>
      <c r="S42" s="155">
        <v>0.0</v>
      </c>
      <c r="T42" s="155">
        <v>0.0</v>
      </c>
      <c r="U42" s="155">
        <f>SUM(R42:T42)</f>
        <v>7598502.49</v>
      </c>
      <c r="V42" s="168">
        <v>3.0</v>
      </c>
      <c r="W42" s="155">
        <v>8211754.38</v>
      </c>
      <c r="X42" s="155">
        <v>0.0</v>
      </c>
      <c r="Y42" s="155">
        <v>0.0</v>
      </c>
      <c r="Z42" s="155">
        <f>SUM(W42:Y42)</f>
        <v>8211754.38</v>
      </c>
      <c r="AA42" s="168">
        <v>3.0</v>
      </c>
      <c r="AB42" s="155">
        <v>8128515.7299999995</v>
      </c>
      <c r="AC42" s="155">
        <v>0.0</v>
      </c>
      <c r="AD42" s="155">
        <v>3589920.0</v>
      </c>
      <c r="AE42" s="155">
        <v>150000.0</v>
      </c>
      <c r="AF42" s="155">
        <f>SUM(AB42:AE42)</f>
        <v>11868435.73</v>
      </c>
      <c r="AG42" s="168">
        <v>2.0</v>
      </c>
      <c r="AH42" s="155">
        <v>6.915030489000002E7</v>
      </c>
      <c r="AI42" s="155">
        <v>0.0</v>
      </c>
      <c r="AJ42" s="155">
        <v>807664.14</v>
      </c>
      <c r="AK42" s="155">
        <v>100000.0</v>
      </c>
      <c r="AL42" s="155">
        <f>SUM(AH42:AK42)</f>
        <v>70057969.03</v>
      </c>
      <c r="AM42" s="168">
        <v>1.0</v>
      </c>
      <c r="AN42" s="155">
        <v>4192119.72</v>
      </c>
      <c r="AO42" s="155">
        <v>0.0</v>
      </c>
      <c r="AP42" s="155">
        <v>0.0</v>
      </c>
      <c r="AQ42" s="155">
        <v>160000.0</v>
      </c>
      <c r="AR42" s="155">
        <f>SUM(AN42:AQ42)</f>
        <v>4352119.72</v>
      </c>
      <c r="AS42" s="168">
        <v>1.0</v>
      </c>
      <c r="AT42" s="155">
        <v>4275961.64</v>
      </c>
      <c r="AU42" s="155">
        <v>0.0</v>
      </c>
      <c r="AV42" s="155">
        <v>0.0</v>
      </c>
      <c r="AW42" s="155">
        <f>SUM(AT42:AV42)</f>
        <v>4275961.64</v>
      </c>
      <c r="AX42" s="168">
        <v>1.0</v>
      </c>
      <c r="AY42" s="155">
        <v>1.638041646E7</v>
      </c>
      <c r="AZ42" s="155">
        <v>0.0</v>
      </c>
      <c r="BA42" s="155">
        <v>0.0</v>
      </c>
      <c r="BB42" s="155">
        <f>SUM(AY42:BA42)</f>
        <v>16380416.46</v>
      </c>
      <c r="BC42" s="168">
        <v>1.0</v>
      </c>
      <c r="BD42" s="155">
        <v>6497747.029999999</v>
      </c>
      <c r="BE42" s="155">
        <v>0.0</v>
      </c>
      <c r="BF42" s="155">
        <v>100000.0</v>
      </c>
      <c r="BG42" s="155">
        <v>0.0</v>
      </c>
      <c r="BH42" s="155">
        <f>SUM(BD42:BG42)</f>
        <v>6597747.03</v>
      </c>
      <c r="BI42" s="168">
        <v>2.0</v>
      </c>
      <c r="BJ42" s="155">
        <v>6562723.36</v>
      </c>
      <c r="BK42" s="155">
        <v>0.0</v>
      </c>
      <c r="BL42" s="155"/>
      <c r="BM42" s="155">
        <v>3417689.54</v>
      </c>
      <c r="BN42" s="155">
        <f>SUM(BJ42:BM42)</f>
        <v>9980412.9</v>
      </c>
    </row>
    <row r="43" ht="12.75" customHeight="1">
      <c r="A43" s="147" t="s">
        <v>416</v>
      </c>
      <c r="B43" s="166">
        <f t="shared" ref="B43:BN43" si="37">SUM(B42)</f>
        <v>3</v>
      </c>
      <c r="C43" s="157">
        <f t="shared" si="37"/>
        <v>30240087.75</v>
      </c>
      <c r="D43" s="157">
        <f t="shared" si="37"/>
        <v>0</v>
      </c>
      <c r="E43" s="157">
        <f t="shared" si="37"/>
        <v>1012957.54</v>
      </c>
      <c r="F43" s="157">
        <f t="shared" si="37"/>
        <v>360000</v>
      </c>
      <c r="G43" s="157">
        <f t="shared" si="37"/>
        <v>31613045.29</v>
      </c>
      <c r="H43" s="166">
        <f t="shared" si="37"/>
        <v>3</v>
      </c>
      <c r="I43" s="157">
        <f t="shared" si="37"/>
        <v>6928184.6</v>
      </c>
      <c r="J43" s="157">
        <f t="shared" si="37"/>
        <v>0</v>
      </c>
      <c r="K43" s="157">
        <f t="shared" si="37"/>
        <v>0</v>
      </c>
      <c r="L43" s="157">
        <f t="shared" si="37"/>
        <v>6928184.6</v>
      </c>
      <c r="M43" s="166">
        <f t="shared" si="37"/>
        <v>3</v>
      </c>
      <c r="N43" s="157">
        <f t="shared" si="37"/>
        <v>7546627.19</v>
      </c>
      <c r="O43" s="157">
        <f t="shared" si="37"/>
        <v>0</v>
      </c>
      <c r="P43" s="157">
        <f t="shared" si="37"/>
        <v>7546627.19</v>
      </c>
      <c r="Q43" s="166">
        <f t="shared" si="37"/>
        <v>3</v>
      </c>
      <c r="R43" s="157">
        <f t="shared" si="37"/>
        <v>7598502.49</v>
      </c>
      <c r="S43" s="157">
        <f t="shared" si="37"/>
        <v>0</v>
      </c>
      <c r="T43" s="157">
        <f t="shared" si="37"/>
        <v>0</v>
      </c>
      <c r="U43" s="157">
        <f t="shared" si="37"/>
        <v>7598502.49</v>
      </c>
      <c r="V43" s="166">
        <f t="shared" si="37"/>
        <v>3</v>
      </c>
      <c r="W43" s="157">
        <f t="shared" si="37"/>
        <v>8211754.38</v>
      </c>
      <c r="X43" s="157">
        <f t="shared" si="37"/>
        <v>0</v>
      </c>
      <c r="Y43" s="157">
        <f t="shared" si="37"/>
        <v>0</v>
      </c>
      <c r="Z43" s="157">
        <f t="shared" si="37"/>
        <v>8211754.38</v>
      </c>
      <c r="AA43" s="166">
        <f t="shared" si="37"/>
        <v>3</v>
      </c>
      <c r="AB43" s="157">
        <f t="shared" si="37"/>
        <v>8128515.73</v>
      </c>
      <c r="AC43" s="157">
        <f t="shared" si="37"/>
        <v>0</v>
      </c>
      <c r="AD43" s="157">
        <f t="shared" si="37"/>
        <v>3589920</v>
      </c>
      <c r="AE43" s="157">
        <f t="shared" si="37"/>
        <v>150000</v>
      </c>
      <c r="AF43" s="157">
        <f t="shared" si="37"/>
        <v>11868435.73</v>
      </c>
      <c r="AG43" s="166">
        <f t="shared" si="37"/>
        <v>2</v>
      </c>
      <c r="AH43" s="157">
        <f t="shared" si="37"/>
        <v>69150304.89</v>
      </c>
      <c r="AI43" s="157">
        <f t="shared" si="37"/>
        <v>0</v>
      </c>
      <c r="AJ43" s="157">
        <f t="shared" si="37"/>
        <v>807664.14</v>
      </c>
      <c r="AK43" s="157">
        <f t="shared" si="37"/>
        <v>100000</v>
      </c>
      <c r="AL43" s="157">
        <f t="shared" si="37"/>
        <v>70057969.03</v>
      </c>
      <c r="AM43" s="166">
        <f t="shared" si="37"/>
        <v>1</v>
      </c>
      <c r="AN43" s="157">
        <f t="shared" si="37"/>
        <v>4192119.72</v>
      </c>
      <c r="AO43" s="157">
        <f t="shared" si="37"/>
        <v>0</v>
      </c>
      <c r="AP43" s="157">
        <f t="shared" si="37"/>
        <v>0</v>
      </c>
      <c r="AQ43" s="157">
        <f t="shared" si="37"/>
        <v>160000</v>
      </c>
      <c r="AR43" s="157">
        <f t="shared" si="37"/>
        <v>4352119.72</v>
      </c>
      <c r="AS43" s="166">
        <f t="shared" si="37"/>
        <v>1</v>
      </c>
      <c r="AT43" s="157">
        <f t="shared" si="37"/>
        <v>4275961.64</v>
      </c>
      <c r="AU43" s="157">
        <f t="shared" si="37"/>
        <v>0</v>
      </c>
      <c r="AV43" s="157">
        <f t="shared" si="37"/>
        <v>0</v>
      </c>
      <c r="AW43" s="157">
        <f t="shared" si="37"/>
        <v>4275961.64</v>
      </c>
      <c r="AX43" s="166">
        <f t="shared" si="37"/>
        <v>1</v>
      </c>
      <c r="AY43" s="157">
        <f t="shared" si="37"/>
        <v>16380416.46</v>
      </c>
      <c r="AZ43" s="157">
        <f t="shared" si="37"/>
        <v>0</v>
      </c>
      <c r="BA43" s="157">
        <f t="shared" si="37"/>
        <v>0</v>
      </c>
      <c r="BB43" s="157">
        <f t="shared" si="37"/>
        <v>16380416.46</v>
      </c>
      <c r="BC43" s="166">
        <f t="shared" si="37"/>
        <v>1</v>
      </c>
      <c r="BD43" s="157">
        <f t="shared" si="37"/>
        <v>6497747.03</v>
      </c>
      <c r="BE43" s="157">
        <f t="shared" si="37"/>
        <v>0</v>
      </c>
      <c r="BF43" s="157">
        <f t="shared" si="37"/>
        <v>100000</v>
      </c>
      <c r="BG43" s="157">
        <f t="shared" si="37"/>
        <v>0</v>
      </c>
      <c r="BH43" s="157">
        <f t="shared" si="37"/>
        <v>6597747.03</v>
      </c>
      <c r="BI43" s="166">
        <f t="shared" si="37"/>
        <v>2</v>
      </c>
      <c r="BJ43" s="157">
        <f t="shared" si="37"/>
        <v>6562723.36</v>
      </c>
      <c r="BK43" s="157">
        <f t="shared" si="37"/>
        <v>0</v>
      </c>
      <c r="BL43" s="157">
        <f t="shared" si="37"/>
        <v>0</v>
      </c>
      <c r="BM43" s="157">
        <f t="shared" si="37"/>
        <v>3417689.54</v>
      </c>
      <c r="BN43" s="157">
        <f t="shared" si="37"/>
        <v>9980412.9</v>
      </c>
    </row>
    <row r="44" ht="12.75" customHeight="1">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59"/>
      <c r="AT44" s="159"/>
      <c r="AU44" s="159"/>
      <c r="AV44" s="159"/>
      <c r="AW44" s="159"/>
      <c r="AX44" s="159"/>
      <c r="AY44" s="159"/>
      <c r="AZ44" s="159"/>
      <c r="BA44" s="159"/>
      <c r="BB44" s="159"/>
      <c r="BC44" s="159"/>
      <c r="BD44" s="159"/>
      <c r="BE44" s="159"/>
      <c r="BF44" s="159"/>
      <c r="BG44" s="159"/>
      <c r="BH44" s="159"/>
      <c r="BI44" s="159"/>
      <c r="BJ44" s="159"/>
      <c r="BK44" s="159"/>
      <c r="BL44" s="159"/>
      <c r="BM44" s="159"/>
      <c r="BN44" s="159"/>
    </row>
    <row r="45" ht="12.75" customHeight="1">
      <c r="A45" s="147" t="s">
        <v>392</v>
      </c>
      <c r="B45" s="163" t="s">
        <v>406</v>
      </c>
      <c r="C45" s="152" t="s">
        <v>407</v>
      </c>
      <c r="D45" s="152" t="s">
        <v>408</v>
      </c>
      <c r="E45" s="151" t="s">
        <v>409</v>
      </c>
      <c r="F45" s="151" t="s">
        <v>410</v>
      </c>
      <c r="G45" s="152" t="s">
        <v>305</v>
      </c>
      <c r="H45" s="163" t="s">
        <v>406</v>
      </c>
      <c r="I45" s="152" t="s">
        <v>407</v>
      </c>
      <c r="J45" s="152" t="s">
        <v>408</v>
      </c>
      <c r="K45" s="151" t="s">
        <v>409</v>
      </c>
      <c r="L45" s="152" t="s">
        <v>305</v>
      </c>
      <c r="M45" s="163" t="s">
        <v>406</v>
      </c>
      <c r="N45" s="152" t="s">
        <v>407</v>
      </c>
      <c r="O45" s="152" t="s">
        <v>408</v>
      </c>
      <c r="P45" s="152" t="s">
        <v>305</v>
      </c>
      <c r="Q45" s="163" t="s">
        <v>406</v>
      </c>
      <c r="R45" s="152" t="s">
        <v>407</v>
      </c>
      <c r="S45" s="152" t="s">
        <v>408</v>
      </c>
      <c r="T45" s="151" t="s">
        <v>409</v>
      </c>
      <c r="U45" s="152" t="s">
        <v>305</v>
      </c>
      <c r="V45" s="163" t="s">
        <v>406</v>
      </c>
      <c r="W45" s="152" t="s">
        <v>407</v>
      </c>
      <c r="X45" s="152" t="s">
        <v>408</v>
      </c>
      <c r="Y45" s="151" t="s">
        <v>409</v>
      </c>
      <c r="Z45" s="152" t="s">
        <v>305</v>
      </c>
      <c r="AA45" s="163" t="s">
        <v>406</v>
      </c>
      <c r="AB45" s="152" t="s">
        <v>407</v>
      </c>
      <c r="AC45" s="152" t="s">
        <v>408</v>
      </c>
      <c r="AD45" s="151" t="s">
        <v>409</v>
      </c>
      <c r="AE45" s="151" t="s">
        <v>411</v>
      </c>
      <c r="AF45" s="152" t="s">
        <v>305</v>
      </c>
      <c r="AG45" s="163" t="s">
        <v>406</v>
      </c>
      <c r="AH45" s="152" t="s">
        <v>407</v>
      </c>
      <c r="AI45" s="152" t="s">
        <v>408</v>
      </c>
      <c r="AJ45" s="151" t="s">
        <v>409</v>
      </c>
      <c r="AK45" s="151" t="s">
        <v>411</v>
      </c>
      <c r="AL45" s="152" t="s">
        <v>305</v>
      </c>
      <c r="AM45" s="163" t="s">
        <v>406</v>
      </c>
      <c r="AN45" s="152" t="s">
        <v>407</v>
      </c>
      <c r="AO45" s="152" t="s">
        <v>408</v>
      </c>
      <c r="AP45" s="151" t="s">
        <v>409</v>
      </c>
      <c r="AQ45" s="151" t="s">
        <v>411</v>
      </c>
      <c r="AR45" s="152" t="s">
        <v>305</v>
      </c>
      <c r="AS45" s="163" t="s">
        <v>406</v>
      </c>
      <c r="AT45" s="152" t="s">
        <v>407</v>
      </c>
      <c r="AU45" s="152" t="s">
        <v>408</v>
      </c>
      <c r="AV45" s="151" t="s">
        <v>409</v>
      </c>
      <c r="AW45" s="152" t="s">
        <v>305</v>
      </c>
      <c r="AX45" s="163" t="s">
        <v>406</v>
      </c>
      <c r="AY45" s="152" t="s">
        <v>407</v>
      </c>
      <c r="AZ45" s="152" t="s">
        <v>408</v>
      </c>
      <c r="BA45" s="151" t="s">
        <v>409</v>
      </c>
      <c r="BB45" s="152" t="s">
        <v>305</v>
      </c>
      <c r="BC45" s="163" t="s">
        <v>406</v>
      </c>
      <c r="BD45" s="152" t="s">
        <v>407</v>
      </c>
      <c r="BE45" s="152" t="s">
        <v>408</v>
      </c>
      <c r="BF45" s="151" t="s">
        <v>412</v>
      </c>
      <c r="BG45" s="151" t="s">
        <v>409</v>
      </c>
      <c r="BH45" s="152" t="s">
        <v>305</v>
      </c>
      <c r="BI45" s="163" t="s">
        <v>406</v>
      </c>
      <c r="BJ45" s="152" t="s">
        <v>407</v>
      </c>
      <c r="BK45" s="152" t="s">
        <v>408</v>
      </c>
      <c r="BL45" s="151" t="s">
        <v>412</v>
      </c>
      <c r="BM45" s="151" t="s">
        <v>409</v>
      </c>
      <c r="BN45" s="152" t="s">
        <v>305</v>
      </c>
    </row>
    <row r="46" ht="12.75" customHeight="1">
      <c r="A46" s="147" t="s">
        <v>432</v>
      </c>
      <c r="B46" s="167"/>
      <c r="C46" s="167"/>
      <c r="D46" s="167"/>
      <c r="E46" s="167"/>
      <c r="F46" s="167"/>
      <c r="G46" s="164"/>
      <c r="H46" s="167"/>
      <c r="I46" s="167"/>
      <c r="J46" s="167"/>
      <c r="K46" s="167"/>
      <c r="L46" s="164"/>
      <c r="M46" s="167"/>
      <c r="N46" s="167"/>
      <c r="O46" s="167"/>
      <c r="P46" s="164"/>
      <c r="Q46" s="167"/>
      <c r="R46" s="167"/>
      <c r="S46" s="167"/>
      <c r="T46" s="167"/>
      <c r="U46" s="164"/>
      <c r="V46" s="167"/>
      <c r="W46" s="167"/>
      <c r="X46" s="167"/>
      <c r="Y46" s="167"/>
      <c r="Z46" s="164"/>
      <c r="AA46" s="167"/>
      <c r="AB46" s="167"/>
      <c r="AC46" s="167"/>
      <c r="AD46" s="167"/>
      <c r="AE46" s="167"/>
      <c r="AF46" s="164"/>
      <c r="AG46" s="167"/>
      <c r="AH46" s="167"/>
      <c r="AI46" s="167"/>
      <c r="AJ46" s="167"/>
      <c r="AK46" s="167"/>
      <c r="AL46" s="164"/>
      <c r="AM46" s="167"/>
      <c r="AN46" s="167"/>
      <c r="AO46" s="167"/>
      <c r="AP46" s="167"/>
      <c r="AQ46" s="167"/>
      <c r="AR46" s="164"/>
      <c r="AS46" s="167"/>
      <c r="AT46" s="167"/>
      <c r="AU46" s="167"/>
      <c r="AV46" s="167"/>
      <c r="AW46" s="164"/>
      <c r="AX46" s="167"/>
      <c r="AY46" s="167"/>
      <c r="AZ46" s="167"/>
      <c r="BA46" s="167"/>
      <c r="BB46" s="164"/>
      <c r="BC46" s="167"/>
      <c r="BD46" s="167"/>
      <c r="BE46" s="167"/>
      <c r="BF46" s="167"/>
      <c r="BG46" s="167"/>
      <c r="BH46" s="164"/>
      <c r="BI46" s="167"/>
      <c r="BJ46" s="167"/>
      <c r="BK46" s="167"/>
      <c r="BL46" s="167"/>
      <c r="BM46" s="167"/>
      <c r="BN46" s="164"/>
    </row>
    <row r="47" ht="12.75" customHeight="1">
      <c r="A47" s="153" t="s">
        <v>432</v>
      </c>
      <c r="B47" s="169">
        <v>8.0</v>
      </c>
      <c r="C47" s="155">
        <v>2.1526342240000006E7</v>
      </c>
      <c r="D47" s="155">
        <v>260093.88</v>
      </c>
      <c r="E47" s="155">
        <v>107139.93999999999</v>
      </c>
      <c r="F47" s="155">
        <v>840000.0</v>
      </c>
      <c r="G47" s="155">
        <f>SUM(C47:F47)</f>
        <v>22733576.06</v>
      </c>
      <c r="H47" s="169">
        <v>8.0</v>
      </c>
      <c r="I47" s="155">
        <v>1.6979564199999996E7</v>
      </c>
      <c r="J47" s="155">
        <v>307887.91</v>
      </c>
      <c r="K47" s="155">
        <v>0.0</v>
      </c>
      <c r="L47" s="155">
        <f>SUM(I47:K47)</f>
        <v>17287452.11</v>
      </c>
      <c r="M47" s="169">
        <v>8.0</v>
      </c>
      <c r="N47" s="155">
        <v>1.902735707E7</v>
      </c>
      <c r="O47" s="155">
        <v>21377.08</v>
      </c>
      <c r="P47" s="155">
        <f>SUM(N47:O47)</f>
        <v>19048734.15</v>
      </c>
      <c r="Q47" s="169">
        <v>8.0</v>
      </c>
      <c r="R47" s="155">
        <v>1.865060171E7</v>
      </c>
      <c r="S47" s="155">
        <v>647476.98</v>
      </c>
      <c r="T47" s="155">
        <v>0.0</v>
      </c>
      <c r="U47" s="155">
        <f>SUM(R47:T47)</f>
        <v>19298078.69</v>
      </c>
      <c r="V47" s="169">
        <v>7.0</v>
      </c>
      <c r="W47" s="155">
        <v>2.023746652E7</v>
      </c>
      <c r="X47" s="155">
        <v>92676.28</v>
      </c>
      <c r="Y47" s="155">
        <v>0.0</v>
      </c>
      <c r="Z47" s="155">
        <f>SUM(W47:Y47)</f>
        <v>20330142.8</v>
      </c>
      <c r="AA47" s="169">
        <v>7.0</v>
      </c>
      <c r="AB47" s="155">
        <v>1.7750864219999995E7</v>
      </c>
      <c r="AC47" s="155">
        <v>311864.67</v>
      </c>
      <c r="AD47" s="155">
        <v>9624359.03</v>
      </c>
      <c r="AE47" s="155">
        <v>300000.0</v>
      </c>
      <c r="AF47" s="155">
        <f>SUM(AB47:AE47)</f>
        <v>27987087.92</v>
      </c>
      <c r="AG47" s="169">
        <v>7.0</v>
      </c>
      <c r="AH47" s="155">
        <v>1.8953369419999998E7</v>
      </c>
      <c r="AI47" s="155">
        <v>108564.62</v>
      </c>
      <c r="AJ47" s="155">
        <v>0.0</v>
      </c>
      <c r="AK47" s="155">
        <v>300000.0</v>
      </c>
      <c r="AL47" s="155">
        <f>SUM(AH47:AK47)</f>
        <v>19361934.04</v>
      </c>
      <c r="AM47" s="169">
        <v>7.0</v>
      </c>
      <c r="AN47" s="155">
        <v>2.800527146E7</v>
      </c>
      <c r="AO47" s="155">
        <v>498778.51</v>
      </c>
      <c r="AP47" s="155">
        <v>0.0</v>
      </c>
      <c r="AQ47" s="155">
        <v>4780432.0</v>
      </c>
      <c r="AR47" s="155">
        <f>SUM(AN47:AQ47)</f>
        <v>33284481.97</v>
      </c>
      <c r="AS47" s="169">
        <v>5.0</v>
      </c>
      <c r="AT47" s="155">
        <v>1.720083768E7</v>
      </c>
      <c r="AU47" s="155">
        <v>235138.09</v>
      </c>
      <c r="AV47" s="155">
        <v>0.0</v>
      </c>
      <c r="AW47" s="155">
        <f>SUM(AT47:AV47)</f>
        <v>17435975.77</v>
      </c>
      <c r="AX47" s="169">
        <v>5.0</v>
      </c>
      <c r="AY47" s="155">
        <v>3.281793389E7</v>
      </c>
      <c r="AZ47" s="155">
        <v>97290.78</v>
      </c>
      <c r="BA47" s="155">
        <v>0.0</v>
      </c>
      <c r="BB47" s="155">
        <f>SUM(AY47:BA47)</f>
        <v>32915224.67</v>
      </c>
      <c r="BC47" s="169">
        <v>5.0</v>
      </c>
      <c r="BD47" s="155">
        <v>1.893706409E7</v>
      </c>
      <c r="BE47" s="155">
        <v>48667.74</v>
      </c>
      <c r="BF47" s="155">
        <v>250000.0</v>
      </c>
      <c r="BG47" s="155">
        <v>0.0</v>
      </c>
      <c r="BH47" s="155">
        <f>SUM(BD47:BG47)</f>
        <v>19235731.83</v>
      </c>
      <c r="BI47" s="169">
        <v>5.0</v>
      </c>
      <c r="BJ47" s="155">
        <v>1.839208981E7</v>
      </c>
      <c r="BK47" s="155"/>
      <c r="BL47" s="155"/>
      <c r="BM47" s="155">
        <v>9600896.15</v>
      </c>
      <c r="BN47" s="155">
        <f>SUM(BJ47:BM47)</f>
        <v>27992985.96</v>
      </c>
    </row>
    <row r="48" ht="12.75" customHeight="1">
      <c r="A48" s="147" t="s">
        <v>416</v>
      </c>
      <c r="B48" s="166">
        <f t="shared" ref="B48:BN48" si="38">SUM(B47)</f>
        <v>8</v>
      </c>
      <c r="C48" s="157">
        <f t="shared" si="38"/>
        <v>21526342.24</v>
      </c>
      <c r="D48" s="157">
        <f t="shared" si="38"/>
        <v>260093.88</v>
      </c>
      <c r="E48" s="157">
        <f t="shared" si="38"/>
        <v>107139.94</v>
      </c>
      <c r="F48" s="157">
        <f t="shared" si="38"/>
        <v>840000</v>
      </c>
      <c r="G48" s="157">
        <f t="shared" si="38"/>
        <v>22733576.06</v>
      </c>
      <c r="H48" s="166">
        <f t="shared" si="38"/>
        <v>8</v>
      </c>
      <c r="I48" s="157">
        <f t="shared" si="38"/>
        <v>16979564.2</v>
      </c>
      <c r="J48" s="157">
        <f t="shared" si="38"/>
        <v>307887.91</v>
      </c>
      <c r="K48" s="157">
        <f t="shared" si="38"/>
        <v>0</v>
      </c>
      <c r="L48" s="157">
        <f t="shared" si="38"/>
        <v>17287452.11</v>
      </c>
      <c r="M48" s="166">
        <f t="shared" si="38"/>
        <v>8</v>
      </c>
      <c r="N48" s="157">
        <f t="shared" si="38"/>
        <v>19027357.07</v>
      </c>
      <c r="O48" s="157">
        <f t="shared" si="38"/>
        <v>21377.08</v>
      </c>
      <c r="P48" s="157">
        <f t="shared" si="38"/>
        <v>19048734.15</v>
      </c>
      <c r="Q48" s="166">
        <f t="shared" si="38"/>
        <v>8</v>
      </c>
      <c r="R48" s="157">
        <f t="shared" si="38"/>
        <v>18650601.71</v>
      </c>
      <c r="S48" s="157">
        <f t="shared" si="38"/>
        <v>647476.98</v>
      </c>
      <c r="T48" s="157">
        <f t="shared" si="38"/>
        <v>0</v>
      </c>
      <c r="U48" s="157">
        <f t="shared" si="38"/>
        <v>19298078.69</v>
      </c>
      <c r="V48" s="166">
        <f t="shared" si="38"/>
        <v>7</v>
      </c>
      <c r="W48" s="157">
        <f t="shared" si="38"/>
        <v>20237466.52</v>
      </c>
      <c r="X48" s="157">
        <f t="shared" si="38"/>
        <v>92676.28</v>
      </c>
      <c r="Y48" s="157">
        <f t="shared" si="38"/>
        <v>0</v>
      </c>
      <c r="Z48" s="157">
        <f t="shared" si="38"/>
        <v>20330142.8</v>
      </c>
      <c r="AA48" s="166">
        <f t="shared" si="38"/>
        <v>7</v>
      </c>
      <c r="AB48" s="157">
        <f t="shared" si="38"/>
        <v>17750864.22</v>
      </c>
      <c r="AC48" s="157">
        <f t="shared" si="38"/>
        <v>311864.67</v>
      </c>
      <c r="AD48" s="157">
        <f t="shared" si="38"/>
        <v>9624359.03</v>
      </c>
      <c r="AE48" s="157">
        <f t="shared" si="38"/>
        <v>300000</v>
      </c>
      <c r="AF48" s="157">
        <f t="shared" si="38"/>
        <v>27987087.92</v>
      </c>
      <c r="AG48" s="166">
        <f t="shared" si="38"/>
        <v>7</v>
      </c>
      <c r="AH48" s="157">
        <f t="shared" si="38"/>
        <v>18953369.42</v>
      </c>
      <c r="AI48" s="157">
        <f t="shared" si="38"/>
        <v>108564.62</v>
      </c>
      <c r="AJ48" s="157">
        <f t="shared" si="38"/>
        <v>0</v>
      </c>
      <c r="AK48" s="157">
        <f t="shared" si="38"/>
        <v>300000</v>
      </c>
      <c r="AL48" s="157">
        <f t="shared" si="38"/>
        <v>19361934.04</v>
      </c>
      <c r="AM48" s="166">
        <f t="shared" si="38"/>
        <v>7</v>
      </c>
      <c r="AN48" s="157">
        <f t="shared" si="38"/>
        <v>28005271.46</v>
      </c>
      <c r="AO48" s="157">
        <f t="shared" si="38"/>
        <v>498778.51</v>
      </c>
      <c r="AP48" s="157">
        <f t="shared" si="38"/>
        <v>0</v>
      </c>
      <c r="AQ48" s="157">
        <f t="shared" si="38"/>
        <v>4780432</v>
      </c>
      <c r="AR48" s="157">
        <f t="shared" si="38"/>
        <v>33284481.97</v>
      </c>
      <c r="AS48" s="166">
        <f t="shared" si="38"/>
        <v>5</v>
      </c>
      <c r="AT48" s="157">
        <f t="shared" si="38"/>
        <v>17200837.68</v>
      </c>
      <c r="AU48" s="157">
        <f t="shared" si="38"/>
        <v>235138.09</v>
      </c>
      <c r="AV48" s="157">
        <f t="shared" si="38"/>
        <v>0</v>
      </c>
      <c r="AW48" s="157">
        <f t="shared" si="38"/>
        <v>17435975.77</v>
      </c>
      <c r="AX48" s="166">
        <f t="shared" si="38"/>
        <v>5</v>
      </c>
      <c r="AY48" s="157">
        <f t="shared" si="38"/>
        <v>32817933.89</v>
      </c>
      <c r="AZ48" s="157">
        <f t="shared" si="38"/>
        <v>97290.78</v>
      </c>
      <c r="BA48" s="157">
        <f t="shared" si="38"/>
        <v>0</v>
      </c>
      <c r="BB48" s="157">
        <f t="shared" si="38"/>
        <v>32915224.67</v>
      </c>
      <c r="BC48" s="166">
        <f t="shared" si="38"/>
        <v>5</v>
      </c>
      <c r="BD48" s="157">
        <f t="shared" si="38"/>
        <v>18937064.09</v>
      </c>
      <c r="BE48" s="157">
        <f t="shared" si="38"/>
        <v>48667.74</v>
      </c>
      <c r="BF48" s="157">
        <f t="shared" si="38"/>
        <v>250000</v>
      </c>
      <c r="BG48" s="157">
        <f t="shared" si="38"/>
        <v>0</v>
      </c>
      <c r="BH48" s="157">
        <f t="shared" si="38"/>
        <v>19235731.83</v>
      </c>
      <c r="BI48" s="166">
        <f t="shared" si="38"/>
        <v>5</v>
      </c>
      <c r="BJ48" s="157">
        <f t="shared" si="38"/>
        <v>18392089.81</v>
      </c>
      <c r="BK48" s="157">
        <f t="shared" si="38"/>
        <v>0</v>
      </c>
      <c r="BL48" s="157">
        <f t="shared" si="38"/>
        <v>0</v>
      </c>
      <c r="BM48" s="157">
        <f t="shared" si="38"/>
        <v>9600896.15</v>
      </c>
      <c r="BN48" s="157">
        <f t="shared" si="38"/>
        <v>27992985.96</v>
      </c>
    </row>
    <row r="49" ht="12.75" customHeight="1">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59"/>
      <c r="AT49" s="159"/>
      <c r="AU49" s="159"/>
      <c r="AV49" s="159"/>
      <c r="AW49" s="159"/>
      <c r="AX49" s="159"/>
      <c r="AY49" s="159"/>
      <c r="AZ49" s="159"/>
      <c r="BA49" s="159"/>
      <c r="BB49" s="159"/>
      <c r="BC49" s="159"/>
      <c r="BD49" s="159"/>
      <c r="BE49" s="159"/>
      <c r="BF49" s="159"/>
      <c r="BG49" s="159"/>
      <c r="BH49" s="159"/>
      <c r="BI49" s="159"/>
      <c r="BJ49" s="159"/>
      <c r="BK49" s="159"/>
      <c r="BL49" s="159"/>
      <c r="BM49" s="159"/>
      <c r="BN49" s="159"/>
    </row>
    <row r="50" ht="12.75" customHeight="1">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c r="AR50" s="159"/>
      <c r="AS50" s="159"/>
      <c r="AT50" s="159"/>
      <c r="AU50" s="159"/>
      <c r="AV50" s="159"/>
      <c r="AW50" s="159"/>
      <c r="AX50" s="159"/>
      <c r="AY50" s="159"/>
      <c r="AZ50" s="159"/>
      <c r="BA50" s="159"/>
      <c r="BB50" s="159"/>
      <c r="BC50" s="159"/>
      <c r="BD50" s="159"/>
      <c r="BE50" s="159"/>
      <c r="BF50" s="159"/>
      <c r="BG50" s="159"/>
      <c r="BH50" s="159"/>
      <c r="BI50" s="159"/>
      <c r="BJ50" s="159"/>
      <c r="BK50" s="159"/>
      <c r="BL50" s="159"/>
      <c r="BM50" s="159"/>
      <c r="BN50" s="159"/>
    </row>
    <row r="51" ht="12.75" customHeight="1">
      <c r="A51" s="147" t="s">
        <v>392</v>
      </c>
      <c r="B51" s="163" t="s">
        <v>406</v>
      </c>
      <c r="C51" s="152" t="s">
        <v>407</v>
      </c>
      <c r="D51" s="152" t="s">
        <v>408</v>
      </c>
      <c r="E51" s="151" t="s">
        <v>409</v>
      </c>
      <c r="F51" s="151" t="s">
        <v>410</v>
      </c>
      <c r="G51" s="152" t="s">
        <v>305</v>
      </c>
      <c r="H51" s="163" t="s">
        <v>406</v>
      </c>
      <c r="I51" s="152" t="s">
        <v>407</v>
      </c>
      <c r="J51" s="152" t="s">
        <v>408</v>
      </c>
      <c r="K51" s="151" t="s">
        <v>409</v>
      </c>
      <c r="L51" s="152" t="s">
        <v>305</v>
      </c>
      <c r="M51" s="163" t="s">
        <v>406</v>
      </c>
      <c r="N51" s="152" t="s">
        <v>407</v>
      </c>
      <c r="O51" s="152" t="s">
        <v>408</v>
      </c>
      <c r="P51" s="152" t="s">
        <v>305</v>
      </c>
      <c r="Q51" s="163" t="s">
        <v>406</v>
      </c>
      <c r="R51" s="152" t="s">
        <v>407</v>
      </c>
      <c r="S51" s="152" t="s">
        <v>408</v>
      </c>
      <c r="T51" s="151" t="s">
        <v>409</v>
      </c>
      <c r="U51" s="152" t="s">
        <v>305</v>
      </c>
      <c r="V51" s="163" t="s">
        <v>406</v>
      </c>
      <c r="W51" s="152" t="s">
        <v>407</v>
      </c>
      <c r="X51" s="152" t="s">
        <v>408</v>
      </c>
      <c r="Y51" s="151" t="s">
        <v>409</v>
      </c>
      <c r="Z51" s="152" t="s">
        <v>305</v>
      </c>
      <c r="AA51" s="163" t="s">
        <v>406</v>
      </c>
      <c r="AB51" s="152" t="s">
        <v>407</v>
      </c>
      <c r="AC51" s="152" t="s">
        <v>408</v>
      </c>
      <c r="AD51" s="151" t="s">
        <v>409</v>
      </c>
      <c r="AE51" s="151" t="s">
        <v>411</v>
      </c>
      <c r="AF51" s="152" t="s">
        <v>305</v>
      </c>
      <c r="AG51" s="163" t="s">
        <v>406</v>
      </c>
      <c r="AH51" s="152" t="s">
        <v>407</v>
      </c>
      <c r="AI51" s="152" t="s">
        <v>408</v>
      </c>
      <c r="AJ51" s="151" t="s">
        <v>409</v>
      </c>
      <c r="AK51" s="151" t="s">
        <v>411</v>
      </c>
      <c r="AL51" s="152" t="s">
        <v>305</v>
      </c>
      <c r="AM51" s="163" t="s">
        <v>406</v>
      </c>
      <c r="AN51" s="152" t="s">
        <v>407</v>
      </c>
      <c r="AO51" s="152" t="s">
        <v>408</v>
      </c>
      <c r="AP51" s="151" t="s">
        <v>409</v>
      </c>
      <c r="AQ51" s="151" t="s">
        <v>411</v>
      </c>
      <c r="AR51" s="152" t="s">
        <v>305</v>
      </c>
      <c r="AS51" s="163" t="s">
        <v>406</v>
      </c>
      <c r="AT51" s="152" t="s">
        <v>407</v>
      </c>
      <c r="AU51" s="152" t="s">
        <v>408</v>
      </c>
      <c r="AV51" s="151" t="s">
        <v>409</v>
      </c>
      <c r="AW51" s="152" t="s">
        <v>305</v>
      </c>
      <c r="AX51" s="163" t="s">
        <v>406</v>
      </c>
      <c r="AY51" s="152" t="s">
        <v>407</v>
      </c>
      <c r="AZ51" s="152" t="s">
        <v>408</v>
      </c>
      <c r="BA51" s="151" t="s">
        <v>409</v>
      </c>
      <c r="BB51" s="152" t="s">
        <v>305</v>
      </c>
      <c r="BC51" s="163" t="s">
        <v>406</v>
      </c>
      <c r="BD51" s="152" t="s">
        <v>407</v>
      </c>
      <c r="BE51" s="152" t="s">
        <v>408</v>
      </c>
      <c r="BF51" s="151" t="s">
        <v>412</v>
      </c>
      <c r="BG51" s="151" t="s">
        <v>409</v>
      </c>
      <c r="BH51" s="152" t="s">
        <v>305</v>
      </c>
      <c r="BI51" s="163" t="s">
        <v>406</v>
      </c>
      <c r="BJ51" s="152" t="s">
        <v>407</v>
      </c>
      <c r="BK51" s="152" t="s">
        <v>408</v>
      </c>
      <c r="BL51" s="151" t="s">
        <v>412</v>
      </c>
      <c r="BM51" s="151" t="s">
        <v>409</v>
      </c>
      <c r="BN51" s="152" t="s">
        <v>305</v>
      </c>
    </row>
    <row r="52" ht="12.75" customHeight="1">
      <c r="A52" s="147" t="s">
        <v>206</v>
      </c>
      <c r="B52" s="167"/>
      <c r="C52" s="167"/>
      <c r="D52" s="167"/>
      <c r="E52" s="167"/>
      <c r="F52" s="167"/>
      <c r="G52" s="164"/>
      <c r="H52" s="167"/>
      <c r="I52" s="167"/>
      <c r="J52" s="167"/>
      <c r="K52" s="167"/>
      <c r="L52" s="164"/>
      <c r="M52" s="167"/>
      <c r="N52" s="167"/>
      <c r="O52" s="167"/>
      <c r="P52" s="164"/>
      <c r="Q52" s="167"/>
      <c r="R52" s="167"/>
      <c r="S52" s="167"/>
      <c r="T52" s="167"/>
      <c r="U52" s="164"/>
      <c r="V52" s="167"/>
      <c r="W52" s="167"/>
      <c r="X52" s="167"/>
      <c r="Y52" s="167"/>
      <c r="Z52" s="164"/>
      <c r="AA52" s="167"/>
      <c r="AB52" s="167"/>
      <c r="AC52" s="167"/>
      <c r="AD52" s="167"/>
      <c r="AE52" s="167"/>
      <c r="AF52" s="164"/>
      <c r="AG52" s="167"/>
      <c r="AH52" s="167"/>
      <c r="AI52" s="167"/>
      <c r="AJ52" s="167"/>
      <c r="AK52" s="167"/>
      <c r="AL52" s="164"/>
      <c r="AM52" s="167"/>
      <c r="AN52" s="167"/>
      <c r="AO52" s="167"/>
      <c r="AP52" s="167"/>
      <c r="AQ52" s="167"/>
      <c r="AR52" s="164"/>
      <c r="AS52" s="167"/>
      <c r="AT52" s="167"/>
      <c r="AU52" s="167"/>
      <c r="AV52" s="167"/>
      <c r="AW52" s="164"/>
      <c r="AX52" s="167"/>
      <c r="AY52" s="167"/>
      <c r="AZ52" s="167"/>
      <c r="BA52" s="167"/>
      <c r="BB52" s="164"/>
      <c r="BC52" s="167"/>
      <c r="BD52" s="167"/>
      <c r="BE52" s="167"/>
      <c r="BF52" s="167"/>
      <c r="BG52" s="167"/>
      <c r="BH52" s="164"/>
      <c r="BI52" s="167"/>
      <c r="BJ52" s="167"/>
      <c r="BK52" s="167"/>
      <c r="BL52" s="167"/>
      <c r="BM52" s="167"/>
      <c r="BN52" s="164"/>
    </row>
    <row r="53" ht="12.75" customHeight="1">
      <c r="A53" s="153" t="s">
        <v>433</v>
      </c>
      <c r="B53" s="169">
        <v>8.0</v>
      </c>
      <c r="C53" s="155">
        <v>1.991819192E7</v>
      </c>
      <c r="D53" s="155">
        <v>1905426.2000000002</v>
      </c>
      <c r="E53" s="155">
        <v>0.0</v>
      </c>
      <c r="F53" s="155">
        <v>960000.0</v>
      </c>
      <c r="G53" s="155">
        <f>SUM(C53:F53)</f>
        <v>22783618.12</v>
      </c>
      <c r="H53" s="169">
        <v>8.0</v>
      </c>
      <c r="I53" s="155">
        <v>1.7523830749999996E7</v>
      </c>
      <c r="J53" s="155">
        <v>1405511.72</v>
      </c>
      <c r="K53" s="155">
        <v>0.0</v>
      </c>
      <c r="L53" s="155">
        <f>SUM(I53:K53)</f>
        <v>18929342.47</v>
      </c>
      <c r="M53" s="169">
        <v>8.0</v>
      </c>
      <c r="N53" s="155">
        <v>1.916915415E7</v>
      </c>
      <c r="O53" s="155">
        <v>1321741.03</v>
      </c>
      <c r="P53" s="155">
        <f>SUM(N53:O53)</f>
        <v>20490895.18</v>
      </c>
      <c r="Q53" s="169">
        <v>8.0</v>
      </c>
      <c r="R53" s="155">
        <v>1.8834271230000004E7</v>
      </c>
      <c r="S53" s="155">
        <v>2860335.69</v>
      </c>
      <c r="T53" s="155">
        <v>0.0</v>
      </c>
      <c r="U53" s="155">
        <f>SUM(R53:T53)</f>
        <v>21694606.92</v>
      </c>
      <c r="V53" s="169">
        <v>8.0</v>
      </c>
      <c r="W53" s="155">
        <v>1.9458333720000003E7</v>
      </c>
      <c r="X53" s="155">
        <v>1686091.46</v>
      </c>
      <c r="Y53" s="155">
        <v>0.0</v>
      </c>
      <c r="Z53" s="155">
        <f>SUM(W53:Y53)</f>
        <v>21144425.18</v>
      </c>
      <c r="AA53" s="169">
        <v>8.0</v>
      </c>
      <c r="AB53" s="155">
        <v>2.2671885759999998E7</v>
      </c>
      <c r="AC53" s="155">
        <v>7344840.83</v>
      </c>
      <c r="AD53" s="155">
        <v>1.516368753E7</v>
      </c>
      <c r="AE53" s="155">
        <v>450000.0</v>
      </c>
      <c r="AF53" s="155">
        <f>SUM(AB53:AE53)</f>
        <v>45630414.12</v>
      </c>
      <c r="AG53" s="169">
        <v>8.0</v>
      </c>
      <c r="AH53" s="155">
        <v>2.506381213E7</v>
      </c>
      <c r="AI53" s="155">
        <v>3914667.2699999996</v>
      </c>
      <c r="AJ53" s="155">
        <v>0.0</v>
      </c>
      <c r="AK53" s="155">
        <v>450000.0</v>
      </c>
      <c r="AL53" s="155">
        <f>SUM(AH53:AK53)</f>
        <v>29428479.4</v>
      </c>
      <c r="AM53" s="169">
        <v>9.0</v>
      </c>
      <c r="AN53" s="155">
        <v>2.680995234E7</v>
      </c>
      <c r="AO53" s="155">
        <v>5088805.33</v>
      </c>
      <c r="AP53" s="155">
        <v>724619.2400000001</v>
      </c>
      <c r="AQ53" s="155">
        <v>640000.0</v>
      </c>
      <c r="AR53" s="155">
        <f>SUM(AN53:AQ53)</f>
        <v>33263376.91</v>
      </c>
      <c r="AS53" s="169">
        <v>9.0</v>
      </c>
      <c r="AT53" s="155">
        <v>2.71297553E7</v>
      </c>
      <c r="AU53" s="155">
        <v>3338347.7299999995</v>
      </c>
      <c r="AV53" s="155">
        <v>0.0</v>
      </c>
      <c r="AW53" s="155">
        <f>SUM(AT53:AV53)</f>
        <v>30468103.03</v>
      </c>
      <c r="AX53" s="169">
        <v>9.0</v>
      </c>
      <c r="AY53" s="155">
        <v>5.1282381089999996E7</v>
      </c>
      <c r="AZ53" s="155">
        <v>848610.39</v>
      </c>
      <c r="BA53" s="155">
        <v>0.0</v>
      </c>
      <c r="BB53" s="155">
        <f>SUM(AY53:BA53)</f>
        <v>52130991.48</v>
      </c>
      <c r="BC53" s="169">
        <v>9.0</v>
      </c>
      <c r="BD53" s="155">
        <v>2.8009947779999997E7</v>
      </c>
      <c r="BE53" s="155">
        <v>4862017.390000001</v>
      </c>
      <c r="BF53" s="155">
        <v>450000.0</v>
      </c>
      <c r="BG53" s="155">
        <v>0.0</v>
      </c>
      <c r="BH53" s="155">
        <f>SUM(BD53:BG53)</f>
        <v>33321965.17</v>
      </c>
      <c r="BI53" s="169">
        <v>9.0</v>
      </c>
      <c r="BJ53" s="155">
        <v>2.769438093E7</v>
      </c>
      <c r="BK53" s="155">
        <v>2442427.68</v>
      </c>
      <c r="BL53" s="155"/>
      <c r="BM53" s="155">
        <v>1.79252395E7</v>
      </c>
      <c r="BN53" s="155">
        <f>SUM(BJ53:BM53)</f>
        <v>48062048.11</v>
      </c>
    </row>
    <row r="54" ht="12.75" customHeight="1">
      <c r="A54" s="147" t="s">
        <v>416</v>
      </c>
      <c r="B54" s="166">
        <f t="shared" ref="B54:BN54" si="39">SUM(B53)</f>
        <v>8</v>
      </c>
      <c r="C54" s="157">
        <f t="shared" si="39"/>
        <v>19918191.92</v>
      </c>
      <c r="D54" s="157">
        <f t="shared" si="39"/>
        <v>1905426.2</v>
      </c>
      <c r="E54" s="157">
        <f t="shared" si="39"/>
        <v>0</v>
      </c>
      <c r="F54" s="157">
        <f t="shared" si="39"/>
        <v>960000</v>
      </c>
      <c r="G54" s="157">
        <f t="shared" si="39"/>
        <v>22783618.12</v>
      </c>
      <c r="H54" s="166">
        <f t="shared" si="39"/>
        <v>8</v>
      </c>
      <c r="I54" s="157">
        <f t="shared" si="39"/>
        <v>17523830.75</v>
      </c>
      <c r="J54" s="157">
        <f t="shared" si="39"/>
        <v>1405511.72</v>
      </c>
      <c r="K54" s="157">
        <f t="shared" si="39"/>
        <v>0</v>
      </c>
      <c r="L54" s="157">
        <f t="shared" si="39"/>
        <v>18929342.47</v>
      </c>
      <c r="M54" s="166">
        <f t="shared" si="39"/>
        <v>8</v>
      </c>
      <c r="N54" s="157">
        <f t="shared" si="39"/>
        <v>19169154.15</v>
      </c>
      <c r="O54" s="157">
        <f t="shared" si="39"/>
        <v>1321741.03</v>
      </c>
      <c r="P54" s="157">
        <f t="shared" si="39"/>
        <v>20490895.18</v>
      </c>
      <c r="Q54" s="166">
        <f t="shared" si="39"/>
        <v>8</v>
      </c>
      <c r="R54" s="157">
        <f t="shared" si="39"/>
        <v>18834271.23</v>
      </c>
      <c r="S54" s="157">
        <f t="shared" si="39"/>
        <v>2860335.69</v>
      </c>
      <c r="T54" s="157">
        <f t="shared" si="39"/>
        <v>0</v>
      </c>
      <c r="U54" s="157">
        <f t="shared" si="39"/>
        <v>21694606.92</v>
      </c>
      <c r="V54" s="166">
        <f t="shared" si="39"/>
        <v>8</v>
      </c>
      <c r="W54" s="157">
        <f t="shared" si="39"/>
        <v>19458333.72</v>
      </c>
      <c r="X54" s="157">
        <f t="shared" si="39"/>
        <v>1686091.46</v>
      </c>
      <c r="Y54" s="157">
        <f t="shared" si="39"/>
        <v>0</v>
      </c>
      <c r="Z54" s="157">
        <f t="shared" si="39"/>
        <v>21144425.18</v>
      </c>
      <c r="AA54" s="166">
        <f t="shared" si="39"/>
        <v>8</v>
      </c>
      <c r="AB54" s="157">
        <f t="shared" si="39"/>
        <v>22671885.76</v>
      </c>
      <c r="AC54" s="157">
        <f t="shared" si="39"/>
        <v>7344840.83</v>
      </c>
      <c r="AD54" s="157">
        <f t="shared" si="39"/>
        <v>15163687.53</v>
      </c>
      <c r="AE54" s="157">
        <f t="shared" si="39"/>
        <v>450000</v>
      </c>
      <c r="AF54" s="157">
        <f t="shared" si="39"/>
        <v>45630414.12</v>
      </c>
      <c r="AG54" s="166">
        <f t="shared" si="39"/>
        <v>8</v>
      </c>
      <c r="AH54" s="157">
        <f t="shared" si="39"/>
        <v>25063812.13</v>
      </c>
      <c r="AI54" s="157">
        <f t="shared" si="39"/>
        <v>3914667.27</v>
      </c>
      <c r="AJ54" s="157">
        <f t="shared" si="39"/>
        <v>0</v>
      </c>
      <c r="AK54" s="157">
        <f t="shared" si="39"/>
        <v>450000</v>
      </c>
      <c r="AL54" s="157">
        <f t="shared" si="39"/>
        <v>29428479.4</v>
      </c>
      <c r="AM54" s="166">
        <f t="shared" si="39"/>
        <v>9</v>
      </c>
      <c r="AN54" s="157">
        <f t="shared" si="39"/>
        <v>26809952.34</v>
      </c>
      <c r="AO54" s="157">
        <f t="shared" si="39"/>
        <v>5088805.33</v>
      </c>
      <c r="AP54" s="157">
        <f t="shared" si="39"/>
        <v>724619.24</v>
      </c>
      <c r="AQ54" s="157">
        <f t="shared" si="39"/>
        <v>640000</v>
      </c>
      <c r="AR54" s="157">
        <f t="shared" si="39"/>
        <v>33263376.91</v>
      </c>
      <c r="AS54" s="166">
        <f t="shared" si="39"/>
        <v>9</v>
      </c>
      <c r="AT54" s="157">
        <f t="shared" si="39"/>
        <v>27129755.3</v>
      </c>
      <c r="AU54" s="157">
        <f t="shared" si="39"/>
        <v>3338347.73</v>
      </c>
      <c r="AV54" s="157">
        <f t="shared" si="39"/>
        <v>0</v>
      </c>
      <c r="AW54" s="157">
        <f t="shared" si="39"/>
        <v>30468103.03</v>
      </c>
      <c r="AX54" s="166">
        <f t="shared" si="39"/>
        <v>9</v>
      </c>
      <c r="AY54" s="157">
        <f t="shared" si="39"/>
        <v>51282381.09</v>
      </c>
      <c r="AZ54" s="157">
        <f t="shared" si="39"/>
        <v>848610.39</v>
      </c>
      <c r="BA54" s="157">
        <f t="shared" si="39"/>
        <v>0</v>
      </c>
      <c r="BB54" s="157">
        <f t="shared" si="39"/>
        <v>52130991.48</v>
      </c>
      <c r="BC54" s="166">
        <f t="shared" si="39"/>
        <v>9</v>
      </c>
      <c r="BD54" s="157">
        <f t="shared" si="39"/>
        <v>28009947.78</v>
      </c>
      <c r="BE54" s="157">
        <f t="shared" si="39"/>
        <v>4862017.39</v>
      </c>
      <c r="BF54" s="157">
        <f t="shared" si="39"/>
        <v>450000</v>
      </c>
      <c r="BG54" s="157">
        <f t="shared" si="39"/>
        <v>0</v>
      </c>
      <c r="BH54" s="157">
        <f t="shared" si="39"/>
        <v>33321965.17</v>
      </c>
      <c r="BI54" s="166">
        <f t="shared" si="39"/>
        <v>9</v>
      </c>
      <c r="BJ54" s="157">
        <f t="shared" si="39"/>
        <v>27694380.93</v>
      </c>
      <c r="BK54" s="157">
        <f t="shared" si="39"/>
        <v>2442427.68</v>
      </c>
      <c r="BL54" s="157">
        <f t="shared" si="39"/>
        <v>0</v>
      </c>
      <c r="BM54" s="157">
        <f t="shared" si="39"/>
        <v>17925239.5</v>
      </c>
      <c r="BN54" s="157">
        <f t="shared" si="39"/>
        <v>48062048.11</v>
      </c>
    </row>
    <row r="55" ht="12.75" customHeight="1">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c r="AA55" s="159"/>
      <c r="AB55" s="159"/>
      <c r="AC55" s="159"/>
      <c r="AD55" s="159"/>
      <c r="AE55" s="159"/>
      <c r="AF55" s="159"/>
      <c r="AG55" s="159"/>
      <c r="AH55" s="159"/>
      <c r="AI55" s="159"/>
      <c r="AJ55" s="159"/>
      <c r="AK55" s="159"/>
      <c r="AL55" s="159"/>
      <c r="AM55" s="159"/>
      <c r="AN55" s="159"/>
      <c r="AO55" s="159"/>
      <c r="AP55" s="159"/>
      <c r="AQ55" s="159"/>
      <c r="AR55" s="159"/>
      <c r="AS55" s="159"/>
      <c r="AT55" s="159"/>
      <c r="AU55" s="159"/>
      <c r="AV55" s="159"/>
      <c r="AW55" s="159"/>
      <c r="AX55" s="159"/>
      <c r="AY55" s="159"/>
      <c r="AZ55" s="159"/>
      <c r="BA55" s="159"/>
      <c r="BB55" s="159"/>
      <c r="BC55" s="159"/>
      <c r="BD55" s="159"/>
      <c r="BE55" s="159"/>
      <c r="BF55" s="159"/>
      <c r="BG55" s="159"/>
      <c r="BH55" s="159"/>
      <c r="BI55" s="159"/>
      <c r="BJ55" s="159"/>
      <c r="BK55" s="159"/>
      <c r="BL55" s="159"/>
      <c r="BM55" s="159"/>
      <c r="BN55" s="159"/>
    </row>
    <row r="56" ht="12.75" hidden="1" customHeight="1">
      <c r="A56" s="147" t="s">
        <v>392</v>
      </c>
      <c r="B56" s="163" t="s">
        <v>406</v>
      </c>
      <c r="C56" s="152" t="s">
        <v>407</v>
      </c>
      <c r="D56" s="152" t="s">
        <v>408</v>
      </c>
      <c r="E56" s="151"/>
      <c r="F56" s="151"/>
      <c r="G56" s="152" t="s">
        <v>305</v>
      </c>
      <c r="H56" s="163" t="s">
        <v>406</v>
      </c>
      <c r="I56" s="152" t="s">
        <v>407</v>
      </c>
      <c r="J56" s="152" t="s">
        <v>408</v>
      </c>
      <c r="K56" s="151"/>
      <c r="L56" s="152" t="s">
        <v>305</v>
      </c>
      <c r="M56" s="163" t="s">
        <v>406</v>
      </c>
      <c r="N56" s="152" t="s">
        <v>407</v>
      </c>
      <c r="O56" s="152" t="s">
        <v>408</v>
      </c>
      <c r="P56" s="152" t="s">
        <v>305</v>
      </c>
      <c r="Q56" s="163" t="s">
        <v>406</v>
      </c>
      <c r="R56" s="152" t="s">
        <v>407</v>
      </c>
      <c r="S56" s="152" t="s">
        <v>408</v>
      </c>
      <c r="T56" s="151"/>
      <c r="U56" s="152" t="s">
        <v>305</v>
      </c>
      <c r="V56" s="163" t="s">
        <v>406</v>
      </c>
      <c r="W56" s="152" t="s">
        <v>407</v>
      </c>
      <c r="X56" s="152" t="s">
        <v>408</v>
      </c>
      <c r="Y56" s="151"/>
      <c r="Z56" s="152" t="s">
        <v>305</v>
      </c>
      <c r="AA56" s="163" t="s">
        <v>406</v>
      </c>
      <c r="AB56" s="152" t="s">
        <v>407</v>
      </c>
      <c r="AC56" s="152" t="s">
        <v>408</v>
      </c>
      <c r="AD56" s="151"/>
      <c r="AE56" s="151"/>
      <c r="AF56" s="152" t="s">
        <v>305</v>
      </c>
      <c r="AG56" s="163" t="s">
        <v>406</v>
      </c>
      <c r="AH56" s="152" t="s">
        <v>407</v>
      </c>
      <c r="AI56" s="152" t="s">
        <v>408</v>
      </c>
      <c r="AJ56" s="151"/>
      <c r="AK56" s="151"/>
      <c r="AL56" s="152" t="s">
        <v>305</v>
      </c>
      <c r="AM56" s="163" t="s">
        <v>406</v>
      </c>
      <c r="AN56" s="152" t="s">
        <v>407</v>
      </c>
      <c r="AO56" s="152" t="s">
        <v>408</v>
      </c>
      <c r="AP56" s="151"/>
      <c r="AQ56" s="151"/>
      <c r="AR56" s="152" t="s">
        <v>305</v>
      </c>
      <c r="AS56" s="163" t="s">
        <v>406</v>
      </c>
      <c r="AT56" s="152" t="s">
        <v>407</v>
      </c>
      <c r="AU56" s="152" t="s">
        <v>408</v>
      </c>
      <c r="AV56" s="151"/>
      <c r="AW56" s="152" t="s">
        <v>305</v>
      </c>
      <c r="AX56" s="163" t="s">
        <v>406</v>
      </c>
      <c r="AY56" s="152" t="s">
        <v>407</v>
      </c>
      <c r="AZ56" s="152" t="s">
        <v>408</v>
      </c>
      <c r="BA56" s="151"/>
      <c r="BB56" s="152" t="s">
        <v>305</v>
      </c>
      <c r="BC56" s="163" t="s">
        <v>406</v>
      </c>
      <c r="BD56" s="152" t="s">
        <v>407</v>
      </c>
      <c r="BE56" s="152" t="s">
        <v>408</v>
      </c>
      <c r="BF56" s="151"/>
      <c r="BG56" s="151"/>
      <c r="BH56" s="152" t="s">
        <v>305</v>
      </c>
      <c r="BI56" s="163" t="s">
        <v>406</v>
      </c>
      <c r="BJ56" s="152" t="s">
        <v>407</v>
      </c>
      <c r="BK56" s="152" t="s">
        <v>408</v>
      </c>
      <c r="BL56" s="151"/>
      <c r="BM56" s="151"/>
      <c r="BN56" s="152" t="s">
        <v>305</v>
      </c>
    </row>
    <row r="57" ht="12.75" hidden="1" customHeight="1">
      <c r="A57" s="147" t="s">
        <v>434</v>
      </c>
      <c r="B57" s="164"/>
      <c r="C57" s="165"/>
      <c r="D57" s="165"/>
      <c r="E57" s="165"/>
      <c r="F57" s="165"/>
      <c r="G57" s="165"/>
      <c r="H57" s="164"/>
      <c r="I57" s="165"/>
      <c r="J57" s="165"/>
      <c r="K57" s="165"/>
      <c r="L57" s="165"/>
      <c r="M57" s="164"/>
      <c r="N57" s="165"/>
      <c r="O57" s="165"/>
      <c r="P57" s="165"/>
      <c r="Q57" s="164"/>
      <c r="R57" s="165"/>
      <c r="S57" s="165"/>
      <c r="T57" s="165"/>
      <c r="U57" s="165"/>
      <c r="V57" s="164"/>
      <c r="W57" s="165"/>
      <c r="X57" s="165"/>
      <c r="Y57" s="165"/>
      <c r="Z57" s="165"/>
      <c r="AA57" s="164"/>
      <c r="AB57" s="165"/>
      <c r="AC57" s="165"/>
      <c r="AD57" s="165"/>
      <c r="AE57" s="165"/>
      <c r="AF57" s="165"/>
      <c r="AG57" s="164"/>
      <c r="AH57" s="165"/>
      <c r="AI57" s="165"/>
      <c r="AJ57" s="165"/>
      <c r="AK57" s="165"/>
      <c r="AL57" s="165"/>
      <c r="AM57" s="164"/>
      <c r="AN57" s="165"/>
      <c r="AO57" s="165"/>
      <c r="AP57" s="165"/>
      <c r="AQ57" s="165"/>
      <c r="AR57" s="165"/>
      <c r="AS57" s="164"/>
      <c r="AT57" s="165"/>
      <c r="AU57" s="165"/>
      <c r="AV57" s="165"/>
      <c r="AW57" s="165"/>
      <c r="AX57" s="164"/>
      <c r="AY57" s="165"/>
      <c r="AZ57" s="165"/>
      <c r="BA57" s="165"/>
      <c r="BB57" s="165"/>
      <c r="BC57" s="164"/>
      <c r="BD57" s="165"/>
      <c r="BE57" s="165"/>
      <c r="BF57" s="165"/>
      <c r="BG57" s="165"/>
      <c r="BH57" s="165"/>
      <c r="BI57" s="164"/>
      <c r="BJ57" s="165"/>
      <c r="BK57" s="165"/>
      <c r="BL57" s="165"/>
      <c r="BM57" s="165"/>
      <c r="BN57" s="165"/>
    </row>
    <row r="58" ht="12.75" hidden="1" customHeight="1">
      <c r="A58" s="153" t="s">
        <v>434</v>
      </c>
      <c r="B58" s="155">
        <v>0.0</v>
      </c>
      <c r="C58" s="155">
        <v>0.0</v>
      </c>
      <c r="D58" s="155">
        <v>0.0</v>
      </c>
      <c r="E58" s="155"/>
      <c r="F58" s="155"/>
      <c r="G58" s="155">
        <f>SUM(C58:E58)</f>
        <v>0</v>
      </c>
      <c r="H58" s="155">
        <v>0.0</v>
      </c>
      <c r="I58" s="155">
        <v>0.0</v>
      </c>
      <c r="J58" s="155">
        <v>0.0</v>
      </c>
      <c r="K58" s="155"/>
      <c r="L58" s="155">
        <f>SUM(I58:K58)</f>
        <v>0</v>
      </c>
      <c r="M58" s="155">
        <v>0.0</v>
      </c>
      <c r="N58" s="155">
        <v>0.0</v>
      </c>
      <c r="O58" s="155">
        <v>0.0</v>
      </c>
      <c r="P58" s="155">
        <f>SUM(N58:O58)</f>
        <v>0</v>
      </c>
      <c r="Q58" s="155">
        <v>0.0</v>
      </c>
      <c r="R58" s="155">
        <v>0.0</v>
      </c>
      <c r="S58" s="155">
        <v>0.0</v>
      </c>
      <c r="T58" s="155"/>
      <c r="U58" s="155">
        <f>SUM(R58:T58)</f>
        <v>0</v>
      </c>
      <c r="V58" s="155">
        <v>0.0</v>
      </c>
      <c r="W58" s="155">
        <v>0.0</v>
      </c>
      <c r="X58" s="155">
        <v>0.0</v>
      </c>
      <c r="Y58" s="155"/>
      <c r="Z58" s="155">
        <f>SUM(W58:Y58)</f>
        <v>0</v>
      </c>
      <c r="AA58" s="155">
        <v>0.0</v>
      </c>
      <c r="AB58" s="155">
        <v>0.0</v>
      </c>
      <c r="AC58" s="155">
        <v>0.0</v>
      </c>
      <c r="AD58" s="155"/>
      <c r="AE58" s="155"/>
      <c r="AF58" s="155">
        <f>SUM(AB58:AD58)</f>
        <v>0</v>
      </c>
      <c r="AG58" s="155">
        <v>0.0</v>
      </c>
      <c r="AH58" s="155">
        <v>0.0</v>
      </c>
      <c r="AI58" s="155">
        <v>0.0</v>
      </c>
      <c r="AJ58" s="155"/>
      <c r="AK58" s="155"/>
      <c r="AL58" s="155">
        <f>SUM(AH58:AJ58)</f>
        <v>0</v>
      </c>
      <c r="AM58" s="155">
        <v>0.0</v>
      </c>
      <c r="AN58" s="155">
        <v>0.0</v>
      </c>
      <c r="AO58" s="155">
        <v>0.0</v>
      </c>
      <c r="AP58" s="155"/>
      <c r="AQ58" s="155"/>
      <c r="AR58" s="155">
        <f>SUM(AN58:AP58)</f>
        <v>0</v>
      </c>
      <c r="AS58" s="155">
        <v>0.0</v>
      </c>
      <c r="AT58" s="155">
        <v>0.0</v>
      </c>
      <c r="AU58" s="155">
        <v>0.0</v>
      </c>
      <c r="AV58" s="155"/>
      <c r="AW58" s="155">
        <f>SUM(AT58:AV58)</f>
        <v>0</v>
      </c>
      <c r="AX58" s="155">
        <v>0.0</v>
      </c>
      <c r="AY58" s="155">
        <v>0.0</v>
      </c>
      <c r="AZ58" s="155">
        <v>0.0</v>
      </c>
      <c r="BA58" s="155"/>
      <c r="BB58" s="155">
        <f>SUM(AY58:BA58)</f>
        <v>0</v>
      </c>
      <c r="BC58" s="155">
        <v>0.0</v>
      </c>
      <c r="BD58" s="155">
        <v>0.0</v>
      </c>
      <c r="BE58" s="155">
        <v>0.0</v>
      </c>
      <c r="BF58" s="155"/>
      <c r="BG58" s="155"/>
      <c r="BH58" s="155">
        <f>SUM(BD58:BG58)</f>
        <v>0</v>
      </c>
      <c r="BI58" s="155">
        <v>0.0</v>
      </c>
      <c r="BJ58" s="155">
        <v>0.0</v>
      </c>
      <c r="BK58" s="155">
        <v>0.0</v>
      </c>
      <c r="BL58" s="155"/>
      <c r="BM58" s="155"/>
      <c r="BN58" s="155">
        <f>SUM(BJ58:BM58)</f>
        <v>0</v>
      </c>
    </row>
    <row r="59" ht="12.75" hidden="1" customHeight="1">
      <c r="A59" s="147" t="s">
        <v>416</v>
      </c>
      <c r="B59" s="157">
        <f t="shared" ref="B59:BN59" si="40">SUM(B58)</f>
        <v>0</v>
      </c>
      <c r="C59" s="157">
        <f t="shared" si="40"/>
        <v>0</v>
      </c>
      <c r="D59" s="157">
        <f t="shared" si="40"/>
        <v>0</v>
      </c>
      <c r="E59" s="157">
        <f t="shared" si="40"/>
        <v>0</v>
      </c>
      <c r="F59" s="157">
        <f t="shared" si="40"/>
        <v>0</v>
      </c>
      <c r="G59" s="157">
        <f t="shared" si="40"/>
        <v>0</v>
      </c>
      <c r="H59" s="157">
        <f t="shared" si="40"/>
        <v>0</v>
      </c>
      <c r="I59" s="157">
        <f t="shared" si="40"/>
        <v>0</v>
      </c>
      <c r="J59" s="157">
        <f t="shared" si="40"/>
        <v>0</v>
      </c>
      <c r="K59" s="157">
        <f t="shared" si="40"/>
        <v>0</v>
      </c>
      <c r="L59" s="157">
        <f t="shared" si="40"/>
        <v>0</v>
      </c>
      <c r="M59" s="157">
        <f t="shared" si="40"/>
        <v>0</v>
      </c>
      <c r="N59" s="157">
        <f t="shared" si="40"/>
        <v>0</v>
      </c>
      <c r="O59" s="157">
        <f t="shared" si="40"/>
        <v>0</v>
      </c>
      <c r="P59" s="157">
        <f t="shared" si="40"/>
        <v>0</v>
      </c>
      <c r="Q59" s="157">
        <f t="shared" si="40"/>
        <v>0</v>
      </c>
      <c r="R59" s="157">
        <f t="shared" si="40"/>
        <v>0</v>
      </c>
      <c r="S59" s="157">
        <f t="shared" si="40"/>
        <v>0</v>
      </c>
      <c r="T59" s="157">
        <f t="shared" si="40"/>
        <v>0</v>
      </c>
      <c r="U59" s="157">
        <f t="shared" si="40"/>
        <v>0</v>
      </c>
      <c r="V59" s="157">
        <f t="shared" si="40"/>
        <v>0</v>
      </c>
      <c r="W59" s="157">
        <f t="shared" si="40"/>
        <v>0</v>
      </c>
      <c r="X59" s="157">
        <f t="shared" si="40"/>
        <v>0</v>
      </c>
      <c r="Y59" s="157">
        <f t="shared" si="40"/>
        <v>0</v>
      </c>
      <c r="Z59" s="157">
        <f t="shared" si="40"/>
        <v>0</v>
      </c>
      <c r="AA59" s="157">
        <f t="shared" si="40"/>
        <v>0</v>
      </c>
      <c r="AB59" s="157">
        <f t="shared" si="40"/>
        <v>0</v>
      </c>
      <c r="AC59" s="157">
        <f t="shared" si="40"/>
        <v>0</v>
      </c>
      <c r="AD59" s="157">
        <f t="shared" si="40"/>
        <v>0</v>
      </c>
      <c r="AE59" s="157">
        <f t="shared" si="40"/>
        <v>0</v>
      </c>
      <c r="AF59" s="157">
        <f t="shared" si="40"/>
        <v>0</v>
      </c>
      <c r="AG59" s="157">
        <f t="shared" si="40"/>
        <v>0</v>
      </c>
      <c r="AH59" s="157">
        <f t="shared" si="40"/>
        <v>0</v>
      </c>
      <c r="AI59" s="157">
        <f t="shared" si="40"/>
        <v>0</v>
      </c>
      <c r="AJ59" s="157">
        <f t="shared" si="40"/>
        <v>0</v>
      </c>
      <c r="AK59" s="157">
        <f t="shared" si="40"/>
        <v>0</v>
      </c>
      <c r="AL59" s="157">
        <f t="shared" si="40"/>
        <v>0</v>
      </c>
      <c r="AM59" s="157">
        <f t="shared" si="40"/>
        <v>0</v>
      </c>
      <c r="AN59" s="157">
        <f t="shared" si="40"/>
        <v>0</v>
      </c>
      <c r="AO59" s="157">
        <f t="shared" si="40"/>
        <v>0</v>
      </c>
      <c r="AP59" s="157">
        <f t="shared" si="40"/>
        <v>0</v>
      </c>
      <c r="AQ59" s="157">
        <f t="shared" si="40"/>
        <v>0</v>
      </c>
      <c r="AR59" s="157">
        <f t="shared" si="40"/>
        <v>0</v>
      </c>
      <c r="AS59" s="157">
        <f t="shared" si="40"/>
        <v>0</v>
      </c>
      <c r="AT59" s="157">
        <f t="shared" si="40"/>
        <v>0</v>
      </c>
      <c r="AU59" s="157">
        <f t="shared" si="40"/>
        <v>0</v>
      </c>
      <c r="AV59" s="157">
        <f t="shared" si="40"/>
        <v>0</v>
      </c>
      <c r="AW59" s="157">
        <f t="shared" si="40"/>
        <v>0</v>
      </c>
      <c r="AX59" s="157">
        <f t="shared" si="40"/>
        <v>0</v>
      </c>
      <c r="AY59" s="157">
        <f t="shared" si="40"/>
        <v>0</v>
      </c>
      <c r="AZ59" s="157">
        <f t="shared" si="40"/>
        <v>0</v>
      </c>
      <c r="BA59" s="157">
        <f t="shared" si="40"/>
        <v>0</v>
      </c>
      <c r="BB59" s="157">
        <f t="shared" si="40"/>
        <v>0</v>
      </c>
      <c r="BC59" s="157">
        <f t="shared" si="40"/>
        <v>0</v>
      </c>
      <c r="BD59" s="157">
        <f t="shared" si="40"/>
        <v>0</v>
      </c>
      <c r="BE59" s="157">
        <f t="shared" si="40"/>
        <v>0</v>
      </c>
      <c r="BF59" s="157">
        <f t="shared" si="40"/>
        <v>0</v>
      </c>
      <c r="BG59" s="157">
        <f t="shared" si="40"/>
        <v>0</v>
      </c>
      <c r="BH59" s="157">
        <f t="shared" si="40"/>
        <v>0</v>
      </c>
      <c r="BI59" s="157">
        <f t="shared" si="40"/>
        <v>0</v>
      </c>
      <c r="BJ59" s="157">
        <f t="shared" si="40"/>
        <v>0</v>
      </c>
      <c r="BK59" s="157">
        <f t="shared" si="40"/>
        <v>0</v>
      </c>
      <c r="BL59" s="157">
        <f t="shared" si="40"/>
        <v>0</v>
      </c>
      <c r="BM59" s="157">
        <f t="shared" si="40"/>
        <v>0</v>
      </c>
      <c r="BN59" s="157">
        <f t="shared" si="40"/>
        <v>0</v>
      </c>
    </row>
    <row r="60" ht="12.75" customHeight="1">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row>
    <row r="61" ht="12.75" customHeight="1">
      <c r="A61" s="147" t="s">
        <v>392</v>
      </c>
      <c r="B61" s="150" t="s">
        <v>406</v>
      </c>
      <c r="C61" s="152" t="s">
        <v>407</v>
      </c>
      <c r="D61" s="152" t="s">
        <v>408</v>
      </c>
      <c r="E61" s="151" t="s">
        <v>409</v>
      </c>
      <c r="F61" s="151" t="s">
        <v>410</v>
      </c>
      <c r="G61" s="152" t="s">
        <v>305</v>
      </c>
      <c r="H61" s="150" t="s">
        <v>406</v>
      </c>
      <c r="I61" s="152" t="s">
        <v>407</v>
      </c>
      <c r="J61" s="152" t="s">
        <v>408</v>
      </c>
      <c r="K61" s="151" t="s">
        <v>409</v>
      </c>
      <c r="L61" s="152" t="s">
        <v>305</v>
      </c>
      <c r="M61" s="150" t="s">
        <v>406</v>
      </c>
      <c r="N61" s="152" t="s">
        <v>407</v>
      </c>
      <c r="O61" s="152" t="s">
        <v>408</v>
      </c>
      <c r="P61" s="152" t="s">
        <v>305</v>
      </c>
      <c r="Q61" s="150" t="s">
        <v>406</v>
      </c>
      <c r="R61" s="152" t="s">
        <v>407</v>
      </c>
      <c r="S61" s="152" t="s">
        <v>408</v>
      </c>
      <c r="T61" s="151" t="s">
        <v>409</v>
      </c>
      <c r="U61" s="152" t="s">
        <v>305</v>
      </c>
      <c r="V61" s="150" t="s">
        <v>406</v>
      </c>
      <c r="W61" s="152" t="s">
        <v>407</v>
      </c>
      <c r="X61" s="152" t="s">
        <v>408</v>
      </c>
      <c r="Y61" s="151" t="s">
        <v>409</v>
      </c>
      <c r="Z61" s="152" t="s">
        <v>305</v>
      </c>
      <c r="AA61" s="150" t="s">
        <v>406</v>
      </c>
      <c r="AB61" s="152" t="s">
        <v>407</v>
      </c>
      <c r="AC61" s="152" t="s">
        <v>408</v>
      </c>
      <c r="AD61" s="151" t="s">
        <v>409</v>
      </c>
      <c r="AE61" s="151" t="s">
        <v>411</v>
      </c>
      <c r="AF61" s="152" t="s">
        <v>305</v>
      </c>
      <c r="AG61" s="150" t="s">
        <v>406</v>
      </c>
      <c r="AH61" s="152" t="s">
        <v>407</v>
      </c>
      <c r="AI61" s="152" t="s">
        <v>408</v>
      </c>
      <c r="AJ61" s="151" t="s">
        <v>409</v>
      </c>
      <c r="AK61" s="151" t="s">
        <v>411</v>
      </c>
      <c r="AL61" s="152" t="s">
        <v>305</v>
      </c>
      <c r="AM61" s="150" t="s">
        <v>406</v>
      </c>
      <c r="AN61" s="152" t="s">
        <v>407</v>
      </c>
      <c r="AO61" s="152" t="s">
        <v>408</v>
      </c>
      <c r="AP61" s="151" t="s">
        <v>409</v>
      </c>
      <c r="AQ61" s="151" t="s">
        <v>411</v>
      </c>
      <c r="AR61" s="152" t="s">
        <v>305</v>
      </c>
      <c r="AS61" s="150" t="s">
        <v>406</v>
      </c>
      <c r="AT61" s="152" t="s">
        <v>407</v>
      </c>
      <c r="AU61" s="152" t="s">
        <v>408</v>
      </c>
      <c r="AV61" s="151" t="s">
        <v>409</v>
      </c>
      <c r="AW61" s="152" t="s">
        <v>305</v>
      </c>
      <c r="AX61" s="150" t="s">
        <v>406</v>
      </c>
      <c r="AY61" s="152" t="s">
        <v>407</v>
      </c>
      <c r="AZ61" s="152" t="s">
        <v>408</v>
      </c>
      <c r="BA61" s="151" t="s">
        <v>409</v>
      </c>
      <c r="BB61" s="152" t="s">
        <v>305</v>
      </c>
      <c r="BC61" s="150" t="s">
        <v>406</v>
      </c>
      <c r="BD61" s="152" t="s">
        <v>407</v>
      </c>
      <c r="BE61" s="152" t="s">
        <v>408</v>
      </c>
      <c r="BF61" s="151" t="s">
        <v>412</v>
      </c>
      <c r="BG61" s="151" t="s">
        <v>409</v>
      </c>
      <c r="BH61" s="152" t="s">
        <v>305</v>
      </c>
      <c r="BI61" s="150" t="s">
        <v>406</v>
      </c>
      <c r="BJ61" s="152" t="s">
        <v>407</v>
      </c>
      <c r="BK61" s="152" t="s">
        <v>408</v>
      </c>
      <c r="BL61" s="151" t="s">
        <v>412</v>
      </c>
      <c r="BM61" s="151" t="s">
        <v>409</v>
      </c>
      <c r="BN61" s="152" t="s">
        <v>305</v>
      </c>
    </row>
    <row r="62" ht="12.75" customHeight="1">
      <c r="A62" s="153" t="s">
        <v>435</v>
      </c>
      <c r="B62" s="169">
        <v>5.0</v>
      </c>
      <c r="C62" s="155">
        <v>3.5867406839999996E7</v>
      </c>
      <c r="D62" s="155">
        <v>0.0</v>
      </c>
      <c r="E62" s="155">
        <v>1243490.21</v>
      </c>
      <c r="F62" s="155">
        <v>480000.0</v>
      </c>
      <c r="G62" s="155">
        <f>SUM(C62:F62)</f>
        <v>37590897.05</v>
      </c>
      <c r="H62" s="169">
        <v>5.0</v>
      </c>
      <c r="I62" s="155">
        <v>5737361.05</v>
      </c>
      <c r="J62" s="155">
        <v>0.0</v>
      </c>
      <c r="K62" s="155">
        <v>0.0</v>
      </c>
      <c r="L62" s="155">
        <f>SUM(I62:K62)</f>
        <v>5737361.05</v>
      </c>
      <c r="M62" s="169">
        <v>5.0</v>
      </c>
      <c r="N62" s="155">
        <v>8165964.199999999</v>
      </c>
      <c r="O62" s="155">
        <v>0.0</v>
      </c>
      <c r="P62" s="155">
        <f>SUM(N62:O62)</f>
        <v>8165964.2</v>
      </c>
      <c r="Q62" s="169">
        <v>5.0</v>
      </c>
      <c r="R62" s="155">
        <v>7715806.290000001</v>
      </c>
      <c r="S62" s="155">
        <v>103288.73999999999</v>
      </c>
      <c r="T62" s="155">
        <v>0.0</v>
      </c>
      <c r="U62" s="155">
        <f>SUM(R62:T62)</f>
        <v>7819095.03</v>
      </c>
      <c r="V62" s="169">
        <v>3.0</v>
      </c>
      <c r="W62" s="155">
        <v>8491296.54</v>
      </c>
      <c r="X62" s="155">
        <v>0.0</v>
      </c>
      <c r="Y62" s="155">
        <v>0.0</v>
      </c>
      <c r="Z62" s="155">
        <f>SUM(W62:Y62)</f>
        <v>8491296.54</v>
      </c>
      <c r="AA62" s="169">
        <v>3.0</v>
      </c>
      <c r="AB62" s="155">
        <v>8286532.629999998</v>
      </c>
      <c r="AC62" s="155">
        <v>210882.04</v>
      </c>
      <c r="AD62" s="155">
        <v>4248708.18</v>
      </c>
      <c r="AE62" s="155">
        <v>150000.0</v>
      </c>
      <c r="AF62" s="155">
        <f>SUM(AB62:AE62)</f>
        <v>12896122.85</v>
      </c>
      <c r="AG62" s="169">
        <v>3.0</v>
      </c>
      <c r="AH62" s="155">
        <v>1.30752936E7</v>
      </c>
      <c r="AI62" s="155">
        <v>105112.53</v>
      </c>
      <c r="AJ62" s="155">
        <v>0.0</v>
      </c>
      <c r="AK62" s="155">
        <v>250000.0</v>
      </c>
      <c r="AL62" s="155">
        <f>SUM(AH62:AK62)</f>
        <v>13430406.13</v>
      </c>
      <c r="AM62" s="169">
        <v>4.0</v>
      </c>
      <c r="AN62" s="155">
        <v>1.1580225229999999E7</v>
      </c>
      <c r="AO62" s="155">
        <v>0.0</v>
      </c>
      <c r="AP62" s="155">
        <v>1312132.7000000002</v>
      </c>
      <c r="AQ62" s="155">
        <v>240000.0</v>
      </c>
      <c r="AR62" s="155">
        <f>SUM(AN62:AQ62)</f>
        <v>13132357.93</v>
      </c>
      <c r="AS62" s="169">
        <v>4.0</v>
      </c>
      <c r="AT62" s="155">
        <v>1.185639303E7</v>
      </c>
      <c r="AU62" s="155">
        <v>73598.0</v>
      </c>
      <c r="AV62" s="155">
        <v>0.0</v>
      </c>
      <c r="AW62" s="155">
        <f>SUM(AT62:AV62)</f>
        <v>11929991.03</v>
      </c>
      <c r="AX62" s="169">
        <v>4.0</v>
      </c>
      <c r="AY62" s="155">
        <v>2.94198605E7</v>
      </c>
      <c r="AZ62" s="155">
        <v>0.0</v>
      </c>
      <c r="BA62" s="155">
        <v>3000044.7600000002</v>
      </c>
      <c r="BB62" s="155">
        <f>SUM(AY62:BA62)</f>
        <v>32419905.26</v>
      </c>
      <c r="BC62" s="169">
        <v>4.0</v>
      </c>
      <c r="BD62" s="155">
        <v>2811982.88</v>
      </c>
      <c r="BE62" s="155">
        <v>0.0</v>
      </c>
      <c r="BF62" s="155">
        <v>50000.0</v>
      </c>
      <c r="BG62" s="155">
        <v>0.0</v>
      </c>
      <c r="BH62" s="155">
        <f>SUM(BD62:BG62)</f>
        <v>2861982.88</v>
      </c>
      <c r="BI62" s="169">
        <v>1.0</v>
      </c>
      <c r="BJ62" s="155">
        <v>2367582.7</v>
      </c>
      <c r="BK62" s="155">
        <v>0.0</v>
      </c>
      <c r="BL62" s="155"/>
      <c r="BM62" s="155">
        <v>1252649.18</v>
      </c>
      <c r="BN62" s="155">
        <f>SUM(BJ62:BM62)</f>
        <v>3620231.88</v>
      </c>
    </row>
    <row r="63" ht="12.75" customHeight="1">
      <c r="A63" s="147" t="s">
        <v>416</v>
      </c>
      <c r="B63" s="166">
        <f t="shared" ref="B63:BN63" si="41">+B62</f>
        <v>5</v>
      </c>
      <c r="C63" s="157">
        <f t="shared" si="41"/>
        <v>35867406.84</v>
      </c>
      <c r="D63" s="157">
        <f t="shared" si="41"/>
        <v>0</v>
      </c>
      <c r="E63" s="157">
        <f t="shared" si="41"/>
        <v>1243490.21</v>
      </c>
      <c r="F63" s="157">
        <f t="shared" si="41"/>
        <v>480000</v>
      </c>
      <c r="G63" s="157">
        <f t="shared" si="41"/>
        <v>37590897.05</v>
      </c>
      <c r="H63" s="166">
        <f t="shared" si="41"/>
        <v>5</v>
      </c>
      <c r="I63" s="157">
        <f t="shared" si="41"/>
        <v>5737361.05</v>
      </c>
      <c r="J63" s="157">
        <f t="shared" si="41"/>
        <v>0</v>
      </c>
      <c r="K63" s="157">
        <f t="shared" si="41"/>
        <v>0</v>
      </c>
      <c r="L63" s="157">
        <f t="shared" si="41"/>
        <v>5737361.05</v>
      </c>
      <c r="M63" s="166">
        <f t="shared" si="41"/>
        <v>5</v>
      </c>
      <c r="N63" s="157">
        <f t="shared" si="41"/>
        <v>8165964.2</v>
      </c>
      <c r="O63" s="157">
        <f t="shared" si="41"/>
        <v>0</v>
      </c>
      <c r="P63" s="157">
        <f t="shared" si="41"/>
        <v>8165964.2</v>
      </c>
      <c r="Q63" s="166">
        <f t="shared" si="41"/>
        <v>5</v>
      </c>
      <c r="R63" s="157">
        <f t="shared" si="41"/>
        <v>7715806.29</v>
      </c>
      <c r="S63" s="157">
        <f t="shared" si="41"/>
        <v>103288.74</v>
      </c>
      <c r="T63" s="157">
        <f t="shared" si="41"/>
        <v>0</v>
      </c>
      <c r="U63" s="157">
        <f t="shared" si="41"/>
        <v>7819095.03</v>
      </c>
      <c r="V63" s="166">
        <f t="shared" si="41"/>
        <v>3</v>
      </c>
      <c r="W63" s="157">
        <f t="shared" si="41"/>
        <v>8491296.54</v>
      </c>
      <c r="X63" s="157">
        <f t="shared" si="41"/>
        <v>0</v>
      </c>
      <c r="Y63" s="157">
        <f t="shared" si="41"/>
        <v>0</v>
      </c>
      <c r="Z63" s="157">
        <f t="shared" si="41"/>
        <v>8491296.54</v>
      </c>
      <c r="AA63" s="166">
        <f t="shared" si="41"/>
        <v>3</v>
      </c>
      <c r="AB63" s="157">
        <f t="shared" si="41"/>
        <v>8286532.63</v>
      </c>
      <c r="AC63" s="157">
        <f t="shared" si="41"/>
        <v>210882.04</v>
      </c>
      <c r="AD63" s="157">
        <f t="shared" si="41"/>
        <v>4248708.18</v>
      </c>
      <c r="AE63" s="157">
        <f t="shared" si="41"/>
        <v>150000</v>
      </c>
      <c r="AF63" s="157">
        <f t="shared" si="41"/>
        <v>12896122.85</v>
      </c>
      <c r="AG63" s="166">
        <f t="shared" si="41"/>
        <v>3</v>
      </c>
      <c r="AH63" s="157">
        <f t="shared" si="41"/>
        <v>13075293.6</v>
      </c>
      <c r="AI63" s="157">
        <f t="shared" si="41"/>
        <v>105112.53</v>
      </c>
      <c r="AJ63" s="157">
        <f t="shared" si="41"/>
        <v>0</v>
      </c>
      <c r="AK63" s="157">
        <f t="shared" si="41"/>
        <v>250000</v>
      </c>
      <c r="AL63" s="157">
        <f t="shared" si="41"/>
        <v>13430406.13</v>
      </c>
      <c r="AM63" s="166">
        <f t="shared" si="41"/>
        <v>4</v>
      </c>
      <c r="AN63" s="157">
        <f t="shared" si="41"/>
        <v>11580225.23</v>
      </c>
      <c r="AO63" s="157">
        <f t="shared" si="41"/>
        <v>0</v>
      </c>
      <c r="AP63" s="157">
        <f t="shared" si="41"/>
        <v>1312132.7</v>
      </c>
      <c r="AQ63" s="157">
        <f t="shared" si="41"/>
        <v>240000</v>
      </c>
      <c r="AR63" s="157">
        <f t="shared" si="41"/>
        <v>13132357.93</v>
      </c>
      <c r="AS63" s="166">
        <f t="shared" si="41"/>
        <v>4</v>
      </c>
      <c r="AT63" s="157">
        <f t="shared" si="41"/>
        <v>11856393.03</v>
      </c>
      <c r="AU63" s="157">
        <f t="shared" si="41"/>
        <v>73598</v>
      </c>
      <c r="AV63" s="157">
        <f t="shared" si="41"/>
        <v>0</v>
      </c>
      <c r="AW63" s="157">
        <f t="shared" si="41"/>
        <v>11929991.03</v>
      </c>
      <c r="AX63" s="166">
        <f t="shared" si="41"/>
        <v>4</v>
      </c>
      <c r="AY63" s="157">
        <f t="shared" si="41"/>
        <v>29419860.5</v>
      </c>
      <c r="AZ63" s="157">
        <f t="shared" si="41"/>
        <v>0</v>
      </c>
      <c r="BA63" s="157">
        <f t="shared" si="41"/>
        <v>3000044.76</v>
      </c>
      <c r="BB63" s="157">
        <f t="shared" si="41"/>
        <v>32419905.26</v>
      </c>
      <c r="BC63" s="166">
        <f t="shared" si="41"/>
        <v>4</v>
      </c>
      <c r="BD63" s="157">
        <f t="shared" si="41"/>
        <v>2811982.88</v>
      </c>
      <c r="BE63" s="157">
        <f t="shared" si="41"/>
        <v>0</v>
      </c>
      <c r="BF63" s="157">
        <f t="shared" si="41"/>
        <v>50000</v>
      </c>
      <c r="BG63" s="157">
        <f t="shared" si="41"/>
        <v>0</v>
      </c>
      <c r="BH63" s="157">
        <f t="shared" si="41"/>
        <v>2861982.88</v>
      </c>
      <c r="BI63" s="166">
        <f t="shared" si="41"/>
        <v>1</v>
      </c>
      <c r="BJ63" s="157">
        <f t="shared" si="41"/>
        <v>2367582.7</v>
      </c>
      <c r="BK63" s="157">
        <f t="shared" si="41"/>
        <v>0</v>
      </c>
      <c r="BL63" s="157" t="str">
        <f t="shared" si="41"/>
        <v/>
      </c>
      <c r="BM63" s="157">
        <f t="shared" si="41"/>
        <v>1252649.18</v>
      </c>
      <c r="BN63" s="157">
        <f t="shared" si="41"/>
        <v>3620231.88</v>
      </c>
    </row>
    <row r="64" ht="12.75" customHeight="1">
      <c r="A64" s="170"/>
      <c r="B64" s="171"/>
      <c r="C64" s="172"/>
      <c r="D64" s="172"/>
      <c r="E64" s="172"/>
      <c r="F64" s="172"/>
      <c r="G64" s="172"/>
      <c r="H64" s="171"/>
      <c r="I64" s="172"/>
      <c r="J64" s="172"/>
      <c r="K64" s="172"/>
      <c r="L64" s="172"/>
      <c r="M64" s="171"/>
      <c r="N64" s="172"/>
      <c r="O64" s="172"/>
      <c r="P64" s="172"/>
      <c r="Q64" s="171"/>
      <c r="R64" s="172"/>
      <c r="S64" s="172"/>
      <c r="T64" s="172"/>
      <c r="U64" s="172"/>
      <c r="V64" s="171"/>
      <c r="W64" s="172"/>
      <c r="X64" s="172"/>
      <c r="Y64" s="172"/>
      <c r="Z64" s="172"/>
      <c r="AA64" s="171"/>
      <c r="AB64" s="172"/>
      <c r="AC64" s="172"/>
      <c r="AD64" s="172"/>
      <c r="AE64" s="172"/>
      <c r="AF64" s="172"/>
      <c r="AG64" s="171"/>
      <c r="AH64" s="172"/>
      <c r="AI64" s="172"/>
      <c r="AJ64" s="172"/>
      <c r="AK64" s="172"/>
      <c r="AL64" s="172"/>
      <c r="AM64" s="171"/>
      <c r="AN64" s="172"/>
      <c r="AO64" s="172"/>
      <c r="AP64" s="172"/>
      <c r="AQ64" s="172"/>
      <c r="AR64" s="172"/>
      <c r="AS64" s="171"/>
      <c r="AT64" s="172"/>
      <c r="AU64" s="172"/>
      <c r="AV64" s="172"/>
      <c r="AW64" s="172"/>
      <c r="AX64" s="171"/>
      <c r="AY64" s="172"/>
      <c r="AZ64" s="172"/>
      <c r="BA64" s="172"/>
      <c r="BB64" s="172"/>
      <c r="BC64" s="171"/>
      <c r="BD64" s="172"/>
      <c r="BE64" s="172"/>
      <c r="BF64" s="172"/>
      <c r="BG64" s="172"/>
      <c r="BH64" s="172"/>
      <c r="BI64" s="171"/>
      <c r="BJ64" s="172"/>
      <c r="BK64" s="172"/>
      <c r="BL64" s="172"/>
      <c r="BM64" s="172"/>
      <c r="BN64" s="172"/>
    </row>
    <row r="65" ht="12.75" hidden="1" customHeight="1">
      <c r="A65" s="147" t="s">
        <v>392</v>
      </c>
      <c r="B65" s="163" t="s">
        <v>406</v>
      </c>
      <c r="C65" s="152" t="s">
        <v>407</v>
      </c>
      <c r="D65" s="152" t="s">
        <v>408</v>
      </c>
      <c r="E65" s="151"/>
      <c r="F65" s="151"/>
      <c r="G65" s="152" t="s">
        <v>305</v>
      </c>
      <c r="H65" s="163" t="s">
        <v>406</v>
      </c>
      <c r="I65" s="152" t="s">
        <v>407</v>
      </c>
      <c r="J65" s="152" t="s">
        <v>408</v>
      </c>
      <c r="K65" s="151"/>
      <c r="L65" s="152" t="s">
        <v>305</v>
      </c>
      <c r="M65" s="163" t="s">
        <v>406</v>
      </c>
      <c r="N65" s="152" t="s">
        <v>407</v>
      </c>
      <c r="O65" s="152" t="s">
        <v>408</v>
      </c>
      <c r="P65" s="152" t="s">
        <v>305</v>
      </c>
      <c r="Q65" s="163" t="s">
        <v>406</v>
      </c>
      <c r="R65" s="152" t="s">
        <v>407</v>
      </c>
      <c r="S65" s="152" t="s">
        <v>408</v>
      </c>
      <c r="T65" s="151"/>
      <c r="U65" s="152" t="s">
        <v>305</v>
      </c>
      <c r="V65" s="163" t="s">
        <v>406</v>
      </c>
      <c r="W65" s="152" t="s">
        <v>407</v>
      </c>
      <c r="X65" s="152" t="s">
        <v>408</v>
      </c>
      <c r="Y65" s="151"/>
      <c r="Z65" s="152" t="s">
        <v>305</v>
      </c>
      <c r="AA65" s="163" t="s">
        <v>406</v>
      </c>
      <c r="AB65" s="152" t="s">
        <v>407</v>
      </c>
      <c r="AC65" s="152" t="s">
        <v>408</v>
      </c>
      <c r="AD65" s="151"/>
      <c r="AE65" s="151"/>
      <c r="AF65" s="152" t="s">
        <v>305</v>
      </c>
      <c r="AG65" s="163" t="s">
        <v>406</v>
      </c>
      <c r="AH65" s="152" t="s">
        <v>407</v>
      </c>
      <c r="AI65" s="152" t="s">
        <v>408</v>
      </c>
      <c r="AJ65" s="151"/>
      <c r="AK65" s="151"/>
      <c r="AL65" s="152" t="s">
        <v>305</v>
      </c>
      <c r="AM65" s="163" t="s">
        <v>406</v>
      </c>
      <c r="AN65" s="152" t="s">
        <v>407</v>
      </c>
      <c r="AO65" s="152" t="s">
        <v>408</v>
      </c>
      <c r="AP65" s="151"/>
      <c r="AQ65" s="151"/>
      <c r="AR65" s="152" t="s">
        <v>305</v>
      </c>
      <c r="AS65" s="163" t="s">
        <v>406</v>
      </c>
      <c r="AT65" s="152" t="s">
        <v>407</v>
      </c>
      <c r="AU65" s="152" t="s">
        <v>408</v>
      </c>
      <c r="AV65" s="151"/>
      <c r="AW65" s="152" t="s">
        <v>305</v>
      </c>
      <c r="AX65" s="163" t="s">
        <v>406</v>
      </c>
      <c r="AY65" s="152" t="s">
        <v>407</v>
      </c>
      <c r="AZ65" s="152" t="s">
        <v>408</v>
      </c>
      <c r="BA65" s="151"/>
      <c r="BB65" s="152" t="s">
        <v>305</v>
      </c>
      <c r="BC65" s="163" t="s">
        <v>406</v>
      </c>
      <c r="BD65" s="152" t="s">
        <v>407</v>
      </c>
      <c r="BE65" s="152" t="s">
        <v>408</v>
      </c>
      <c r="BF65" s="151"/>
      <c r="BG65" s="151"/>
      <c r="BH65" s="152" t="s">
        <v>305</v>
      </c>
      <c r="BI65" s="163" t="s">
        <v>406</v>
      </c>
      <c r="BJ65" s="152" t="s">
        <v>407</v>
      </c>
      <c r="BK65" s="152" t="s">
        <v>408</v>
      </c>
      <c r="BL65" s="151"/>
      <c r="BM65" s="151"/>
      <c r="BN65" s="152" t="s">
        <v>305</v>
      </c>
    </row>
    <row r="66" ht="12.75" hidden="1" customHeight="1">
      <c r="A66" s="153" t="s">
        <v>436</v>
      </c>
      <c r="B66" s="173">
        <v>0.0</v>
      </c>
      <c r="C66" s="155">
        <v>0.0</v>
      </c>
      <c r="D66" s="155">
        <v>0.0</v>
      </c>
      <c r="E66" s="155"/>
      <c r="F66" s="155"/>
      <c r="G66" s="155">
        <f>SUM(B66:D66)</f>
        <v>0</v>
      </c>
      <c r="H66" s="173">
        <v>0.0</v>
      </c>
      <c r="I66" s="155">
        <v>0.0</v>
      </c>
      <c r="J66" s="155">
        <v>0.0</v>
      </c>
      <c r="K66" s="155"/>
      <c r="L66" s="155">
        <f>SUM(H66:J66)</f>
        <v>0</v>
      </c>
      <c r="M66" s="173">
        <v>0.0</v>
      </c>
      <c r="N66" s="155">
        <v>0.0</v>
      </c>
      <c r="O66" s="155">
        <v>0.0</v>
      </c>
      <c r="P66" s="155">
        <f>SUM(M66:O66)</f>
        <v>0</v>
      </c>
      <c r="Q66" s="173">
        <v>0.0</v>
      </c>
      <c r="R66" s="155">
        <v>0.0</v>
      </c>
      <c r="S66" s="155">
        <v>0.0</v>
      </c>
      <c r="T66" s="155"/>
      <c r="U66" s="155">
        <f>SUM(Q66:S66)</f>
        <v>0</v>
      </c>
      <c r="V66" s="173">
        <v>0.0</v>
      </c>
      <c r="W66" s="155">
        <v>0.0</v>
      </c>
      <c r="X66" s="155">
        <v>0.0</v>
      </c>
      <c r="Y66" s="155"/>
      <c r="Z66" s="155">
        <f>SUM(V66:X66)</f>
        <v>0</v>
      </c>
      <c r="AA66" s="173">
        <v>0.0</v>
      </c>
      <c r="AB66" s="155">
        <v>0.0</v>
      </c>
      <c r="AC66" s="155">
        <v>0.0</v>
      </c>
      <c r="AD66" s="155"/>
      <c r="AE66" s="155"/>
      <c r="AF66" s="155">
        <f>SUM(AA66:AC66)</f>
        <v>0</v>
      </c>
      <c r="AG66" s="173">
        <v>0.0</v>
      </c>
      <c r="AH66" s="155">
        <v>0.0</v>
      </c>
      <c r="AI66" s="155">
        <v>0.0</v>
      </c>
      <c r="AJ66" s="155"/>
      <c r="AK66" s="155"/>
      <c r="AL66" s="155">
        <f>SUM(AG66:AI66)</f>
        <v>0</v>
      </c>
      <c r="AM66" s="173">
        <v>0.0</v>
      </c>
      <c r="AN66" s="155">
        <v>0.0</v>
      </c>
      <c r="AO66" s="155">
        <v>0.0</v>
      </c>
      <c r="AP66" s="155"/>
      <c r="AQ66" s="155"/>
      <c r="AR66" s="155">
        <f>SUM(AM66:AO66)</f>
        <v>0</v>
      </c>
      <c r="AS66" s="173">
        <v>0.0</v>
      </c>
      <c r="AT66" s="155">
        <v>0.0</v>
      </c>
      <c r="AU66" s="155">
        <v>0.0</v>
      </c>
      <c r="AV66" s="155"/>
      <c r="AW66" s="155">
        <f>SUM(AS66:AU66)</f>
        <v>0</v>
      </c>
      <c r="AX66" s="173">
        <v>0.0</v>
      </c>
      <c r="AY66" s="155">
        <v>0.0</v>
      </c>
      <c r="AZ66" s="155">
        <v>0.0</v>
      </c>
      <c r="BA66" s="155"/>
      <c r="BB66" s="155">
        <f>SUM(AX66:AZ66)</f>
        <v>0</v>
      </c>
      <c r="BC66" s="173">
        <v>0.0</v>
      </c>
      <c r="BD66" s="155">
        <v>0.0</v>
      </c>
      <c r="BE66" s="155">
        <v>0.0</v>
      </c>
      <c r="BF66" s="155"/>
      <c r="BG66" s="155"/>
      <c r="BH66" s="155">
        <f>SUM(BC66:BE66)</f>
        <v>0</v>
      </c>
      <c r="BI66" s="173">
        <v>0.0</v>
      </c>
      <c r="BJ66" s="155"/>
      <c r="BK66" s="155">
        <v>0.0</v>
      </c>
      <c r="BL66" s="155"/>
      <c r="BM66" s="155"/>
      <c r="BN66" s="155">
        <f>SUM(BI66:BK66)</f>
        <v>0</v>
      </c>
    </row>
    <row r="67" ht="12.75" hidden="1" customHeight="1">
      <c r="A67" s="147" t="s">
        <v>416</v>
      </c>
      <c r="B67" s="157">
        <f t="shared" ref="B67:D67" si="42">SUM(B66)</f>
        <v>0</v>
      </c>
      <c r="C67" s="158">
        <f t="shared" si="42"/>
        <v>0</v>
      </c>
      <c r="D67" s="158">
        <f t="shared" si="42"/>
        <v>0</v>
      </c>
      <c r="E67" s="158"/>
      <c r="F67" s="158"/>
      <c r="G67" s="158">
        <f t="shared" ref="G67:J67" si="43">SUM(G66)</f>
        <v>0</v>
      </c>
      <c r="H67" s="157">
        <f t="shared" si="43"/>
        <v>0</v>
      </c>
      <c r="I67" s="158">
        <f t="shared" si="43"/>
        <v>0</v>
      </c>
      <c r="J67" s="158">
        <f t="shared" si="43"/>
        <v>0</v>
      </c>
      <c r="K67" s="158"/>
      <c r="L67" s="158">
        <f t="shared" ref="L67:S67" si="44">SUM(L66)</f>
        <v>0</v>
      </c>
      <c r="M67" s="157">
        <f t="shared" si="44"/>
        <v>0</v>
      </c>
      <c r="N67" s="158">
        <f t="shared" si="44"/>
        <v>0</v>
      </c>
      <c r="O67" s="158">
        <f t="shared" si="44"/>
        <v>0</v>
      </c>
      <c r="P67" s="158">
        <f t="shared" si="44"/>
        <v>0</v>
      </c>
      <c r="Q67" s="157">
        <f t="shared" si="44"/>
        <v>0</v>
      </c>
      <c r="R67" s="158">
        <f t="shared" si="44"/>
        <v>0</v>
      </c>
      <c r="S67" s="158">
        <f t="shared" si="44"/>
        <v>0</v>
      </c>
      <c r="T67" s="158"/>
      <c r="U67" s="158">
        <f t="shared" ref="U67:X67" si="45">SUM(U66)</f>
        <v>0</v>
      </c>
      <c r="V67" s="157">
        <f t="shared" si="45"/>
        <v>0</v>
      </c>
      <c r="W67" s="158">
        <f t="shared" si="45"/>
        <v>0</v>
      </c>
      <c r="X67" s="158">
        <f t="shared" si="45"/>
        <v>0</v>
      </c>
      <c r="Y67" s="158"/>
      <c r="Z67" s="158">
        <f t="shared" ref="Z67:AC67" si="46">SUM(Z66)</f>
        <v>0</v>
      </c>
      <c r="AA67" s="157">
        <f t="shared" si="46"/>
        <v>0</v>
      </c>
      <c r="AB67" s="158">
        <f t="shared" si="46"/>
        <v>0</v>
      </c>
      <c r="AC67" s="158">
        <f t="shared" si="46"/>
        <v>0</v>
      </c>
      <c r="AD67" s="158"/>
      <c r="AE67" s="158"/>
      <c r="AF67" s="158">
        <f t="shared" ref="AF67:AI67" si="47">SUM(AF66)</f>
        <v>0</v>
      </c>
      <c r="AG67" s="157">
        <f t="shared" si="47"/>
        <v>0</v>
      </c>
      <c r="AH67" s="158">
        <f t="shared" si="47"/>
        <v>0</v>
      </c>
      <c r="AI67" s="158">
        <f t="shared" si="47"/>
        <v>0</v>
      </c>
      <c r="AJ67" s="158"/>
      <c r="AK67" s="158"/>
      <c r="AL67" s="158">
        <f t="shared" ref="AL67:AO67" si="48">SUM(AL66)</f>
        <v>0</v>
      </c>
      <c r="AM67" s="157">
        <f t="shared" si="48"/>
        <v>0</v>
      </c>
      <c r="AN67" s="158">
        <f t="shared" si="48"/>
        <v>0</v>
      </c>
      <c r="AO67" s="158">
        <f t="shared" si="48"/>
        <v>0</v>
      </c>
      <c r="AP67" s="158"/>
      <c r="AQ67" s="158"/>
      <c r="AR67" s="158">
        <f t="shared" ref="AR67:AU67" si="49">SUM(AR66)</f>
        <v>0</v>
      </c>
      <c r="AS67" s="157">
        <f t="shared" si="49"/>
        <v>0</v>
      </c>
      <c r="AT67" s="158">
        <f t="shared" si="49"/>
        <v>0</v>
      </c>
      <c r="AU67" s="158">
        <f t="shared" si="49"/>
        <v>0</v>
      </c>
      <c r="AV67" s="158"/>
      <c r="AW67" s="158">
        <f t="shared" ref="AW67:AZ67" si="50">SUM(AW66)</f>
        <v>0</v>
      </c>
      <c r="AX67" s="157">
        <f t="shared" si="50"/>
        <v>0</v>
      </c>
      <c r="AY67" s="158">
        <f t="shared" si="50"/>
        <v>0</v>
      </c>
      <c r="AZ67" s="158">
        <f t="shared" si="50"/>
        <v>0</v>
      </c>
      <c r="BA67" s="158"/>
      <c r="BB67" s="158">
        <f t="shared" ref="BB67:BE67" si="51">SUM(BB66)</f>
        <v>0</v>
      </c>
      <c r="BC67" s="157">
        <f t="shared" si="51"/>
        <v>0</v>
      </c>
      <c r="BD67" s="158">
        <f t="shared" si="51"/>
        <v>0</v>
      </c>
      <c r="BE67" s="158">
        <f t="shared" si="51"/>
        <v>0</v>
      </c>
      <c r="BF67" s="158"/>
      <c r="BG67" s="158"/>
      <c r="BH67" s="158">
        <f t="shared" ref="BH67:BK67" si="52">SUM(BH66)</f>
        <v>0</v>
      </c>
      <c r="BI67" s="157">
        <f t="shared" si="52"/>
        <v>0</v>
      </c>
      <c r="BJ67" s="158">
        <f t="shared" si="52"/>
        <v>0</v>
      </c>
      <c r="BK67" s="158">
        <f t="shared" si="52"/>
        <v>0</v>
      </c>
      <c r="BL67" s="158"/>
      <c r="BM67" s="158"/>
      <c r="BN67" s="158">
        <f>SUM(BN66)</f>
        <v>0</v>
      </c>
    </row>
    <row r="68" ht="12.75" hidden="1" customHeight="1">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row>
    <row r="69" ht="12.75" hidden="1" customHeight="1">
      <c r="A69" s="147" t="s">
        <v>392</v>
      </c>
      <c r="B69" s="163" t="s">
        <v>406</v>
      </c>
      <c r="C69" s="152" t="s">
        <v>407</v>
      </c>
      <c r="D69" s="152" t="s">
        <v>408</v>
      </c>
      <c r="E69" s="151"/>
      <c r="F69" s="151"/>
      <c r="G69" s="152" t="s">
        <v>305</v>
      </c>
      <c r="H69" s="163" t="s">
        <v>406</v>
      </c>
      <c r="I69" s="152" t="s">
        <v>407</v>
      </c>
      <c r="J69" s="152" t="s">
        <v>408</v>
      </c>
      <c r="K69" s="151"/>
      <c r="L69" s="152" t="s">
        <v>305</v>
      </c>
      <c r="M69" s="163" t="s">
        <v>406</v>
      </c>
      <c r="N69" s="152" t="s">
        <v>407</v>
      </c>
      <c r="O69" s="152" t="s">
        <v>408</v>
      </c>
      <c r="P69" s="152" t="s">
        <v>305</v>
      </c>
      <c r="Q69" s="163" t="s">
        <v>406</v>
      </c>
      <c r="R69" s="152" t="s">
        <v>407</v>
      </c>
      <c r="S69" s="152" t="s">
        <v>408</v>
      </c>
      <c r="T69" s="151"/>
      <c r="U69" s="152" t="s">
        <v>305</v>
      </c>
      <c r="V69" s="163" t="s">
        <v>406</v>
      </c>
      <c r="W69" s="152" t="s">
        <v>407</v>
      </c>
      <c r="X69" s="152" t="s">
        <v>408</v>
      </c>
      <c r="Y69" s="151"/>
      <c r="Z69" s="152" t="s">
        <v>305</v>
      </c>
      <c r="AA69" s="163" t="s">
        <v>406</v>
      </c>
      <c r="AB69" s="152" t="s">
        <v>407</v>
      </c>
      <c r="AC69" s="152" t="s">
        <v>408</v>
      </c>
      <c r="AD69" s="151"/>
      <c r="AE69" s="151"/>
      <c r="AF69" s="152" t="s">
        <v>305</v>
      </c>
      <c r="AG69" s="163" t="s">
        <v>406</v>
      </c>
      <c r="AH69" s="152" t="s">
        <v>407</v>
      </c>
      <c r="AI69" s="152" t="s">
        <v>408</v>
      </c>
      <c r="AJ69" s="151"/>
      <c r="AK69" s="151"/>
      <c r="AL69" s="152" t="s">
        <v>305</v>
      </c>
      <c r="AM69" s="163" t="s">
        <v>406</v>
      </c>
      <c r="AN69" s="152" t="s">
        <v>407</v>
      </c>
      <c r="AO69" s="152" t="s">
        <v>408</v>
      </c>
      <c r="AP69" s="151"/>
      <c r="AQ69" s="151"/>
      <c r="AR69" s="152" t="s">
        <v>305</v>
      </c>
      <c r="AS69" s="163" t="s">
        <v>406</v>
      </c>
      <c r="AT69" s="152" t="s">
        <v>407</v>
      </c>
      <c r="AU69" s="152" t="s">
        <v>408</v>
      </c>
      <c r="AV69" s="151"/>
      <c r="AW69" s="152" t="s">
        <v>305</v>
      </c>
      <c r="AX69" s="163" t="s">
        <v>406</v>
      </c>
      <c r="AY69" s="152" t="s">
        <v>407</v>
      </c>
      <c r="AZ69" s="152" t="s">
        <v>408</v>
      </c>
      <c r="BA69" s="151"/>
      <c r="BB69" s="152" t="s">
        <v>305</v>
      </c>
      <c r="BC69" s="163" t="s">
        <v>406</v>
      </c>
      <c r="BD69" s="152" t="s">
        <v>407</v>
      </c>
      <c r="BE69" s="152" t="s">
        <v>408</v>
      </c>
      <c r="BF69" s="151"/>
      <c r="BG69" s="151"/>
      <c r="BH69" s="152" t="s">
        <v>305</v>
      </c>
      <c r="BI69" s="163" t="s">
        <v>406</v>
      </c>
      <c r="BJ69" s="152" t="s">
        <v>407</v>
      </c>
      <c r="BK69" s="152" t="s">
        <v>408</v>
      </c>
      <c r="BL69" s="151"/>
      <c r="BM69" s="151"/>
      <c r="BN69" s="152" t="s">
        <v>305</v>
      </c>
    </row>
    <row r="70" ht="12.75" hidden="1" customHeight="1">
      <c r="A70" s="153" t="s">
        <v>437</v>
      </c>
      <c r="B70" s="154">
        <v>0.0</v>
      </c>
      <c r="C70" s="155">
        <v>0.0</v>
      </c>
      <c r="D70" s="155">
        <v>0.0</v>
      </c>
      <c r="E70" s="155"/>
      <c r="F70" s="155"/>
      <c r="G70" s="155">
        <f>SUM(C70:E70)</f>
        <v>0</v>
      </c>
      <c r="H70" s="154">
        <v>0.0</v>
      </c>
      <c r="I70" s="155">
        <v>0.0</v>
      </c>
      <c r="J70" s="155">
        <v>0.0</v>
      </c>
      <c r="K70" s="155"/>
      <c r="L70" s="155">
        <f>SUM(I70:K70)</f>
        <v>0</v>
      </c>
      <c r="M70" s="154">
        <v>0.0</v>
      </c>
      <c r="N70" s="155">
        <v>0.0</v>
      </c>
      <c r="O70" s="155">
        <v>0.0</v>
      </c>
      <c r="P70" s="155">
        <f>SUM(N70:O70)</f>
        <v>0</v>
      </c>
      <c r="Q70" s="154">
        <v>0.0</v>
      </c>
      <c r="R70" s="155">
        <v>0.0</v>
      </c>
      <c r="S70" s="155">
        <v>0.0</v>
      </c>
      <c r="T70" s="155"/>
      <c r="U70" s="155">
        <f>SUM(R70:T70)</f>
        <v>0</v>
      </c>
      <c r="V70" s="154">
        <v>0.0</v>
      </c>
      <c r="W70" s="155">
        <v>0.0</v>
      </c>
      <c r="X70" s="155">
        <v>0.0</v>
      </c>
      <c r="Y70" s="155"/>
      <c r="Z70" s="155">
        <f>SUM(W70:Y70)</f>
        <v>0</v>
      </c>
      <c r="AA70" s="154">
        <v>0.0</v>
      </c>
      <c r="AB70" s="155">
        <v>0.0</v>
      </c>
      <c r="AC70" s="155">
        <v>0.0</v>
      </c>
      <c r="AD70" s="155"/>
      <c r="AE70" s="155"/>
      <c r="AF70" s="155">
        <f>SUM(AB70:AD70)</f>
        <v>0</v>
      </c>
      <c r="AG70" s="154">
        <v>0.0</v>
      </c>
      <c r="AH70" s="155">
        <v>0.0</v>
      </c>
      <c r="AI70" s="155">
        <v>0.0</v>
      </c>
      <c r="AJ70" s="155"/>
      <c r="AK70" s="155"/>
      <c r="AL70" s="155">
        <f>SUM(AH70:AJ70)</f>
        <v>0</v>
      </c>
      <c r="AM70" s="154">
        <v>0.0</v>
      </c>
      <c r="AN70" s="155">
        <v>0.0</v>
      </c>
      <c r="AO70" s="155">
        <v>0.0</v>
      </c>
      <c r="AP70" s="155"/>
      <c r="AQ70" s="155"/>
      <c r="AR70" s="155">
        <f>SUM(AN70:AP70)</f>
        <v>0</v>
      </c>
      <c r="AS70" s="154">
        <v>0.0</v>
      </c>
      <c r="AT70" s="155">
        <v>0.0</v>
      </c>
      <c r="AU70" s="155">
        <v>0.0</v>
      </c>
      <c r="AV70" s="155"/>
      <c r="AW70" s="155">
        <f>SUM(AT70:AV70)</f>
        <v>0</v>
      </c>
      <c r="AX70" s="154">
        <v>0.0</v>
      </c>
      <c r="AY70" s="155">
        <v>0.0</v>
      </c>
      <c r="AZ70" s="155">
        <v>0.0</v>
      </c>
      <c r="BA70" s="155"/>
      <c r="BB70" s="155">
        <f>SUM(AY70:BA70)</f>
        <v>0</v>
      </c>
      <c r="BC70" s="154">
        <v>0.0</v>
      </c>
      <c r="BD70" s="155">
        <v>0.0</v>
      </c>
      <c r="BE70" s="155">
        <v>0.0</v>
      </c>
      <c r="BF70" s="155"/>
      <c r="BG70" s="155"/>
      <c r="BH70" s="155">
        <f>SUM(BD70:BG70)</f>
        <v>0</v>
      </c>
      <c r="BI70" s="154">
        <v>0.0</v>
      </c>
      <c r="BJ70" s="155">
        <v>0.0</v>
      </c>
      <c r="BK70" s="155">
        <v>0.0</v>
      </c>
      <c r="BL70" s="155"/>
      <c r="BM70" s="155"/>
      <c r="BN70" s="155">
        <f>SUM(BJ70:BM70)</f>
        <v>0</v>
      </c>
    </row>
    <row r="71" ht="12.75" hidden="1" customHeight="1">
      <c r="A71" s="147" t="s">
        <v>416</v>
      </c>
      <c r="B71" s="157">
        <f t="shared" ref="B71:D71" si="53">SUM(B70)</f>
        <v>0</v>
      </c>
      <c r="C71" s="158">
        <f t="shared" si="53"/>
        <v>0</v>
      </c>
      <c r="D71" s="158">
        <f t="shared" si="53"/>
        <v>0</v>
      </c>
      <c r="E71" s="158"/>
      <c r="F71" s="158"/>
      <c r="G71" s="158">
        <f t="shared" ref="G71:J71" si="54">SUM(G70)</f>
        <v>0</v>
      </c>
      <c r="H71" s="157">
        <f t="shared" si="54"/>
        <v>0</v>
      </c>
      <c r="I71" s="158">
        <f t="shared" si="54"/>
        <v>0</v>
      </c>
      <c r="J71" s="158">
        <f t="shared" si="54"/>
        <v>0</v>
      </c>
      <c r="K71" s="158"/>
      <c r="L71" s="158">
        <f t="shared" ref="L71:S71" si="55">SUM(L70)</f>
        <v>0</v>
      </c>
      <c r="M71" s="157">
        <f t="shared" si="55"/>
        <v>0</v>
      </c>
      <c r="N71" s="158">
        <f t="shared" si="55"/>
        <v>0</v>
      </c>
      <c r="O71" s="158">
        <f t="shared" si="55"/>
        <v>0</v>
      </c>
      <c r="P71" s="158">
        <f t="shared" si="55"/>
        <v>0</v>
      </c>
      <c r="Q71" s="157">
        <f t="shared" si="55"/>
        <v>0</v>
      </c>
      <c r="R71" s="158">
        <f t="shared" si="55"/>
        <v>0</v>
      </c>
      <c r="S71" s="158">
        <f t="shared" si="55"/>
        <v>0</v>
      </c>
      <c r="T71" s="158"/>
      <c r="U71" s="158">
        <f t="shared" ref="U71:X71" si="56">SUM(U70)</f>
        <v>0</v>
      </c>
      <c r="V71" s="157">
        <f t="shared" si="56"/>
        <v>0</v>
      </c>
      <c r="W71" s="158">
        <f t="shared" si="56"/>
        <v>0</v>
      </c>
      <c r="X71" s="158">
        <f t="shared" si="56"/>
        <v>0</v>
      </c>
      <c r="Y71" s="158"/>
      <c r="Z71" s="158">
        <f t="shared" ref="Z71:AC71" si="57">SUM(Z70)</f>
        <v>0</v>
      </c>
      <c r="AA71" s="157">
        <f t="shared" si="57"/>
        <v>0</v>
      </c>
      <c r="AB71" s="158">
        <f t="shared" si="57"/>
        <v>0</v>
      </c>
      <c r="AC71" s="158">
        <f t="shared" si="57"/>
        <v>0</v>
      </c>
      <c r="AD71" s="158"/>
      <c r="AE71" s="158"/>
      <c r="AF71" s="158">
        <f t="shared" ref="AF71:AI71" si="58">SUM(AF70)</f>
        <v>0</v>
      </c>
      <c r="AG71" s="157">
        <f t="shared" si="58"/>
        <v>0</v>
      </c>
      <c r="AH71" s="158">
        <f t="shared" si="58"/>
        <v>0</v>
      </c>
      <c r="AI71" s="158">
        <f t="shared" si="58"/>
        <v>0</v>
      </c>
      <c r="AJ71" s="158"/>
      <c r="AK71" s="158"/>
      <c r="AL71" s="158">
        <f t="shared" ref="AL71:AO71" si="59">SUM(AL70)</f>
        <v>0</v>
      </c>
      <c r="AM71" s="157">
        <f t="shared" si="59"/>
        <v>0</v>
      </c>
      <c r="AN71" s="158">
        <f t="shared" si="59"/>
        <v>0</v>
      </c>
      <c r="AO71" s="158">
        <f t="shared" si="59"/>
        <v>0</v>
      </c>
      <c r="AP71" s="158"/>
      <c r="AQ71" s="158"/>
      <c r="AR71" s="158">
        <f t="shared" ref="AR71:AU71" si="60">SUM(AR70)</f>
        <v>0</v>
      </c>
      <c r="AS71" s="157">
        <f t="shared" si="60"/>
        <v>0</v>
      </c>
      <c r="AT71" s="158">
        <f t="shared" si="60"/>
        <v>0</v>
      </c>
      <c r="AU71" s="158">
        <f t="shared" si="60"/>
        <v>0</v>
      </c>
      <c r="AV71" s="158"/>
      <c r="AW71" s="158">
        <f t="shared" ref="AW71:AZ71" si="61">SUM(AW70)</f>
        <v>0</v>
      </c>
      <c r="AX71" s="157">
        <f t="shared" si="61"/>
        <v>0</v>
      </c>
      <c r="AY71" s="158">
        <f t="shared" si="61"/>
        <v>0</v>
      </c>
      <c r="AZ71" s="158">
        <f t="shared" si="61"/>
        <v>0</v>
      </c>
      <c r="BA71" s="158"/>
      <c r="BB71" s="158">
        <f t="shared" ref="BB71:BE71" si="62">SUM(BB70)</f>
        <v>0</v>
      </c>
      <c r="BC71" s="157">
        <f t="shared" si="62"/>
        <v>0</v>
      </c>
      <c r="BD71" s="158">
        <f t="shared" si="62"/>
        <v>0</v>
      </c>
      <c r="BE71" s="158">
        <f t="shared" si="62"/>
        <v>0</v>
      </c>
      <c r="BF71" s="158"/>
      <c r="BG71" s="158"/>
      <c r="BH71" s="158">
        <f t="shared" ref="BH71:BK71" si="63">SUM(BH70)</f>
        <v>0</v>
      </c>
      <c r="BI71" s="157">
        <f t="shared" si="63"/>
        <v>0</v>
      </c>
      <c r="BJ71" s="158">
        <f t="shared" si="63"/>
        <v>0</v>
      </c>
      <c r="BK71" s="158">
        <f t="shared" si="63"/>
        <v>0</v>
      </c>
      <c r="BL71" s="158"/>
      <c r="BM71" s="158"/>
      <c r="BN71" s="158">
        <f>SUM(BN70)</f>
        <v>0</v>
      </c>
    </row>
    <row r="72" ht="12.75" customHeight="1">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159"/>
      <c r="BL72" s="159"/>
      <c r="BM72" s="159"/>
      <c r="BN72" s="159"/>
    </row>
    <row r="73" ht="12.75" customHeight="1">
      <c r="A73" s="147" t="s">
        <v>392</v>
      </c>
      <c r="B73" s="163" t="s">
        <v>406</v>
      </c>
      <c r="C73" s="152" t="s">
        <v>407</v>
      </c>
      <c r="D73" s="152" t="s">
        <v>408</v>
      </c>
      <c r="E73" s="151" t="s">
        <v>409</v>
      </c>
      <c r="F73" s="151" t="s">
        <v>410</v>
      </c>
      <c r="G73" s="152" t="s">
        <v>305</v>
      </c>
      <c r="H73" s="163" t="s">
        <v>406</v>
      </c>
      <c r="I73" s="152" t="s">
        <v>407</v>
      </c>
      <c r="J73" s="152" t="s">
        <v>408</v>
      </c>
      <c r="K73" s="151" t="s">
        <v>409</v>
      </c>
      <c r="L73" s="152" t="s">
        <v>305</v>
      </c>
      <c r="M73" s="163" t="s">
        <v>406</v>
      </c>
      <c r="N73" s="152" t="s">
        <v>407</v>
      </c>
      <c r="O73" s="152" t="s">
        <v>408</v>
      </c>
      <c r="P73" s="152" t="s">
        <v>305</v>
      </c>
      <c r="Q73" s="163" t="s">
        <v>406</v>
      </c>
      <c r="R73" s="152" t="s">
        <v>407</v>
      </c>
      <c r="S73" s="152" t="s">
        <v>408</v>
      </c>
      <c r="T73" s="151" t="s">
        <v>409</v>
      </c>
      <c r="U73" s="152" t="s">
        <v>305</v>
      </c>
      <c r="V73" s="163" t="s">
        <v>406</v>
      </c>
      <c r="W73" s="152" t="s">
        <v>407</v>
      </c>
      <c r="X73" s="152" t="s">
        <v>408</v>
      </c>
      <c r="Y73" s="151" t="s">
        <v>409</v>
      </c>
      <c r="Z73" s="152" t="s">
        <v>305</v>
      </c>
      <c r="AA73" s="163" t="s">
        <v>406</v>
      </c>
      <c r="AB73" s="152" t="s">
        <v>407</v>
      </c>
      <c r="AC73" s="152" t="s">
        <v>408</v>
      </c>
      <c r="AD73" s="151" t="s">
        <v>409</v>
      </c>
      <c r="AE73" s="151" t="s">
        <v>411</v>
      </c>
      <c r="AF73" s="152" t="s">
        <v>305</v>
      </c>
      <c r="AG73" s="163" t="s">
        <v>406</v>
      </c>
      <c r="AH73" s="152" t="s">
        <v>407</v>
      </c>
      <c r="AI73" s="152" t="s">
        <v>408</v>
      </c>
      <c r="AJ73" s="151" t="s">
        <v>409</v>
      </c>
      <c r="AK73" s="151" t="s">
        <v>411</v>
      </c>
      <c r="AL73" s="152" t="s">
        <v>305</v>
      </c>
      <c r="AM73" s="163" t="s">
        <v>406</v>
      </c>
      <c r="AN73" s="152" t="s">
        <v>407</v>
      </c>
      <c r="AO73" s="152" t="s">
        <v>408</v>
      </c>
      <c r="AP73" s="151" t="s">
        <v>409</v>
      </c>
      <c r="AQ73" s="151" t="s">
        <v>411</v>
      </c>
      <c r="AR73" s="152" t="s">
        <v>305</v>
      </c>
      <c r="AS73" s="163" t="s">
        <v>406</v>
      </c>
      <c r="AT73" s="152" t="s">
        <v>407</v>
      </c>
      <c r="AU73" s="152" t="s">
        <v>408</v>
      </c>
      <c r="AV73" s="151" t="s">
        <v>409</v>
      </c>
      <c r="AW73" s="152" t="s">
        <v>305</v>
      </c>
      <c r="AX73" s="163" t="s">
        <v>406</v>
      </c>
      <c r="AY73" s="152" t="s">
        <v>407</v>
      </c>
      <c r="AZ73" s="152" t="s">
        <v>408</v>
      </c>
      <c r="BA73" s="151" t="s">
        <v>409</v>
      </c>
      <c r="BB73" s="152" t="s">
        <v>305</v>
      </c>
      <c r="BC73" s="163" t="s">
        <v>406</v>
      </c>
      <c r="BD73" s="152" t="s">
        <v>407</v>
      </c>
      <c r="BE73" s="152" t="s">
        <v>408</v>
      </c>
      <c r="BF73" s="151" t="s">
        <v>412</v>
      </c>
      <c r="BG73" s="151" t="s">
        <v>409</v>
      </c>
      <c r="BH73" s="152" t="s">
        <v>305</v>
      </c>
      <c r="BI73" s="163" t="s">
        <v>406</v>
      </c>
      <c r="BJ73" s="152" t="s">
        <v>407</v>
      </c>
      <c r="BK73" s="152" t="s">
        <v>408</v>
      </c>
      <c r="BL73" s="151" t="s">
        <v>412</v>
      </c>
      <c r="BM73" s="151" t="s">
        <v>409</v>
      </c>
      <c r="BN73" s="152" t="s">
        <v>305</v>
      </c>
    </row>
    <row r="74" ht="12.75" customHeight="1">
      <c r="A74" s="147" t="s">
        <v>438</v>
      </c>
      <c r="B74" s="164"/>
      <c r="C74" s="165"/>
      <c r="D74" s="174"/>
      <c r="E74" s="174"/>
      <c r="F74" s="174"/>
      <c r="G74" s="165"/>
      <c r="H74" s="164"/>
      <c r="I74" s="165"/>
      <c r="J74" s="174"/>
      <c r="K74" s="174"/>
      <c r="L74" s="165"/>
      <c r="M74" s="164"/>
      <c r="N74" s="165"/>
      <c r="O74" s="174"/>
      <c r="P74" s="165"/>
      <c r="Q74" s="164"/>
      <c r="R74" s="165"/>
      <c r="S74" s="174"/>
      <c r="T74" s="174"/>
      <c r="U74" s="165"/>
      <c r="V74" s="164"/>
      <c r="W74" s="165"/>
      <c r="X74" s="174"/>
      <c r="Y74" s="174"/>
      <c r="Z74" s="165"/>
      <c r="AA74" s="164"/>
      <c r="AB74" s="165"/>
      <c r="AC74" s="174"/>
      <c r="AD74" s="174"/>
      <c r="AE74" s="174"/>
      <c r="AF74" s="165"/>
      <c r="AG74" s="164"/>
      <c r="AH74" s="165"/>
      <c r="AI74" s="174"/>
      <c r="AJ74" s="174"/>
      <c r="AK74" s="174"/>
      <c r="AL74" s="165"/>
      <c r="AM74" s="164"/>
      <c r="AN74" s="165"/>
      <c r="AO74" s="174"/>
      <c r="AP74" s="174"/>
      <c r="AQ74" s="174"/>
      <c r="AR74" s="165"/>
      <c r="AS74" s="164"/>
      <c r="AT74" s="165"/>
      <c r="AU74" s="174"/>
      <c r="AV74" s="174"/>
      <c r="AW74" s="165"/>
      <c r="AX74" s="164"/>
      <c r="AY74" s="165"/>
      <c r="AZ74" s="174"/>
      <c r="BA74" s="174"/>
      <c r="BB74" s="165"/>
      <c r="BC74" s="164"/>
      <c r="BD74" s="165"/>
      <c r="BE74" s="174"/>
      <c r="BF74" s="174"/>
      <c r="BG74" s="174"/>
      <c r="BH74" s="165"/>
      <c r="BI74" s="164"/>
      <c r="BJ74" s="165"/>
      <c r="BK74" s="174"/>
      <c r="BL74" s="174"/>
      <c r="BM74" s="174"/>
      <c r="BN74" s="165"/>
    </row>
    <row r="75" ht="12.75" customHeight="1">
      <c r="A75" s="5" t="s">
        <v>438</v>
      </c>
      <c r="B75" s="154">
        <v>0.0</v>
      </c>
      <c r="C75" s="155">
        <v>0.0</v>
      </c>
      <c r="D75" s="155"/>
      <c r="E75" s="155"/>
      <c r="F75" s="155"/>
      <c r="G75" s="155">
        <v>0.0</v>
      </c>
      <c r="H75" s="154">
        <v>0.0</v>
      </c>
      <c r="I75" s="155">
        <v>0.0</v>
      </c>
      <c r="J75" s="155"/>
      <c r="K75" s="155"/>
      <c r="L75" s="155">
        <v>0.0</v>
      </c>
      <c r="M75" s="154">
        <v>0.0</v>
      </c>
      <c r="N75" s="155">
        <v>0.0</v>
      </c>
      <c r="O75" s="155"/>
      <c r="P75" s="155">
        <v>0.0</v>
      </c>
      <c r="Q75" s="154">
        <v>0.0</v>
      </c>
      <c r="R75" s="155">
        <v>0.0</v>
      </c>
      <c r="S75" s="155"/>
      <c r="T75" s="155"/>
      <c r="U75" s="155">
        <v>0.0</v>
      </c>
      <c r="V75" s="154">
        <v>0.0</v>
      </c>
      <c r="W75" s="155">
        <v>0.0</v>
      </c>
      <c r="X75" s="155"/>
      <c r="Y75" s="155"/>
      <c r="Z75" s="155">
        <v>0.0</v>
      </c>
      <c r="AA75" s="154">
        <v>0.0</v>
      </c>
      <c r="AB75" s="155">
        <v>0.0</v>
      </c>
      <c r="AC75" s="155"/>
      <c r="AD75" s="155"/>
      <c r="AE75" s="155"/>
      <c r="AF75" s="155">
        <v>0.0</v>
      </c>
      <c r="AG75" s="154">
        <v>0.0</v>
      </c>
      <c r="AH75" s="155">
        <v>0.0</v>
      </c>
      <c r="AI75" s="155"/>
      <c r="AJ75" s="155"/>
      <c r="AK75" s="155"/>
      <c r="AL75" s="155">
        <v>0.0</v>
      </c>
      <c r="AM75" s="154">
        <v>0.0</v>
      </c>
      <c r="AN75" s="155">
        <v>0.0</v>
      </c>
      <c r="AO75" s="155"/>
      <c r="AP75" s="155"/>
      <c r="AQ75" s="155"/>
      <c r="AR75" s="155">
        <v>0.0</v>
      </c>
      <c r="AS75" s="154">
        <v>0.0</v>
      </c>
      <c r="AT75" s="155">
        <v>0.0</v>
      </c>
      <c r="AU75" s="155"/>
      <c r="AV75" s="155"/>
      <c r="AW75" s="155">
        <v>0.0</v>
      </c>
      <c r="AX75" s="154">
        <v>0.0</v>
      </c>
      <c r="AY75" s="155">
        <v>0.0</v>
      </c>
      <c r="AZ75" s="155"/>
      <c r="BA75" s="155"/>
      <c r="BB75" s="155">
        <v>0.0</v>
      </c>
      <c r="BC75" s="154">
        <v>0.0</v>
      </c>
      <c r="BD75" s="155">
        <v>0.0</v>
      </c>
      <c r="BE75" s="155"/>
      <c r="BF75" s="155"/>
      <c r="BG75" s="155"/>
      <c r="BH75" s="155">
        <v>0.0</v>
      </c>
      <c r="BI75" s="154">
        <v>0.0</v>
      </c>
      <c r="BJ75" s="155"/>
      <c r="BK75" s="155"/>
      <c r="BL75" s="155"/>
      <c r="BM75" s="155"/>
      <c r="BN75" s="155">
        <v>0.0</v>
      </c>
    </row>
    <row r="76" ht="12.75" customHeight="1">
      <c r="A76" s="153" t="s">
        <v>439</v>
      </c>
      <c r="B76" s="169">
        <v>12.0</v>
      </c>
      <c r="C76" s="155">
        <v>2.5687571940000005E7</v>
      </c>
      <c r="D76" s="155">
        <v>2709487.87</v>
      </c>
      <c r="E76" s="155">
        <v>0.0</v>
      </c>
      <c r="F76" s="155">
        <v>1440000.0</v>
      </c>
      <c r="G76" s="155">
        <f t="shared" ref="G76:G79" si="64">SUM(C76:F76)</f>
        <v>29837059.81</v>
      </c>
      <c r="H76" s="169">
        <v>12.0</v>
      </c>
      <c r="I76" s="155">
        <v>2.4328685549999997E7</v>
      </c>
      <c r="J76" s="155">
        <v>3786248.1700000004</v>
      </c>
      <c r="K76" s="155">
        <v>0.0</v>
      </c>
      <c r="L76" s="155">
        <f t="shared" ref="L76:L79" si="65">SUM(I76:K76)</f>
        <v>28114933.72</v>
      </c>
      <c r="M76" s="169">
        <v>12.0</v>
      </c>
      <c r="N76" s="155">
        <v>2.402108877E7</v>
      </c>
      <c r="O76" s="155">
        <v>2266686.23</v>
      </c>
      <c r="P76" s="155">
        <f t="shared" ref="P76:P79" si="66">SUM(N76:O76)</f>
        <v>26287775</v>
      </c>
      <c r="Q76" s="169">
        <v>12.0</v>
      </c>
      <c r="R76" s="155">
        <v>2.2547615769999996E7</v>
      </c>
      <c r="S76" s="155">
        <v>2515562.03</v>
      </c>
      <c r="T76" s="155">
        <v>0.0</v>
      </c>
      <c r="U76" s="155">
        <f t="shared" ref="U76:U79" si="67">SUM(R76:T76)</f>
        <v>25063177.8</v>
      </c>
      <c r="V76" s="169">
        <v>12.0</v>
      </c>
      <c r="W76" s="155">
        <v>2.477109515E7</v>
      </c>
      <c r="X76" s="155">
        <v>3152628.86</v>
      </c>
      <c r="Y76" s="155">
        <v>0.0</v>
      </c>
      <c r="Z76" s="155">
        <f t="shared" ref="Z76:Z79" si="68">SUM(W76:Y76)</f>
        <v>27923724.01</v>
      </c>
      <c r="AA76" s="169">
        <v>11.0</v>
      </c>
      <c r="AB76" s="155">
        <v>2.6998714380000003E7</v>
      </c>
      <c r="AC76" s="155">
        <v>7091517.77</v>
      </c>
      <c r="AD76" s="155">
        <v>1.668648365E7</v>
      </c>
      <c r="AE76" s="155">
        <v>600000.0</v>
      </c>
      <c r="AF76" s="155">
        <f t="shared" ref="AF76:AF79" si="69">SUM(AB76:AE76)</f>
        <v>51376715.8</v>
      </c>
      <c r="AG76" s="169">
        <v>11.0</v>
      </c>
      <c r="AH76" s="155">
        <v>2.5151834489999995E7</v>
      </c>
      <c r="AI76" s="155">
        <v>4303737.4</v>
      </c>
      <c r="AJ76" s="155">
        <v>0.0</v>
      </c>
      <c r="AK76" s="155">
        <v>550000.0</v>
      </c>
      <c r="AL76" s="155">
        <f t="shared" ref="AL76:AL79" si="70">SUM(AH76:AK76)</f>
        <v>30005571.89</v>
      </c>
      <c r="AM76" s="169">
        <v>11.0</v>
      </c>
      <c r="AN76" s="155">
        <v>2.713796656E7</v>
      </c>
      <c r="AO76" s="155">
        <v>4720757.25</v>
      </c>
      <c r="AP76" s="155">
        <v>221767.0</v>
      </c>
      <c r="AQ76" s="155">
        <v>160000.0</v>
      </c>
      <c r="AR76" s="155">
        <f t="shared" ref="AR76:AR79" si="71">SUM(AN76:AQ76)</f>
        <v>32240490.81</v>
      </c>
      <c r="AS76" s="169">
        <v>11.0</v>
      </c>
      <c r="AT76" s="155">
        <v>2.8165534099999998E7</v>
      </c>
      <c r="AU76" s="155">
        <v>2199323.29</v>
      </c>
      <c r="AV76" s="155">
        <v>0.0</v>
      </c>
      <c r="AW76" s="155">
        <f t="shared" ref="AW76:AW79" si="72">SUM(AT76:AV76)</f>
        <v>30364857.39</v>
      </c>
      <c r="AX76" s="169">
        <v>11.0</v>
      </c>
      <c r="AY76" s="155">
        <v>4.945404068000001E7</v>
      </c>
      <c r="AZ76" s="155">
        <v>1776994.79</v>
      </c>
      <c r="BA76" s="155">
        <v>0.0</v>
      </c>
      <c r="BB76" s="155">
        <f t="shared" ref="BB76:BB79" si="73">SUM(AY76:BA76)</f>
        <v>51231035.47</v>
      </c>
      <c r="BC76" s="169">
        <v>11.0</v>
      </c>
      <c r="BD76" s="155">
        <v>2.8927321580000002E7</v>
      </c>
      <c r="BE76" s="155">
        <v>3844412.17</v>
      </c>
      <c r="BF76" s="155">
        <v>550000.0</v>
      </c>
      <c r="BG76" s="155">
        <v>0.0</v>
      </c>
      <c r="BH76" s="155">
        <f t="shared" ref="BH76:BH79" si="74">SUM(BD76:BG76)</f>
        <v>33321733.75</v>
      </c>
      <c r="BI76" s="169">
        <v>11.0</v>
      </c>
      <c r="BJ76" s="155">
        <v>2.965470742E7</v>
      </c>
      <c r="BK76" s="155">
        <v>2338914.82</v>
      </c>
      <c r="BL76" s="155"/>
      <c r="BM76" s="155">
        <v>1.687808985E7</v>
      </c>
      <c r="BN76" s="155">
        <f t="shared" ref="BN76:BN79" si="75">SUM(BJ76:BM76)</f>
        <v>48871712.09</v>
      </c>
    </row>
    <row r="77" ht="12.75" customHeight="1">
      <c r="A77" s="153" t="s">
        <v>440</v>
      </c>
      <c r="B77" s="169">
        <v>16.0</v>
      </c>
      <c r="C77" s="155">
        <v>3.4895842199999996E7</v>
      </c>
      <c r="D77" s="155">
        <v>1.007906184E7</v>
      </c>
      <c r="E77" s="155">
        <v>0.0</v>
      </c>
      <c r="F77" s="155">
        <v>1920000.0</v>
      </c>
      <c r="G77" s="155">
        <f t="shared" si="64"/>
        <v>46894904.04</v>
      </c>
      <c r="H77" s="169">
        <v>16.0</v>
      </c>
      <c r="I77" s="155">
        <v>3.0203982500000004E7</v>
      </c>
      <c r="J77" s="155">
        <v>1.039606645E7</v>
      </c>
      <c r="K77" s="155">
        <v>0.0</v>
      </c>
      <c r="L77" s="155">
        <f t="shared" si="65"/>
        <v>40600048.95</v>
      </c>
      <c r="M77" s="169">
        <v>16.0</v>
      </c>
      <c r="N77" s="155">
        <v>3.3235168810000002E7</v>
      </c>
      <c r="O77" s="155">
        <v>8546404.27</v>
      </c>
      <c r="P77" s="155">
        <f t="shared" si="66"/>
        <v>41781573.08</v>
      </c>
      <c r="Q77" s="169">
        <v>16.0</v>
      </c>
      <c r="R77" s="155">
        <v>1.0935641592E8</v>
      </c>
      <c r="S77" s="155">
        <v>8707693.51</v>
      </c>
      <c r="T77" s="155">
        <v>2169901.23</v>
      </c>
      <c r="U77" s="155">
        <f t="shared" si="67"/>
        <v>120234010.7</v>
      </c>
      <c r="V77" s="169">
        <v>14.0</v>
      </c>
      <c r="W77" s="155">
        <v>2.87708905E7</v>
      </c>
      <c r="X77" s="155">
        <v>9256625.059999999</v>
      </c>
      <c r="Y77" s="155">
        <v>0.0</v>
      </c>
      <c r="Z77" s="155">
        <f t="shared" si="68"/>
        <v>38027515.56</v>
      </c>
      <c r="AA77" s="169">
        <v>14.0</v>
      </c>
      <c r="AB77" s="155">
        <v>2.7722140939999994E7</v>
      </c>
      <c r="AC77" s="155">
        <v>1.938524725E7</v>
      </c>
      <c r="AD77" s="155">
        <v>2.348402721E7</v>
      </c>
      <c r="AE77" s="155">
        <v>700000.0</v>
      </c>
      <c r="AF77" s="155">
        <f t="shared" si="69"/>
        <v>71291415.4</v>
      </c>
      <c r="AG77" s="169">
        <v>14.0</v>
      </c>
      <c r="AH77" s="155">
        <v>3.174587155E7</v>
      </c>
      <c r="AI77" s="155">
        <v>1.50148298E7</v>
      </c>
      <c r="AJ77" s="155">
        <v>0.0</v>
      </c>
      <c r="AK77" s="155">
        <v>700000.0</v>
      </c>
      <c r="AL77" s="155">
        <f t="shared" si="70"/>
        <v>47460701.35</v>
      </c>
      <c r="AM77" s="169">
        <v>14.0</v>
      </c>
      <c r="AN77" s="155">
        <v>3.510149403E7</v>
      </c>
      <c r="AO77" s="155">
        <v>1.438070407E7</v>
      </c>
      <c r="AP77" s="155">
        <v>412774.0</v>
      </c>
      <c r="AQ77" s="155">
        <v>0.0</v>
      </c>
      <c r="AR77" s="155">
        <f t="shared" si="71"/>
        <v>49894972.1</v>
      </c>
      <c r="AS77" s="169">
        <v>14.0</v>
      </c>
      <c r="AT77" s="155">
        <v>3.633291549999999E7</v>
      </c>
      <c r="AU77" s="155">
        <v>8244087.48</v>
      </c>
      <c r="AV77" s="155">
        <v>0.0</v>
      </c>
      <c r="AW77" s="155">
        <f t="shared" si="72"/>
        <v>44577002.98</v>
      </c>
      <c r="AX77" s="169">
        <v>14.0</v>
      </c>
      <c r="AY77" s="155">
        <v>6.620076568000001E7</v>
      </c>
      <c r="AZ77" s="155">
        <v>8032466.62</v>
      </c>
      <c r="BA77" s="155">
        <v>0.0</v>
      </c>
      <c r="BB77" s="155">
        <f t="shared" si="73"/>
        <v>74233232.3</v>
      </c>
      <c r="BC77" s="169">
        <v>14.0</v>
      </c>
      <c r="BD77" s="155">
        <v>3.745994822E7</v>
      </c>
      <c r="BE77" s="155">
        <v>1.350263482E7</v>
      </c>
      <c r="BF77" s="155">
        <v>700000.0</v>
      </c>
      <c r="BG77" s="155">
        <v>0.0</v>
      </c>
      <c r="BH77" s="155">
        <f t="shared" si="74"/>
        <v>51662583.04</v>
      </c>
      <c r="BI77" s="169">
        <v>14.0</v>
      </c>
      <c r="BJ77" s="155">
        <v>3.751454187E7</v>
      </c>
      <c r="BK77" s="155">
        <v>1.332940865E7</v>
      </c>
      <c r="BL77" s="155"/>
      <c r="BM77" s="155">
        <v>2.735780786E7</v>
      </c>
      <c r="BN77" s="155">
        <f t="shared" si="75"/>
        <v>78201758.38</v>
      </c>
    </row>
    <row r="78" ht="12.75" customHeight="1">
      <c r="A78" s="153" t="s">
        <v>441</v>
      </c>
      <c r="B78" s="175"/>
      <c r="C78" s="155"/>
      <c r="D78" s="155"/>
      <c r="E78" s="155"/>
      <c r="F78" s="155"/>
      <c r="G78" s="155">
        <f t="shared" si="64"/>
        <v>0</v>
      </c>
      <c r="H78" s="175"/>
      <c r="I78" s="155"/>
      <c r="J78" s="155"/>
      <c r="K78" s="155"/>
      <c r="L78" s="155">
        <f t="shared" si="65"/>
        <v>0</v>
      </c>
      <c r="M78" s="175"/>
      <c r="N78" s="155"/>
      <c r="O78" s="155"/>
      <c r="P78" s="155">
        <f t="shared" si="66"/>
        <v>0</v>
      </c>
      <c r="Q78" s="175"/>
      <c r="R78" s="155"/>
      <c r="S78" s="155"/>
      <c r="T78" s="155"/>
      <c r="U78" s="155">
        <f t="shared" si="67"/>
        <v>0</v>
      </c>
      <c r="V78" s="175"/>
      <c r="W78" s="155"/>
      <c r="X78" s="155"/>
      <c r="Y78" s="155"/>
      <c r="Z78" s="155">
        <f t="shared" si="68"/>
        <v>0</v>
      </c>
      <c r="AA78" s="175"/>
      <c r="AB78" s="155"/>
      <c r="AC78" s="155"/>
      <c r="AD78" s="155"/>
      <c r="AE78" s="155"/>
      <c r="AF78" s="155">
        <f t="shared" si="69"/>
        <v>0</v>
      </c>
      <c r="AG78" s="175"/>
      <c r="AH78" s="155"/>
      <c r="AI78" s="155"/>
      <c r="AJ78" s="155"/>
      <c r="AK78" s="155"/>
      <c r="AL78" s="155">
        <f t="shared" si="70"/>
        <v>0</v>
      </c>
      <c r="AM78" s="175"/>
      <c r="AN78" s="155">
        <v>0.0</v>
      </c>
      <c r="AO78" s="155">
        <v>0.0</v>
      </c>
      <c r="AP78" s="155">
        <v>0.0</v>
      </c>
      <c r="AQ78" s="155">
        <v>0.0</v>
      </c>
      <c r="AR78" s="155">
        <f t="shared" si="71"/>
        <v>0</v>
      </c>
      <c r="AS78" s="175"/>
      <c r="AT78" s="155"/>
      <c r="AU78" s="155"/>
      <c r="AV78" s="155"/>
      <c r="AW78" s="155">
        <f t="shared" si="72"/>
        <v>0</v>
      </c>
      <c r="AX78" s="175"/>
      <c r="AY78" s="155"/>
      <c r="AZ78" s="155"/>
      <c r="BA78" s="155"/>
      <c r="BB78" s="155">
        <f t="shared" si="73"/>
        <v>0</v>
      </c>
      <c r="BC78" s="175"/>
      <c r="BD78" s="155"/>
      <c r="BE78" s="155"/>
      <c r="BF78" s="155"/>
      <c r="BG78" s="155"/>
      <c r="BH78" s="155">
        <f t="shared" si="74"/>
        <v>0</v>
      </c>
      <c r="BI78" s="175"/>
      <c r="BJ78" s="155"/>
      <c r="BK78" s="155"/>
      <c r="BL78" s="155"/>
      <c r="BM78" s="155"/>
      <c r="BN78" s="155">
        <f t="shared" si="75"/>
        <v>0</v>
      </c>
    </row>
    <row r="79" ht="12.75" customHeight="1">
      <c r="A79" s="153" t="s">
        <v>442</v>
      </c>
      <c r="B79" s="169">
        <v>15.0</v>
      </c>
      <c r="C79" s="155">
        <v>3.005444633000001E7</v>
      </c>
      <c r="D79" s="155">
        <v>434830.68</v>
      </c>
      <c r="E79" s="155">
        <v>0.0</v>
      </c>
      <c r="F79" s="155">
        <v>1800000.0</v>
      </c>
      <c r="G79" s="155">
        <f t="shared" si="64"/>
        <v>32289277.01</v>
      </c>
      <c r="H79" s="169">
        <v>15.0</v>
      </c>
      <c r="I79" s="155">
        <v>2.856569984E7</v>
      </c>
      <c r="J79" s="155">
        <v>244862.85</v>
      </c>
      <c r="K79" s="155">
        <v>416458.20999999996</v>
      </c>
      <c r="L79" s="155">
        <f t="shared" si="65"/>
        <v>29227020.9</v>
      </c>
      <c r="M79" s="169">
        <v>15.0</v>
      </c>
      <c r="N79" s="155">
        <v>2.460613221E7</v>
      </c>
      <c r="O79" s="155">
        <v>207343.27999999997</v>
      </c>
      <c r="P79" s="155">
        <f t="shared" si="66"/>
        <v>24813475.49</v>
      </c>
      <c r="Q79" s="169">
        <v>15.0</v>
      </c>
      <c r="R79" s="155">
        <v>2.8057415279999994E7</v>
      </c>
      <c r="S79" s="155">
        <v>144046.51</v>
      </c>
      <c r="T79" s="155">
        <v>679730.9600000001</v>
      </c>
      <c r="U79" s="155">
        <f t="shared" si="67"/>
        <v>28881192.75</v>
      </c>
      <c r="V79" s="169">
        <v>13.0</v>
      </c>
      <c r="W79" s="155">
        <v>2.5530427149999995E7</v>
      </c>
      <c r="X79" s="155">
        <v>242603.73</v>
      </c>
      <c r="Y79" s="155">
        <v>0.0</v>
      </c>
      <c r="Z79" s="155">
        <f t="shared" si="68"/>
        <v>25773030.88</v>
      </c>
      <c r="AA79" s="169">
        <v>13.0</v>
      </c>
      <c r="AB79" s="155">
        <v>2.5654087650000002E7</v>
      </c>
      <c r="AC79" s="155">
        <v>4427914.56</v>
      </c>
      <c r="AD79" s="155">
        <v>1.558822222E7</v>
      </c>
      <c r="AE79" s="155">
        <v>650000.0</v>
      </c>
      <c r="AF79" s="155">
        <f t="shared" si="69"/>
        <v>46320224.43</v>
      </c>
      <c r="AG79" s="169">
        <v>13.0</v>
      </c>
      <c r="AH79" s="155">
        <v>2.6655964639999997E7</v>
      </c>
      <c r="AI79" s="155">
        <v>3647409.66</v>
      </c>
      <c r="AJ79" s="155">
        <v>0.0</v>
      </c>
      <c r="AK79" s="155">
        <v>650000.0</v>
      </c>
      <c r="AL79" s="155">
        <f t="shared" si="70"/>
        <v>30953374.3</v>
      </c>
      <c r="AM79" s="169">
        <v>13.0</v>
      </c>
      <c r="AN79" s="155">
        <v>3.083229891E7</v>
      </c>
      <c r="AO79" s="155">
        <v>3212176.71</v>
      </c>
      <c r="AP79" s="155">
        <v>332126.0</v>
      </c>
      <c r="AQ79" s="155">
        <v>160000.0</v>
      </c>
      <c r="AR79" s="155">
        <f t="shared" si="71"/>
        <v>34536601.62</v>
      </c>
      <c r="AS79" s="169">
        <v>13.0</v>
      </c>
      <c r="AT79" s="155">
        <v>3.0590270900000002E7</v>
      </c>
      <c r="AU79" s="155">
        <v>2476311.35</v>
      </c>
      <c r="AV79" s="155">
        <v>0.0</v>
      </c>
      <c r="AW79" s="155">
        <f t="shared" si="72"/>
        <v>33066582.25</v>
      </c>
      <c r="AX79" s="169">
        <v>13.0</v>
      </c>
      <c r="AY79" s="155">
        <v>5.754120590000002E7</v>
      </c>
      <c r="AZ79" s="155">
        <v>1296059.1900000002</v>
      </c>
      <c r="BA79" s="155">
        <v>0.0</v>
      </c>
      <c r="BB79" s="155">
        <f t="shared" si="73"/>
        <v>58837265.09</v>
      </c>
      <c r="BC79" s="169">
        <v>13.0</v>
      </c>
      <c r="BD79" s="155">
        <v>3.2604830080000006E7</v>
      </c>
      <c r="BE79" s="155">
        <v>499849.48</v>
      </c>
      <c r="BF79" s="155">
        <v>650000.0</v>
      </c>
      <c r="BG79" s="155">
        <v>0.0</v>
      </c>
      <c r="BH79" s="155">
        <f t="shared" si="74"/>
        <v>33754679.56</v>
      </c>
      <c r="BI79" s="169">
        <v>13.0</v>
      </c>
      <c r="BJ79" s="155">
        <v>3.265991861E7</v>
      </c>
      <c r="BK79" s="155">
        <v>578219.94</v>
      </c>
      <c r="BL79" s="155"/>
      <c r="BM79" s="155">
        <v>1.816971154E7</v>
      </c>
      <c r="BN79" s="155">
        <f t="shared" si="75"/>
        <v>51407850.09</v>
      </c>
    </row>
    <row r="80" ht="12.75" customHeight="1">
      <c r="A80" s="147" t="s">
        <v>416</v>
      </c>
      <c r="B80" s="157">
        <f t="shared" ref="B80:BN80" si="76">SUM(B75:B79)</f>
        <v>43</v>
      </c>
      <c r="C80" s="158">
        <f t="shared" si="76"/>
        <v>90637860.47</v>
      </c>
      <c r="D80" s="158">
        <f t="shared" si="76"/>
        <v>13223380.39</v>
      </c>
      <c r="E80" s="158">
        <f t="shared" si="76"/>
        <v>0</v>
      </c>
      <c r="F80" s="158">
        <f t="shared" si="76"/>
        <v>5160000</v>
      </c>
      <c r="G80" s="158">
        <f t="shared" si="76"/>
        <v>109021240.9</v>
      </c>
      <c r="H80" s="157">
        <f t="shared" si="76"/>
        <v>43</v>
      </c>
      <c r="I80" s="158">
        <f t="shared" si="76"/>
        <v>83098367.89</v>
      </c>
      <c r="J80" s="158">
        <f t="shared" si="76"/>
        <v>14427177.47</v>
      </c>
      <c r="K80" s="158">
        <f t="shared" si="76"/>
        <v>416458.21</v>
      </c>
      <c r="L80" s="158">
        <f t="shared" si="76"/>
        <v>97942003.57</v>
      </c>
      <c r="M80" s="157">
        <f t="shared" si="76"/>
        <v>43</v>
      </c>
      <c r="N80" s="158">
        <f t="shared" si="76"/>
        <v>81862389.79</v>
      </c>
      <c r="O80" s="158">
        <f t="shared" si="76"/>
        <v>11020433.78</v>
      </c>
      <c r="P80" s="158">
        <f t="shared" si="76"/>
        <v>92882823.57</v>
      </c>
      <c r="Q80" s="157">
        <f t="shared" si="76"/>
        <v>43</v>
      </c>
      <c r="R80" s="158">
        <f t="shared" si="76"/>
        <v>159961447</v>
      </c>
      <c r="S80" s="158">
        <f t="shared" si="76"/>
        <v>11367302.05</v>
      </c>
      <c r="T80" s="158">
        <f t="shared" si="76"/>
        <v>2849632.19</v>
      </c>
      <c r="U80" s="158">
        <f t="shared" si="76"/>
        <v>174178381.2</v>
      </c>
      <c r="V80" s="157">
        <f t="shared" si="76"/>
        <v>39</v>
      </c>
      <c r="W80" s="158">
        <f t="shared" si="76"/>
        <v>79072412.8</v>
      </c>
      <c r="X80" s="158">
        <f t="shared" si="76"/>
        <v>12651857.65</v>
      </c>
      <c r="Y80" s="158">
        <f t="shared" si="76"/>
        <v>0</v>
      </c>
      <c r="Z80" s="158">
        <f t="shared" si="76"/>
        <v>91724270.45</v>
      </c>
      <c r="AA80" s="157">
        <f t="shared" si="76"/>
        <v>38</v>
      </c>
      <c r="AB80" s="158">
        <f t="shared" si="76"/>
        <v>80374942.97</v>
      </c>
      <c r="AC80" s="158">
        <f t="shared" si="76"/>
        <v>30904679.58</v>
      </c>
      <c r="AD80" s="158">
        <f t="shared" si="76"/>
        <v>55758733.08</v>
      </c>
      <c r="AE80" s="158">
        <f t="shared" si="76"/>
        <v>1950000</v>
      </c>
      <c r="AF80" s="158">
        <f t="shared" si="76"/>
        <v>168988355.6</v>
      </c>
      <c r="AG80" s="157">
        <f t="shared" si="76"/>
        <v>38</v>
      </c>
      <c r="AH80" s="158">
        <f t="shared" si="76"/>
        <v>83553670.68</v>
      </c>
      <c r="AI80" s="158">
        <f t="shared" si="76"/>
        <v>22965976.86</v>
      </c>
      <c r="AJ80" s="158">
        <f t="shared" si="76"/>
        <v>0</v>
      </c>
      <c r="AK80" s="158">
        <f t="shared" si="76"/>
        <v>1900000</v>
      </c>
      <c r="AL80" s="158">
        <f t="shared" si="76"/>
        <v>108419647.5</v>
      </c>
      <c r="AM80" s="157">
        <f t="shared" si="76"/>
        <v>38</v>
      </c>
      <c r="AN80" s="158">
        <f t="shared" si="76"/>
        <v>93071759.5</v>
      </c>
      <c r="AO80" s="158">
        <f t="shared" si="76"/>
        <v>22313638.03</v>
      </c>
      <c r="AP80" s="158">
        <f t="shared" si="76"/>
        <v>966667</v>
      </c>
      <c r="AQ80" s="158">
        <f t="shared" si="76"/>
        <v>320000</v>
      </c>
      <c r="AR80" s="158">
        <f t="shared" si="76"/>
        <v>116672064.5</v>
      </c>
      <c r="AS80" s="157">
        <f t="shared" si="76"/>
        <v>38</v>
      </c>
      <c r="AT80" s="158">
        <f t="shared" si="76"/>
        <v>95088720.5</v>
      </c>
      <c r="AU80" s="158">
        <f t="shared" si="76"/>
        <v>12919722.12</v>
      </c>
      <c r="AV80" s="158">
        <f t="shared" si="76"/>
        <v>0</v>
      </c>
      <c r="AW80" s="158">
        <f t="shared" si="76"/>
        <v>108008442.6</v>
      </c>
      <c r="AX80" s="157">
        <f t="shared" si="76"/>
        <v>38</v>
      </c>
      <c r="AY80" s="158">
        <f t="shared" si="76"/>
        <v>173196012.3</v>
      </c>
      <c r="AZ80" s="158">
        <f t="shared" si="76"/>
        <v>11105520.6</v>
      </c>
      <c r="BA80" s="158">
        <f t="shared" si="76"/>
        <v>0</v>
      </c>
      <c r="BB80" s="158">
        <f t="shared" si="76"/>
        <v>184301532.9</v>
      </c>
      <c r="BC80" s="157">
        <f t="shared" si="76"/>
        <v>38</v>
      </c>
      <c r="BD80" s="158">
        <f t="shared" si="76"/>
        <v>98992099.88</v>
      </c>
      <c r="BE80" s="158">
        <f t="shared" si="76"/>
        <v>17846896.47</v>
      </c>
      <c r="BF80" s="158">
        <f t="shared" si="76"/>
        <v>1900000</v>
      </c>
      <c r="BG80" s="158">
        <f t="shared" si="76"/>
        <v>0</v>
      </c>
      <c r="BH80" s="158">
        <f t="shared" si="76"/>
        <v>118738996.4</v>
      </c>
      <c r="BI80" s="157">
        <f t="shared" si="76"/>
        <v>38</v>
      </c>
      <c r="BJ80" s="158">
        <f t="shared" si="76"/>
        <v>99829167.9</v>
      </c>
      <c r="BK80" s="158">
        <f t="shared" si="76"/>
        <v>16246543.41</v>
      </c>
      <c r="BL80" s="158">
        <f t="shared" si="76"/>
        <v>0</v>
      </c>
      <c r="BM80" s="158">
        <f t="shared" si="76"/>
        <v>62405609.25</v>
      </c>
      <c r="BN80" s="158">
        <f t="shared" si="76"/>
        <v>178481320.6</v>
      </c>
    </row>
    <row r="81" ht="12.75" customHeight="1">
      <c r="A81" s="153"/>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c r="BE81" s="159"/>
      <c r="BF81" s="159"/>
      <c r="BG81" s="159"/>
      <c r="BH81" s="159"/>
      <c r="BI81" s="159"/>
      <c r="BJ81" s="159"/>
      <c r="BK81" s="159"/>
      <c r="BL81" s="159"/>
      <c r="BM81" s="159"/>
      <c r="BN81" s="159"/>
    </row>
    <row r="82" ht="12.75" customHeight="1">
      <c r="A82" s="147" t="s">
        <v>392</v>
      </c>
      <c r="B82" s="163" t="s">
        <v>406</v>
      </c>
      <c r="C82" s="152" t="s">
        <v>407</v>
      </c>
      <c r="D82" s="152" t="s">
        <v>408</v>
      </c>
      <c r="E82" s="151" t="s">
        <v>409</v>
      </c>
      <c r="F82" s="151" t="s">
        <v>410</v>
      </c>
      <c r="G82" s="152" t="s">
        <v>305</v>
      </c>
      <c r="H82" s="163" t="s">
        <v>406</v>
      </c>
      <c r="I82" s="152" t="s">
        <v>407</v>
      </c>
      <c r="J82" s="152" t="s">
        <v>408</v>
      </c>
      <c r="K82" s="151" t="s">
        <v>409</v>
      </c>
      <c r="L82" s="152" t="s">
        <v>305</v>
      </c>
      <c r="M82" s="163" t="s">
        <v>406</v>
      </c>
      <c r="N82" s="152" t="s">
        <v>407</v>
      </c>
      <c r="O82" s="152" t="s">
        <v>408</v>
      </c>
      <c r="P82" s="152" t="s">
        <v>305</v>
      </c>
      <c r="Q82" s="163" t="s">
        <v>406</v>
      </c>
      <c r="R82" s="152" t="s">
        <v>407</v>
      </c>
      <c r="S82" s="152" t="s">
        <v>408</v>
      </c>
      <c r="T82" s="151" t="s">
        <v>409</v>
      </c>
      <c r="U82" s="152" t="s">
        <v>305</v>
      </c>
      <c r="V82" s="163" t="s">
        <v>406</v>
      </c>
      <c r="W82" s="152" t="s">
        <v>407</v>
      </c>
      <c r="X82" s="152" t="s">
        <v>408</v>
      </c>
      <c r="Y82" s="151" t="s">
        <v>409</v>
      </c>
      <c r="Z82" s="152" t="s">
        <v>305</v>
      </c>
      <c r="AA82" s="163" t="s">
        <v>406</v>
      </c>
      <c r="AB82" s="152" t="s">
        <v>407</v>
      </c>
      <c r="AC82" s="152" t="s">
        <v>408</v>
      </c>
      <c r="AD82" s="151" t="s">
        <v>409</v>
      </c>
      <c r="AE82" s="151" t="s">
        <v>411</v>
      </c>
      <c r="AF82" s="152" t="s">
        <v>305</v>
      </c>
      <c r="AG82" s="163" t="s">
        <v>406</v>
      </c>
      <c r="AH82" s="152" t="s">
        <v>407</v>
      </c>
      <c r="AI82" s="152" t="s">
        <v>408</v>
      </c>
      <c r="AJ82" s="151" t="s">
        <v>409</v>
      </c>
      <c r="AK82" s="151" t="s">
        <v>411</v>
      </c>
      <c r="AL82" s="152" t="s">
        <v>305</v>
      </c>
      <c r="AM82" s="163" t="s">
        <v>406</v>
      </c>
      <c r="AN82" s="152" t="s">
        <v>407</v>
      </c>
      <c r="AO82" s="152" t="s">
        <v>408</v>
      </c>
      <c r="AP82" s="151" t="s">
        <v>409</v>
      </c>
      <c r="AQ82" s="151" t="s">
        <v>411</v>
      </c>
      <c r="AR82" s="152" t="s">
        <v>305</v>
      </c>
      <c r="AS82" s="163" t="s">
        <v>406</v>
      </c>
      <c r="AT82" s="152" t="s">
        <v>407</v>
      </c>
      <c r="AU82" s="152" t="s">
        <v>408</v>
      </c>
      <c r="AV82" s="151" t="s">
        <v>409</v>
      </c>
      <c r="AW82" s="152" t="s">
        <v>305</v>
      </c>
      <c r="AX82" s="163" t="s">
        <v>406</v>
      </c>
      <c r="AY82" s="152" t="s">
        <v>407</v>
      </c>
      <c r="AZ82" s="152" t="s">
        <v>408</v>
      </c>
      <c r="BA82" s="151" t="s">
        <v>409</v>
      </c>
      <c r="BB82" s="152" t="s">
        <v>305</v>
      </c>
      <c r="BC82" s="163" t="s">
        <v>406</v>
      </c>
      <c r="BD82" s="152" t="s">
        <v>407</v>
      </c>
      <c r="BE82" s="152" t="s">
        <v>408</v>
      </c>
      <c r="BF82" s="151" t="s">
        <v>412</v>
      </c>
      <c r="BG82" s="151" t="s">
        <v>409</v>
      </c>
      <c r="BH82" s="152" t="s">
        <v>305</v>
      </c>
      <c r="BI82" s="163" t="s">
        <v>406</v>
      </c>
      <c r="BJ82" s="152" t="s">
        <v>407</v>
      </c>
      <c r="BK82" s="152" t="s">
        <v>408</v>
      </c>
      <c r="BL82" s="151" t="s">
        <v>412</v>
      </c>
      <c r="BM82" s="151" t="s">
        <v>409</v>
      </c>
      <c r="BN82" s="152" t="s">
        <v>305</v>
      </c>
    </row>
    <row r="83" ht="12.75" customHeight="1">
      <c r="A83" s="147" t="s">
        <v>443</v>
      </c>
      <c r="B83" s="164"/>
      <c r="C83" s="165"/>
      <c r="D83" s="165"/>
      <c r="E83" s="165"/>
      <c r="F83" s="165"/>
      <c r="G83" s="165"/>
      <c r="H83" s="164"/>
      <c r="I83" s="165"/>
      <c r="J83" s="165"/>
      <c r="K83" s="165"/>
      <c r="L83" s="165"/>
      <c r="M83" s="164"/>
      <c r="N83" s="165"/>
      <c r="O83" s="165"/>
      <c r="P83" s="165"/>
      <c r="Q83" s="164"/>
      <c r="R83" s="165"/>
      <c r="S83" s="165"/>
      <c r="T83" s="165"/>
      <c r="U83" s="165"/>
      <c r="V83" s="164"/>
      <c r="W83" s="165"/>
      <c r="X83" s="165"/>
      <c r="Y83" s="165"/>
      <c r="Z83" s="165"/>
      <c r="AA83" s="164"/>
      <c r="AB83" s="165"/>
      <c r="AC83" s="165"/>
      <c r="AD83" s="165"/>
      <c r="AE83" s="165"/>
      <c r="AF83" s="165"/>
      <c r="AG83" s="164"/>
      <c r="AH83" s="165"/>
      <c r="AI83" s="165"/>
      <c r="AJ83" s="165"/>
      <c r="AK83" s="165"/>
      <c r="AL83" s="165"/>
      <c r="AM83" s="164"/>
      <c r="AN83" s="165"/>
      <c r="AO83" s="165"/>
      <c r="AP83" s="165"/>
      <c r="AQ83" s="165"/>
      <c r="AR83" s="165"/>
      <c r="AS83" s="164"/>
      <c r="AT83" s="165"/>
      <c r="AU83" s="165"/>
      <c r="AV83" s="165"/>
      <c r="AW83" s="165"/>
      <c r="AX83" s="164"/>
      <c r="AY83" s="165"/>
      <c r="AZ83" s="165"/>
      <c r="BA83" s="165"/>
      <c r="BB83" s="165"/>
      <c r="BC83" s="164"/>
      <c r="BD83" s="165"/>
      <c r="BE83" s="165"/>
      <c r="BF83" s="165"/>
      <c r="BG83" s="165"/>
      <c r="BH83" s="165"/>
      <c r="BI83" s="164"/>
      <c r="BJ83" s="165"/>
      <c r="BK83" s="165"/>
      <c r="BL83" s="165"/>
      <c r="BM83" s="165"/>
      <c r="BN83" s="165"/>
    </row>
    <row r="84" ht="12.75" customHeight="1">
      <c r="A84" s="153" t="s">
        <v>444</v>
      </c>
      <c r="B84" s="169">
        <v>5.0</v>
      </c>
      <c r="C84" s="155">
        <v>9679498.49</v>
      </c>
      <c r="D84" s="155">
        <v>0.0</v>
      </c>
      <c r="E84" s="155">
        <v>0.0</v>
      </c>
      <c r="F84" s="155">
        <v>480000.0</v>
      </c>
      <c r="G84" s="155">
        <f t="shared" ref="G84:G87" si="77">SUM(C84:F84)</f>
        <v>10159498.49</v>
      </c>
      <c r="H84" s="169">
        <v>5.0</v>
      </c>
      <c r="I84" s="155">
        <v>9943950.419999998</v>
      </c>
      <c r="J84" s="155">
        <v>0.0</v>
      </c>
      <c r="K84" s="155">
        <v>0.0</v>
      </c>
      <c r="L84" s="155">
        <f t="shared" ref="L84:L87" si="78">SUM(I84:K84)</f>
        <v>9943950.42</v>
      </c>
      <c r="M84" s="169">
        <v>5.0</v>
      </c>
      <c r="N84" s="155">
        <v>1.212513756E7</v>
      </c>
      <c r="O84" s="155">
        <v>0.0</v>
      </c>
      <c r="P84" s="155">
        <f t="shared" ref="P84:P87" si="79">SUM(N84:O84)</f>
        <v>12125137.56</v>
      </c>
      <c r="Q84" s="169">
        <v>5.0</v>
      </c>
      <c r="R84" s="155">
        <v>3.372678025999999E7</v>
      </c>
      <c r="S84" s="155">
        <v>0.0</v>
      </c>
      <c r="T84" s="155">
        <v>1863853.58</v>
      </c>
      <c r="U84" s="155">
        <f t="shared" ref="U84:U87" si="80">SUM(R84:T84)</f>
        <v>35590633.84</v>
      </c>
      <c r="V84" s="169">
        <v>3.0</v>
      </c>
      <c r="W84" s="155">
        <v>7888544.169999998</v>
      </c>
      <c r="X84" s="155">
        <v>0.0</v>
      </c>
      <c r="Y84" s="155">
        <v>0.0</v>
      </c>
      <c r="Z84" s="155">
        <f t="shared" ref="Z84:Z87" si="81">SUM(W84:Y84)</f>
        <v>7888544.17</v>
      </c>
      <c r="AA84" s="169">
        <v>3.0</v>
      </c>
      <c r="AB84" s="155">
        <v>1.0136254669999998E7</v>
      </c>
      <c r="AC84" s="155">
        <v>0.0</v>
      </c>
      <c r="AD84" s="155">
        <v>5393309.53</v>
      </c>
      <c r="AE84" s="155">
        <v>200000.0</v>
      </c>
      <c r="AF84" s="155">
        <f t="shared" ref="AF84:AF87" si="82">SUM(AB84:AE84)</f>
        <v>15729564.2</v>
      </c>
      <c r="AG84" s="169">
        <v>2.0</v>
      </c>
      <c r="AH84" s="155">
        <v>4.1446368580000006E7</v>
      </c>
      <c r="AI84" s="155">
        <v>79990.7</v>
      </c>
      <c r="AJ84" s="155">
        <v>677410.22</v>
      </c>
      <c r="AK84" s="155">
        <v>200000.0</v>
      </c>
      <c r="AL84" s="155">
        <f t="shared" ref="AL84:AL87" si="83">SUM(AH84:AK84)</f>
        <v>42403769.5</v>
      </c>
      <c r="AM84" s="169">
        <v>3.0</v>
      </c>
      <c r="AN84" s="155">
        <v>9172548.769999998</v>
      </c>
      <c r="AO84" s="155">
        <v>32956.16</v>
      </c>
      <c r="AP84" s="155">
        <v>52214.0</v>
      </c>
      <c r="AQ84" s="155">
        <v>160000.0</v>
      </c>
      <c r="AR84" s="155">
        <f t="shared" ref="AR84:AR87" si="84">SUM(AN84:AQ84)</f>
        <v>9417718.93</v>
      </c>
      <c r="AS84" s="169">
        <v>3.0</v>
      </c>
      <c r="AT84" s="155">
        <v>9619316.99</v>
      </c>
      <c r="AU84" s="155">
        <v>134790.59</v>
      </c>
      <c r="AV84" s="155">
        <v>0.0</v>
      </c>
      <c r="AW84" s="155">
        <f t="shared" ref="AW84:AW87" si="85">SUM(AT84:AV84)</f>
        <v>9754107.58</v>
      </c>
      <c r="AX84" s="169">
        <v>3.0</v>
      </c>
      <c r="AY84" s="54">
        <v>1.6681600409999998E7</v>
      </c>
      <c r="AZ84" s="155">
        <v>33951.42</v>
      </c>
      <c r="BA84" s="155">
        <v>0.0</v>
      </c>
      <c r="BB84" s="155">
        <f t="shared" ref="BB84:BB87" si="86">SUM(AY84:BA84)</f>
        <v>16715551.83</v>
      </c>
      <c r="BC84" s="169">
        <v>3.0</v>
      </c>
      <c r="BD84" s="155">
        <v>9222301.100000001</v>
      </c>
      <c r="BE84" s="155">
        <v>124636.89</v>
      </c>
      <c r="BF84" s="155">
        <v>150000.0</v>
      </c>
      <c r="BG84" s="155">
        <v>0.0</v>
      </c>
      <c r="BH84" s="155">
        <f t="shared" ref="BH84:BH87" si="87">SUM(BD84:BG84)</f>
        <v>9496937.99</v>
      </c>
      <c r="BI84" s="169">
        <v>3.0</v>
      </c>
      <c r="BJ84" s="155">
        <v>9282523.71</v>
      </c>
      <c r="BK84" s="155"/>
      <c r="BL84" s="155"/>
      <c r="BM84" s="155">
        <v>4890491.23</v>
      </c>
      <c r="BN84" s="155">
        <f t="shared" ref="BN84:BN87" si="88">SUM(BJ84:BM84)</f>
        <v>14173014.94</v>
      </c>
    </row>
    <row r="85" ht="12.75" customHeight="1">
      <c r="A85" s="153" t="s">
        <v>445</v>
      </c>
      <c r="B85" s="169">
        <v>7.0</v>
      </c>
      <c r="C85" s="155">
        <v>1.4754285509999998E7</v>
      </c>
      <c r="D85" s="155">
        <v>513121.81</v>
      </c>
      <c r="E85" s="155">
        <v>0.0</v>
      </c>
      <c r="F85" s="155">
        <v>720000.0</v>
      </c>
      <c r="G85" s="155">
        <f t="shared" si="77"/>
        <v>15987407.32</v>
      </c>
      <c r="H85" s="169">
        <v>7.0</v>
      </c>
      <c r="I85" s="155">
        <v>1.299621152E7</v>
      </c>
      <c r="J85" s="155">
        <v>276854.56</v>
      </c>
      <c r="K85" s="155">
        <v>0.0</v>
      </c>
      <c r="L85" s="155">
        <f t="shared" si="78"/>
        <v>13273066.08</v>
      </c>
      <c r="M85" s="169">
        <v>7.0</v>
      </c>
      <c r="N85" s="155">
        <v>1.37811499E7</v>
      </c>
      <c r="O85" s="155">
        <v>11871.67</v>
      </c>
      <c r="P85" s="155">
        <f t="shared" si="79"/>
        <v>13793021.57</v>
      </c>
      <c r="Q85" s="169">
        <v>7.0</v>
      </c>
      <c r="R85" s="155">
        <v>1.574795606E7</v>
      </c>
      <c r="S85" s="155">
        <v>459049.84</v>
      </c>
      <c r="T85" s="155">
        <v>413899.60000000003</v>
      </c>
      <c r="U85" s="155">
        <f t="shared" si="80"/>
        <v>16620905.5</v>
      </c>
      <c r="V85" s="169">
        <v>6.0</v>
      </c>
      <c r="W85" s="155">
        <v>1.3794903100000001E7</v>
      </c>
      <c r="X85" s="155">
        <v>302285.68</v>
      </c>
      <c r="Y85" s="155">
        <v>0.0</v>
      </c>
      <c r="Z85" s="155">
        <f t="shared" si="81"/>
        <v>14097188.78</v>
      </c>
      <c r="AA85" s="169">
        <v>6.0</v>
      </c>
      <c r="AB85" s="155">
        <v>1.445589395E7</v>
      </c>
      <c r="AC85" s="155">
        <v>173086.58000000002</v>
      </c>
      <c r="AD85" s="155">
        <v>7830200.75</v>
      </c>
      <c r="AE85" s="155">
        <v>300000.0</v>
      </c>
      <c r="AF85" s="155">
        <f t="shared" si="82"/>
        <v>22759181.28</v>
      </c>
      <c r="AG85" s="169">
        <v>5.0</v>
      </c>
      <c r="AH85" s="155">
        <v>1.8047790423999998E8</v>
      </c>
      <c r="AI85" s="155">
        <v>189488.78</v>
      </c>
      <c r="AJ85" s="155">
        <v>2883359.73</v>
      </c>
      <c r="AK85" s="155">
        <v>300000.0</v>
      </c>
      <c r="AL85" s="155">
        <f t="shared" si="83"/>
        <v>183850752.8</v>
      </c>
      <c r="AM85" s="169">
        <v>6.0</v>
      </c>
      <c r="AN85" s="155">
        <v>1.4811773379999999E7</v>
      </c>
      <c r="AO85" s="155">
        <v>222900.32</v>
      </c>
      <c r="AP85" s="155">
        <v>131335.0</v>
      </c>
      <c r="AQ85" s="155">
        <v>0.0</v>
      </c>
      <c r="AR85" s="155">
        <f t="shared" si="84"/>
        <v>15166008.7</v>
      </c>
      <c r="AS85" s="169">
        <v>6.0</v>
      </c>
      <c r="AT85" s="155">
        <v>1.442779584E7</v>
      </c>
      <c r="AU85" s="155">
        <v>291345.95</v>
      </c>
      <c r="AV85" s="155">
        <v>0.0</v>
      </c>
      <c r="AW85" s="155">
        <f t="shared" si="85"/>
        <v>14719141.79</v>
      </c>
      <c r="AX85" s="169">
        <v>6.0</v>
      </c>
      <c r="AY85" s="155">
        <v>2.5895947919999998E7</v>
      </c>
      <c r="AZ85" s="155">
        <v>40997.94</v>
      </c>
      <c r="BA85" s="155">
        <v>0.0</v>
      </c>
      <c r="BB85" s="155">
        <f t="shared" si="86"/>
        <v>25936945.86</v>
      </c>
      <c r="BC85" s="169">
        <v>6.0</v>
      </c>
      <c r="BD85" s="155">
        <v>1.9791247849999994E7</v>
      </c>
      <c r="BE85" s="155">
        <v>203600.75</v>
      </c>
      <c r="BF85" s="155">
        <v>300000.0</v>
      </c>
      <c r="BG85" s="155">
        <v>1245778.71</v>
      </c>
      <c r="BH85" s="155">
        <f t="shared" si="87"/>
        <v>21540627.31</v>
      </c>
      <c r="BI85" s="169">
        <v>5.0</v>
      </c>
      <c r="BJ85" s="155">
        <v>1.536602048E7</v>
      </c>
      <c r="BK85" s="155"/>
      <c r="BL85" s="155"/>
      <c r="BM85" s="155">
        <v>6814343.64</v>
      </c>
      <c r="BN85" s="155">
        <f t="shared" si="88"/>
        <v>22180364.12</v>
      </c>
    </row>
    <row r="86" ht="12.75" customHeight="1">
      <c r="A86" s="153" t="s">
        <v>446</v>
      </c>
      <c r="B86" s="169">
        <v>1.0</v>
      </c>
      <c r="C86" s="155">
        <v>2734469.1700000004</v>
      </c>
      <c r="D86" s="155">
        <v>0.0</v>
      </c>
      <c r="E86" s="155">
        <v>0.0</v>
      </c>
      <c r="F86" s="155">
        <v>0.0</v>
      </c>
      <c r="G86" s="155">
        <f t="shared" si="77"/>
        <v>2734469.17</v>
      </c>
      <c r="H86" s="169">
        <v>1.0</v>
      </c>
      <c r="I86" s="155">
        <v>8961393.87</v>
      </c>
      <c r="J86" s="155">
        <v>51506.76</v>
      </c>
      <c r="K86" s="155">
        <v>0.0</v>
      </c>
      <c r="L86" s="155">
        <f t="shared" si="78"/>
        <v>9012900.63</v>
      </c>
      <c r="M86" s="169">
        <v>1.0</v>
      </c>
      <c r="N86" s="155">
        <v>9490563.62</v>
      </c>
      <c r="O86" s="155">
        <v>79709.87</v>
      </c>
      <c r="P86" s="155">
        <f t="shared" si="79"/>
        <v>9570273.49</v>
      </c>
      <c r="Q86" s="169">
        <v>1.0</v>
      </c>
      <c r="R86" s="155">
        <v>9904030.779999997</v>
      </c>
      <c r="S86" s="155">
        <v>107002.6</v>
      </c>
      <c r="T86" s="155">
        <v>0.0</v>
      </c>
      <c r="U86" s="155">
        <f t="shared" si="80"/>
        <v>10011033.38</v>
      </c>
      <c r="V86" s="169">
        <v>4.0</v>
      </c>
      <c r="W86" s="155">
        <v>9850549.92</v>
      </c>
      <c r="X86" s="155">
        <v>77703.6</v>
      </c>
      <c r="Y86" s="155">
        <v>0.0</v>
      </c>
      <c r="Z86" s="155">
        <f t="shared" si="81"/>
        <v>9928253.52</v>
      </c>
      <c r="AA86" s="169">
        <v>4.0</v>
      </c>
      <c r="AB86" s="155">
        <v>1.0143581479999999E7</v>
      </c>
      <c r="AC86" s="155">
        <v>80515.19</v>
      </c>
      <c r="AD86" s="155">
        <v>5088349.31</v>
      </c>
      <c r="AE86" s="155">
        <v>200000.0</v>
      </c>
      <c r="AF86" s="155">
        <f t="shared" si="82"/>
        <v>15512445.98</v>
      </c>
      <c r="AG86" s="169">
        <v>4.0</v>
      </c>
      <c r="AH86" s="155">
        <v>1.0613960999999998E7</v>
      </c>
      <c r="AI86" s="155">
        <v>26529.34</v>
      </c>
      <c r="AJ86" s="155">
        <v>0.0</v>
      </c>
      <c r="AK86" s="155">
        <v>200000.0</v>
      </c>
      <c r="AL86" s="155">
        <f t="shared" si="83"/>
        <v>10840490.34</v>
      </c>
      <c r="AM86" s="169">
        <v>3.0</v>
      </c>
      <c r="AN86" s="155">
        <v>6610881.159999999</v>
      </c>
      <c r="AO86" s="155">
        <v>74477.08</v>
      </c>
      <c r="AP86" s="155">
        <v>0.0</v>
      </c>
      <c r="AQ86" s="155">
        <v>0.0</v>
      </c>
      <c r="AR86" s="155">
        <f t="shared" si="84"/>
        <v>6685358.24</v>
      </c>
      <c r="AS86" s="169">
        <v>3.0</v>
      </c>
      <c r="AT86" s="155">
        <v>6280795.280000001</v>
      </c>
      <c r="AU86" s="155">
        <v>95560.33</v>
      </c>
      <c r="AV86" s="155">
        <v>0.0</v>
      </c>
      <c r="AW86" s="155">
        <f t="shared" si="85"/>
        <v>6376355.61</v>
      </c>
      <c r="AX86" s="169">
        <v>3.0</v>
      </c>
      <c r="AY86" s="155">
        <v>1.058149566E7</v>
      </c>
      <c r="AZ86" s="155">
        <v>16488.13</v>
      </c>
      <c r="BA86" s="155">
        <v>0.0</v>
      </c>
      <c r="BB86" s="155">
        <f t="shared" si="86"/>
        <v>10597983.79</v>
      </c>
      <c r="BC86" s="169">
        <v>3.0</v>
      </c>
      <c r="BD86" s="155">
        <v>7400723.1000000015</v>
      </c>
      <c r="BE86" s="155">
        <v>389448.02</v>
      </c>
      <c r="BF86" s="155">
        <v>150000.0</v>
      </c>
      <c r="BG86" s="155">
        <v>0.0</v>
      </c>
      <c r="BH86" s="155">
        <f t="shared" si="87"/>
        <v>7940171.12</v>
      </c>
      <c r="BI86" s="169">
        <v>3.0</v>
      </c>
      <c r="BJ86" s="155">
        <v>6631310.42</v>
      </c>
      <c r="BK86" s="155">
        <v>306277.34</v>
      </c>
      <c r="BL86" s="155"/>
      <c r="BM86" s="155">
        <v>3521700.61</v>
      </c>
      <c r="BN86" s="155">
        <f t="shared" si="88"/>
        <v>10459288.37</v>
      </c>
    </row>
    <row r="87" ht="12.75" customHeight="1">
      <c r="A87" s="153" t="s">
        <v>447</v>
      </c>
      <c r="B87" s="169">
        <v>1.0</v>
      </c>
      <c r="C87" s="155">
        <v>4074840.61</v>
      </c>
      <c r="D87" s="155">
        <v>0.0</v>
      </c>
      <c r="E87" s="155">
        <v>0.0</v>
      </c>
      <c r="F87" s="155">
        <v>120000.0</v>
      </c>
      <c r="G87" s="155">
        <f t="shared" si="77"/>
        <v>4194840.61</v>
      </c>
      <c r="H87" s="169">
        <v>1.0</v>
      </c>
      <c r="I87" s="155">
        <v>3777031.2700000005</v>
      </c>
      <c r="J87" s="155">
        <v>0.0</v>
      </c>
      <c r="K87" s="155">
        <v>0.0</v>
      </c>
      <c r="L87" s="155">
        <f t="shared" si="78"/>
        <v>3777031.27</v>
      </c>
      <c r="M87" s="169">
        <v>1.0</v>
      </c>
      <c r="N87" s="155">
        <v>4079193.61</v>
      </c>
      <c r="O87" s="155">
        <v>0.0</v>
      </c>
      <c r="P87" s="155">
        <f t="shared" si="79"/>
        <v>4079193.61</v>
      </c>
      <c r="Q87" s="169">
        <v>1.0</v>
      </c>
      <c r="R87" s="155">
        <v>4131828.6599999997</v>
      </c>
      <c r="S87" s="155">
        <v>0.0</v>
      </c>
      <c r="T87" s="155">
        <v>0.0</v>
      </c>
      <c r="U87" s="155">
        <f t="shared" si="80"/>
        <v>4131828.66</v>
      </c>
      <c r="V87" s="169">
        <v>1.0</v>
      </c>
      <c r="W87" s="155">
        <v>4386488.97</v>
      </c>
      <c r="X87" s="155">
        <v>0.0</v>
      </c>
      <c r="Y87" s="155">
        <v>0.0</v>
      </c>
      <c r="Z87" s="155">
        <f t="shared" si="81"/>
        <v>4386488.97</v>
      </c>
      <c r="AA87" s="169">
        <v>1.0</v>
      </c>
      <c r="AB87" s="155">
        <v>4301588.62</v>
      </c>
      <c r="AC87" s="155">
        <v>0.0</v>
      </c>
      <c r="AD87" s="155">
        <v>2193244.1</v>
      </c>
      <c r="AE87" s="155">
        <v>50000.0</v>
      </c>
      <c r="AF87" s="155">
        <f t="shared" si="82"/>
        <v>6544832.72</v>
      </c>
      <c r="AG87" s="169">
        <v>1.0</v>
      </c>
      <c r="AH87" s="155">
        <v>4481434.8100000005</v>
      </c>
      <c r="AI87" s="155">
        <v>0.0</v>
      </c>
      <c r="AJ87" s="155">
        <v>0.0</v>
      </c>
      <c r="AK87" s="155">
        <v>50000.0</v>
      </c>
      <c r="AL87" s="155">
        <f t="shared" si="83"/>
        <v>4531434.81</v>
      </c>
      <c r="AM87" s="169">
        <v>1.0</v>
      </c>
      <c r="AN87" s="155">
        <v>4676216.12</v>
      </c>
      <c r="AO87" s="155">
        <v>0.0</v>
      </c>
      <c r="AP87" s="155">
        <v>0.0</v>
      </c>
      <c r="AQ87" s="155">
        <v>160000.0</v>
      </c>
      <c r="AR87" s="155">
        <f t="shared" si="84"/>
        <v>4836216.12</v>
      </c>
      <c r="AS87" s="169">
        <v>1.0</v>
      </c>
      <c r="AT87" s="155">
        <v>4738967.909999999</v>
      </c>
      <c r="AU87" s="155">
        <v>0.0</v>
      </c>
      <c r="AV87" s="155">
        <v>0.0</v>
      </c>
      <c r="AW87" s="155">
        <f t="shared" si="85"/>
        <v>4738967.91</v>
      </c>
      <c r="AX87" s="169">
        <v>1.0</v>
      </c>
      <c r="AY87" s="155">
        <v>8722322.629999999</v>
      </c>
      <c r="AZ87" s="155">
        <v>0.0</v>
      </c>
      <c r="BA87" s="155">
        <v>0.0</v>
      </c>
      <c r="BB87" s="155">
        <f t="shared" si="86"/>
        <v>8722322.63</v>
      </c>
      <c r="BC87" s="169">
        <v>1.0</v>
      </c>
      <c r="BD87" s="155">
        <v>5072295.74</v>
      </c>
      <c r="BE87" s="155">
        <v>0.0</v>
      </c>
      <c r="BF87" s="155">
        <v>50000.0</v>
      </c>
      <c r="BG87" s="155">
        <v>0.0</v>
      </c>
      <c r="BH87" s="155">
        <f t="shared" si="87"/>
        <v>5122295.74</v>
      </c>
      <c r="BI87" s="169">
        <v>1.0</v>
      </c>
      <c r="BJ87" s="155">
        <v>4930905.63</v>
      </c>
      <c r="BK87" s="155"/>
      <c r="BL87" s="155"/>
      <c r="BM87" s="155">
        <v>2536147.82</v>
      </c>
      <c r="BN87" s="155">
        <f t="shared" si="88"/>
        <v>7467053.45</v>
      </c>
    </row>
    <row r="88" ht="12.75" customHeight="1">
      <c r="A88" s="147" t="s">
        <v>416</v>
      </c>
      <c r="B88" s="176">
        <f t="shared" ref="B88:BN88" si="89">SUM(B84:B87)</f>
        <v>14</v>
      </c>
      <c r="C88" s="158">
        <f t="shared" si="89"/>
        <v>31243093.78</v>
      </c>
      <c r="D88" s="158">
        <f t="shared" si="89"/>
        <v>513121.81</v>
      </c>
      <c r="E88" s="158">
        <f t="shared" si="89"/>
        <v>0</v>
      </c>
      <c r="F88" s="158">
        <f t="shared" si="89"/>
        <v>1320000</v>
      </c>
      <c r="G88" s="158">
        <f t="shared" si="89"/>
        <v>33076215.59</v>
      </c>
      <c r="H88" s="176">
        <f t="shared" si="89"/>
        <v>14</v>
      </c>
      <c r="I88" s="158">
        <f t="shared" si="89"/>
        <v>35678587.08</v>
      </c>
      <c r="J88" s="158">
        <f t="shared" si="89"/>
        <v>328361.32</v>
      </c>
      <c r="K88" s="158">
        <f t="shared" si="89"/>
        <v>0</v>
      </c>
      <c r="L88" s="158">
        <f t="shared" si="89"/>
        <v>36006948.4</v>
      </c>
      <c r="M88" s="176">
        <f t="shared" si="89"/>
        <v>14</v>
      </c>
      <c r="N88" s="158">
        <f t="shared" si="89"/>
        <v>39476044.69</v>
      </c>
      <c r="O88" s="158">
        <f t="shared" si="89"/>
        <v>91581.54</v>
      </c>
      <c r="P88" s="158">
        <f t="shared" si="89"/>
        <v>39567626.23</v>
      </c>
      <c r="Q88" s="176">
        <f t="shared" si="89"/>
        <v>14</v>
      </c>
      <c r="R88" s="158">
        <f t="shared" si="89"/>
        <v>63510595.76</v>
      </c>
      <c r="S88" s="158">
        <f t="shared" si="89"/>
        <v>566052.44</v>
      </c>
      <c r="T88" s="158">
        <f t="shared" si="89"/>
        <v>2277753.18</v>
      </c>
      <c r="U88" s="158">
        <f t="shared" si="89"/>
        <v>66354401.38</v>
      </c>
      <c r="V88" s="176">
        <f t="shared" si="89"/>
        <v>14</v>
      </c>
      <c r="W88" s="158">
        <f t="shared" si="89"/>
        <v>35920486.16</v>
      </c>
      <c r="X88" s="158">
        <f t="shared" si="89"/>
        <v>379989.28</v>
      </c>
      <c r="Y88" s="158">
        <f t="shared" si="89"/>
        <v>0</v>
      </c>
      <c r="Z88" s="158">
        <f t="shared" si="89"/>
        <v>36300475.44</v>
      </c>
      <c r="AA88" s="176">
        <f t="shared" si="89"/>
        <v>14</v>
      </c>
      <c r="AB88" s="158">
        <f t="shared" si="89"/>
        <v>39037318.72</v>
      </c>
      <c r="AC88" s="158">
        <f t="shared" si="89"/>
        <v>253601.77</v>
      </c>
      <c r="AD88" s="158">
        <f t="shared" si="89"/>
        <v>20505103.69</v>
      </c>
      <c r="AE88" s="158">
        <f t="shared" si="89"/>
        <v>750000</v>
      </c>
      <c r="AF88" s="158">
        <f t="shared" si="89"/>
        <v>60546024.18</v>
      </c>
      <c r="AG88" s="176">
        <f t="shared" si="89"/>
        <v>12</v>
      </c>
      <c r="AH88" s="158">
        <f t="shared" si="89"/>
        <v>237019668.6</v>
      </c>
      <c r="AI88" s="158">
        <f t="shared" si="89"/>
        <v>296008.82</v>
      </c>
      <c r="AJ88" s="158">
        <f t="shared" si="89"/>
        <v>3560769.95</v>
      </c>
      <c r="AK88" s="158">
        <f t="shared" si="89"/>
        <v>750000</v>
      </c>
      <c r="AL88" s="158">
        <f t="shared" si="89"/>
        <v>241626447.4</v>
      </c>
      <c r="AM88" s="176">
        <f t="shared" si="89"/>
        <v>13</v>
      </c>
      <c r="AN88" s="158">
        <f t="shared" si="89"/>
        <v>35271419.43</v>
      </c>
      <c r="AO88" s="158">
        <f t="shared" si="89"/>
        <v>330333.56</v>
      </c>
      <c r="AP88" s="158">
        <f t="shared" si="89"/>
        <v>183549</v>
      </c>
      <c r="AQ88" s="158">
        <f t="shared" si="89"/>
        <v>320000</v>
      </c>
      <c r="AR88" s="158">
        <f t="shared" si="89"/>
        <v>36105301.99</v>
      </c>
      <c r="AS88" s="176">
        <f t="shared" si="89"/>
        <v>13</v>
      </c>
      <c r="AT88" s="158">
        <f t="shared" si="89"/>
        <v>35066876.02</v>
      </c>
      <c r="AU88" s="158">
        <f t="shared" si="89"/>
        <v>521696.87</v>
      </c>
      <c r="AV88" s="158">
        <f t="shared" si="89"/>
        <v>0</v>
      </c>
      <c r="AW88" s="158">
        <f t="shared" si="89"/>
        <v>35588572.89</v>
      </c>
      <c r="AX88" s="176">
        <f t="shared" si="89"/>
        <v>13</v>
      </c>
      <c r="AY88" s="158">
        <f t="shared" si="89"/>
        <v>61881366.62</v>
      </c>
      <c r="AZ88" s="158">
        <f t="shared" si="89"/>
        <v>91437.49</v>
      </c>
      <c r="BA88" s="158">
        <f t="shared" si="89"/>
        <v>0</v>
      </c>
      <c r="BB88" s="158">
        <f t="shared" si="89"/>
        <v>61972804.11</v>
      </c>
      <c r="BC88" s="176">
        <f t="shared" si="89"/>
        <v>13</v>
      </c>
      <c r="BD88" s="158">
        <f t="shared" si="89"/>
        <v>41486567.79</v>
      </c>
      <c r="BE88" s="158">
        <f t="shared" si="89"/>
        <v>717685.66</v>
      </c>
      <c r="BF88" s="158">
        <f t="shared" si="89"/>
        <v>650000</v>
      </c>
      <c r="BG88" s="158">
        <f t="shared" si="89"/>
        <v>1245778.71</v>
      </c>
      <c r="BH88" s="158">
        <f t="shared" si="89"/>
        <v>44100032.16</v>
      </c>
      <c r="BI88" s="176">
        <f t="shared" si="89"/>
        <v>12</v>
      </c>
      <c r="BJ88" s="158">
        <f t="shared" si="89"/>
        <v>36210760.24</v>
      </c>
      <c r="BK88" s="158">
        <f t="shared" si="89"/>
        <v>306277.34</v>
      </c>
      <c r="BL88" s="158">
        <f t="shared" si="89"/>
        <v>0</v>
      </c>
      <c r="BM88" s="158">
        <f t="shared" si="89"/>
        <v>17762683.3</v>
      </c>
      <c r="BN88" s="158">
        <f t="shared" si="89"/>
        <v>54279720.88</v>
      </c>
    </row>
    <row r="89" ht="12.75" customHeight="1">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c r="AR89" s="159"/>
      <c r="AS89" s="159"/>
      <c r="AT89" s="159"/>
      <c r="AU89" s="159"/>
      <c r="AV89" s="159"/>
      <c r="AW89" s="159"/>
      <c r="AX89" s="159"/>
      <c r="AY89" s="159"/>
      <c r="AZ89" s="159"/>
      <c r="BA89" s="159"/>
      <c r="BB89" s="159"/>
      <c r="BC89" s="159"/>
      <c r="BD89" s="159"/>
      <c r="BE89" s="159"/>
      <c r="BF89" s="159"/>
      <c r="BG89" s="159"/>
      <c r="BH89" s="159"/>
      <c r="BI89" s="159"/>
      <c r="BJ89" s="159"/>
      <c r="BK89" s="159"/>
      <c r="BL89" s="159"/>
      <c r="BM89" s="159"/>
      <c r="BN89" s="159"/>
    </row>
    <row r="90" ht="12.75" customHeight="1">
      <c r="A90" s="147" t="s">
        <v>392</v>
      </c>
      <c r="B90" s="163" t="s">
        <v>406</v>
      </c>
      <c r="C90" s="152" t="s">
        <v>407</v>
      </c>
      <c r="D90" s="152" t="s">
        <v>408</v>
      </c>
      <c r="E90" s="151" t="s">
        <v>409</v>
      </c>
      <c r="F90" s="151" t="s">
        <v>410</v>
      </c>
      <c r="G90" s="152" t="s">
        <v>305</v>
      </c>
      <c r="H90" s="163" t="s">
        <v>406</v>
      </c>
      <c r="I90" s="152" t="s">
        <v>407</v>
      </c>
      <c r="J90" s="152" t="s">
        <v>408</v>
      </c>
      <c r="K90" s="151" t="s">
        <v>409</v>
      </c>
      <c r="L90" s="152" t="s">
        <v>305</v>
      </c>
      <c r="M90" s="163" t="s">
        <v>406</v>
      </c>
      <c r="N90" s="152" t="s">
        <v>407</v>
      </c>
      <c r="O90" s="152" t="s">
        <v>408</v>
      </c>
      <c r="P90" s="152" t="s">
        <v>305</v>
      </c>
      <c r="Q90" s="163" t="s">
        <v>406</v>
      </c>
      <c r="R90" s="152" t="s">
        <v>407</v>
      </c>
      <c r="S90" s="152" t="s">
        <v>408</v>
      </c>
      <c r="T90" s="151" t="s">
        <v>409</v>
      </c>
      <c r="U90" s="152" t="s">
        <v>305</v>
      </c>
      <c r="V90" s="163" t="s">
        <v>406</v>
      </c>
      <c r="W90" s="152" t="s">
        <v>407</v>
      </c>
      <c r="X90" s="152" t="s">
        <v>408</v>
      </c>
      <c r="Y90" s="151" t="s">
        <v>409</v>
      </c>
      <c r="Z90" s="152" t="s">
        <v>305</v>
      </c>
      <c r="AA90" s="163" t="s">
        <v>406</v>
      </c>
      <c r="AB90" s="152" t="s">
        <v>407</v>
      </c>
      <c r="AC90" s="152" t="s">
        <v>408</v>
      </c>
      <c r="AD90" s="151" t="s">
        <v>409</v>
      </c>
      <c r="AE90" s="151" t="s">
        <v>411</v>
      </c>
      <c r="AF90" s="152" t="s">
        <v>305</v>
      </c>
      <c r="AG90" s="163" t="s">
        <v>406</v>
      </c>
      <c r="AH90" s="152" t="s">
        <v>407</v>
      </c>
      <c r="AI90" s="152" t="s">
        <v>408</v>
      </c>
      <c r="AJ90" s="151" t="s">
        <v>409</v>
      </c>
      <c r="AK90" s="151" t="s">
        <v>411</v>
      </c>
      <c r="AL90" s="152" t="s">
        <v>305</v>
      </c>
      <c r="AM90" s="163" t="s">
        <v>406</v>
      </c>
      <c r="AN90" s="152" t="s">
        <v>407</v>
      </c>
      <c r="AO90" s="152" t="s">
        <v>408</v>
      </c>
      <c r="AP90" s="151" t="s">
        <v>409</v>
      </c>
      <c r="AQ90" s="151" t="s">
        <v>411</v>
      </c>
      <c r="AR90" s="152" t="s">
        <v>305</v>
      </c>
      <c r="AS90" s="163" t="s">
        <v>406</v>
      </c>
      <c r="AT90" s="152" t="s">
        <v>407</v>
      </c>
      <c r="AU90" s="152" t="s">
        <v>408</v>
      </c>
      <c r="AV90" s="151" t="s">
        <v>409</v>
      </c>
      <c r="AW90" s="152" t="s">
        <v>305</v>
      </c>
      <c r="AX90" s="163" t="s">
        <v>406</v>
      </c>
      <c r="AY90" s="152" t="s">
        <v>407</v>
      </c>
      <c r="AZ90" s="152" t="s">
        <v>408</v>
      </c>
      <c r="BA90" s="151" t="s">
        <v>409</v>
      </c>
      <c r="BB90" s="152" t="s">
        <v>305</v>
      </c>
      <c r="BC90" s="163" t="s">
        <v>406</v>
      </c>
      <c r="BD90" s="152" t="s">
        <v>407</v>
      </c>
      <c r="BE90" s="152" t="s">
        <v>408</v>
      </c>
      <c r="BF90" s="151" t="s">
        <v>412</v>
      </c>
      <c r="BG90" s="151" t="s">
        <v>409</v>
      </c>
      <c r="BH90" s="152" t="s">
        <v>305</v>
      </c>
      <c r="BI90" s="163" t="s">
        <v>406</v>
      </c>
      <c r="BJ90" s="152" t="s">
        <v>407</v>
      </c>
      <c r="BK90" s="152" t="s">
        <v>408</v>
      </c>
      <c r="BL90" s="151" t="s">
        <v>412</v>
      </c>
      <c r="BM90" s="151" t="s">
        <v>409</v>
      </c>
      <c r="BN90" s="152" t="s">
        <v>305</v>
      </c>
    </row>
    <row r="91" ht="12.75" customHeight="1">
      <c r="A91" s="147" t="s">
        <v>201</v>
      </c>
      <c r="B91" s="164"/>
      <c r="C91" s="165"/>
      <c r="D91" s="165"/>
      <c r="E91" s="165"/>
      <c r="F91" s="165"/>
      <c r="G91" s="165"/>
      <c r="H91" s="164"/>
      <c r="I91" s="165"/>
      <c r="J91" s="165"/>
      <c r="K91" s="165"/>
      <c r="L91" s="165"/>
      <c r="M91" s="164"/>
      <c r="N91" s="165"/>
      <c r="O91" s="165"/>
      <c r="P91" s="165"/>
      <c r="Q91" s="164"/>
      <c r="R91" s="165"/>
      <c r="S91" s="165"/>
      <c r="T91" s="165"/>
      <c r="U91" s="165"/>
      <c r="V91" s="164"/>
      <c r="W91" s="165"/>
      <c r="X91" s="165"/>
      <c r="Y91" s="165"/>
      <c r="Z91" s="165"/>
      <c r="AA91" s="164"/>
      <c r="AB91" s="165"/>
      <c r="AC91" s="165"/>
      <c r="AD91" s="165"/>
      <c r="AE91" s="165"/>
      <c r="AF91" s="165"/>
      <c r="AG91" s="164"/>
      <c r="AH91" s="165"/>
      <c r="AI91" s="165"/>
      <c r="AJ91" s="165"/>
      <c r="AK91" s="165"/>
      <c r="AL91" s="165"/>
      <c r="AM91" s="164"/>
      <c r="AN91" s="165"/>
      <c r="AO91" s="165"/>
      <c r="AP91" s="165"/>
      <c r="AQ91" s="165"/>
      <c r="AR91" s="165"/>
      <c r="AS91" s="164"/>
      <c r="AT91" s="165"/>
      <c r="AU91" s="165"/>
      <c r="AV91" s="165"/>
      <c r="AW91" s="165"/>
      <c r="AX91" s="164"/>
      <c r="AY91" s="165"/>
      <c r="AZ91" s="165"/>
      <c r="BA91" s="165"/>
      <c r="BB91" s="165"/>
      <c r="BC91" s="164"/>
      <c r="BD91" s="165"/>
      <c r="BE91" s="165"/>
      <c r="BF91" s="165"/>
      <c r="BG91" s="165"/>
      <c r="BH91" s="165"/>
      <c r="BI91" s="164"/>
      <c r="BJ91" s="165"/>
      <c r="BK91" s="165"/>
      <c r="BL91" s="165"/>
      <c r="BM91" s="165"/>
      <c r="BN91" s="165"/>
    </row>
    <row r="92" ht="12.75" customHeight="1">
      <c r="A92" s="153" t="s">
        <v>201</v>
      </c>
      <c r="B92" s="169">
        <v>14.0</v>
      </c>
      <c r="C92" s="155">
        <v>2.6838082069999993E7</v>
      </c>
      <c r="D92" s="155">
        <v>228071.76</v>
      </c>
      <c r="E92" s="155">
        <v>57.06</v>
      </c>
      <c r="F92" s="155">
        <v>1680000.0</v>
      </c>
      <c r="G92" s="155">
        <f t="shared" ref="G92:G93" si="90">SUM(C92:F92)</f>
        <v>28746210.89</v>
      </c>
      <c r="H92" s="169">
        <v>14.0</v>
      </c>
      <c r="I92" s="155">
        <v>2.3707664400000002E7</v>
      </c>
      <c r="J92" s="155">
        <v>209975.52</v>
      </c>
      <c r="K92" s="155">
        <v>0.0</v>
      </c>
      <c r="L92" s="155">
        <f t="shared" ref="L92:L93" si="91">SUM(I92:K92)</f>
        <v>23917639.92</v>
      </c>
      <c r="M92" s="169">
        <v>14.0</v>
      </c>
      <c r="N92" s="155">
        <v>2.482990507E7</v>
      </c>
      <c r="O92" s="155">
        <v>74232.34</v>
      </c>
      <c r="P92" s="155">
        <f t="shared" ref="P92:P93" si="92">SUM(N92:O92)</f>
        <v>24904137.41</v>
      </c>
      <c r="Q92" s="169">
        <v>14.0</v>
      </c>
      <c r="R92" s="155">
        <v>3.4551319050000004E7</v>
      </c>
      <c r="S92" s="155">
        <v>18897.78</v>
      </c>
      <c r="T92" s="155">
        <v>1409293.5999999996</v>
      </c>
      <c r="U92" s="155">
        <f t="shared" ref="U92:U93" si="93">SUM(R92:T92)</f>
        <v>35979510.43</v>
      </c>
      <c r="V92" s="169">
        <v>11.0</v>
      </c>
      <c r="W92" s="155">
        <v>2.266989231E7</v>
      </c>
      <c r="X92" s="155">
        <v>0.0</v>
      </c>
      <c r="Y92" s="155">
        <v>0.0</v>
      </c>
      <c r="Z92" s="155">
        <f t="shared" ref="Z92:Z93" si="94">SUM(W92:Y92)</f>
        <v>22669892.31</v>
      </c>
      <c r="AA92" s="169">
        <v>11.0</v>
      </c>
      <c r="AB92" s="155">
        <v>2.2758441939999998E7</v>
      </c>
      <c r="AC92" s="155">
        <v>0.0</v>
      </c>
      <c r="AD92" s="155">
        <v>1.219830575E7</v>
      </c>
      <c r="AE92" s="155">
        <v>550000.0</v>
      </c>
      <c r="AF92" s="155">
        <f t="shared" ref="AF92:AF93" si="95">SUM(AB92:AE92)</f>
        <v>35506747.69</v>
      </c>
      <c r="AG92" s="169">
        <v>9.0</v>
      </c>
      <c r="AH92" s="155">
        <v>1.7728515532999995E8</v>
      </c>
      <c r="AI92" s="155">
        <v>310906.75</v>
      </c>
      <c r="AJ92" s="155">
        <v>3091575.65</v>
      </c>
      <c r="AK92" s="155">
        <v>550000.0</v>
      </c>
      <c r="AL92" s="155">
        <f t="shared" ref="AL92:AL93" si="96">SUM(AH92:AK92)</f>
        <v>181237637.7</v>
      </c>
      <c r="AM92" s="169">
        <v>9.0</v>
      </c>
      <c r="AN92" s="155">
        <v>1.907087912E7</v>
      </c>
      <c r="AO92" s="155">
        <v>195415.29</v>
      </c>
      <c r="AP92" s="155">
        <v>0.0</v>
      </c>
      <c r="AQ92" s="155">
        <v>0.0</v>
      </c>
      <c r="AR92" s="155">
        <f t="shared" ref="AR92:AR93" si="97">SUM(AN92:AQ92)</f>
        <v>19266294.41</v>
      </c>
      <c r="AS92" s="169">
        <v>9.0</v>
      </c>
      <c r="AT92" s="155">
        <v>1.887386657999999E7</v>
      </c>
      <c r="AU92" s="155">
        <v>0.0</v>
      </c>
      <c r="AV92" s="155">
        <v>426251.33</v>
      </c>
      <c r="AW92" s="155">
        <f t="shared" ref="AW92:AW93" si="98">SUM(AT92:AV92)</f>
        <v>19300117.91</v>
      </c>
      <c r="AX92" s="169">
        <v>9.0</v>
      </c>
      <c r="AY92" s="155">
        <v>3.742667378000001E7</v>
      </c>
      <c r="AZ92" s="155">
        <v>167987.42</v>
      </c>
      <c r="BA92" s="155">
        <v>0.0</v>
      </c>
      <c r="BB92" s="155">
        <f t="shared" ref="BB92:BB93" si="99">SUM(AY92:BA92)</f>
        <v>37594661.2</v>
      </c>
      <c r="BC92" s="169">
        <v>9.0</v>
      </c>
      <c r="BD92" s="155">
        <v>2.3245198349999998E7</v>
      </c>
      <c r="BE92" s="155">
        <v>27442.96</v>
      </c>
      <c r="BF92" s="155">
        <v>500000.0</v>
      </c>
      <c r="BG92" s="155">
        <v>0.0</v>
      </c>
      <c r="BH92" s="155">
        <f t="shared" ref="BH92:BH93" si="100">SUM(BD92:BG92)</f>
        <v>23772641.31</v>
      </c>
      <c r="BI92" s="169">
        <v>10.0</v>
      </c>
      <c r="BJ92" s="155">
        <v>2.532451822E7</v>
      </c>
      <c r="BK92" s="155"/>
      <c r="BL92" s="155"/>
      <c r="BM92" s="155">
        <v>1.191742504E7</v>
      </c>
      <c r="BN92" s="155">
        <f t="shared" ref="BN92:BN93" si="101">SUM(BJ92:BM92)</f>
        <v>37241943.26</v>
      </c>
    </row>
    <row r="93" ht="12.75" customHeight="1">
      <c r="A93" s="153" t="s">
        <v>448</v>
      </c>
      <c r="B93" s="169">
        <v>6.0</v>
      </c>
      <c r="C93" s="155">
        <v>1.090492595E7</v>
      </c>
      <c r="D93" s="155">
        <v>0.0</v>
      </c>
      <c r="E93" s="155">
        <v>0.0</v>
      </c>
      <c r="F93" s="155">
        <v>720000.0</v>
      </c>
      <c r="G93" s="155">
        <f t="shared" si="90"/>
        <v>11624925.95</v>
      </c>
      <c r="H93" s="169">
        <v>6.0</v>
      </c>
      <c r="I93" s="155">
        <v>9985916.43</v>
      </c>
      <c r="J93" s="155">
        <v>0.0</v>
      </c>
      <c r="K93" s="155">
        <v>0.0</v>
      </c>
      <c r="L93" s="155">
        <f t="shared" si="91"/>
        <v>9985916.43</v>
      </c>
      <c r="M93" s="169">
        <v>6.0</v>
      </c>
      <c r="N93" s="155">
        <v>9643856.469999999</v>
      </c>
      <c r="O93" s="155"/>
      <c r="P93" s="155">
        <f t="shared" si="92"/>
        <v>9643856.47</v>
      </c>
      <c r="Q93" s="169">
        <v>6.0</v>
      </c>
      <c r="R93" s="155">
        <v>9662543.82</v>
      </c>
      <c r="S93" s="155">
        <v>0.0</v>
      </c>
      <c r="T93" s="155">
        <v>0.0</v>
      </c>
      <c r="U93" s="155">
        <f t="shared" si="93"/>
        <v>9662543.82</v>
      </c>
      <c r="V93" s="169">
        <v>6.0</v>
      </c>
      <c r="W93" s="155">
        <v>1.02246576E7</v>
      </c>
      <c r="X93" s="155">
        <v>0.0</v>
      </c>
      <c r="Y93" s="155">
        <v>0.0</v>
      </c>
      <c r="Z93" s="155">
        <f t="shared" si="94"/>
        <v>10224657.6</v>
      </c>
      <c r="AA93" s="169">
        <v>6.0</v>
      </c>
      <c r="AB93" s="155">
        <v>1.017468612E7</v>
      </c>
      <c r="AC93" s="155">
        <v>0.0</v>
      </c>
      <c r="AD93" s="155">
        <v>5879491.06</v>
      </c>
      <c r="AE93" s="155">
        <v>300000.0</v>
      </c>
      <c r="AF93" s="155">
        <f t="shared" si="95"/>
        <v>16354177.18</v>
      </c>
      <c r="AG93" s="169">
        <v>6.0</v>
      </c>
      <c r="AH93" s="155">
        <v>1.0673449620000001E7</v>
      </c>
      <c r="AI93" s="155">
        <v>0.0</v>
      </c>
      <c r="AJ93" s="155">
        <v>0.0</v>
      </c>
      <c r="AK93" s="155">
        <v>300000.0</v>
      </c>
      <c r="AL93" s="155">
        <f t="shared" si="96"/>
        <v>10973449.62</v>
      </c>
      <c r="AM93" s="169">
        <v>6.0</v>
      </c>
      <c r="AN93" s="155">
        <v>1.217420255E7</v>
      </c>
      <c r="AO93" s="155">
        <v>0.0</v>
      </c>
      <c r="AP93" s="155">
        <v>48869.0</v>
      </c>
      <c r="AQ93" s="155">
        <v>0.0</v>
      </c>
      <c r="AR93" s="155">
        <f t="shared" si="97"/>
        <v>12223071.55</v>
      </c>
      <c r="AS93" s="169">
        <v>6.0</v>
      </c>
      <c r="AT93" s="155">
        <v>1.1574730809999999E7</v>
      </c>
      <c r="AU93" s="155">
        <v>29530.15</v>
      </c>
      <c r="AV93" s="155">
        <v>0.0</v>
      </c>
      <c r="AW93" s="155">
        <f t="shared" si="98"/>
        <v>11604260.96</v>
      </c>
      <c r="AX93" s="169">
        <v>6.0</v>
      </c>
      <c r="AY93" s="155">
        <v>2.10668406E7</v>
      </c>
      <c r="AZ93" s="155">
        <v>30356.69</v>
      </c>
      <c r="BA93" s="155">
        <v>0.0</v>
      </c>
      <c r="BB93" s="155">
        <f t="shared" si="99"/>
        <v>21097197.29</v>
      </c>
      <c r="BC93" s="169">
        <v>6.0</v>
      </c>
      <c r="BD93" s="155">
        <v>1.2655828700000001E7</v>
      </c>
      <c r="BE93" s="155">
        <v>0.0</v>
      </c>
      <c r="BF93" s="155">
        <v>300000.0</v>
      </c>
      <c r="BG93" s="155">
        <v>0.0</v>
      </c>
      <c r="BH93" s="155">
        <f t="shared" si="100"/>
        <v>12955828.7</v>
      </c>
      <c r="BI93" s="169">
        <v>6.0</v>
      </c>
      <c r="BJ93" s="155">
        <v>1.454468444E7</v>
      </c>
      <c r="BK93" s="155"/>
      <c r="BL93" s="155"/>
      <c r="BM93" s="155">
        <v>6674403.21</v>
      </c>
      <c r="BN93" s="155">
        <f t="shared" si="101"/>
        <v>21219087.65</v>
      </c>
    </row>
    <row r="94" ht="12.75" customHeight="1">
      <c r="A94" s="147" t="s">
        <v>416</v>
      </c>
      <c r="B94" s="166">
        <f t="shared" ref="B94:BN94" si="102">SUM(B92:B93)</f>
        <v>20</v>
      </c>
      <c r="C94" s="158">
        <f t="shared" si="102"/>
        <v>37743008.02</v>
      </c>
      <c r="D94" s="158">
        <f t="shared" si="102"/>
        <v>228071.76</v>
      </c>
      <c r="E94" s="158">
        <f t="shared" si="102"/>
        <v>57.06</v>
      </c>
      <c r="F94" s="158">
        <f t="shared" si="102"/>
        <v>2400000</v>
      </c>
      <c r="G94" s="158">
        <f t="shared" si="102"/>
        <v>40371136.84</v>
      </c>
      <c r="H94" s="166">
        <f t="shared" si="102"/>
        <v>20</v>
      </c>
      <c r="I94" s="158">
        <f t="shared" si="102"/>
        <v>33693580.83</v>
      </c>
      <c r="J94" s="158">
        <f t="shared" si="102"/>
        <v>209975.52</v>
      </c>
      <c r="K94" s="158">
        <f t="shared" si="102"/>
        <v>0</v>
      </c>
      <c r="L94" s="158">
        <f t="shared" si="102"/>
        <v>33903556.35</v>
      </c>
      <c r="M94" s="166">
        <f t="shared" si="102"/>
        <v>20</v>
      </c>
      <c r="N94" s="158">
        <f t="shared" si="102"/>
        <v>34473761.54</v>
      </c>
      <c r="O94" s="158">
        <f t="shared" si="102"/>
        <v>74232.34</v>
      </c>
      <c r="P94" s="158">
        <f t="shared" si="102"/>
        <v>34547993.88</v>
      </c>
      <c r="Q94" s="166">
        <f t="shared" si="102"/>
        <v>20</v>
      </c>
      <c r="R94" s="158">
        <f t="shared" si="102"/>
        <v>44213862.87</v>
      </c>
      <c r="S94" s="158">
        <f t="shared" si="102"/>
        <v>18897.78</v>
      </c>
      <c r="T94" s="158">
        <f t="shared" si="102"/>
        <v>1409293.6</v>
      </c>
      <c r="U94" s="158">
        <f t="shared" si="102"/>
        <v>45642054.25</v>
      </c>
      <c r="V94" s="166">
        <f t="shared" si="102"/>
        <v>17</v>
      </c>
      <c r="W94" s="158">
        <f t="shared" si="102"/>
        <v>32894549.91</v>
      </c>
      <c r="X94" s="158">
        <f t="shared" si="102"/>
        <v>0</v>
      </c>
      <c r="Y94" s="158">
        <f t="shared" si="102"/>
        <v>0</v>
      </c>
      <c r="Z94" s="158">
        <f t="shared" si="102"/>
        <v>32894549.91</v>
      </c>
      <c r="AA94" s="166">
        <f t="shared" si="102"/>
        <v>17</v>
      </c>
      <c r="AB94" s="158">
        <f t="shared" si="102"/>
        <v>32933128.06</v>
      </c>
      <c r="AC94" s="158">
        <f t="shared" si="102"/>
        <v>0</v>
      </c>
      <c r="AD94" s="158">
        <f t="shared" si="102"/>
        <v>18077796.81</v>
      </c>
      <c r="AE94" s="158">
        <f t="shared" si="102"/>
        <v>850000</v>
      </c>
      <c r="AF94" s="158">
        <f t="shared" si="102"/>
        <v>51860924.87</v>
      </c>
      <c r="AG94" s="166">
        <f t="shared" si="102"/>
        <v>15</v>
      </c>
      <c r="AH94" s="158">
        <f t="shared" si="102"/>
        <v>187958605</v>
      </c>
      <c r="AI94" s="158">
        <f t="shared" si="102"/>
        <v>310906.75</v>
      </c>
      <c r="AJ94" s="158">
        <f t="shared" si="102"/>
        <v>3091575.65</v>
      </c>
      <c r="AK94" s="158">
        <f t="shared" si="102"/>
        <v>850000</v>
      </c>
      <c r="AL94" s="158">
        <f t="shared" si="102"/>
        <v>192211087.4</v>
      </c>
      <c r="AM94" s="166">
        <f t="shared" si="102"/>
        <v>15</v>
      </c>
      <c r="AN94" s="158">
        <f t="shared" si="102"/>
        <v>31245081.67</v>
      </c>
      <c r="AO94" s="158">
        <f t="shared" si="102"/>
        <v>195415.29</v>
      </c>
      <c r="AP94" s="158">
        <f t="shared" si="102"/>
        <v>48869</v>
      </c>
      <c r="AQ94" s="158">
        <f t="shared" si="102"/>
        <v>0</v>
      </c>
      <c r="AR94" s="158">
        <f t="shared" si="102"/>
        <v>31489365.96</v>
      </c>
      <c r="AS94" s="166">
        <f t="shared" si="102"/>
        <v>15</v>
      </c>
      <c r="AT94" s="158">
        <f t="shared" si="102"/>
        <v>30448597.39</v>
      </c>
      <c r="AU94" s="158">
        <f t="shared" si="102"/>
        <v>29530.15</v>
      </c>
      <c r="AV94" s="158">
        <f t="shared" si="102"/>
        <v>426251.33</v>
      </c>
      <c r="AW94" s="158">
        <f t="shared" si="102"/>
        <v>30904378.87</v>
      </c>
      <c r="AX94" s="166">
        <f t="shared" si="102"/>
        <v>15</v>
      </c>
      <c r="AY94" s="158">
        <f t="shared" si="102"/>
        <v>58493514.38</v>
      </c>
      <c r="AZ94" s="158">
        <f t="shared" si="102"/>
        <v>198344.11</v>
      </c>
      <c r="BA94" s="158">
        <f t="shared" si="102"/>
        <v>0</v>
      </c>
      <c r="BB94" s="158">
        <f t="shared" si="102"/>
        <v>58691858.49</v>
      </c>
      <c r="BC94" s="166">
        <f t="shared" si="102"/>
        <v>15</v>
      </c>
      <c r="BD94" s="158">
        <f t="shared" si="102"/>
        <v>35901027.05</v>
      </c>
      <c r="BE94" s="158">
        <f t="shared" si="102"/>
        <v>27442.96</v>
      </c>
      <c r="BF94" s="158">
        <f t="shared" si="102"/>
        <v>800000</v>
      </c>
      <c r="BG94" s="158">
        <f t="shared" si="102"/>
        <v>0</v>
      </c>
      <c r="BH94" s="158">
        <f t="shared" si="102"/>
        <v>36728470.01</v>
      </c>
      <c r="BI94" s="166">
        <f t="shared" si="102"/>
        <v>16</v>
      </c>
      <c r="BJ94" s="158">
        <f t="shared" si="102"/>
        <v>39869202.66</v>
      </c>
      <c r="BK94" s="158">
        <f t="shared" si="102"/>
        <v>0</v>
      </c>
      <c r="BL94" s="158">
        <f t="shared" si="102"/>
        <v>0</v>
      </c>
      <c r="BM94" s="158">
        <f t="shared" si="102"/>
        <v>18591828.25</v>
      </c>
      <c r="BN94" s="158">
        <f t="shared" si="102"/>
        <v>58461030.91</v>
      </c>
    </row>
    <row r="95" ht="12.75" customHeight="1">
      <c r="A95" s="153"/>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59"/>
      <c r="AV95" s="159"/>
      <c r="AW95" s="159"/>
      <c r="AX95" s="159"/>
      <c r="AY95" s="159"/>
      <c r="AZ95" s="159"/>
      <c r="BA95" s="159"/>
      <c r="BB95" s="159"/>
      <c r="BC95" s="159"/>
      <c r="BD95" s="159"/>
      <c r="BE95" s="159"/>
      <c r="BF95" s="159"/>
      <c r="BG95" s="159"/>
      <c r="BH95" s="159"/>
      <c r="BI95" s="159"/>
      <c r="BJ95" s="159"/>
      <c r="BK95" s="159"/>
      <c r="BL95" s="159"/>
      <c r="BM95" s="159"/>
      <c r="BN95" s="159"/>
    </row>
    <row r="96" ht="12.75" hidden="1" customHeight="1">
      <c r="A96" s="147" t="s">
        <v>392</v>
      </c>
      <c r="B96" s="163" t="s">
        <v>406</v>
      </c>
      <c r="C96" s="152" t="s">
        <v>407</v>
      </c>
      <c r="D96" s="152" t="s">
        <v>408</v>
      </c>
      <c r="E96" s="151"/>
      <c r="F96" s="151"/>
      <c r="G96" s="152" t="s">
        <v>305</v>
      </c>
      <c r="H96" s="163" t="s">
        <v>406</v>
      </c>
      <c r="I96" s="152" t="s">
        <v>407</v>
      </c>
      <c r="J96" s="152" t="s">
        <v>408</v>
      </c>
      <c r="K96" s="151"/>
      <c r="L96" s="152" t="s">
        <v>305</v>
      </c>
      <c r="M96" s="163" t="s">
        <v>406</v>
      </c>
      <c r="N96" s="152" t="s">
        <v>407</v>
      </c>
      <c r="O96" s="152" t="s">
        <v>408</v>
      </c>
      <c r="P96" s="152" t="s">
        <v>305</v>
      </c>
      <c r="Q96" s="163" t="s">
        <v>406</v>
      </c>
      <c r="R96" s="152" t="s">
        <v>407</v>
      </c>
      <c r="S96" s="152" t="s">
        <v>408</v>
      </c>
      <c r="T96" s="151"/>
      <c r="U96" s="152" t="s">
        <v>305</v>
      </c>
      <c r="V96" s="163" t="s">
        <v>406</v>
      </c>
      <c r="W96" s="152" t="s">
        <v>407</v>
      </c>
      <c r="X96" s="152" t="s">
        <v>408</v>
      </c>
      <c r="Y96" s="151"/>
      <c r="Z96" s="152" t="s">
        <v>305</v>
      </c>
      <c r="AA96" s="163" t="s">
        <v>406</v>
      </c>
      <c r="AB96" s="152" t="s">
        <v>407</v>
      </c>
      <c r="AC96" s="152" t="s">
        <v>408</v>
      </c>
      <c r="AD96" s="151"/>
      <c r="AE96" s="151"/>
      <c r="AF96" s="152" t="s">
        <v>305</v>
      </c>
      <c r="AG96" s="163" t="s">
        <v>406</v>
      </c>
      <c r="AH96" s="152" t="s">
        <v>407</v>
      </c>
      <c r="AI96" s="152" t="s">
        <v>408</v>
      </c>
      <c r="AJ96" s="151"/>
      <c r="AK96" s="151"/>
      <c r="AL96" s="152" t="s">
        <v>305</v>
      </c>
      <c r="AM96" s="163" t="s">
        <v>406</v>
      </c>
      <c r="AN96" s="152" t="s">
        <v>407</v>
      </c>
      <c r="AO96" s="152" t="s">
        <v>408</v>
      </c>
      <c r="AP96" s="151"/>
      <c r="AQ96" s="151"/>
      <c r="AR96" s="152" t="s">
        <v>305</v>
      </c>
      <c r="AS96" s="163" t="s">
        <v>406</v>
      </c>
      <c r="AT96" s="152" t="s">
        <v>407</v>
      </c>
      <c r="AU96" s="152" t="s">
        <v>408</v>
      </c>
      <c r="AV96" s="151"/>
      <c r="AW96" s="152" t="s">
        <v>305</v>
      </c>
      <c r="AX96" s="163" t="s">
        <v>406</v>
      </c>
      <c r="AY96" s="152" t="s">
        <v>407</v>
      </c>
      <c r="AZ96" s="152" t="s">
        <v>408</v>
      </c>
      <c r="BA96" s="151"/>
      <c r="BB96" s="152" t="s">
        <v>305</v>
      </c>
      <c r="BC96" s="163" t="s">
        <v>406</v>
      </c>
      <c r="BD96" s="152" t="s">
        <v>407</v>
      </c>
      <c r="BE96" s="152" t="s">
        <v>408</v>
      </c>
      <c r="BF96" s="151"/>
      <c r="BG96" s="151"/>
      <c r="BH96" s="152" t="s">
        <v>305</v>
      </c>
      <c r="BI96" s="163" t="s">
        <v>406</v>
      </c>
      <c r="BJ96" s="152" t="s">
        <v>407</v>
      </c>
      <c r="BK96" s="152" t="s">
        <v>408</v>
      </c>
      <c r="BL96" s="151"/>
      <c r="BM96" s="151"/>
      <c r="BN96" s="152" t="s">
        <v>305</v>
      </c>
    </row>
    <row r="97" ht="12.75" hidden="1" customHeight="1">
      <c r="A97" s="147" t="s">
        <v>449</v>
      </c>
      <c r="B97" s="164"/>
      <c r="C97" s="165"/>
      <c r="D97" s="165"/>
      <c r="E97" s="165"/>
      <c r="F97" s="165"/>
      <c r="G97" s="165"/>
      <c r="H97" s="164"/>
      <c r="I97" s="165"/>
      <c r="J97" s="165"/>
      <c r="K97" s="165"/>
      <c r="L97" s="165"/>
      <c r="M97" s="164"/>
      <c r="N97" s="165"/>
      <c r="O97" s="165"/>
      <c r="P97" s="165"/>
      <c r="Q97" s="164"/>
      <c r="R97" s="165"/>
      <c r="S97" s="165"/>
      <c r="T97" s="165"/>
      <c r="U97" s="165"/>
      <c r="V97" s="164"/>
      <c r="W97" s="165"/>
      <c r="X97" s="165"/>
      <c r="Y97" s="165"/>
      <c r="Z97" s="165"/>
      <c r="AA97" s="164"/>
      <c r="AB97" s="165"/>
      <c r="AC97" s="165"/>
      <c r="AD97" s="165"/>
      <c r="AE97" s="165"/>
      <c r="AF97" s="165"/>
      <c r="AG97" s="164"/>
      <c r="AH97" s="165"/>
      <c r="AI97" s="165"/>
      <c r="AJ97" s="165"/>
      <c r="AK97" s="165"/>
      <c r="AL97" s="165"/>
      <c r="AM97" s="164"/>
      <c r="AN97" s="165"/>
      <c r="AO97" s="165"/>
      <c r="AP97" s="165"/>
      <c r="AQ97" s="165"/>
      <c r="AR97" s="165"/>
      <c r="AS97" s="164"/>
      <c r="AT97" s="165"/>
      <c r="AU97" s="165"/>
      <c r="AV97" s="165"/>
      <c r="AW97" s="165"/>
      <c r="AX97" s="164"/>
      <c r="AY97" s="165"/>
      <c r="AZ97" s="165"/>
      <c r="BA97" s="165"/>
      <c r="BB97" s="165"/>
      <c r="BC97" s="164"/>
      <c r="BD97" s="165"/>
      <c r="BE97" s="165"/>
      <c r="BF97" s="165"/>
      <c r="BG97" s="165"/>
      <c r="BH97" s="165"/>
      <c r="BI97" s="164"/>
      <c r="BJ97" s="165"/>
      <c r="BK97" s="165"/>
      <c r="BL97" s="165"/>
      <c r="BM97" s="165"/>
      <c r="BN97" s="165"/>
    </row>
    <row r="98" ht="12.75" hidden="1" customHeight="1">
      <c r="A98" s="153" t="s">
        <v>449</v>
      </c>
      <c r="B98" s="154">
        <v>0.0</v>
      </c>
      <c r="C98" s="155">
        <v>0.0</v>
      </c>
      <c r="D98" s="155">
        <v>0.0</v>
      </c>
      <c r="E98" s="155"/>
      <c r="F98" s="155"/>
      <c r="G98" s="155">
        <f>SUM(C98:E98)</f>
        <v>0</v>
      </c>
      <c r="H98" s="154">
        <v>0.0</v>
      </c>
      <c r="I98" s="155">
        <v>0.0</v>
      </c>
      <c r="J98" s="155">
        <v>0.0</v>
      </c>
      <c r="K98" s="155"/>
      <c r="L98" s="155">
        <f>SUM(I98:K98)</f>
        <v>0</v>
      </c>
      <c r="M98" s="154">
        <v>0.0</v>
      </c>
      <c r="N98" s="155">
        <v>0.0</v>
      </c>
      <c r="O98" s="155">
        <v>0.0</v>
      </c>
      <c r="P98" s="155">
        <f>SUM(N98:O98)</f>
        <v>0</v>
      </c>
      <c r="Q98" s="154">
        <v>0.0</v>
      </c>
      <c r="R98" s="155">
        <v>0.0</v>
      </c>
      <c r="S98" s="155">
        <v>0.0</v>
      </c>
      <c r="T98" s="155"/>
      <c r="U98" s="155">
        <f>SUM(R98:T98)</f>
        <v>0</v>
      </c>
      <c r="V98" s="154">
        <v>0.0</v>
      </c>
      <c r="W98" s="155">
        <v>0.0</v>
      </c>
      <c r="X98" s="155">
        <v>0.0</v>
      </c>
      <c r="Y98" s="155"/>
      <c r="Z98" s="155">
        <f>SUM(W98:Y98)</f>
        <v>0</v>
      </c>
      <c r="AA98" s="154">
        <v>0.0</v>
      </c>
      <c r="AB98" s="155">
        <v>0.0</v>
      </c>
      <c r="AC98" s="155">
        <v>0.0</v>
      </c>
      <c r="AD98" s="155"/>
      <c r="AE98" s="155"/>
      <c r="AF98" s="155">
        <f>SUM(AB98:AD98)</f>
        <v>0</v>
      </c>
      <c r="AG98" s="154">
        <v>0.0</v>
      </c>
      <c r="AH98" s="155">
        <v>0.0</v>
      </c>
      <c r="AI98" s="155">
        <v>0.0</v>
      </c>
      <c r="AJ98" s="155"/>
      <c r="AK98" s="155"/>
      <c r="AL98" s="155">
        <f>SUM(AH98:AJ98)</f>
        <v>0</v>
      </c>
      <c r="AM98" s="154">
        <v>0.0</v>
      </c>
      <c r="AN98" s="155">
        <v>0.0</v>
      </c>
      <c r="AO98" s="155">
        <v>0.0</v>
      </c>
      <c r="AP98" s="155"/>
      <c r="AQ98" s="155"/>
      <c r="AR98" s="155">
        <f>SUM(AN98:AP98)</f>
        <v>0</v>
      </c>
      <c r="AS98" s="154">
        <v>0.0</v>
      </c>
      <c r="AT98" s="155">
        <v>0.0</v>
      </c>
      <c r="AU98" s="155">
        <v>0.0</v>
      </c>
      <c r="AV98" s="155"/>
      <c r="AW98" s="155">
        <f>SUM(AT98:AV98)</f>
        <v>0</v>
      </c>
      <c r="AX98" s="154">
        <v>0.0</v>
      </c>
      <c r="AY98" s="155">
        <v>0.0</v>
      </c>
      <c r="AZ98" s="155">
        <v>0.0</v>
      </c>
      <c r="BA98" s="155"/>
      <c r="BB98" s="155">
        <f>SUM(AY98:BA98)</f>
        <v>0</v>
      </c>
      <c r="BC98" s="154">
        <v>0.0</v>
      </c>
      <c r="BD98" s="155">
        <v>0.0</v>
      </c>
      <c r="BE98" s="155">
        <v>0.0</v>
      </c>
      <c r="BF98" s="155"/>
      <c r="BG98" s="155"/>
      <c r="BH98" s="155">
        <f>SUM(BD98:BG98)</f>
        <v>0</v>
      </c>
      <c r="BI98" s="154">
        <v>0.0</v>
      </c>
      <c r="BJ98" s="155">
        <v>0.0</v>
      </c>
      <c r="BK98" s="155">
        <v>0.0</v>
      </c>
      <c r="BL98" s="155"/>
      <c r="BM98" s="155"/>
      <c r="BN98" s="155">
        <f>SUM(BJ98:BM98)</f>
        <v>0</v>
      </c>
    </row>
    <row r="99" ht="12.75" hidden="1" customHeight="1">
      <c r="A99" s="147" t="s">
        <v>416</v>
      </c>
      <c r="B99" s="157">
        <f t="shared" ref="B99:D99" si="103">SUM(B98)</f>
        <v>0</v>
      </c>
      <c r="C99" s="158">
        <f t="shared" si="103"/>
        <v>0</v>
      </c>
      <c r="D99" s="158">
        <f t="shared" si="103"/>
        <v>0</v>
      </c>
      <c r="E99" s="158"/>
      <c r="F99" s="158"/>
      <c r="G99" s="158">
        <f t="shared" ref="G99:J99" si="104">SUM(G98)</f>
        <v>0</v>
      </c>
      <c r="H99" s="157">
        <f t="shared" si="104"/>
        <v>0</v>
      </c>
      <c r="I99" s="158">
        <f t="shared" si="104"/>
        <v>0</v>
      </c>
      <c r="J99" s="158">
        <f t="shared" si="104"/>
        <v>0</v>
      </c>
      <c r="K99" s="158"/>
      <c r="L99" s="158">
        <f t="shared" ref="L99:S99" si="105">SUM(L98)</f>
        <v>0</v>
      </c>
      <c r="M99" s="157">
        <f t="shared" si="105"/>
        <v>0</v>
      </c>
      <c r="N99" s="158">
        <f t="shared" si="105"/>
        <v>0</v>
      </c>
      <c r="O99" s="158">
        <f t="shared" si="105"/>
        <v>0</v>
      </c>
      <c r="P99" s="158">
        <f t="shared" si="105"/>
        <v>0</v>
      </c>
      <c r="Q99" s="157">
        <f t="shared" si="105"/>
        <v>0</v>
      </c>
      <c r="R99" s="158">
        <f t="shared" si="105"/>
        <v>0</v>
      </c>
      <c r="S99" s="158">
        <f t="shared" si="105"/>
        <v>0</v>
      </c>
      <c r="T99" s="158"/>
      <c r="U99" s="158">
        <f t="shared" ref="U99:X99" si="106">SUM(U98)</f>
        <v>0</v>
      </c>
      <c r="V99" s="157">
        <f t="shared" si="106"/>
        <v>0</v>
      </c>
      <c r="W99" s="158">
        <f t="shared" si="106"/>
        <v>0</v>
      </c>
      <c r="X99" s="158">
        <f t="shared" si="106"/>
        <v>0</v>
      </c>
      <c r="Y99" s="158"/>
      <c r="Z99" s="158">
        <f t="shared" ref="Z99:AC99" si="107">SUM(Z98)</f>
        <v>0</v>
      </c>
      <c r="AA99" s="157">
        <f t="shared" si="107"/>
        <v>0</v>
      </c>
      <c r="AB99" s="158">
        <f t="shared" si="107"/>
        <v>0</v>
      </c>
      <c r="AC99" s="158">
        <f t="shared" si="107"/>
        <v>0</v>
      </c>
      <c r="AD99" s="158"/>
      <c r="AE99" s="158"/>
      <c r="AF99" s="158">
        <f t="shared" ref="AF99:AI99" si="108">SUM(AF98)</f>
        <v>0</v>
      </c>
      <c r="AG99" s="157">
        <f t="shared" si="108"/>
        <v>0</v>
      </c>
      <c r="AH99" s="158">
        <f t="shared" si="108"/>
        <v>0</v>
      </c>
      <c r="AI99" s="158">
        <f t="shared" si="108"/>
        <v>0</v>
      </c>
      <c r="AJ99" s="158"/>
      <c r="AK99" s="158"/>
      <c r="AL99" s="158">
        <f t="shared" ref="AL99:AO99" si="109">SUM(AL98)</f>
        <v>0</v>
      </c>
      <c r="AM99" s="157">
        <f t="shared" si="109"/>
        <v>0</v>
      </c>
      <c r="AN99" s="158">
        <f t="shared" si="109"/>
        <v>0</v>
      </c>
      <c r="AO99" s="158">
        <f t="shared" si="109"/>
        <v>0</v>
      </c>
      <c r="AP99" s="158"/>
      <c r="AQ99" s="158"/>
      <c r="AR99" s="158">
        <f t="shared" ref="AR99:AU99" si="110">SUM(AR98)</f>
        <v>0</v>
      </c>
      <c r="AS99" s="157">
        <f t="shared" si="110"/>
        <v>0</v>
      </c>
      <c r="AT99" s="158">
        <f t="shared" si="110"/>
        <v>0</v>
      </c>
      <c r="AU99" s="158">
        <f t="shared" si="110"/>
        <v>0</v>
      </c>
      <c r="AV99" s="158"/>
      <c r="AW99" s="158">
        <f t="shared" ref="AW99:AZ99" si="111">SUM(AW98)</f>
        <v>0</v>
      </c>
      <c r="AX99" s="157">
        <f t="shared" si="111"/>
        <v>0</v>
      </c>
      <c r="AY99" s="158">
        <f t="shared" si="111"/>
        <v>0</v>
      </c>
      <c r="AZ99" s="158">
        <f t="shared" si="111"/>
        <v>0</v>
      </c>
      <c r="BA99" s="158"/>
      <c r="BB99" s="158">
        <f t="shared" ref="BB99:BE99" si="112">SUM(BB98)</f>
        <v>0</v>
      </c>
      <c r="BC99" s="157">
        <f t="shared" si="112"/>
        <v>0</v>
      </c>
      <c r="BD99" s="158">
        <f t="shared" si="112"/>
        <v>0</v>
      </c>
      <c r="BE99" s="158">
        <f t="shared" si="112"/>
        <v>0</v>
      </c>
      <c r="BF99" s="158"/>
      <c r="BG99" s="158"/>
      <c r="BH99" s="158">
        <f t="shared" ref="BH99:BK99" si="113">SUM(BH98)</f>
        <v>0</v>
      </c>
      <c r="BI99" s="157">
        <f t="shared" si="113"/>
        <v>0</v>
      </c>
      <c r="BJ99" s="158">
        <f t="shared" si="113"/>
        <v>0</v>
      </c>
      <c r="BK99" s="158">
        <f t="shared" si="113"/>
        <v>0</v>
      </c>
      <c r="BL99" s="158"/>
      <c r="BM99" s="158"/>
      <c r="BN99" s="158">
        <f>SUM(BN98)</f>
        <v>0</v>
      </c>
    </row>
    <row r="100" ht="12.75" hidden="1" customHeight="1">
      <c r="A100" s="153"/>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c r="AF100" s="159"/>
      <c r="AG100" s="159"/>
      <c r="AH100" s="159"/>
      <c r="AI100" s="159"/>
      <c r="AJ100" s="159"/>
      <c r="AK100" s="159"/>
      <c r="AL100" s="159"/>
      <c r="AM100" s="159"/>
      <c r="AN100" s="159"/>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row>
    <row r="101" ht="12.75" hidden="1" customHeight="1">
      <c r="A101" s="147" t="s">
        <v>392</v>
      </c>
      <c r="B101" s="163" t="s">
        <v>406</v>
      </c>
      <c r="C101" s="152" t="s">
        <v>407</v>
      </c>
      <c r="D101" s="152" t="s">
        <v>408</v>
      </c>
      <c r="E101" s="151"/>
      <c r="F101" s="151"/>
      <c r="G101" s="152" t="s">
        <v>305</v>
      </c>
      <c r="H101" s="163" t="s">
        <v>406</v>
      </c>
      <c r="I101" s="152" t="s">
        <v>407</v>
      </c>
      <c r="J101" s="152" t="s">
        <v>408</v>
      </c>
      <c r="K101" s="151"/>
      <c r="L101" s="152" t="s">
        <v>305</v>
      </c>
      <c r="M101" s="163" t="s">
        <v>406</v>
      </c>
      <c r="N101" s="152" t="s">
        <v>407</v>
      </c>
      <c r="O101" s="152" t="s">
        <v>408</v>
      </c>
      <c r="P101" s="152" t="s">
        <v>305</v>
      </c>
      <c r="Q101" s="163" t="s">
        <v>406</v>
      </c>
      <c r="R101" s="152" t="s">
        <v>407</v>
      </c>
      <c r="S101" s="152" t="s">
        <v>408</v>
      </c>
      <c r="T101" s="151"/>
      <c r="U101" s="152" t="s">
        <v>305</v>
      </c>
      <c r="V101" s="163" t="s">
        <v>406</v>
      </c>
      <c r="W101" s="152" t="s">
        <v>407</v>
      </c>
      <c r="X101" s="152" t="s">
        <v>408</v>
      </c>
      <c r="Y101" s="151"/>
      <c r="Z101" s="152" t="s">
        <v>305</v>
      </c>
      <c r="AA101" s="163" t="s">
        <v>406</v>
      </c>
      <c r="AB101" s="152" t="s">
        <v>407</v>
      </c>
      <c r="AC101" s="152" t="s">
        <v>408</v>
      </c>
      <c r="AD101" s="151"/>
      <c r="AE101" s="151"/>
      <c r="AF101" s="152" t="s">
        <v>305</v>
      </c>
      <c r="AG101" s="163" t="s">
        <v>406</v>
      </c>
      <c r="AH101" s="152" t="s">
        <v>407</v>
      </c>
      <c r="AI101" s="152" t="s">
        <v>408</v>
      </c>
      <c r="AJ101" s="151"/>
      <c r="AK101" s="151"/>
      <c r="AL101" s="152" t="s">
        <v>305</v>
      </c>
      <c r="AM101" s="163" t="s">
        <v>406</v>
      </c>
      <c r="AN101" s="152" t="s">
        <v>407</v>
      </c>
      <c r="AO101" s="152" t="s">
        <v>408</v>
      </c>
      <c r="AP101" s="151"/>
      <c r="AQ101" s="151"/>
      <c r="AR101" s="152" t="s">
        <v>305</v>
      </c>
      <c r="AS101" s="163" t="s">
        <v>406</v>
      </c>
      <c r="AT101" s="152" t="s">
        <v>407</v>
      </c>
      <c r="AU101" s="152" t="s">
        <v>408</v>
      </c>
      <c r="AV101" s="151"/>
      <c r="AW101" s="152" t="s">
        <v>305</v>
      </c>
      <c r="AX101" s="163" t="s">
        <v>406</v>
      </c>
      <c r="AY101" s="152" t="s">
        <v>407</v>
      </c>
      <c r="AZ101" s="152" t="s">
        <v>408</v>
      </c>
      <c r="BA101" s="151"/>
      <c r="BB101" s="152" t="s">
        <v>305</v>
      </c>
      <c r="BC101" s="163" t="s">
        <v>406</v>
      </c>
      <c r="BD101" s="152" t="s">
        <v>407</v>
      </c>
      <c r="BE101" s="152" t="s">
        <v>408</v>
      </c>
      <c r="BF101" s="151"/>
      <c r="BG101" s="151"/>
      <c r="BH101" s="152" t="s">
        <v>305</v>
      </c>
      <c r="BI101" s="163" t="s">
        <v>406</v>
      </c>
      <c r="BJ101" s="152" t="s">
        <v>407</v>
      </c>
      <c r="BK101" s="152" t="s">
        <v>408</v>
      </c>
      <c r="BL101" s="151"/>
      <c r="BM101" s="151"/>
      <c r="BN101" s="152" t="s">
        <v>305</v>
      </c>
    </row>
    <row r="102" ht="12.75" hidden="1" customHeight="1">
      <c r="A102" s="147" t="s">
        <v>450</v>
      </c>
      <c r="B102" s="164"/>
      <c r="C102" s="165"/>
      <c r="D102" s="165"/>
      <c r="E102" s="165"/>
      <c r="F102" s="165"/>
      <c r="G102" s="165"/>
      <c r="H102" s="164"/>
      <c r="I102" s="165"/>
      <c r="J102" s="165"/>
      <c r="K102" s="165"/>
      <c r="L102" s="165"/>
      <c r="M102" s="164"/>
      <c r="N102" s="165"/>
      <c r="O102" s="165"/>
      <c r="P102" s="165"/>
      <c r="Q102" s="164"/>
      <c r="R102" s="165"/>
      <c r="S102" s="165"/>
      <c r="T102" s="165"/>
      <c r="U102" s="165"/>
      <c r="V102" s="164"/>
      <c r="W102" s="165"/>
      <c r="X102" s="165"/>
      <c r="Y102" s="165"/>
      <c r="Z102" s="165"/>
      <c r="AA102" s="164"/>
      <c r="AB102" s="165"/>
      <c r="AC102" s="165"/>
      <c r="AD102" s="165"/>
      <c r="AE102" s="165"/>
      <c r="AF102" s="165"/>
      <c r="AG102" s="164"/>
      <c r="AH102" s="165"/>
      <c r="AI102" s="165"/>
      <c r="AJ102" s="165"/>
      <c r="AK102" s="165"/>
      <c r="AL102" s="165"/>
      <c r="AM102" s="164"/>
      <c r="AN102" s="165"/>
      <c r="AO102" s="165"/>
      <c r="AP102" s="165"/>
      <c r="AQ102" s="165"/>
      <c r="AR102" s="165"/>
      <c r="AS102" s="164"/>
      <c r="AT102" s="165"/>
      <c r="AU102" s="165"/>
      <c r="AV102" s="165"/>
      <c r="AW102" s="165"/>
      <c r="AX102" s="164"/>
      <c r="AY102" s="165"/>
      <c r="AZ102" s="165"/>
      <c r="BA102" s="165"/>
      <c r="BB102" s="165"/>
      <c r="BC102" s="164"/>
      <c r="BD102" s="165"/>
      <c r="BE102" s="165"/>
      <c r="BF102" s="165"/>
      <c r="BG102" s="165"/>
      <c r="BH102" s="165"/>
      <c r="BI102" s="164"/>
      <c r="BJ102" s="165"/>
      <c r="BK102" s="165"/>
      <c r="BL102" s="165"/>
      <c r="BM102" s="165"/>
      <c r="BN102" s="165"/>
    </row>
    <row r="103" ht="12.75" hidden="1" customHeight="1">
      <c r="A103" s="153" t="s">
        <v>451</v>
      </c>
      <c r="B103" s="154">
        <v>0.0</v>
      </c>
      <c r="C103" s="155">
        <v>0.0</v>
      </c>
      <c r="D103" s="155">
        <v>0.0</v>
      </c>
      <c r="E103" s="155"/>
      <c r="F103" s="155"/>
      <c r="G103" s="155">
        <f>SUM(C103:E103)</f>
        <v>0</v>
      </c>
      <c r="H103" s="154">
        <v>0.0</v>
      </c>
      <c r="I103" s="155">
        <v>0.0</v>
      </c>
      <c r="J103" s="155">
        <v>0.0</v>
      </c>
      <c r="K103" s="155"/>
      <c r="L103" s="155">
        <f>SUM(I103:K103)</f>
        <v>0</v>
      </c>
      <c r="M103" s="154">
        <v>0.0</v>
      </c>
      <c r="N103" s="155">
        <v>0.0</v>
      </c>
      <c r="O103" s="155">
        <v>0.0</v>
      </c>
      <c r="P103" s="155">
        <f>SUM(N103:O103)</f>
        <v>0</v>
      </c>
      <c r="Q103" s="154">
        <v>0.0</v>
      </c>
      <c r="R103" s="155">
        <v>0.0</v>
      </c>
      <c r="S103" s="155">
        <v>0.0</v>
      </c>
      <c r="T103" s="155"/>
      <c r="U103" s="155">
        <f>SUM(R103:T103)</f>
        <v>0</v>
      </c>
      <c r="V103" s="154">
        <v>0.0</v>
      </c>
      <c r="W103" s="155">
        <v>0.0</v>
      </c>
      <c r="X103" s="155">
        <v>0.0</v>
      </c>
      <c r="Y103" s="155"/>
      <c r="Z103" s="155">
        <f>SUM(W103:Y103)</f>
        <v>0</v>
      </c>
      <c r="AA103" s="154">
        <v>0.0</v>
      </c>
      <c r="AB103" s="155">
        <v>0.0</v>
      </c>
      <c r="AC103" s="155">
        <v>0.0</v>
      </c>
      <c r="AD103" s="155"/>
      <c r="AE103" s="155"/>
      <c r="AF103" s="155">
        <f>SUM(AB103:AD103)</f>
        <v>0</v>
      </c>
      <c r="AG103" s="154">
        <v>0.0</v>
      </c>
      <c r="AH103" s="155">
        <v>0.0</v>
      </c>
      <c r="AI103" s="155">
        <v>0.0</v>
      </c>
      <c r="AJ103" s="155"/>
      <c r="AK103" s="155"/>
      <c r="AL103" s="155">
        <f>SUM(AH103:AJ103)</f>
        <v>0</v>
      </c>
      <c r="AM103" s="154">
        <v>0.0</v>
      </c>
      <c r="AN103" s="155">
        <v>0.0</v>
      </c>
      <c r="AO103" s="155">
        <v>0.0</v>
      </c>
      <c r="AP103" s="155"/>
      <c r="AQ103" s="155"/>
      <c r="AR103" s="155">
        <f>SUM(AN103:AP103)</f>
        <v>0</v>
      </c>
      <c r="AS103" s="154">
        <v>0.0</v>
      </c>
      <c r="AT103" s="155">
        <v>0.0</v>
      </c>
      <c r="AU103" s="155">
        <v>0.0</v>
      </c>
      <c r="AV103" s="155"/>
      <c r="AW103" s="155">
        <f>SUM(AT103:AV103)</f>
        <v>0</v>
      </c>
      <c r="AX103" s="154">
        <v>0.0</v>
      </c>
      <c r="AY103" s="155">
        <v>0.0</v>
      </c>
      <c r="AZ103" s="155">
        <v>0.0</v>
      </c>
      <c r="BA103" s="155"/>
      <c r="BB103" s="155">
        <f>SUM(AY103:BA103)</f>
        <v>0</v>
      </c>
      <c r="BC103" s="154">
        <v>0.0</v>
      </c>
      <c r="BD103" s="155">
        <v>0.0</v>
      </c>
      <c r="BE103" s="155">
        <v>0.0</v>
      </c>
      <c r="BF103" s="155"/>
      <c r="BG103" s="155"/>
      <c r="BH103" s="155">
        <f>SUM(BD103:BG103)</f>
        <v>0</v>
      </c>
      <c r="BI103" s="154">
        <v>0.0</v>
      </c>
      <c r="BJ103" s="155">
        <v>0.0</v>
      </c>
      <c r="BK103" s="155">
        <v>0.0</v>
      </c>
      <c r="BL103" s="155"/>
      <c r="BM103" s="155"/>
      <c r="BN103" s="155">
        <f>SUM(BJ103:BM103)</f>
        <v>0</v>
      </c>
    </row>
    <row r="104" ht="12.75" hidden="1" customHeight="1">
      <c r="A104" s="147" t="s">
        <v>416</v>
      </c>
      <c r="B104" s="157">
        <f t="shared" ref="B104:D104" si="114">SUM(B103)</f>
        <v>0</v>
      </c>
      <c r="C104" s="158">
        <f t="shared" si="114"/>
        <v>0</v>
      </c>
      <c r="D104" s="158">
        <f t="shared" si="114"/>
        <v>0</v>
      </c>
      <c r="E104" s="158"/>
      <c r="F104" s="158"/>
      <c r="G104" s="158">
        <f t="shared" ref="G104:J104" si="115">SUM(G103)</f>
        <v>0</v>
      </c>
      <c r="H104" s="157">
        <f t="shared" si="115"/>
        <v>0</v>
      </c>
      <c r="I104" s="158">
        <f t="shared" si="115"/>
        <v>0</v>
      </c>
      <c r="J104" s="158">
        <f t="shared" si="115"/>
        <v>0</v>
      </c>
      <c r="K104" s="158"/>
      <c r="L104" s="158">
        <f t="shared" ref="L104:S104" si="116">SUM(L103)</f>
        <v>0</v>
      </c>
      <c r="M104" s="157">
        <f t="shared" si="116"/>
        <v>0</v>
      </c>
      <c r="N104" s="158">
        <f t="shared" si="116"/>
        <v>0</v>
      </c>
      <c r="O104" s="158">
        <f t="shared" si="116"/>
        <v>0</v>
      </c>
      <c r="P104" s="158">
        <f t="shared" si="116"/>
        <v>0</v>
      </c>
      <c r="Q104" s="157">
        <f t="shared" si="116"/>
        <v>0</v>
      </c>
      <c r="R104" s="158">
        <f t="shared" si="116"/>
        <v>0</v>
      </c>
      <c r="S104" s="158">
        <f t="shared" si="116"/>
        <v>0</v>
      </c>
      <c r="T104" s="158"/>
      <c r="U104" s="158">
        <f t="shared" ref="U104:X104" si="117">SUM(U103)</f>
        <v>0</v>
      </c>
      <c r="V104" s="157">
        <f t="shared" si="117"/>
        <v>0</v>
      </c>
      <c r="W104" s="158">
        <f t="shared" si="117"/>
        <v>0</v>
      </c>
      <c r="X104" s="158">
        <f t="shared" si="117"/>
        <v>0</v>
      </c>
      <c r="Y104" s="158"/>
      <c r="Z104" s="158">
        <f t="shared" ref="Z104:AC104" si="118">SUM(Z103)</f>
        <v>0</v>
      </c>
      <c r="AA104" s="157">
        <f t="shared" si="118"/>
        <v>0</v>
      </c>
      <c r="AB104" s="158">
        <f t="shared" si="118"/>
        <v>0</v>
      </c>
      <c r="AC104" s="158">
        <f t="shared" si="118"/>
        <v>0</v>
      </c>
      <c r="AD104" s="158"/>
      <c r="AE104" s="158"/>
      <c r="AF104" s="158">
        <f t="shared" ref="AF104:AI104" si="119">SUM(AF103)</f>
        <v>0</v>
      </c>
      <c r="AG104" s="157">
        <f t="shared" si="119"/>
        <v>0</v>
      </c>
      <c r="AH104" s="158">
        <f t="shared" si="119"/>
        <v>0</v>
      </c>
      <c r="AI104" s="158">
        <f t="shared" si="119"/>
        <v>0</v>
      </c>
      <c r="AJ104" s="158"/>
      <c r="AK104" s="158"/>
      <c r="AL104" s="158">
        <f t="shared" ref="AL104:AO104" si="120">SUM(AL103)</f>
        <v>0</v>
      </c>
      <c r="AM104" s="157">
        <f t="shared" si="120"/>
        <v>0</v>
      </c>
      <c r="AN104" s="158">
        <f t="shared" si="120"/>
        <v>0</v>
      </c>
      <c r="AO104" s="158">
        <f t="shared" si="120"/>
        <v>0</v>
      </c>
      <c r="AP104" s="158"/>
      <c r="AQ104" s="158"/>
      <c r="AR104" s="158">
        <f t="shared" ref="AR104:AU104" si="121">SUM(AR103)</f>
        <v>0</v>
      </c>
      <c r="AS104" s="157">
        <f t="shared" si="121"/>
        <v>0</v>
      </c>
      <c r="AT104" s="158">
        <f t="shared" si="121"/>
        <v>0</v>
      </c>
      <c r="AU104" s="158">
        <f t="shared" si="121"/>
        <v>0</v>
      </c>
      <c r="AV104" s="158"/>
      <c r="AW104" s="158">
        <f t="shared" ref="AW104:AZ104" si="122">SUM(AW103)</f>
        <v>0</v>
      </c>
      <c r="AX104" s="157">
        <f t="shared" si="122"/>
        <v>0</v>
      </c>
      <c r="AY104" s="158">
        <f t="shared" si="122"/>
        <v>0</v>
      </c>
      <c r="AZ104" s="158">
        <f t="shared" si="122"/>
        <v>0</v>
      </c>
      <c r="BA104" s="158"/>
      <c r="BB104" s="158">
        <f t="shared" ref="BB104:BE104" si="123">SUM(BB103)</f>
        <v>0</v>
      </c>
      <c r="BC104" s="157">
        <f t="shared" si="123"/>
        <v>0</v>
      </c>
      <c r="BD104" s="158">
        <f t="shared" si="123"/>
        <v>0</v>
      </c>
      <c r="BE104" s="158">
        <f t="shared" si="123"/>
        <v>0</v>
      </c>
      <c r="BF104" s="158"/>
      <c r="BG104" s="158"/>
      <c r="BH104" s="158">
        <f t="shared" ref="BH104:BK104" si="124">SUM(BH103)</f>
        <v>0</v>
      </c>
      <c r="BI104" s="157">
        <f t="shared" si="124"/>
        <v>0</v>
      </c>
      <c r="BJ104" s="158">
        <f t="shared" si="124"/>
        <v>0</v>
      </c>
      <c r="BK104" s="158">
        <f t="shared" si="124"/>
        <v>0</v>
      </c>
      <c r="BL104" s="158"/>
      <c r="BM104" s="158"/>
      <c r="BN104" s="158">
        <f>SUM(BN103)</f>
        <v>0</v>
      </c>
    </row>
    <row r="105" ht="12.75" hidden="1" customHeight="1">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c r="AC105" s="159"/>
      <c r="AD105" s="159"/>
      <c r="AE105" s="159"/>
      <c r="AF105" s="159"/>
      <c r="AG105" s="159"/>
      <c r="AH105" s="159"/>
      <c r="AI105" s="159"/>
      <c r="AJ105" s="159"/>
      <c r="AK105" s="159"/>
      <c r="AL105" s="159"/>
      <c r="AM105" s="159"/>
      <c r="AN105" s="159"/>
      <c r="AO105" s="159"/>
      <c r="AP105" s="159"/>
      <c r="AQ105" s="159"/>
      <c r="AR105" s="159"/>
      <c r="AS105" s="159"/>
      <c r="AT105" s="159"/>
      <c r="AU105" s="159"/>
      <c r="AV105" s="159"/>
      <c r="AW105" s="159"/>
      <c r="AX105" s="159"/>
      <c r="AY105" s="159"/>
      <c r="AZ105" s="159"/>
      <c r="BA105" s="159"/>
      <c r="BB105" s="159"/>
      <c r="BC105" s="159"/>
      <c r="BD105" s="159"/>
      <c r="BE105" s="159"/>
      <c r="BF105" s="159"/>
      <c r="BG105" s="159"/>
      <c r="BH105" s="159"/>
      <c r="BI105" s="159"/>
      <c r="BJ105" s="159"/>
      <c r="BK105" s="159"/>
      <c r="BL105" s="159"/>
      <c r="BM105" s="159"/>
      <c r="BN105" s="159"/>
    </row>
    <row r="106" ht="12.75" hidden="1" customHeight="1">
      <c r="A106" s="147" t="s">
        <v>392</v>
      </c>
      <c r="B106" s="163" t="s">
        <v>406</v>
      </c>
      <c r="C106" s="152" t="s">
        <v>407</v>
      </c>
      <c r="D106" s="152" t="s">
        <v>408</v>
      </c>
      <c r="E106" s="151"/>
      <c r="F106" s="151"/>
      <c r="G106" s="152" t="s">
        <v>305</v>
      </c>
      <c r="H106" s="163" t="s">
        <v>406</v>
      </c>
      <c r="I106" s="152" t="s">
        <v>407</v>
      </c>
      <c r="J106" s="152" t="s">
        <v>408</v>
      </c>
      <c r="K106" s="151"/>
      <c r="L106" s="152" t="s">
        <v>305</v>
      </c>
      <c r="M106" s="163" t="s">
        <v>406</v>
      </c>
      <c r="N106" s="152" t="s">
        <v>407</v>
      </c>
      <c r="O106" s="152" t="s">
        <v>408</v>
      </c>
      <c r="P106" s="152" t="s">
        <v>305</v>
      </c>
      <c r="Q106" s="163" t="s">
        <v>406</v>
      </c>
      <c r="R106" s="152" t="s">
        <v>407</v>
      </c>
      <c r="S106" s="152" t="s">
        <v>408</v>
      </c>
      <c r="T106" s="151"/>
      <c r="U106" s="152" t="s">
        <v>305</v>
      </c>
      <c r="V106" s="163" t="s">
        <v>406</v>
      </c>
      <c r="W106" s="152" t="s">
        <v>407</v>
      </c>
      <c r="X106" s="152" t="s">
        <v>408</v>
      </c>
      <c r="Y106" s="151"/>
      <c r="Z106" s="152" t="s">
        <v>305</v>
      </c>
      <c r="AA106" s="163" t="s">
        <v>406</v>
      </c>
      <c r="AB106" s="152" t="s">
        <v>407</v>
      </c>
      <c r="AC106" s="152" t="s">
        <v>408</v>
      </c>
      <c r="AD106" s="151"/>
      <c r="AE106" s="151"/>
      <c r="AF106" s="152" t="s">
        <v>305</v>
      </c>
      <c r="AG106" s="163" t="s">
        <v>406</v>
      </c>
      <c r="AH106" s="152" t="s">
        <v>407</v>
      </c>
      <c r="AI106" s="152" t="s">
        <v>408</v>
      </c>
      <c r="AJ106" s="151"/>
      <c r="AK106" s="151"/>
      <c r="AL106" s="152" t="s">
        <v>305</v>
      </c>
      <c r="AM106" s="163" t="s">
        <v>406</v>
      </c>
      <c r="AN106" s="152" t="s">
        <v>407</v>
      </c>
      <c r="AO106" s="152" t="s">
        <v>408</v>
      </c>
      <c r="AP106" s="151"/>
      <c r="AQ106" s="151"/>
      <c r="AR106" s="152" t="s">
        <v>305</v>
      </c>
      <c r="AS106" s="163" t="s">
        <v>406</v>
      </c>
      <c r="AT106" s="152" t="s">
        <v>407</v>
      </c>
      <c r="AU106" s="152" t="s">
        <v>408</v>
      </c>
      <c r="AV106" s="151"/>
      <c r="AW106" s="152" t="s">
        <v>305</v>
      </c>
      <c r="AX106" s="163" t="s">
        <v>406</v>
      </c>
      <c r="AY106" s="152" t="s">
        <v>407</v>
      </c>
      <c r="AZ106" s="152" t="s">
        <v>408</v>
      </c>
      <c r="BA106" s="151"/>
      <c r="BB106" s="152" t="s">
        <v>305</v>
      </c>
      <c r="BC106" s="163" t="s">
        <v>406</v>
      </c>
      <c r="BD106" s="152" t="s">
        <v>407</v>
      </c>
      <c r="BE106" s="152" t="s">
        <v>408</v>
      </c>
      <c r="BF106" s="151"/>
      <c r="BG106" s="151"/>
      <c r="BH106" s="152" t="s">
        <v>305</v>
      </c>
      <c r="BI106" s="163" t="s">
        <v>406</v>
      </c>
      <c r="BJ106" s="152" t="s">
        <v>407</v>
      </c>
      <c r="BK106" s="152" t="s">
        <v>408</v>
      </c>
      <c r="BL106" s="151"/>
      <c r="BM106" s="151"/>
      <c r="BN106" s="152" t="s">
        <v>305</v>
      </c>
    </row>
    <row r="107" ht="12.75" hidden="1" customHeight="1">
      <c r="A107" s="147" t="s">
        <v>452</v>
      </c>
      <c r="B107" s="164"/>
      <c r="C107" s="165"/>
      <c r="D107" s="165"/>
      <c r="E107" s="165"/>
      <c r="F107" s="165"/>
      <c r="G107" s="165"/>
      <c r="H107" s="164"/>
      <c r="I107" s="165"/>
      <c r="J107" s="165"/>
      <c r="K107" s="165"/>
      <c r="L107" s="165"/>
      <c r="M107" s="164"/>
      <c r="N107" s="165"/>
      <c r="O107" s="165"/>
      <c r="P107" s="165"/>
      <c r="Q107" s="164"/>
      <c r="R107" s="165"/>
      <c r="S107" s="165"/>
      <c r="T107" s="165"/>
      <c r="U107" s="165"/>
      <c r="V107" s="164"/>
      <c r="W107" s="165"/>
      <c r="X107" s="165"/>
      <c r="Y107" s="165"/>
      <c r="Z107" s="165"/>
      <c r="AA107" s="164"/>
      <c r="AB107" s="165"/>
      <c r="AC107" s="165"/>
      <c r="AD107" s="165"/>
      <c r="AE107" s="165"/>
      <c r="AF107" s="165"/>
      <c r="AG107" s="164"/>
      <c r="AH107" s="165"/>
      <c r="AI107" s="165"/>
      <c r="AJ107" s="165"/>
      <c r="AK107" s="165"/>
      <c r="AL107" s="165"/>
      <c r="AM107" s="164"/>
      <c r="AN107" s="165"/>
      <c r="AO107" s="165"/>
      <c r="AP107" s="165"/>
      <c r="AQ107" s="165"/>
      <c r="AR107" s="165"/>
      <c r="AS107" s="164"/>
      <c r="AT107" s="165"/>
      <c r="AU107" s="165"/>
      <c r="AV107" s="165"/>
      <c r="AW107" s="165"/>
      <c r="AX107" s="164"/>
      <c r="AY107" s="165"/>
      <c r="AZ107" s="165"/>
      <c r="BA107" s="165"/>
      <c r="BB107" s="165"/>
      <c r="BC107" s="164"/>
      <c r="BD107" s="165"/>
      <c r="BE107" s="165"/>
      <c r="BF107" s="165"/>
      <c r="BG107" s="165"/>
      <c r="BH107" s="165"/>
      <c r="BI107" s="164"/>
      <c r="BJ107" s="165"/>
      <c r="BK107" s="165"/>
      <c r="BL107" s="165"/>
      <c r="BM107" s="165"/>
      <c r="BN107" s="165"/>
    </row>
    <row r="108" ht="12.75" hidden="1" customHeight="1">
      <c r="A108" s="153" t="s">
        <v>452</v>
      </c>
      <c r="B108" s="154">
        <v>0.0</v>
      </c>
      <c r="C108" s="155">
        <v>0.0</v>
      </c>
      <c r="D108" s="155">
        <v>0.0</v>
      </c>
      <c r="E108" s="155"/>
      <c r="F108" s="155"/>
      <c r="G108" s="155">
        <f>SUM(C108:E108)</f>
        <v>0</v>
      </c>
      <c r="H108" s="154">
        <v>0.0</v>
      </c>
      <c r="I108" s="155">
        <v>0.0</v>
      </c>
      <c r="J108" s="155">
        <v>0.0</v>
      </c>
      <c r="K108" s="155"/>
      <c r="L108" s="155">
        <f>SUM(I108:K108)</f>
        <v>0</v>
      </c>
      <c r="M108" s="154">
        <v>0.0</v>
      </c>
      <c r="N108" s="155">
        <v>0.0</v>
      </c>
      <c r="O108" s="155">
        <v>0.0</v>
      </c>
      <c r="P108" s="155">
        <f>SUM(N108:O108)</f>
        <v>0</v>
      </c>
      <c r="Q108" s="154">
        <v>0.0</v>
      </c>
      <c r="R108" s="155">
        <v>0.0</v>
      </c>
      <c r="S108" s="155">
        <v>0.0</v>
      </c>
      <c r="T108" s="155"/>
      <c r="U108" s="155">
        <f>SUM(R108:T108)</f>
        <v>0</v>
      </c>
      <c r="V108" s="154">
        <v>0.0</v>
      </c>
      <c r="W108" s="155">
        <v>0.0</v>
      </c>
      <c r="X108" s="155">
        <v>0.0</v>
      </c>
      <c r="Y108" s="155"/>
      <c r="Z108" s="155">
        <f>SUM(W108:Y108)</f>
        <v>0</v>
      </c>
      <c r="AA108" s="154">
        <v>0.0</v>
      </c>
      <c r="AB108" s="155">
        <v>0.0</v>
      </c>
      <c r="AC108" s="155">
        <v>0.0</v>
      </c>
      <c r="AD108" s="155"/>
      <c r="AE108" s="155"/>
      <c r="AF108" s="155">
        <f>SUM(AB108:AD108)</f>
        <v>0</v>
      </c>
      <c r="AG108" s="154">
        <v>0.0</v>
      </c>
      <c r="AH108" s="155">
        <v>0.0</v>
      </c>
      <c r="AI108" s="155">
        <v>0.0</v>
      </c>
      <c r="AJ108" s="155"/>
      <c r="AK108" s="155"/>
      <c r="AL108" s="155">
        <f>SUM(AH108:AJ108)</f>
        <v>0</v>
      </c>
      <c r="AM108" s="154">
        <v>0.0</v>
      </c>
      <c r="AN108" s="155">
        <v>0.0</v>
      </c>
      <c r="AO108" s="155">
        <v>0.0</v>
      </c>
      <c r="AP108" s="155"/>
      <c r="AQ108" s="155"/>
      <c r="AR108" s="155">
        <f>SUM(AN108:AP108)</f>
        <v>0</v>
      </c>
      <c r="AS108" s="154">
        <v>0.0</v>
      </c>
      <c r="AT108" s="155">
        <v>0.0</v>
      </c>
      <c r="AU108" s="155">
        <v>0.0</v>
      </c>
      <c r="AV108" s="155"/>
      <c r="AW108" s="155">
        <f>SUM(AT108:AV108)</f>
        <v>0</v>
      </c>
      <c r="AX108" s="154">
        <v>0.0</v>
      </c>
      <c r="AY108" s="155">
        <v>0.0</v>
      </c>
      <c r="AZ108" s="155">
        <v>0.0</v>
      </c>
      <c r="BA108" s="155"/>
      <c r="BB108" s="155">
        <f>SUM(AY108:BA108)</f>
        <v>0</v>
      </c>
      <c r="BC108" s="154">
        <v>0.0</v>
      </c>
      <c r="BD108" s="155">
        <v>0.0</v>
      </c>
      <c r="BE108" s="155">
        <v>0.0</v>
      </c>
      <c r="BF108" s="155"/>
      <c r="BG108" s="155"/>
      <c r="BH108" s="155">
        <f>SUM(BD108:BG108)</f>
        <v>0</v>
      </c>
      <c r="BI108" s="154">
        <v>0.0</v>
      </c>
      <c r="BJ108" s="155">
        <v>0.0</v>
      </c>
      <c r="BK108" s="155">
        <v>0.0</v>
      </c>
      <c r="BL108" s="155"/>
      <c r="BM108" s="155"/>
      <c r="BN108" s="155">
        <f>SUM(BJ108:BM108)</f>
        <v>0</v>
      </c>
    </row>
    <row r="109" ht="12.75" hidden="1" customHeight="1">
      <c r="A109" s="147" t="s">
        <v>416</v>
      </c>
      <c r="B109" s="166">
        <v>0.0</v>
      </c>
      <c r="C109" s="158">
        <v>0.0</v>
      </c>
      <c r="D109" s="158">
        <f t="shared" ref="D109:BN109" si="125">SUM(D108)</f>
        <v>0</v>
      </c>
      <c r="E109" s="158">
        <f t="shared" si="125"/>
        <v>0</v>
      </c>
      <c r="F109" s="158">
        <f t="shared" si="125"/>
        <v>0</v>
      </c>
      <c r="G109" s="158">
        <f t="shared" si="125"/>
        <v>0</v>
      </c>
      <c r="H109" s="158">
        <f t="shared" si="125"/>
        <v>0</v>
      </c>
      <c r="I109" s="158">
        <f t="shared" si="125"/>
        <v>0</v>
      </c>
      <c r="J109" s="158">
        <f t="shared" si="125"/>
        <v>0</v>
      </c>
      <c r="K109" s="158">
        <f t="shared" si="125"/>
        <v>0</v>
      </c>
      <c r="L109" s="158">
        <f t="shared" si="125"/>
        <v>0</v>
      </c>
      <c r="M109" s="158">
        <f t="shared" si="125"/>
        <v>0</v>
      </c>
      <c r="N109" s="158">
        <f t="shared" si="125"/>
        <v>0</v>
      </c>
      <c r="O109" s="158">
        <f t="shared" si="125"/>
        <v>0</v>
      </c>
      <c r="P109" s="158">
        <f t="shared" si="125"/>
        <v>0</v>
      </c>
      <c r="Q109" s="158">
        <f t="shared" si="125"/>
        <v>0</v>
      </c>
      <c r="R109" s="158">
        <f t="shared" si="125"/>
        <v>0</v>
      </c>
      <c r="S109" s="158">
        <f t="shared" si="125"/>
        <v>0</v>
      </c>
      <c r="T109" s="158">
        <f t="shared" si="125"/>
        <v>0</v>
      </c>
      <c r="U109" s="158">
        <f t="shared" si="125"/>
        <v>0</v>
      </c>
      <c r="V109" s="158">
        <f t="shared" si="125"/>
        <v>0</v>
      </c>
      <c r="W109" s="158">
        <f t="shared" si="125"/>
        <v>0</v>
      </c>
      <c r="X109" s="158">
        <f t="shared" si="125"/>
        <v>0</v>
      </c>
      <c r="Y109" s="158">
        <f t="shared" si="125"/>
        <v>0</v>
      </c>
      <c r="Z109" s="158">
        <f t="shared" si="125"/>
        <v>0</v>
      </c>
      <c r="AA109" s="158">
        <f t="shared" si="125"/>
        <v>0</v>
      </c>
      <c r="AB109" s="158">
        <f t="shared" si="125"/>
        <v>0</v>
      </c>
      <c r="AC109" s="158">
        <f t="shared" si="125"/>
        <v>0</v>
      </c>
      <c r="AD109" s="158">
        <f t="shared" si="125"/>
        <v>0</v>
      </c>
      <c r="AE109" s="158">
        <f t="shared" si="125"/>
        <v>0</v>
      </c>
      <c r="AF109" s="158">
        <f t="shared" si="125"/>
        <v>0</v>
      </c>
      <c r="AG109" s="158">
        <f t="shared" si="125"/>
        <v>0</v>
      </c>
      <c r="AH109" s="158">
        <f t="shared" si="125"/>
        <v>0</v>
      </c>
      <c r="AI109" s="158">
        <f t="shared" si="125"/>
        <v>0</v>
      </c>
      <c r="AJ109" s="158">
        <f t="shared" si="125"/>
        <v>0</v>
      </c>
      <c r="AK109" s="158">
        <f t="shared" si="125"/>
        <v>0</v>
      </c>
      <c r="AL109" s="158">
        <f t="shared" si="125"/>
        <v>0</v>
      </c>
      <c r="AM109" s="158">
        <f t="shared" si="125"/>
        <v>0</v>
      </c>
      <c r="AN109" s="158">
        <f t="shared" si="125"/>
        <v>0</v>
      </c>
      <c r="AO109" s="158">
        <f t="shared" si="125"/>
        <v>0</v>
      </c>
      <c r="AP109" s="158">
        <f t="shared" si="125"/>
        <v>0</v>
      </c>
      <c r="AQ109" s="158">
        <f t="shared" si="125"/>
        <v>0</v>
      </c>
      <c r="AR109" s="158">
        <f t="shared" si="125"/>
        <v>0</v>
      </c>
      <c r="AS109" s="158">
        <f t="shared" si="125"/>
        <v>0</v>
      </c>
      <c r="AT109" s="158">
        <f t="shared" si="125"/>
        <v>0</v>
      </c>
      <c r="AU109" s="158">
        <f t="shared" si="125"/>
        <v>0</v>
      </c>
      <c r="AV109" s="158">
        <f t="shared" si="125"/>
        <v>0</v>
      </c>
      <c r="AW109" s="158">
        <f t="shared" si="125"/>
        <v>0</v>
      </c>
      <c r="AX109" s="158">
        <f t="shared" si="125"/>
        <v>0</v>
      </c>
      <c r="AY109" s="158">
        <f t="shared" si="125"/>
        <v>0</v>
      </c>
      <c r="AZ109" s="158">
        <f t="shared" si="125"/>
        <v>0</v>
      </c>
      <c r="BA109" s="158">
        <f t="shared" si="125"/>
        <v>0</v>
      </c>
      <c r="BB109" s="158">
        <f t="shared" si="125"/>
        <v>0</v>
      </c>
      <c r="BC109" s="158">
        <f t="shared" si="125"/>
        <v>0</v>
      </c>
      <c r="BD109" s="158">
        <f t="shared" si="125"/>
        <v>0</v>
      </c>
      <c r="BE109" s="158">
        <f t="shared" si="125"/>
        <v>0</v>
      </c>
      <c r="BF109" s="158">
        <f t="shared" si="125"/>
        <v>0</v>
      </c>
      <c r="BG109" s="158">
        <f t="shared" si="125"/>
        <v>0</v>
      </c>
      <c r="BH109" s="158">
        <f t="shared" si="125"/>
        <v>0</v>
      </c>
      <c r="BI109" s="158">
        <f t="shared" si="125"/>
        <v>0</v>
      </c>
      <c r="BJ109" s="158">
        <f t="shared" si="125"/>
        <v>0</v>
      </c>
      <c r="BK109" s="158">
        <f t="shared" si="125"/>
        <v>0</v>
      </c>
      <c r="BL109" s="158">
        <f t="shared" si="125"/>
        <v>0</v>
      </c>
      <c r="BM109" s="158">
        <f t="shared" si="125"/>
        <v>0</v>
      </c>
      <c r="BN109" s="158">
        <f t="shared" si="125"/>
        <v>0</v>
      </c>
    </row>
    <row r="110" ht="12.75" hidden="1" customHeight="1">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c r="AB110" s="159"/>
      <c r="AC110" s="159"/>
      <c r="AD110" s="159"/>
      <c r="AE110" s="159"/>
      <c r="AF110" s="159"/>
      <c r="AG110" s="159"/>
      <c r="AH110" s="159"/>
      <c r="AI110" s="159"/>
      <c r="AJ110" s="159"/>
      <c r="AK110" s="159"/>
      <c r="AL110" s="159"/>
      <c r="AM110" s="159"/>
      <c r="AN110" s="159"/>
      <c r="AO110" s="159"/>
      <c r="AP110" s="159"/>
      <c r="AQ110" s="159"/>
      <c r="AR110" s="159"/>
      <c r="AS110" s="159"/>
      <c r="AT110" s="159"/>
      <c r="AU110" s="159"/>
      <c r="AV110" s="159"/>
      <c r="AW110" s="159"/>
      <c r="AX110" s="159"/>
      <c r="AY110" s="159"/>
      <c r="AZ110" s="159"/>
      <c r="BA110" s="159"/>
      <c r="BB110" s="159"/>
      <c r="BC110" s="159"/>
      <c r="BD110" s="159"/>
      <c r="BE110" s="159"/>
      <c r="BF110" s="159"/>
      <c r="BG110" s="159"/>
      <c r="BH110" s="159"/>
      <c r="BI110" s="159"/>
      <c r="BJ110" s="159"/>
      <c r="BK110" s="159"/>
      <c r="BL110" s="159"/>
      <c r="BM110" s="159"/>
      <c r="BN110" s="159"/>
    </row>
    <row r="111" ht="12.75" hidden="1" customHeight="1">
      <c r="A111" s="147" t="s">
        <v>392</v>
      </c>
      <c r="B111" s="163" t="s">
        <v>406</v>
      </c>
      <c r="C111" s="152" t="s">
        <v>407</v>
      </c>
      <c r="D111" s="152" t="s">
        <v>408</v>
      </c>
      <c r="E111" s="151"/>
      <c r="F111" s="151"/>
      <c r="G111" s="152" t="s">
        <v>305</v>
      </c>
      <c r="H111" s="163" t="s">
        <v>406</v>
      </c>
      <c r="I111" s="152" t="s">
        <v>407</v>
      </c>
      <c r="J111" s="152" t="s">
        <v>408</v>
      </c>
      <c r="K111" s="151"/>
      <c r="L111" s="152" t="s">
        <v>305</v>
      </c>
      <c r="M111" s="163" t="s">
        <v>406</v>
      </c>
      <c r="N111" s="152" t="s">
        <v>407</v>
      </c>
      <c r="O111" s="152" t="s">
        <v>408</v>
      </c>
      <c r="P111" s="152" t="s">
        <v>305</v>
      </c>
      <c r="Q111" s="163" t="s">
        <v>406</v>
      </c>
      <c r="R111" s="152" t="s">
        <v>407</v>
      </c>
      <c r="S111" s="152" t="s">
        <v>408</v>
      </c>
      <c r="T111" s="151"/>
      <c r="U111" s="152" t="s">
        <v>305</v>
      </c>
      <c r="V111" s="163" t="s">
        <v>406</v>
      </c>
      <c r="W111" s="152" t="s">
        <v>407</v>
      </c>
      <c r="X111" s="152" t="s">
        <v>408</v>
      </c>
      <c r="Y111" s="151"/>
      <c r="Z111" s="152" t="s">
        <v>305</v>
      </c>
      <c r="AA111" s="163" t="s">
        <v>406</v>
      </c>
      <c r="AB111" s="152" t="s">
        <v>407</v>
      </c>
      <c r="AC111" s="152" t="s">
        <v>408</v>
      </c>
      <c r="AD111" s="151"/>
      <c r="AE111" s="151"/>
      <c r="AF111" s="152" t="s">
        <v>305</v>
      </c>
      <c r="AG111" s="163" t="s">
        <v>406</v>
      </c>
      <c r="AH111" s="152" t="s">
        <v>407</v>
      </c>
      <c r="AI111" s="152" t="s">
        <v>408</v>
      </c>
      <c r="AJ111" s="151"/>
      <c r="AK111" s="151"/>
      <c r="AL111" s="152" t="s">
        <v>305</v>
      </c>
      <c r="AM111" s="163" t="s">
        <v>406</v>
      </c>
      <c r="AN111" s="152" t="s">
        <v>407</v>
      </c>
      <c r="AO111" s="152" t="s">
        <v>408</v>
      </c>
      <c r="AP111" s="151"/>
      <c r="AQ111" s="151"/>
      <c r="AR111" s="152" t="s">
        <v>305</v>
      </c>
      <c r="AS111" s="163" t="s">
        <v>406</v>
      </c>
      <c r="AT111" s="152" t="s">
        <v>407</v>
      </c>
      <c r="AU111" s="152" t="s">
        <v>408</v>
      </c>
      <c r="AV111" s="151"/>
      <c r="AW111" s="152" t="s">
        <v>305</v>
      </c>
      <c r="AX111" s="163" t="s">
        <v>406</v>
      </c>
      <c r="AY111" s="152" t="s">
        <v>407</v>
      </c>
      <c r="AZ111" s="152" t="s">
        <v>408</v>
      </c>
      <c r="BA111" s="151"/>
      <c r="BB111" s="152" t="s">
        <v>305</v>
      </c>
      <c r="BC111" s="163" t="s">
        <v>406</v>
      </c>
      <c r="BD111" s="152" t="s">
        <v>407</v>
      </c>
      <c r="BE111" s="152" t="s">
        <v>408</v>
      </c>
      <c r="BF111" s="151"/>
      <c r="BG111" s="151"/>
      <c r="BH111" s="152" t="s">
        <v>305</v>
      </c>
      <c r="BI111" s="163" t="s">
        <v>406</v>
      </c>
      <c r="BJ111" s="152" t="s">
        <v>407</v>
      </c>
      <c r="BK111" s="152" t="s">
        <v>408</v>
      </c>
      <c r="BL111" s="151"/>
      <c r="BM111" s="151"/>
      <c r="BN111" s="152" t="s">
        <v>305</v>
      </c>
    </row>
    <row r="112" ht="12.75" hidden="1" customHeight="1">
      <c r="A112" s="147" t="s">
        <v>453</v>
      </c>
      <c r="B112" s="164"/>
      <c r="C112" s="165"/>
      <c r="D112" s="165"/>
      <c r="E112" s="165"/>
      <c r="F112" s="165"/>
      <c r="G112" s="165"/>
      <c r="H112" s="164"/>
      <c r="I112" s="165"/>
      <c r="J112" s="165"/>
      <c r="K112" s="165"/>
      <c r="L112" s="165"/>
      <c r="M112" s="164"/>
      <c r="N112" s="165"/>
      <c r="O112" s="165"/>
      <c r="P112" s="165"/>
      <c r="Q112" s="164"/>
      <c r="R112" s="165"/>
      <c r="S112" s="165"/>
      <c r="T112" s="165"/>
      <c r="U112" s="165"/>
      <c r="V112" s="164"/>
      <c r="W112" s="165"/>
      <c r="X112" s="165"/>
      <c r="Y112" s="165"/>
      <c r="Z112" s="165"/>
      <c r="AA112" s="164"/>
      <c r="AB112" s="165"/>
      <c r="AC112" s="165"/>
      <c r="AD112" s="165"/>
      <c r="AE112" s="165"/>
      <c r="AF112" s="165"/>
      <c r="AG112" s="164"/>
      <c r="AH112" s="165"/>
      <c r="AI112" s="165"/>
      <c r="AJ112" s="165"/>
      <c r="AK112" s="165"/>
      <c r="AL112" s="165"/>
      <c r="AM112" s="164"/>
      <c r="AN112" s="165"/>
      <c r="AO112" s="165"/>
      <c r="AP112" s="165"/>
      <c r="AQ112" s="165"/>
      <c r="AR112" s="165"/>
      <c r="AS112" s="164"/>
      <c r="AT112" s="165"/>
      <c r="AU112" s="165"/>
      <c r="AV112" s="165"/>
      <c r="AW112" s="165"/>
      <c r="AX112" s="164"/>
      <c r="AY112" s="165"/>
      <c r="AZ112" s="165"/>
      <c r="BA112" s="165"/>
      <c r="BB112" s="165"/>
      <c r="BC112" s="164"/>
      <c r="BD112" s="165"/>
      <c r="BE112" s="165"/>
      <c r="BF112" s="165"/>
      <c r="BG112" s="165"/>
      <c r="BH112" s="165"/>
      <c r="BI112" s="164"/>
      <c r="BJ112" s="165"/>
      <c r="BK112" s="165"/>
      <c r="BL112" s="165"/>
      <c r="BM112" s="165"/>
      <c r="BN112" s="165"/>
    </row>
    <row r="113" ht="12.75" hidden="1" customHeight="1">
      <c r="A113" s="153" t="s">
        <v>453</v>
      </c>
      <c r="B113" s="154">
        <v>0.0</v>
      </c>
      <c r="C113" s="155">
        <v>0.0</v>
      </c>
      <c r="D113" s="155">
        <v>0.0</v>
      </c>
      <c r="E113" s="155"/>
      <c r="F113" s="155"/>
      <c r="G113" s="155">
        <f>SUM(C113:E113)</f>
        <v>0</v>
      </c>
      <c r="H113" s="154">
        <v>0.0</v>
      </c>
      <c r="I113" s="155">
        <v>0.0</v>
      </c>
      <c r="J113" s="155">
        <v>0.0</v>
      </c>
      <c r="K113" s="155"/>
      <c r="L113" s="155">
        <f>SUM(I113:K113)</f>
        <v>0</v>
      </c>
      <c r="M113" s="154">
        <v>0.0</v>
      </c>
      <c r="N113" s="155">
        <v>0.0</v>
      </c>
      <c r="O113" s="155">
        <v>0.0</v>
      </c>
      <c r="P113" s="155">
        <f>SUM(N113:O113)</f>
        <v>0</v>
      </c>
      <c r="Q113" s="154">
        <v>0.0</v>
      </c>
      <c r="R113" s="155">
        <v>0.0</v>
      </c>
      <c r="S113" s="155">
        <v>0.0</v>
      </c>
      <c r="T113" s="155"/>
      <c r="U113" s="155">
        <f>SUM(R113:T113)</f>
        <v>0</v>
      </c>
      <c r="V113" s="154">
        <v>0.0</v>
      </c>
      <c r="W113" s="155">
        <v>0.0</v>
      </c>
      <c r="X113" s="155">
        <v>0.0</v>
      </c>
      <c r="Y113" s="155"/>
      <c r="Z113" s="155">
        <f>SUM(W113:Y113)</f>
        <v>0</v>
      </c>
      <c r="AA113" s="154">
        <v>0.0</v>
      </c>
      <c r="AB113" s="155">
        <v>0.0</v>
      </c>
      <c r="AC113" s="155">
        <v>0.0</v>
      </c>
      <c r="AD113" s="155"/>
      <c r="AE113" s="155"/>
      <c r="AF113" s="155">
        <f>SUM(AB113:AD113)</f>
        <v>0</v>
      </c>
      <c r="AG113" s="154">
        <v>0.0</v>
      </c>
      <c r="AH113" s="155">
        <v>0.0</v>
      </c>
      <c r="AI113" s="155">
        <v>0.0</v>
      </c>
      <c r="AJ113" s="155"/>
      <c r="AK113" s="155"/>
      <c r="AL113" s="155">
        <f>SUM(AH113:AJ113)</f>
        <v>0</v>
      </c>
      <c r="AM113" s="154">
        <v>0.0</v>
      </c>
      <c r="AN113" s="155">
        <v>0.0</v>
      </c>
      <c r="AO113" s="155">
        <v>0.0</v>
      </c>
      <c r="AP113" s="155"/>
      <c r="AQ113" s="155"/>
      <c r="AR113" s="155">
        <f>SUM(AN113:AP113)</f>
        <v>0</v>
      </c>
      <c r="AS113" s="154">
        <v>0.0</v>
      </c>
      <c r="AT113" s="155">
        <v>0.0</v>
      </c>
      <c r="AU113" s="155">
        <v>0.0</v>
      </c>
      <c r="AV113" s="155"/>
      <c r="AW113" s="155">
        <f>SUM(AT113:AV113)</f>
        <v>0</v>
      </c>
      <c r="AX113" s="154">
        <v>0.0</v>
      </c>
      <c r="AY113" s="155">
        <v>0.0</v>
      </c>
      <c r="AZ113" s="155">
        <v>0.0</v>
      </c>
      <c r="BA113" s="155"/>
      <c r="BB113" s="155">
        <f>SUM(AY113:BA113)</f>
        <v>0</v>
      </c>
      <c r="BC113" s="154">
        <v>0.0</v>
      </c>
      <c r="BD113" s="155">
        <v>0.0</v>
      </c>
      <c r="BE113" s="155">
        <v>0.0</v>
      </c>
      <c r="BF113" s="155"/>
      <c r="BG113" s="155"/>
      <c r="BH113" s="155">
        <f>SUM(BD113:BG113)</f>
        <v>0</v>
      </c>
      <c r="BI113" s="154">
        <v>0.0</v>
      </c>
      <c r="BJ113" s="155">
        <v>0.0</v>
      </c>
      <c r="BK113" s="155">
        <v>0.0</v>
      </c>
      <c r="BL113" s="155"/>
      <c r="BM113" s="155"/>
      <c r="BN113" s="155">
        <f>SUM(BJ113:BM113)</f>
        <v>0</v>
      </c>
    </row>
    <row r="114" ht="12.75" hidden="1" customHeight="1">
      <c r="A114" s="147" t="s">
        <v>416</v>
      </c>
      <c r="B114" s="157">
        <f t="shared" ref="B114:D114" si="126">SUM(B113)</f>
        <v>0</v>
      </c>
      <c r="C114" s="158">
        <f t="shared" si="126"/>
        <v>0</v>
      </c>
      <c r="D114" s="158">
        <f t="shared" si="126"/>
        <v>0</v>
      </c>
      <c r="E114" s="158"/>
      <c r="F114" s="158"/>
      <c r="G114" s="158">
        <f t="shared" ref="G114:J114" si="127">SUM(G113)</f>
        <v>0</v>
      </c>
      <c r="H114" s="157">
        <f t="shared" si="127"/>
        <v>0</v>
      </c>
      <c r="I114" s="158">
        <f t="shared" si="127"/>
        <v>0</v>
      </c>
      <c r="J114" s="158">
        <f t="shared" si="127"/>
        <v>0</v>
      </c>
      <c r="K114" s="158"/>
      <c r="L114" s="158">
        <f t="shared" ref="L114:S114" si="128">SUM(L113)</f>
        <v>0</v>
      </c>
      <c r="M114" s="157">
        <f t="shared" si="128"/>
        <v>0</v>
      </c>
      <c r="N114" s="158">
        <f t="shared" si="128"/>
        <v>0</v>
      </c>
      <c r="O114" s="158">
        <f t="shared" si="128"/>
        <v>0</v>
      </c>
      <c r="P114" s="158">
        <f t="shared" si="128"/>
        <v>0</v>
      </c>
      <c r="Q114" s="157">
        <f t="shared" si="128"/>
        <v>0</v>
      </c>
      <c r="R114" s="158">
        <f t="shared" si="128"/>
        <v>0</v>
      </c>
      <c r="S114" s="158">
        <f t="shared" si="128"/>
        <v>0</v>
      </c>
      <c r="T114" s="158"/>
      <c r="U114" s="158">
        <f t="shared" ref="U114:X114" si="129">SUM(U113)</f>
        <v>0</v>
      </c>
      <c r="V114" s="157">
        <f t="shared" si="129"/>
        <v>0</v>
      </c>
      <c r="W114" s="158">
        <f t="shared" si="129"/>
        <v>0</v>
      </c>
      <c r="X114" s="158">
        <f t="shared" si="129"/>
        <v>0</v>
      </c>
      <c r="Y114" s="158"/>
      <c r="Z114" s="158">
        <f t="shared" ref="Z114:AC114" si="130">SUM(Z113)</f>
        <v>0</v>
      </c>
      <c r="AA114" s="157">
        <f t="shared" si="130"/>
        <v>0</v>
      </c>
      <c r="AB114" s="158">
        <f t="shared" si="130"/>
        <v>0</v>
      </c>
      <c r="AC114" s="158">
        <f t="shared" si="130"/>
        <v>0</v>
      </c>
      <c r="AD114" s="158"/>
      <c r="AE114" s="158"/>
      <c r="AF114" s="158">
        <f t="shared" ref="AF114:AI114" si="131">SUM(AF113)</f>
        <v>0</v>
      </c>
      <c r="AG114" s="157">
        <f t="shared" si="131"/>
        <v>0</v>
      </c>
      <c r="AH114" s="158">
        <f t="shared" si="131"/>
        <v>0</v>
      </c>
      <c r="AI114" s="158">
        <f t="shared" si="131"/>
        <v>0</v>
      </c>
      <c r="AJ114" s="158"/>
      <c r="AK114" s="158"/>
      <c r="AL114" s="158">
        <f t="shared" ref="AL114:AO114" si="132">SUM(AL113)</f>
        <v>0</v>
      </c>
      <c r="AM114" s="157">
        <f t="shared" si="132"/>
        <v>0</v>
      </c>
      <c r="AN114" s="158">
        <f t="shared" si="132"/>
        <v>0</v>
      </c>
      <c r="AO114" s="158">
        <f t="shared" si="132"/>
        <v>0</v>
      </c>
      <c r="AP114" s="158"/>
      <c r="AQ114" s="158"/>
      <c r="AR114" s="158">
        <f t="shared" ref="AR114:AU114" si="133">SUM(AR113)</f>
        <v>0</v>
      </c>
      <c r="AS114" s="157">
        <f t="shared" si="133"/>
        <v>0</v>
      </c>
      <c r="AT114" s="158">
        <f t="shared" si="133"/>
        <v>0</v>
      </c>
      <c r="AU114" s="158">
        <f t="shared" si="133"/>
        <v>0</v>
      </c>
      <c r="AV114" s="158"/>
      <c r="AW114" s="158">
        <f t="shared" ref="AW114:AZ114" si="134">SUM(AW113)</f>
        <v>0</v>
      </c>
      <c r="AX114" s="157">
        <f t="shared" si="134"/>
        <v>0</v>
      </c>
      <c r="AY114" s="158">
        <f t="shared" si="134"/>
        <v>0</v>
      </c>
      <c r="AZ114" s="158">
        <f t="shared" si="134"/>
        <v>0</v>
      </c>
      <c r="BA114" s="158"/>
      <c r="BB114" s="158">
        <f t="shared" ref="BB114:BE114" si="135">SUM(BB113)</f>
        <v>0</v>
      </c>
      <c r="BC114" s="157">
        <f t="shared" si="135"/>
        <v>0</v>
      </c>
      <c r="BD114" s="158">
        <f t="shared" si="135"/>
        <v>0</v>
      </c>
      <c r="BE114" s="158">
        <f t="shared" si="135"/>
        <v>0</v>
      </c>
      <c r="BF114" s="158"/>
      <c r="BG114" s="158"/>
      <c r="BH114" s="158">
        <f t="shared" ref="BH114:BK114" si="136">SUM(BH113)</f>
        <v>0</v>
      </c>
      <c r="BI114" s="157">
        <f t="shared" si="136"/>
        <v>0</v>
      </c>
      <c r="BJ114" s="158">
        <f t="shared" si="136"/>
        <v>0</v>
      </c>
      <c r="BK114" s="158">
        <f t="shared" si="136"/>
        <v>0</v>
      </c>
      <c r="BL114" s="158"/>
      <c r="BM114" s="158"/>
      <c r="BN114" s="158">
        <f>SUM(BN113)</f>
        <v>0</v>
      </c>
    </row>
    <row r="115" ht="12.75" hidden="1" customHeight="1">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row>
    <row r="116" ht="12.75" hidden="1" customHeight="1">
      <c r="A116" s="147" t="s">
        <v>392</v>
      </c>
      <c r="B116" s="177" t="s">
        <v>406</v>
      </c>
      <c r="C116" s="151" t="s">
        <v>407</v>
      </c>
      <c r="D116" s="152" t="s">
        <v>408</v>
      </c>
      <c r="E116" s="151"/>
      <c r="F116" s="151"/>
      <c r="G116" s="152" t="s">
        <v>305</v>
      </c>
      <c r="H116" s="177" t="s">
        <v>406</v>
      </c>
      <c r="I116" s="151" t="s">
        <v>407</v>
      </c>
      <c r="J116" s="152" t="s">
        <v>408</v>
      </c>
      <c r="K116" s="151"/>
      <c r="L116" s="152" t="s">
        <v>305</v>
      </c>
      <c r="M116" s="177" t="s">
        <v>406</v>
      </c>
      <c r="N116" s="151" t="s">
        <v>407</v>
      </c>
      <c r="O116" s="152" t="s">
        <v>408</v>
      </c>
      <c r="P116" s="152" t="s">
        <v>305</v>
      </c>
      <c r="Q116" s="177" t="s">
        <v>406</v>
      </c>
      <c r="R116" s="151" t="s">
        <v>407</v>
      </c>
      <c r="S116" s="152" t="s">
        <v>408</v>
      </c>
      <c r="T116" s="151"/>
      <c r="U116" s="152" t="s">
        <v>305</v>
      </c>
      <c r="V116" s="177" t="s">
        <v>406</v>
      </c>
      <c r="W116" s="151" t="s">
        <v>407</v>
      </c>
      <c r="X116" s="152" t="s">
        <v>408</v>
      </c>
      <c r="Y116" s="151"/>
      <c r="Z116" s="152" t="s">
        <v>305</v>
      </c>
      <c r="AA116" s="177" t="s">
        <v>406</v>
      </c>
      <c r="AB116" s="151" t="s">
        <v>407</v>
      </c>
      <c r="AC116" s="152" t="s">
        <v>408</v>
      </c>
      <c r="AD116" s="151"/>
      <c r="AE116" s="151"/>
      <c r="AF116" s="152" t="s">
        <v>305</v>
      </c>
      <c r="AG116" s="177" t="s">
        <v>406</v>
      </c>
      <c r="AH116" s="151" t="s">
        <v>407</v>
      </c>
      <c r="AI116" s="152" t="s">
        <v>408</v>
      </c>
      <c r="AJ116" s="151"/>
      <c r="AK116" s="151"/>
      <c r="AL116" s="152" t="s">
        <v>305</v>
      </c>
      <c r="AM116" s="177" t="s">
        <v>406</v>
      </c>
      <c r="AN116" s="151" t="s">
        <v>407</v>
      </c>
      <c r="AO116" s="152" t="s">
        <v>408</v>
      </c>
      <c r="AP116" s="151"/>
      <c r="AQ116" s="151"/>
      <c r="AR116" s="152" t="s">
        <v>305</v>
      </c>
      <c r="AS116" s="177" t="s">
        <v>406</v>
      </c>
      <c r="AT116" s="151" t="s">
        <v>407</v>
      </c>
      <c r="AU116" s="152" t="s">
        <v>408</v>
      </c>
      <c r="AV116" s="151"/>
      <c r="AW116" s="152" t="s">
        <v>305</v>
      </c>
      <c r="AX116" s="177" t="s">
        <v>406</v>
      </c>
      <c r="AY116" s="151" t="s">
        <v>407</v>
      </c>
      <c r="AZ116" s="152" t="s">
        <v>408</v>
      </c>
      <c r="BA116" s="151"/>
      <c r="BB116" s="152" t="s">
        <v>305</v>
      </c>
      <c r="BC116" s="177" t="s">
        <v>406</v>
      </c>
      <c r="BD116" s="151" t="s">
        <v>407</v>
      </c>
      <c r="BE116" s="152" t="s">
        <v>408</v>
      </c>
      <c r="BF116" s="151"/>
      <c r="BG116" s="151"/>
      <c r="BH116" s="152" t="s">
        <v>305</v>
      </c>
      <c r="BI116" s="177" t="s">
        <v>406</v>
      </c>
      <c r="BJ116" s="151" t="s">
        <v>407</v>
      </c>
      <c r="BK116" s="152" t="s">
        <v>408</v>
      </c>
      <c r="BL116" s="151"/>
      <c r="BM116" s="151"/>
      <c r="BN116" s="152" t="s">
        <v>305</v>
      </c>
    </row>
    <row r="117" ht="12.75" hidden="1" customHeight="1">
      <c r="A117" s="147" t="s">
        <v>454</v>
      </c>
      <c r="B117" s="178"/>
      <c r="C117" s="179"/>
      <c r="D117" s="179"/>
      <c r="E117" s="179"/>
      <c r="F117" s="179"/>
      <c r="G117" s="179"/>
      <c r="H117" s="178"/>
      <c r="I117" s="179"/>
      <c r="J117" s="179"/>
      <c r="K117" s="179"/>
      <c r="L117" s="179"/>
      <c r="M117" s="178"/>
      <c r="N117" s="179"/>
      <c r="O117" s="179"/>
      <c r="P117" s="179"/>
      <c r="Q117" s="178"/>
      <c r="R117" s="179"/>
      <c r="S117" s="179"/>
      <c r="T117" s="179"/>
      <c r="U117" s="179"/>
      <c r="V117" s="178"/>
      <c r="W117" s="179"/>
      <c r="X117" s="179"/>
      <c r="Y117" s="179"/>
      <c r="Z117" s="179"/>
      <c r="AA117" s="178"/>
      <c r="AB117" s="179"/>
      <c r="AC117" s="179"/>
      <c r="AD117" s="179"/>
      <c r="AE117" s="179"/>
      <c r="AF117" s="179"/>
      <c r="AG117" s="178"/>
      <c r="AH117" s="179"/>
      <c r="AI117" s="179"/>
      <c r="AJ117" s="179"/>
      <c r="AK117" s="179"/>
      <c r="AL117" s="179"/>
      <c r="AM117" s="178"/>
      <c r="AN117" s="179"/>
      <c r="AO117" s="179"/>
      <c r="AP117" s="179"/>
      <c r="AQ117" s="179"/>
      <c r="AR117" s="179"/>
      <c r="AS117" s="178"/>
      <c r="AT117" s="179"/>
      <c r="AU117" s="179"/>
      <c r="AV117" s="179"/>
      <c r="AW117" s="179"/>
      <c r="AX117" s="178"/>
      <c r="AY117" s="179"/>
      <c r="AZ117" s="179"/>
      <c r="BA117" s="179"/>
      <c r="BB117" s="179"/>
      <c r="BC117" s="178"/>
      <c r="BD117" s="179"/>
      <c r="BE117" s="179"/>
      <c r="BF117" s="179"/>
      <c r="BG117" s="179"/>
      <c r="BH117" s="179"/>
      <c r="BI117" s="178"/>
      <c r="BJ117" s="179"/>
      <c r="BK117" s="179"/>
      <c r="BL117" s="179"/>
      <c r="BM117" s="179"/>
      <c r="BN117" s="179"/>
    </row>
    <row r="118" ht="12.75" hidden="1" customHeight="1">
      <c r="A118" s="153" t="s">
        <v>454</v>
      </c>
      <c r="B118" s="154">
        <v>0.0</v>
      </c>
      <c r="C118" s="155">
        <v>0.0</v>
      </c>
      <c r="D118" s="155">
        <v>0.0</v>
      </c>
      <c r="E118" s="155"/>
      <c r="F118" s="155"/>
      <c r="G118" s="155">
        <f>SUM(C118:E118)</f>
        <v>0</v>
      </c>
      <c r="H118" s="154">
        <v>0.0</v>
      </c>
      <c r="I118" s="155">
        <v>0.0</v>
      </c>
      <c r="J118" s="155">
        <v>0.0</v>
      </c>
      <c r="K118" s="155"/>
      <c r="L118" s="155">
        <f>SUM(I118:K118)</f>
        <v>0</v>
      </c>
      <c r="M118" s="154">
        <v>0.0</v>
      </c>
      <c r="N118" s="155">
        <v>0.0</v>
      </c>
      <c r="O118" s="155">
        <v>0.0</v>
      </c>
      <c r="P118" s="155">
        <f>SUM(N118:O118)</f>
        <v>0</v>
      </c>
      <c r="Q118" s="154">
        <v>0.0</v>
      </c>
      <c r="R118" s="155">
        <v>0.0</v>
      </c>
      <c r="S118" s="155">
        <v>0.0</v>
      </c>
      <c r="T118" s="155"/>
      <c r="U118" s="155">
        <f>SUM(R118:T118)</f>
        <v>0</v>
      </c>
      <c r="V118" s="154">
        <v>0.0</v>
      </c>
      <c r="W118" s="155">
        <v>0.0</v>
      </c>
      <c r="X118" s="155">
        <v>0.0</v>
      </c>
      <c r="Y118" s="155"/>
      <c r="Z118" s="155">
        <f>SUM(W118:Y118)</f>
        <v>0</v>
      </c>
      <c r="AA118" s="154">
        <v>0.0</v>
      </c>
      <c r="AB118" s="155">
        <v>0.0</v>
      </c>
      <c r="AC118" s="155">
        <v>0.0</v>
      </c>
      <c r="AD118" s="155"/>
      <c r="AE118" s="155"/>
      <c r="AF118" s="155">
        <f>SUM(AB118:AD118)</f>
        <v>0</v>
      </c>
      <c r="AG118" s="154">
        <v>0.0</v>
      </c>
      <c r="AH118" s="155">
        <v>0.0</v>
      </c>
      <c r="AI118" s="155">
        <v>0.0</v>
      </c>
      <c r="AJ118" s="155"/>
      <c r="AK118" s="155"/>
      <c r="AL118" s="155">
        <f>SUM(AH118:AJ118)</f>
        <v>0</v>
      </c>
      <c r="AM118" s="154">
        <v>0.0</v>
      </c>
      <c r="AN118" s="155">
        <v>0.0</v>
      </c>
      <c r="AO118" s="155">
        <v>0.0</v>
      </c>
      <c r="AP118" s="155"/>
      <c r="AQ118" s="155"/>
      <c r="AR118" s="155">
        <f>SUM(AN118:AP118)</f>
        <v>0</v>
      </c>
      <c r="AS118" s="154">
        <v>0.0</v>
      </c>
      <c r="AT118" s="155">
        <v>0.0</v>
      </c>
      <c r="AU118" s="155">
        <v>0.0</v>
      </c>
      <c r="AV118" s="155"/>
      <c r="AW118" s="155">
        <f>SUM(AT118:AV118)</f>
        <v>0</v>
      </c>
      <c r="AX118" s="154">
        <v>0.0</v>
      </c>
      <c r="AY118" s="155">
        <v>0.0</v>
      </c>
      <c r="AZ118" s="155">
        <v>0.0</v>
      </c>
      <c r="BA118" s="155"/>
      <c r="BB118" s="155">
        <f>SUM(AY118:BA118)</f>
        <v>0</v>
      </c>
      <c r="BC118" s="154">
        <v>0.0</v>
      </c>
      <c r="BD118" s="155">
        <v>0.0</v>
      </c>
      <c r="BE118" s="155">
        <v>0.0</v>
      </c>
      <c r="BF118" s="155"/>
      <c r="BG118" s="155"/>
      <c r="BH118" s="155">
        <f>SUM(BD118:BG118)</f>
        <v>0</v>
      </c>
      <c r="BI118" s="154">
        <v>0.0</v>
      </c>
      <c r="BJ118" s="155">
        <v>0.0</v>
      </c>
      <c r="BK118" s="155">
        <v>0.0</v>
      </c>
      <c r="BL118" s="155"/>
      <c r="BM118" s="155"/>
      <c r="BN118" s="155">
        <f>SUM(BJ118:BM118)</f>
        <v>0</v>
      </c>
    </row>
    <row r="119" ht="12.75" hidden="1" customHeight="1">
      <c r="A119" s="147" t="s">
        <v>416</v>
      </c>
      <c r="B119" s="157">
        <f t="shared" ref="B119:D119" si="137">SUM(B118)</f>
        <v>0</v>
      </c>
      <c r="C119" s="158">
        <f t="shared" si="137"/>
        <v>0</v>
      </c>
      <c r="D119" s="158">
        <f t="shared" si="137"/>
        <v>0</v>
      </c>
      <c r="E119" s="158"/>
      <c r="F119" s="158"/>
      <c r="G119" s="158">
        <f t="shared" ref="G119:J119" si="138">SUM(G118)</f>
        <v>0</v>
      </c>
      <c r="H119" s="157">
        <f t="shared" si="138"/>
        <v>0</v>
      </c>
      <c r="I119" s="158">
        <f t="shared" si="138"/>
        <v>0</v>
      </c>
      <c r="J119" s="158">
        <f t="shared" si="138"/>
        <v>0</v>
      </c>
      <c r="K119" s="158"/>
      <c r="L119" s="158">
        <f t="shared" ref="L119:S119" si="139">SUM(L118)</f>
        <v>0</v>
      </c>
      <c r="M119" s="157">
        <f t="shared" si="139"/>
        <v>0</v>
      </c>
      <c r="N119" s="158">
        <f t="shared" si="139"/>
        <v>0</v>
      </c>
      <c r="O119" s="158">
        <f t="shared" si="139"/>
        <v>0</v>
      </c>
      <c r="P119" s="158">
        <f t="shared" si="139"/>
        <v>0</v>
      </c>
      <c r="Q119" s="157">
        <f t="shared" si="139"/>
        <v>0</v>
      </c>
      <c r="R119" s="158">
        <f t="shared" si="139"/>
        <v>0</v>
      </c>
      <c r="S119" s="158">
        <f t="shared" si="139"/>
        <v>0</v>
      </c>
      <c r="T119" s="158"/>
      <c r="U119" s="158">
        <f t="shared" ref="U119:X119" si="140">SUM(U118)</f>
        <v>0</v>
      </c>
      <c r="V119" s="157">
        <f t="shared" si="140"/>
        <v>0</v>
      </c>
      <c r="W119" s="158">
        <f t="shared" si="140"/>
        <v>0</v>
      </c>
      <c r="X119" s="158">
        <f t="shared" si="140"/>
        <v>0</v>
      </c>
      <c r="Y119" s="158"/>
      <c r="Z119" s="158">
        <f t="shared" ref="Z119:AC119" si="141">SUM(Z118)</f>
        <v>0</v>
      </c>
      <c r="AA119" s="157">
        <f t="shared" si="141"/>
        <v>0</v>
      </c>
      <c r="AB119" s="158">
        <f t="shared" si="141"/>
        <v>0</v>
      </c>
      <c r="AC119" s="158">
        <f t="shared" si="141"/>
        <v>0</v>
      </c>
      <c r="AD119" s="158"/>
      <c r="AE119" s="158"/>
      <c r="AF119" s="158">
        <f t="shared" ref="AF119:AI119" si="142">SUM(AF118)</f>
        <v>0</v>
      </c>
      <c r="AG119" s="157">
        <f t="shared" si="142"/>
        <v>0</v>
      </c>
      <c r="AH119" s="158">
        <f t="shared" si="142"/>
        <v>0</v>
      </c>
      <c r="AI119" s="158">
        <f t="shared" si="142"/>
        <v>0</v>
      </c>
      <c r="AJ119" s="158"/>
      <c r="AK119" s="158"/>
      <c r="AL119" s="158">
        <f t="shared" ref="AL119:AO119" si="143">SUM(AL118)</f>
        <v>0</v>
      </c>
      <c r="AM119" s="157">
        <f t="shared" si="143"/>
        <v>0</v>
      </c>
      <c r="AN119" s="158">
        <f t="shared" si="143"/>
        <v>0</v>
      </c>
      <c r="AO119" s="158">
        <f t="shared" si="143"/>
        <v>0</v>
      </c>
      <c r="AP119" s="158"/>
      <c r="AQ119" s="158"/>
      <c r="AR119" s="158">
        <f t="shared" ref="AR119:AU119" si="144">SUM(AR118)</f>
        <v>0</v>
      </c>
      <c r="AS119" s="157">
        <f t="shared" si="144"/>
        <v>0</v>
      </c>
      <c r="AT119" s="158">
        <f t="shared" si="144"/>
        <v>0</v>
      </c>
      <c r="AU119" s="158">
        <f t="shared" si="144"/>
        <v>0</v>
      </c>
      <c r="AV119" s="158"/>
      <c r="AW119" s="158">
        <f t="shared" ref="AW119:AZ119" si="145">SUM(AW118)</f>
        <v>0</v>
      </c>
      <c r="AX119" s="157">
        <f t="shared" si="145"/>
        <v>0</v>
      </c>
      <c r="AY119" s="158">
        <f t="shared" si="145"/>
        <v>0</v>
      </c>
      <c r="AZ119" s="158">
        <f t="shared" si="145"/>
        <v>0</v>
      </c>
      <c r="BA119" s="158"/>
      <c r="BB119" s="158">
        <f t="shared" ref="BB119:BE119" si="146">SUM(BB118)</f>
        <v>0</v>
      </c>
      <c r="BC119" s="157">
        <f t="shared" si="146"/>
        <v>0</v>
      </c>
      <c r="BD119" s="158">
        <f t="shared" si="146"/>
        <v>0</v>
      </c>
      <c r="BE119" s="158">
        <f t="shared" si="146"/>
        <v>0</v>
      </c>
      <c r="BF119" s="158"/>
      <c r="BG119" s="158"/>
      <c r="BH119" s="158">
        <f t="shared" ref="BH119:BK119" si="147">SUM(BH118)</f>
        <v>0</v>
      </c>
      <c r="BI119" s="157">
        <f t="shared" si="147"/>
        <v>0</v>
      </c>
      <c r="BJ119" s="158">
        <f t="shared" si="147"/>
        <v>0</v>
      </c>
      <c r="BK119" s="158">
        <f t="shared" si="147"/>
        <v>0</v>
      </c>
      <c r="BL119" s="158"/>
      <c r="BM119" s="158"/>
      <c r="BN119" s="158">
        <f>SUM(BN118)</f>
        <v>0</v>
      </c>
    </row>
    <row r="120" ht="12.75" hidden="1" customHeight="1">
      <c r="A120" s="180"/>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59"/>
      <c r="AT120" s="159"/>
      <c r="AU120" s="159"/>
      <c r="AV120" s="159"/>
      <c r="AW120" s="159"/>
      <c r="AX120" s="159"/>
      <c r="AY120" s="159"/>
      <c r="AZ120" s="159"/>
      <c r="BA120" s="159"/>
      <c r="BB120" s="159"/>
      <c r="BC120" s="159"/>
      <c r="BD120" s="159"/>
      <c r="BE120" s="159"/>
      <c r="BF120" s="159"/>
      <c r="BG120" s="159"/>
      <c r="BH120" s="159"/>
      <c r="BI120" s="159"/>
      <c r="BJ120" s="159"/>
      <c r="BK120" s="159"/>
      <c r="BL120" s="159"/>
      <c r="BM120" s="159"/>
      <c r="BN120" s="159"/>
    </row>
    <row r="121" ht="12.75" customHeight="1">
      <c r="A121" s="147" t="s">
        <v>392</v>
      </c>
      <c r="B121" s="177" t="s">
        <v>406</v>
      </c>
      <c r="C121" s="151" t="s">
        <v>407</v>
      </c>
      <c r="D121" s="152" t="s">
        <v>408</v>
      </c>
      <c r="E121" s="151" t="s">
        <v>409</v>
      </c>
      <c r="F121" s="151" t="s">
        <v>410</v>
      </c>
      <c r="G121" s="152" t="s">
        <v>305</v>
      </c>
      <c r="H121" s="177" t="s">
        <v>406</v>
      </c>
      <c r="I121" s="151" t="s">
        <v>407</v>
      </c>
      <c r="J121" s="152" t="s">
        <v>408</v>
      </c>
      <c r="K121" s="151" t="s">
        <v>409</v>
      </c>
      <c r="L121" s="152" t="s">
        <v>305</v>
      </c>
      <c r="M121" s="177" t="s">
        <v>406</v>
      </c>
      <c r="N121" s="151" t="s">
        <v>407</v>
      </c>
      <c r="O121" s="152" t="s">
        <v>408</v>
      </c>
      <c r="P121" s="152" t="s">
        <v>305</v>
      </c>
      <c r="Q121" s="177" t="s">
        <v>406</v>
      </c>
      <c r="R121" s="151" t="s">
        <v>407</v>
      </c>
      <c r="S121" s="152" t="s">
        <v>408</v>
      </c>
      <c r="T121" s="151" t="s">
        <v>409</v>
      </c>
      <c r="U121" s="152" t="s">
        <v>305</v>
      </c>
      <c r="V121" s="177" t="s">
        <v>406</v>
      </c>
      <c r="W121" s="151" t="s">
        <v>407</v>
      </c>
      <c r="X121" s="152" t="s">
        <v>408</v>
      </c>
      <c r="Y121" s="151" t="s">
        <v>409</v>
      </c>
      <c r="Z121" s="152" t="s">
        <v>305</v>
      </c>
      <c r="AA121" s="177" t="s">
        <v>406</v>
      </c>
      <c r="AB121" s="151" t="s">
        <v>407</v>
      </c>
      <c r="AC121" s="152" t="s">
        <v>408</v>
      </c>
      <c r="AD121" s="151" t="s">
        <v>409</v>
      </c>
      <c r="AE121" s="151" t="s">
        <v>411</v>
      </c>
      <c r="AF121" s="152" t="s">
        <v>305</v>
      </c>
      <c r="AG121" s="177" t="s">
        <v>406</v>
      </c>
      <c r="AH121" s="151" t="s">
        <v>407</v>
      </c>
      <c r="AI121" s="152" t="s">
        <v>408</v>
      </c>
      <c r="AJ121" s="151" t="s">
        <v>409</v>
      </c>
      <c r="AK121" s="151" t="s">
        <v>411</v>
      </c>
      <c r="AL121" s="152" t="s">
        <v>305</v>
      </c>
      <c r="AM121" s="177" t="s">
        <v>406</v>
      </c>
      <c r="AN121" s="151" t="s">
        <v>407</v>
      </c>
      <c r="AO121" s="152" t="s">
        <v>408</v>
      </c>
      <c r="AP121" s="151" t="s">
        <v>409</v>
      </c>
      <c r="AQ121" s="151" t="s">
        <v>411</v>
      </c>
      <c r="AR121" s="152" t="s">
        <v>305</v>
      </c>
      <c r="AS121" s="177" t="s">
        <v>406</v>
      </c>
      <c r="AT121" s="151" t="s">
        <v>407</v>
      </c>
      <c r="AU121" s="152" t="s">
        <v>408</v>
      </c>
      <c r="AV121" s="151" t="s">
        <v>409</v>
      </c>
      <c r="AW121" s="152" t="s">
        <v>305</v>
      </c>
      <c r="AX121" s="177" t="s">
        <v>406</v>
      </c>
      <c r="AY121" s="151" t="s">
        <v>407</v>
      </c>
      <c r="AZ121" s="152" t="s">
        <v>408</v>
      </c>
      <c r="BA121" s="151" t="s">
        <v>409</v>
      </c>
      <c r="BB121" s="152" t="s">
        <v>305</v>
      </c>
      <c r="BC121" s="177" t="s">
        <v>406</v>
      </c>
      <c r="BD121" s="151" t="s">
        <v>407</v>
      </c>
      <c r="BE121" s="152" t="s">
        <v>408</v>
      </c>
      <c r="BF121" s="151" t="s">
        <v>412</v>
      </c>
      <c r="BG121" s="151" t="s">
        <v>409</v>
      </c>
      <c r="BH121" s="152" t="s">
        <v>305</v>
      </c>
      <c r="BI121" s="177" t="s">
        <v>406</v>
      </c>
      <c r="BJ121" s="151" t="s">
        <v>407</v>
      </c>
      <c r="BK121" s="152" t="s">
        <v>408</v>
      </c>
      <c r="BL121" s="151" t="s">
        <v>412</v>
      </c>
      <c r="BM121" s="151" t="s">
        <v>409</v>
      </c>
      <c r="BN121" s="152" t="s">
        <v>305</v>
      </c>
    </row>
    <row r="122" ht="12.75" customHeight="1">
      <c r="A122" s="147" t="s">
        <v>455</v>
      </c>
      <c r="B122" s="178"/>
      <c r="C122" s="155"/>
      <c r="D122" s="179"/>
      <c r="E122" s="179"/>
      <c r="F122" s="179"/>
      <c r="G122" s="179"/>
      <c r="H122" s="178"/>
      <c r="I122" s="155"/>
      <c r="J122" s="179"/>
      <c r="K122" s="179"/>
      <c r="L122" s="179"/>
      <c r="M122" s="178"/>
      <c r="N122" s="155"/>
      <c r="O122" s="179"/>
      <c r="P122" s="179"/>
      <c r="Q122" s="178"/>
      <c r="R122" s="155"/>
      <c r="S122" s="179"/>
      <c r="T122" s="179"/>
      <c r="U122" s="179"/>
      <c r="V122" s="178"/>
      <c r="W122" s="155"/>
      <c r="X122" s="179"/>
      <c r="Y122" s="179"/>
      <c r="Z122" s="179"/>
      <c r="AA122" s="178"/>
      <c r="AB122" s="155"/>
      <c r="AC122" s="179"/>
      <c r="AD122" s="179"/>
      <c r="AE122" s="179"/>
      <c r="AF122" s="179"/>
      <c r="AG122" s="178"/>
      <c r="AH122" s="155"/>
      <c r="AI122" s="179"/>
      <c r="AJ122" s="179"/>
      <c r="AK122" s="179"/>
      <c r="AL122" s="179"/>
      <c r="AM122" s="178"/>
      <c r="AN122" s="155"/>
      <c r="AO122" s="179"/>
      <c r="AP122" s="179"/>
      <c r="AQ122" s="179"/>
      <c r="AR122" s="179"/>
      <c r="AS122" s="178"/>
      <c r="AT122" s="155"/>
      <c r="AU122" s="179"/>
      <c r="AV122" s="179"/>
      <c r="AW122" s="179"/>
      <c r="AX122" s="178"/>
      <c r="AY122" s="155"/>
      <c r="AZ122" s="179"/>
      <c r="BA122" s="179"/>
      <c r="BB122" s="179"/>
      <c r="BC122" s="178"/>
      <c r="BD122" s="155"/>
      <c r="BE122" s="179"/>
      <c r="BF122" s="179"/>
      <c r="BG122" s="179"/>
      <c r="BH122" s="179"/>
      <c r="BI122" s="178"/>
      <c r="BJ122" s="155"/>
      <c r="BK122" s="179"/>
      <c r="BL122" s="179"/>
      <c r="BM122" s="179"/>
      <c r="BN122" s="179"/>
    </row>
    <row r="123" ht="12.75" customHeight="1">
      <c r="A123" s="180" t="s">
        <v>456</v>
      </c>
      <c r="B123" s="154">
        <v>2.0</v>
      </c>
      <c r="C123" s="155">
        <v>7610770.4399999995</v>
      </c>
      <c r="D123" s="155">
        <v>0.0</v>
      </c>
      <c r="E123" s="155">
        <v>0.0</v>
      </c>
      <c r="F123" s="155">
        <v>240000.0</v>
      </c>
      <c r="G123" s="155">
        <f t="shared" ref="G123:G136" si="148">SUM(C123:F123)</f>
        <v>7850770.44</v>
      </c>
      <c r="H123" s="154">
        <v>2.0</v>
      </c>
      <c r="I123" s="155">
        <v>7629778.169999998</v>
      </c>
      <c r="J123" s="155">
        <v>0.0</v>
      </c>
      <c r="K123" s="155">
        <v>0.0</v>
      </c>
      <c r="L123" s="155">
        <f t="shared" ref="L123:L136" si="149">SUM(I123:K123)</f>
        <v>7629778.17</v>
      </c>
      <c r="M123" s="154">
        <v>2.0</v>
      </c>
      <c r="N123" s="155">
        <v>7366471.199999998</v>
      </c>
      <c r="O123" s="155">
        <v>0.0</v>
      </c>
      <c r="P123" s="155">
        <f t="shared" ref="P123:P136" si="150">SUM(N123:O123)</f>
        <v>7366471.2</v>
      </c>
      <c r="Q123" s="154">
        <v>2.0</v>
      </c>
      <c r="R123" s="155">
        <v>3.233780113E7</v>
      </c>
      <c r="S123" s="155">
        <v>0.0</v>
      </c>
      <c r="T123" s="155">
        <v>1019260.24</v>
      </c>
      <c r="U123" s="155">
        <f t="shared" ref="U123:U136" si="151">SUM(R123:T123)</f>
        <v>33357061.37</v>
      </c>
      <c r="V123" s="154">
        <v>1.0</v>
      </c>
      <c r="W123" s="155">
        <v>6308910.499999999</v>
      </c>
      <c r="X123" s="155">
        <v>0.0</v>
      </c>
      <c r="Y123" s="155">
        <v>0.0</v>
      </c>
      <c r="Z123" s="155">
        <f t="shared" ref="Z123:Z136" si="152">SUM(W123:Y123)</f>
        <v>6308910.5</v>
      </c>
      <c r="AA123" s="154">
        <v>1.0</v>
      </c>
      <c r="AB123" s="155">
        <v>6226976.37</v>
      </c>
      <c r="AC123" s="155">
        <v>0.0</v>
      </c>
      <c r="AD123" s="155">
        <v>3154454.95</v>
      </c>
      <c r="AE123" s="155">
        <v>50000.0</v>
      </c>
      <c r="AF123" s="155">
        <f t="shared" ref="AF123:AF136" si="153">SUM(AB123:AE123)</f>
        <v>9431431.32</v>
      </c>
      <c r="AG123" s="154">
        <v>1.0</v>
      </c>
      <c r="AH123" s="155">
        <v>6485179.71</v>
      </c>
      <c r="AI123" s="155">
        <v>0.0</v>
      </c>
      <c r="AJ123" s="155">
        <v>0.0</v>
      </c>
      <c r="AK123" s="155">
        <v>50000.0</v>
      </c>
      <c r="AL123" s="155">
        <f t="shared" ref="AL123:AL136" si="154">SUM(AH123:AK123)</f>
        <v>6535179.71</v>
      </c>
      <c r="AM123" s="154">
        <v>1.0</v>
      </c>
      <c r="AN123" s="155">
        <v>6677899.0</v>
      </c>
      <c r="AO123" s="155">
        <v>0.0</v>
      </c>
      <c r="AP123" s="155">
        <v>0.0</v>
      </c>
      <c r="AQ123" s="155">
        <v>160000.0</v>
      </c>
      <c r="AR123" s="155">
        <f t="shared" ref="AR123:AR136" si="155">SUM(AN123:AQ123)</f>
        <v>6837899</v>
      </c>
      <c r="AS123" s="154">
        <v>1.0</v>
      </c>
      <c r="AT123" s="155">
        <v>7255345.830000001</v>
      </c>
      <c r="AU123" s="155">
        <v>0.0</v>
      </c>
      <c r="AV123" s="155">
        <v>0.0</v>
      </c>
      <c r="AW123" s="155">
        <f t="shared" ref="AW123:AW136" si="156">SUM(AT123:AV123)</f>
        <v>7255345.83</v>
      </c>
      <c r="AX123" s="154">
        <v>1.0</v>
      </c>
      <c r="AY123" s="155">
        <v>1.2483081219999999E7</v>
      </c>
      <c r="AZ123" s="155">
        <v>0.0</v>
      </c>
      <c r="BA123" s="155">
        <v>0.0</v>
      </c>
      <c r="BB123" s="155">
        <f t="shared" ref="BB123:BB136" si="157">SUM(AY123:BA123)</f>
        <v>12483081.22</v>
      </c>
      <c r="BC123" s="154">
        <v>1.0</v>
      </c>
      <c r="BD123" s="155">
        <v>6968210.31</v>
      </c>
      <c r="BE123" s="155">
        <v>0.0</v>
      </c>
      <c r="BF123" s="155">
        <v>50000.0</v>
      </c>
      <c r="BG123" s="155">
        <v>0.0</v>
      </c>
      <c r="BH123" s="155">
        <f t="shared" ref="BH123:BH136" si="158">SUM(BD123:BG123)</f>
        <v>7018210.31</v>
      </c>
      <c r="BI123" s="154">
        <v>1.0</v>
      </c>
      <c r="BJ123" s="155">
        <v>6990986.58</v>
      </c>
      <c r="BK123" s="155"/>
      <c r="BL123" s="155"/>
      <c r="BM123" s="155">
        <v>3627672.67</v>
      </c>
      <c r="BN123" s="155">
        <f t="shared" ref="BN123:BN136" si="159">SUM(BJ123:BM123)</f>
        <v>10618659.25</v>
      </c>
    </row>
    <row r="124" ht="12.75" customHeight="1">
      <c r="A124" s="153" t="s">
        <v>457</v>
      </c>
      <c r="B124" s="154">
        <v>3.0</v>
      </c>
      <c r="C124" s="155">
        <v>8321569.739999997</v>
      </c>
      <c r="D124" s="155">
        <v>0.0</v>
      </c>
      <c r="E124" s="155">
        <v>0.0</v>
      </c>
      <c r="F124" s="155">
        <v>360000.0</v>
      </c>
      <c r="G124" s="155">
        <f t="shared" si="148"/>
        <v>8681569.74</v>
      </c>
      <c r="H124" s="154">
        <v>3.0</v>
      </c>
      <c r="I124" s="155">
        <v>7718868.08</v>
      </c>
      <c r="J124" s="155">
        <v>0.0</v>
      </c>
      <c r="K124" s="155">
        <v>0.0</v>
      </c>
      <c r="L124" s="155">
        <f t="shared" si="149"/>
        <v>7718868.08</v>
      </c>
      <c r="M124" s="154">
        <v>3.0</v>
      </c>
      <c r="N124" s="155">
        <v>7755810.980000001</v>
      </c>
      <c r="O124" s="155">
        <v>0.0</v>
      </c>
      <c r="P124" s="155">
        <f t="shared" si="150"/>
        <v>7755810.98</v>
      </c>
      <c r="Q124" s="154">
        <v>3.0</v>
      </c>
      <c r="R124" s="155">
        <v>7829316.16</v>
      </c>
      <c r="S124" s="155">
        <v>0.0</v>
      </c>
      <c r="T124" s="155">
        <v>0.0</v>
      </c>
      <c r="U124" s="155">
        <f t="shared" si="151"/>
        <v>7829316.16</v>
      </c>
      <c r="V124" s="154">
        <v>3.0</v>
      </c>
      <c r="W124" s="155">
        <v>9.409129512E7</v>
      </c>
      <c r="X124" s="155">
        <v>0.0</v>
      </c>
      <c r="Y124" s="155">
        <v>3810394.95</v>
      </c>
      <c r="Z124" s="155">
        <f t="shared" si="152"/>
        <v>97901690.07</v>
      </c>
      <c r="AA124" s="154">
        <v>3.0</v>
      </c>
      <c r="AB124" s="155">
        <v>0.0</v>
      </c>
      <c r="AC124" s="155">
        <v>0.0</v>
      </c>
      <c r="AD124" s="155">
        <v>0.0</v>
      </c>
      <c r="AE124" s="155"/>
      <c r="AF124" s="155">
        <f t="shared" si="153"/>
        <v>0</v>
      </c>
      <c r="AG124" s="154">
        <v>3.0</v>
      </c>
      <c r="AH124" s="155">
        <v>0.0</v>
      </c>
      <c r="AI124" s="155">
        <v>0.0</v>
      </c>
      <c r="AJ124" s="155">
        <v>0.0</v>
      </c>
      <c r="AK124" s="155">
        <v>0.0</v>
      </c>
      <c r="AL124" s="155">
        <f t="shared" si="154"/>
        <v>0</v>
      </c>
      <c r="AM124" s="154">
        <v>0.0</v>
      </c>
      <c r="AN124" s="155">
        <v>0.0</v>
      </c>
      <c r="AO124" s="155">
        <v>0.0</v>
      </c>
      <c r="AP124" s="155">
        <v>0.0</v>
      </c>
      <c r="AQ124" s="155">
        <v>0.0</v>
      </c>
      <c r="AR124" s="155">
        <f t="shared" si="155"/>
        <v>0</v>
      </c>
      <c r="AS124" s="154">
        <v>0.0</v>
      </c>
      <c r="AT124" s="155">
        <v>0.0</v>
      </c>
      <c r="AU124" s="155">
        <v>0.0</v>
      </c>
      <c r="AV124" s="155">
        <v>0.0</v>
      </c>
      <c r="AW124" s="155">
        <f t="shared" si="156"/>
        <v>0</v>
      </c>
      <c r="AX124" s="154">
        <v>0.0</v>
      </c>
      <c r="AY124" s="155">
        <v>0.0</v>
      </c>
      <c r="AZ124" s="155">
        <v>0.0</v>
      </c>
      <c r="BA124" s="155">
        <v>0.0</v>
      </c>
      <c r="BB124" s="155">
        <f t="shared" si="157"/>
        <v>0</v>
      </c>
      <c r="BC124" s="154">
        <v>0.0</v>
      </c>
      <c r="BD124" s="155">
        <v>0.0</v>
      </c>
      <c r="BE124" s="155">
        <v>0.0</v>
      </c>
      <c r="BF124" s="155"/>
      <c r="BG124" s="155">
        <v>0.0</v>
      </c>
      <c r="BH124" s="155">
        <f t="shared" si="158"/>
        <v>0</v>
      </c>
      <c r="BI124" s="154">
        <v>0.0</v>
      </c>
      <c r="BJ124" s="155"/>
      <c r="BK124" s="155"/>
      <c r="BL124" s="155"/>
      <c r="BM124" s="155"/>
      <c r="BN124" s="155">
        <f t="shared" si="159"/>
        <v>0</v>
      </c>
    </row>
    <row r="125" ht="15.75" customHeight="1">
      <c r="A125" s="180" t="s">
        <v>458</v>
      </c>
      <c r="B125" s="154">
        <v>4.0</v>
      </c>
      <c r="C125" s="155">
        <v>1.0661353129999997E7</v>
      </c>
      <c r="D125" s="155">
        <v>0.0</v>
      </c>
      <c r="E125" s="155">
        <v>0.0</v>
      </c>
      <c r="F125" s="155">
        <v>480000.0</v>
      </c>
      <c r="G125" s="155">
        <f t="shared" si="148"/>
        <v>11141353.13</v>
      </c>
      <c r="H125" s="154">
        <v>4.0</v>
      </c>
      <c r="I125" s="155">
        <v>9045600.589999998</v>
      </c>
      <c r="J125" s="155">
        <v>0.0</v>
      </c>
      <c r="K125" s="155">
        <v>0.0</v>
      </c>
      <c r="L125" s="155">
        <f t="shared" si="149"/>
        <v>9045600.59</v>
      </c>
      <c r="M125" s="154">
        <v>4.0</v>
      </c>
      <c r="N125" s="155">
        <v>9573925.1</v>
      </c>
      <c r="O125" s="155">
        <v>0.0</v>
      </c>
      <c r="P125" s="155">
        <f t="shared" si="150"/>
        <v>9573925.1</v>
      </c>
      <c r="Q125" s="154">
        <v>4.0</v>
      </c>
      <c r="R125" s="155">
        <v>9634773.75</v>
      </c>
      <c r="S125" s="155">
        <v>0.0</v>
      </c>
      <c r="T125" s="155">
        <v>0.0</v>
      </c>
      <c r="U125" s="155">
        <f t="shared" si="151"/>
        <v>9634773.75</v>
      </c>
      <c r="V125" s="154">
        <v>4.0</v>
      </c>
      <c r="W125" s="155">
        <v>1.0593380719999999E7</v>
      </c>
      <c r="X125" s="155">
        <v>0.0</v>
      </c>
      <c r="Y125" s="155">
        <v>0.0</v>
      </c>
      <c r="Z125" s="155">
        <f t="shared" si="152"/>
        <v>10593380.72</v>
      </c>
      <c r="AA125" s="154">
        <v>4.0</v>
      </c>
      <c r="AB125" s="155">
        <v>1.046377429E7</v>
      </c>
      <c r="AC125" s="155">
        <v>0.0</v>
      </c>
      <c r="AD125" s="155">
        <v>5339969.74</v>
      </c>
      <c r="AE125" s="155">
        <v>200000.0</v>
      </c>
      <c r="AF125" s="155">
        <f t="shared" si="153"/>
        <v>16003744.03</v>
      </c>
      <c r="AG125" s="154">
        <v>4.0</v>
      </c>
      <c r="AH125" s="155">
        <v>1.1998396719999999E7</v>
      </c>
      <c r="AI125" s="155">
        <v>0.0</v>
      </c>
      <c r="AJ125" s="155">
        <v>317588.5</v>
      </c>
      <c r="AK125" s="155">
        <v>200000.0</v>
      </c>
      <c r="AL125" s="155">
        <f t="shared" si="154"/>
        <v>12515985.22</v>
      </c>
      <c r="AM125" s="154">
        <v>3.0</v>
      </c>
      <c r="AN125" s="155">
        <v>9049505.540000001</v>
      </c>
      <c r="AO125" s="155">
        <v>0.0</v>
      </c>
      <c r="AP125" s="155">
        <v>0.0</v>
      </c>
      <c r="AQ125" s="155">
        <v>320000.0</v>
      </c>
      <c r="AR125" s="155">
        <f t="shared" si="155"/>
        <v>9369505.54</v>
      </c>
      <c r="AS125" s="154">
        <v>3.0</v>
      </c>
      <c r="AT125" s="155">
        <v>9345372.19</v>
      </c>
      <c r="AU125" s="155">
        <v>0.0</v>
      </c>
      <c r="AV125" s="155">
        <v>0.0</v>
      </c>
      <c r="AW125" s="155">
        <f t="shared" si="156"/>
        <v>9345372.19</v>
      </c>
      <c r="AX125" s="154">
        <v>3.0</v>
      </c>
      <c r="AY125" s="155">
        <v>1.726959552E7</v>
      </c>
      <c r="AZ125" s="155">
        <v>0.0</v>
      </c>
      <c r="BA125" s="155">
        <v>0.0</v>
      </c>
      <c r="BB125" s="155">
        <f t="shared" si="157"/>
        <v>17269595.52</v>
      </c>
      <c r="BC125" s="154">
        <v>3.0</v>
      </c>
      <c r="BD125" s="155">
        <v>9600906.44</v>
      </c>
      <c r="BE125" s="155">
        <v>0.0</v>
      </c>
      <c r="BF125" s="155">
        <v>150000.0</v>
      </c>
      <c r="BG125" s="155">
        <v>0.0</v>
      </c>
      <c r="BH125" s="155">
        <f t="shared" si="158"/>
        <v>9750906.44</v>
      </c>
      <c r="BI125" s="154">
        <v>2.0</v>
      </c>
      <c r="BJ125" s="155">
        <v>1.043137011E7</v>
      </c>
      <c r="BK125" s="155"/>
      <c r="BL125" s="155"/>
      <c r="BM125" s="155">
        <v>5215685.05</v>
      </c>
      <c r="BN125" s="155">
        <f t="shared" si="159"/>
        <v>15647055.16</v>
      </c>
    </row>
    <row r="126" ht="12.75" customHeight="1">
      <c r="A126" s="180" t="s">
        <v>459</v>
      </c>
      <c r="B126" s="154">
        <v>4.0</v>
      </c>
      <c r="C126" s="155">
        <v>1.159487926E7</v>
      </c>
      <c r="D126" s="155">
        <v>0.0</v>
      </c>
      <c r="E126" s="155">
        <v>0.0</v>
      </c>
      <c r="F126" s="155">
        <v>480000.0</v>
      </c>
      <c r="G126" s="155">
        <f t="shared" si="148"/>
        <v>12074879.26</v>
      </c>
      <c r="H126" s="154">
        <v>4.0</v>
      </c>
      <c r="I126" s="155">
        <v>1.088087549E7</v>
      </c>
      <c r="J126" s="155">
        <v>0.0</v>
      </c>
      <c r="K126" s="155">
        <v>0.0</v>
      </c>
      <c r="L126" s="155">
        <f t="shared" si="149"/>
        <v>10880875.49</v>
      </c>
      <c r="M126" s="154">
        <v>4.0</v>
      </c>
      <c r="N126" s="155">
        <v>1.1522961689999998E7</v>
      </c>
      <c r="O126" s="155">
        <v>0.0</v>
      </c>
      <c r="P126" s="155">
        <f t="shared" si="150"/>
        <v>11522961.69</v>
      </c>
      <c r="Q126" s="154">
        <v>4.0</v>
      </c>
      <c r="R126" s="155">
        <v>1.565143905E7</v>
      </c>
      <c r="S126" s="155">
        <v>0.0</v>
      </c>
      <c r="T126" s="155">
        <v>928766.71</v>
      </c>
      <c r="U126" s="155">
        <f t="shared" si="151"/>
        <v>16580205.76</v>
      </c>
      <c r="V126" s="154">
        <v>3.0</v>
      </c>
      <c r="W126" s="155">
        <v>9710339.679999998</v>
      </c>
      <c r="X126" s="155">
        <v>0.0</v>
      </c>
      <c r="Y126" s="155">
        <v>0.0</v>
      </c>
      <c r="Z126" s="155">
        <f t="shared" si="152"/>
        <v>9710339.68</v>
      </c>
      <c r="AA126" s="154">
        <v>3.0</v>
      </c>
      <c r="AB126" s="155">
        <v>9643105.239999998</v>
      </c>
      <c r="AC126" s="155">
        <v>0.0</v>
      </c>
      <c r="AD126" s="155">
        <v>4953990.69</v>
      </c>
      <c r="AE126" s="155">
        <v>150000.0</v>
      </c>
      <c r="AF126" s="155">
        <f t="shared" si="153"/>
        <v>14747095.93</v>
      </c>
      <c r="AG126" s="154">
        <v>3.0</v>
      </c>
      <c r="AH126" s="155">
        <v>9921965.859999998</v>
      </c>
      <c r="AI126" s="155">
        <v>0.0</v>
      </c>
      <c r="AJ126" s="155">
        <v>0.0</v>
      </c>
      <c r="AK126" s="155">
        <v>150000.0</v>
      </c>
      <c r="AL126" s="155">
        <f t="shared" si="154"/>
        <v>10071965.86</v>
      </c>
      <c r="AM126" s="154">
        <v>3.0</v>
      </c>
      <c r="AN126" s="155">
        <v>1.0606744420000002E7</v>
      </c>
      <c r="AO126" s="155">
        <v>0.0</v>
      </c>
      <c r="AP126" s="155">
        <v>0.0</v>
      </c>
      <c r="AQ126" s="155">
        <v>320000.0</v>
      </c>
      <c r="AR126" s="155">
        <f t="shared" si="155"/>
        <v>10926744.42</v>
      </c>
      <c r="AS126" s="154">
        <v>2.0</v>
      </c>
      <c r="AT126" s="155">
        <v>7822904.849999999</v>
      </c>
      <c r="AU126" s="155">
        <v>0.0</v>
      </c>
      <c r="AV126" s="155">
        <v>0.0</v>
      </c>
      <c r="AW126" s="155">
        <f t="shared" si="156"/>
        <v>7822904.85</v>
      </c>
      <c r="AX126" s="154">
        <v>2.0</v>
      </c>
      <c r="AY126" s="155">
        <v>1.419360314E7</v>
      </c>
      <c r="AZ126" s="155">
        <v>0.0</v>
      </c>
      <c r="BA126" s="155">
        <v>0.0</v>
      </c>
      <c r="BB126" s="155">
        <f t="shared" si="157"/>
        <v>14193603.14</v>
      </c>
      <c r="BC126" s="154">
        <v>2.0</v>
      </c>
      <c r="BD126" s="155">
        <v>8041423.1899999995</v>
      </c>
      <c r="BE126" s="155">
        <v>0.0</v>
      </c>
      <c r="BF126" s="155">
        <v>100000.0</v>
      </c>
      <c r="BG126" s="155">
        <v>0.0</v>
      </c>
      <c r="BH126" s="155">
        <f t="shared" si="158"/>
        <v>8141423.19</v>
      </c>
      <c r="BI126" s="154">
        <v>2.0</v>
      </c>
      <c r="BJ126" s="155">
        <v>8532725.89</v>
      </c>
      <c r="BK126" s="155"/>
      <c r="BL126" s="155"/>
      <c r="BM126" s="155">
        <v>4266362.94</v>
      </c>
      <c r="BN126" s="155">
        <f t="shared" si="159"/>
        <v>12799088.83</v>
      </c>
    </row>
    <row r="127" ht="12.75" customHeight="1">
      <c r="A127" s="180" t="s">
        <v>460</v>
      </c>
      <c r="B127" s="154">
        <v>8.0</v>
      </c>
      <c r="C127" s="155">
        <v>1.7165350840000004E7</v>
      </c>
      <c r="D127" s="155">
        <v>0.0</v>
      </c>
      <c r="E127" s="155">
        <v>0.0</v>
      </c>
      <c r="F127" s="155">
        <v>960000.0</v>
      </c>
      <c r="G127" s="155">
        <f t="shared" si="148"/>
        <v>18125350.84</v>
      </c>
      <c r="H127" s="154">
        <v>8.0</v>
      </c>
      <c r="I127" s="155">
        <v>1.618459485E7</v>
      </c>
      <c r="J127" s="155">
        <v>0.0</v>
      </c>
      <c r="K127" s="155">
        <v>0.0</v>
      </c>
      <c r="L127" s="155">
        <f t="shared" si="149"/>
        <v>16184594.85</v>
      </c>
      <c r="M127" s="154">
        <v>8.0</v>
      </c>
      <c r="N127" s="155">
        <v>1.6569155420000004E7</v>
      </c>
      <c r="O127" s="155">
        <v>0.0</v>
      </c>
      <c r="P127" s="155">
        <f t="shared" si="150"/>
        <v>16569155.42</v>
      </c>
      <c r="Q127" s="154">
        <v>8.0</v>
      </c>
      <c r="R127" s="155">
        <v>1.6017616439999998E7</v>
      </c>
      <c r="S127" s="155">
        <v>0.0</v>
      </c>
      <c r="T127" s="155">
        <v>0.0</v>
      </c>
      <c r="U127" s="155">
        <f t="shared" si="151"/>
        <v>16017616.44</v>
      </c>
      <c r="V127" s="154">
        <v>9.0</v>
      </c>
      <c r="W127" s="155">
        <v>1.7286015070000008E7</v>
      </c>
      <c r="X127" s="155">
        <v>0.0</v>
      </c>
      <c r="Y127" s="155">
        <v>0.0</v>
      </c>
      <c r="Z127" s="155">
        <f t="shared" si="152"/>
        <v>17286015.07</v>
      </c>
      <c r="AA127" s="154">
        <v>9.0</v>
      </c>
      <c r="AB127" s="155">
        <v>1.7422008599999994E7</v>
      </c>
      <c r="AC127" s="155">
        <v>0.0</v>
      </c>
      <c r="AD127" s="155">
        <v>9513313.4</v>
      </c>
      <c r="AE127" s="155">
        <v>450000.0</v>
      </c>
      <c r="AF127" s="155">
        <f t="shared" si="153"/>
        <v>27385322</v>
      </c>
      <c r="AG127" s="154">
        <v>9.0</v>
      </c>
      <c r="AH127" s="155">
        <v>1.6805118819999997E7</v>
      </c>
      <c r="AI127" s="155">
        <v>0.0</v>
      </c>
      <c r="AJ127" s="155">
        <v>0.0</v>
      </c>
      <c r="AK127" s="155">
        <v>450000.0</v>
      </c>
      <c r="AL127" s="155">
        <f t="shared" si="154"/>
        <v>17255118.82</v>
      </c>
      <c r="AM127" s="154">
        <v>9.0</v>
      </c>
      <c r="AN127" s="155">
        <v>2.1294047089999996E7</v>
      </c>
      <c r="AO127" s="155">
        <v>0.0</v>
      </c>
      <c r="AP127" s="155">
        <v>87274.0</v>
      </c>
      <c r="AQ127" s="155">
        <v>160000.0</v>
      </c>
      <c r="AR127" s="155">
        <f t="shared" si="155"/>
        <v>21541321.09</v>
      </c>
      <c r="AS127" s="154">
        <v>9.0</v>
      </c>
      <c r="AT127" s="155">
        <v>2.045740194E7</v>
      </c>
      <c r="AU127" s="155">
        <v>0.0</v>
      </c>
      <c r="AV127" s="155">
        <v>0.0</v>
      </c>
      <c r="AW127" s="155">
        <f t="shared" si="156"/>
        <v>20457401.94</v>
      </c>
      <c r="AX127" s="154">
        <v>9.0</v>
      </c>
      <c r="AY127" s="155">
        <v>3.1203231840000004E7</v>
      </c>
      <c r="AZ127" s="155">
        <v>0.0</v>
      </c>
      <c r="BA127" s="155">
        <v>0.0</v>
      </c>
      <c r="BB127" s="155">
        <f t="shared" si="157"/>
        <v>31203231.84</v>
      </c>
      <c r="BC127" s="154">
        <v>9.0</v>
      </c>
      <c r="BD127" s="155">
        <v>1.9816492889999997E7</v>
      </c>
      <c r="BE127" s="155">
        <v>0.0</v>
      </c>
      <c r="BF127" s="155">
        <v>400000.0</v>
      </c>
      <c r="BG127" s="155">
        <v>0.0</v>
      </c>
      <c r="BH127" s="155">
        <f t="shared" si="158"/>
        <v>20216492.89</v>
      </c>
      <c r="BI127" s="154">
        <v>8.0</v>
      </c>
      <c r="BJ127" s="155">
        <v>1.969658751E7</v>
      </c>
      <c r="BK127" s="155"/>
      <c r="BL127" s="155"/>
      <c r="BM127" s="155">
        <v>1.007021424E7</v>
      </c>
      <c r="BN127" s="155">
        <f t="shared" si="159"/>
        <v>29766801.75</v>
      </c>
    </row>
    <row r="128" ht="12.75" customHeight="1">
      <c r="A128" s="180" t="s">
        <v>461</v>
      </c>
      <c r="B128" s="154">
        <v>5.0</v>
      </c>
      <c r="C128" s="155">
        <v>1.045608597E7</v>
      </c>
      <c r="D128" s="155">
        <v>0.0</v>
      </c>
      <c r="E128" s="155">
        <v>0.0</v>
      </c>
      <c r="F128" s="155">
        <v>600000.0</v>
      </c>
      <c r="G128" s="155">
        <f t="shared" si="148"/>
        <v>11056085.97</v>
      </c>
      <c r="H128" s="154">
        <v>5.0</v>
      </c>
      <c r="I128" s="155">
        <v>1.023628908E7</v>
      </c>
      <c r="J128" s="155">
        <v>0.0</v>
      </c>
      <c r="K128" s="155">
        <v>0.0</v>
      </c>
      <c r="L128" s="155">
        <f t="shared" si="149"/>
        <v>10236289.08</v>
      </c>
      <c r="M128" s="154">
        <v>5.0</v>
      </c>
      <c r="N128" s="155">
        <v>8531228.19</v>
      </c>
      <c r="O128" s="155">
        <v>0.0</v>
      </c>
      <c r="P128" s="155">
        <f t="shared" si="150"/>
        <v>8531228.19</v>
      </c>
      <c r="Q128" s="154">
        <v>5.0</v>
      </c>
      <c r="R128" s="155">
        <v>2.867293157E7</v>
      </c>
      <c r="S128" s="155">
        <v>0.0</v>
      </c>
      <c r="T128" s="155">
        <v>2609449.7199999997</v>
      </c>
      <c r="U128" s="155">
        <f t="shared" si="151"/>
        <v>31282381.29</v>
      </c>
      <c r="V128" s="154">
        <v>1.0</v>
      </c>
      <c r="W128" s="155">
        <v>3153375.23</v>
      </c>
      <c r="X128" s="155">
        <v>0.0</v>
      </c>
      <c r="Y128" s="155">
        <v>0.0</v>
      </c>
      <c r="Z128" s="155">
        <f t="shared" si="152"/>
        <v>3153375.23</v>
      </c>
      <c r="AA128" s="154">
        <v>1.0</v>
      </c>
      <c r="AB128" s="155">
        <v>3153375.96</v>
      </c>
      <c r="AC128" s="155">
        <v>0.0</v>
      </c>
      <c r="AD128" s="155">
        <v>1559168.75</v>
      </c>
      <c r="AE128" s="155">
        <v>50000.0</v>
      </c>
      <c r="AF128" s="155">
        <f t="shared" si="153"/>
        <v>4762544.71</v>
      </c>
      <c r="AG128" s="154">
        <v>1.0</v>
      </c>
      <c r="AH128" s="155">
        <v>3785943.17</v>
      </c>
      <c r="AI128" s="155">
        <v>0.0</v>
      </c>
      <c r="AJ128" s="155">
        <v>0.0</v>
      </c>
      <c r="AK128" s="155">
        <v>50000.0</v>
      </c>
      <c r="AL128" s="155">
        <f t="shared" si="154"/>
        <v>3835943.17</v>
      </c>
      <c r="AM128" s="154">
        <v>1.0</v>
      </c>
      <c r="AN128" s="155">
        <v>1.064064843E7</v>
      </c>
      <c r="AO128" s="155">
        <v>0.0</v>
      </c>
      <c r="AP128" s="155">
        <v>1247400.5899999999</v>
      </c>
      <c r="AQ128" s="155">
        <v>3521656.0</v>
      </c>
      <c r="AR128" s="155">
        <f t="shared" si="155"/>
        <v>15409705.02</v>
      </c>
      <c r="AS128" s="154">
        <v>0.0</v>
      </c>
      <c r="AT128" s="155">
        <v>0.0</v>
      </c>
      <c r="AU128" s="155">
        <v>0.0</v>
      </c>
      <c r="AV128" s="155">
        <v>0.0</v>
      </c>
      <c r="AW128" s="155">
        <f t="shared" si="156"/>
        <v>0</v>
      </c>
      <c r="AX128" s="154">
        <v>0.0</v>
      </c>
      <c r="AY128" s="155">
        <v>0.0</v>
      </c>
      <c r="AZ128" s="155">
        <v>0.0</v>
      </c>
      <c r="BA128" s="155">
        <v>0.0</v>
      </c>
      <c r="BB128" s="155">
        <f t="shared" si="157"/>
        <v>0</v>
      </c>
      <c r="BC128" s="154">
        <v>0.0</v>
      </c>
      <c r="BD128" s="155">
        <v>0.0</v>
      </c>
      <c r="BE128" s="155">
        <v>0.0</v>
      </c>
      <c r="BF128" s="155"/>
      <c r="BG128" s="155">
        <v>0.0</v>
      </c>
      <c r="BH128" s="155">
        <f t="shared" si="158"/>
        <v>0</v>
      </c>
      <c r="BI128" s="154">
        <v>0.0</v>
      </c>
      <c r="BJ128" s="155"/>
      <c r="BK128" s="155"/>
      <c r="BL128" s="155"/>
      <c r="BM128" s="155"/>
      <c r="BN128" s="155">
        <f t="shared" si="159"/>
        <v>0</v>
      </c>
    </row>
    <row r="129" ht="12.75" customHeight="1">
      <c r="A129" s="180" t="s">
        <v>185</v>
      </c>
      <c r="B129" s="154">
        <v>23.0</v>
      </c>
      <c r="C129" s="155">
        <v>5.346906979000001E7</v>
      </c>
      <c r="D129" s="155">
        <v>40105.14</v>
      </c>
      <c r="E129" s="155">
        <v>538140.55</v>
      </c>
      <c r="F129" s="155">
        <v>2760000.0</v>
      </c>
      <c r="G129" s="155">
        <f t="shared" si="148"/>
        <v>56807315.48</v>
      </c>
      <c r="H129" s="154">
        <v>23.0</v>
      </c>
      <c r="I129" s="155">
        <v>3.8247321219999984E7</v>
      </c>
      <c r="J129" s="155">
        <v>7486.28</v>
      </c>
      <c r="K129" s="155">
        <v>0.0</v>
      </c>
      <c r="L129" s="155">
        <f t="shared" si="149"/>
        <v>38254807.5</v>
      </c>
      <c r="M129" s="154">
        <v>23.0</v>
      </c>
      <c r="N129" s="155">
        <v>3.8223054030000016E7</v>
      </c>
      <c r="O129" s="155">
        <v>11030.22</v>
      </c>
      <c r="P129" s="155">
        <f t="shared" si="150"/>
        <v>38234084.25</v>
      </c>
      <c r="Q129" s="154">
        <v>23.0</v>
      </c>
      <c r="R129" s="155">
        <v>1.153595712E8</v>
      </c>
      <c r="S129" s="155">
        <v>2577180.67</v>
      </c>
      <c r="T129" s="155">
        <v>3608738.43</v>
      </c>
      <c r="U129" s="155">
        <f t="shared" si="151"/>
        <v>121545490.3</v>
      </c>
      <c r="V129" s="154">
        <v>17.0</v>
      </c>
      <c r="W129" s="155">
        <v>3.1359505509999998E7</v>
      </c>
      <c r="X129" s="155">
        <v>1550019.64</v>
      </c>
      <c r="Y129" s="155">
        <v>0.0</v>
      </c>
      <c r="Z129" s="155">
        <f t="shared" si="152"/>
        <v>32909525.15</v>
      </c>
      <c r="AA129" s="154">
        <v>17.0</v>
      </c>
      <c r="AB129" s="155">
        <v>3.1170760320000004E7</v>
      </c>
      <c r="AC129" s="155">
        <v>6471696.5200000005</v>
      </c>
      <c r="AD129" s="155">
        <v>1.905030382E7</v>
      </c>
      <c r="AE129" s="155">
        <v>850000.0</v>
      </c>
      <c r="AF129" s="155">
        <f t="shared" si="153"/>
        <v>57542760.66</v>
      </c>
      <c r="AG129" s="154">
        <v>17.0</v>
      </c>
      <c r="AH129" s="155">
        <v>3.554263099000001E7</v>
      </c>
      <c r="AI129" s="155">
        <v>7340291.4799999995</v>
      </c>
      <c r="AJ129" s="155">
        <v>0.0</v>
      </c>
      <c r="AK129" s="155">
        <v>850000.0</v>
      </c>
      <c r="AL129" s="155">
        <f t="shared" si="154"/>
        <v>43732922.47</v>
      </c>
      <c r="AM129" s="154">
        <v>17.0</v>
      </c>
      <c r="AN129" s="155">
        <v>4.3686685399999976E7</v>
      </c>
      <c r="AO129" s="155">
        <v>5572576.4</v>
      </c>
      <c r="AP129" s="155">
        <v>406102.12</v>
      </c>
      <c r="AQ129" s="155">
        <v>480000.0</v>
      </c>
      <c r="AR129" s="155">
        <f t="shared" si="155"/>
        <v>50145363.92</v>
      </c>
      <c r="AS129" s="154">
        <v>16.0</v>
      </c>
      <c r="AT129" s="155">
        <v>3.9335851970000006E7</v>
      </c>
      <c r="AU129" s="155">
        <v>1177522.3</v>
      </c>
      <c r="AV129" s="155">
        <v>0.0</v>
      </c>
      <c r="AW129" s="155">
        <f t="shared" si="156"/>
        <v>40513374.27</v>
      </c>
      <c r="AX129" s="154">
        <v>16.0</v>
      </c>
      <c r="AY129" s="155">
        <v>6.871464191E7</v>
      </c>
      <c r="AZ129" s="155">
        <v>3295400.79</v>
      </c>
      <c r="BA129" s="155">
        <v>0.0</v>
      </c>
      <c r="BB129" s="155">
        <f t="shared" si="157"/>
        <v>72010042.7</v>
      </c>
      <c r="BC129" s="154">
        <v>16.0</v>
      </c>
      <c r="BD129" s="155">
        <v>3.846793563999998E7</v>
      </c>
      <c r="BE129" s="155">
        <v>494025.03</v>
      </c>
      <c r="BF129" s="155">
        <v>800000.0</v>
      </c>
      <c r="BG129" s="155">
        <v>0.0</v>
      </c>
      <c r="BH129" s="155">
        <f t="shared" si="158"/>
        <v>39761960.67</v>
      </c>
      <c r="BI129" s="154">
        <v>16.0</v>
      </c>
      <c r="BJ129" s="155">
        <v>3.854898213E7</v>
      </c>
      <c r="BK129" s="155">
        <v>159813.14</v>
      </c>
      <c r="BL129" s="155"/>
      <c r="BM129" s="155">
        <v>2.194049633E7</v>
      </c>
      <c r="BN129" s="155">
        <f t="shared" si="159"/>
        <v>60649291.6</v>
      </c>
    </row>
    <row r="130" ht="12.75" customHeight="1">
      <c r="A130" s="180" t="s">
        <v>462</v>
      </c>
      <c r="B130" s="154">
        <v>18.0</v>
      </c>
      <c r="C130" s="155">
        <v>3.135292339E7</v>
      </c>
      <c r="D130" s="155">
        <v>0.0</v>
      </c>
      <c r="E130" s="155">
        <v>0.0</v>
      </c>
      <c r="F130" s="155">
        <v>2160000.0</v>
      </c>
      <c r="G130" s="155">
        <f t="shared" si="148"/>
        <v>33512923.39</v>
      </c>
      <c r="H130" s="154">
        <v>18.0</v>
      </c>
      <c r="I130" s="155">
        <v>2.9419631540000007E7</v>
      </c>
      <c r="J130" s="155">
        <v>441645.38</v>
      </c>
      <c r="K130" s="155">
        <v>0.0</v>
      </c>
      <c r="L130" s="155">
        <f t="shared" si="149"/>
        <v>29861276.92</v>
      </c>
      <c r="M130" s="154">
        <v>18.0</v>
      </c>
      <c r="N130" s="155">
        <v>2.8659287000000004E7</v>
      </c>
      <c r="O130" s="155">
        <v>0.0</v>
      </c>
      <c r="P130" s="155">
        <f t="shared" si="150"/>
        <v>28659287</v>
      </c>
      <c r="Q130" s="154">
        <v>18.0</v>
      </c>
      <c r="R130" s="155">
        <v>6.713753142999999E7</v>
      </c>
      <c r="S130" s="155">
        <v>2027923.65</v>
      </c>
      <c r="T130" s="155">
        <v>2194963.41</v>
      </c>
      <c r="U130" s="155">
        <f t="shared" si="151"/>
        <v>71360418.49</v>
      </c>
      <c r="V130" s="154">
        <v>14.0</v>
      </c>
      <c r="W130" s="155">
        <v>2.4596330069999997E7</v>
      </c>
      <c r="X130" s="155">
        <v>0.0</v>
      </c>
      <c r="Y130" s="155">
        <v>0.0</v>
      </c>
      <c r="Z130" s="155">
        <f t="shared" si="152"/>
        <v>24596330.07</v>
      </c>
      <c r="AA130" s="154">
        <v>14.0</v>
      </c>
      <c r="AB130" s="155">
        <v>2.345985608E7</v>
      </c>
      <c r="AC130" s="155">
        <v>3121314.39</v>
      </c>
      <c r="AD130" s="155">
        <v>1.432622521E7</v>
      </c>
      <c r="AE130" s="155">
        <v>700000.0</v>
      </c>
      <c r="AF130" s="155">
        <f t="shared" si="153"/>
        <v>41607395.68</v>
      </c>
      <c r="AG130" s="154">
        <v>14.0</v>
      </c>
      <c r="AH130" s="155">
        <v>2.5872701000000004E7</v>
      </c>
      <c r="AI130" s="155">
        <v>4229568.66</v>
      </c>
      <c r="AJ130" s="155">
        <v>0.0</v>
      </c>
      <c r="AK130" s="155">
        <v>700000.0</v>
      </c>
      <c r="AL130" s="155">
        <f t="shared" si="154"/>
        <v>30802269.66</v>
      </c>
      <c r="AM130" s="154">
        <v>14.0</v>
      </c>
      <c r="AN130" s="155">
        <v>2.904355822000001E7</v>
      </c>
      <c r="AO130" s="155">
        <v>1155129.99</v>
      </c>
      <c r="AP130" s="155">
        <v>141946.0</v>
      </c>
      <c r="AQ130" s="155">
        <v>0.0</v>
      </c>
      <c r="AR130" s="155">
        <f t="shared" si="155"/>
        <v>30340634.21</v>
      </c>
      <c r="AS130" s="154">
        <v>14.0</v>
      </c>
      <c r="AT130" s="155">
        <v>2.7087805549999997E7</v>
      </c>
      <c r="AU130" s="155">
        <v>3759623.12</v>
      </c>
      <c r="AV130" s="155">
        <v>0.0</v>
      </c>
      <c r="AW130" s="155">
        <f t="shared" si="156"/>
        <v>30847428.67</v>
      </c>
      <c r="AX130" s="154">
        <v>14.0</v>
      </c>
      <c r="AY130" s="155">
        <v>5.493579574E7</v>
      </c>
      <c r="AZ130" s="155">
        <v>4929703.49</v>
      </c>
      <c r="BA130" s="155">
        <v>0.0</v>
      </c>
      <c r="BB130" s="155">
        <f t="shared" si="157"/>
        <v>59865499.23</v>
      </c>
      <c r="BC130" s="154">
        <v>14.0</v>
      </c>
      <c r="BD130" s="155">
        <v>3.1935778680000003E7</v>
      </c>
      <c r="BE130" s="155">
        <v>2341080.41</v>
      </c>
      <c r="BF130" s="155">
        <v>700000.0</v>
      </c>
      <c r="BG130" s="155">
        <v>1167441.08</v>
      </c>
      <c r="BH130" s="155">
        <f t="shared" si="158"/>
        <v>36144300.17</v>
      </c>
      <c r="BI130" s="154">
        <v>13.0</v>
      </c>
      <c r="BJ130" s="155">
        <v>3.053286378E7</v>
      </c>
      <c r="BK130" s="155">
        <v>51785.38</v>
      </c>
      <c r="BL130" s="155"/>
      <c r="BM130" s="155">
        <v>1.738143535E7</v>
      </c>
      <c r="BN130" s="155">
        <f t="shared" si="159"/>
        <v>47966084.51</v>
      </c>
    </row>
    <row r="131" ht="12.75" customHeight="1">
      <c r="A131" s="180" t="s">
        <v>170</v>
      </c>
      <c r="B131" s="154">
        <v>12.0</v>
      </c>
      <c r="C131" s="155">
        <v>2.0765687080000002E7</v>
      </c>
      <c r="D131" s="155">
        <v>0.0</v>
      </c>
      <c r="E131" s="155">
        <v>0.0</v>
      </c>
      <c r="F131" s="155">
        <v>1320000.0</v>
      </c>
      <c r="G131" s="155">
        <f t="shared" si="148"/>
        <v>22085687.08</v>
      </c>
      <c r="H131" s="154">
        <v>12.0</v>
      </c>
      <c r="I131" s="155">
        <v>1.969997125E7</v>
      </c>
      <c r="J131" s="155">
        <v>171929.08</v>
      </c>
      <c r="K131" s="155">
        <v>0.0</v>
      </c>
      <c r="L131" s="155">
        <f t="shared" si="149"/>
        <v>19871900.33</v>
      </c>
      <c r="M131" s="154">
        <v>12.0</v>
      </c>
      <c r="N131" s="155">
        <v>2.049246657E7</v>
      </c>
      <c r="O131" s="155">
        <v>0.0</v>
      </c>
      <c r="P131" s="155">
        <f t="shared" si="150"/>
        <v>20492466.57</v>
      </c>
      <c r="Q131" s="154">
        <v>12.0</v>
      </c>
      <c r="R131" s="155">
        <v>7.715393587E7</v>
      </c>
      <c r="S131" s="155">
        <v>20851.17</v>
      </c>
      <c r="T131" s="155">
        <v>1590697.02</v>
      </c>
      <c r="U131" s="155">
        <f t="shared" si="151"/>
        <v>78765484.06</v>
      </c>
      <c r="V131" s="154">
        <v>10.0</v>
      </c>
      <c r="W131" s="155">
        <v>1.6983045639999993E7</v>
      </c>
      <c r="X131" s="155">
        <v>0.0</v>
      </c>
      <c r="Y131" s="155">
        <v>0.0</v>
      </c>
      <c r="Z131" s="155">
        <f t="shared" si="152"/>
        <v>16983045.64</v>
      </c>
      <c r="AA131" s="154">
        <v>10.0</v>
      </c>
      <c r="AB131" s="155">
        <v>1.6736519159999998E7</v>
      </c>
      <c r="AC131" s="155">
        <v>2972224.86</v>
      </c>
      <c r="AD131" s="155">
        <v>1.04969688E7</v>
      </c>
      <c r="AE131" s="155">
        <v>500000.0</v>
      </c>
      <c r="AF131" s="155">
        <f t="shared" si="153"/>
        <v>30705712.82</v>
      </c>
      <c r="AG131" s="154">
        <v>10.0</v>
      </c>
      <c r="AH131" s="155">
        <v>1.793317013E7</v>
      </c>
      <c r="AI131" s="155">
        <v>2620948.86</v>
      </c>
      <c r="AJ131" s="155">
        <v>0.0</v>
      </c>
      <c r="AK131" s="155">
        <v>500000.0</v>
      </c>
      <c r="AL131" s="155">
        <f t="shared" si="154"/>
        <v>21054118.99</v>
      </c>
      <c r="AM131" s="154">
        <v>10.0</v>
      </c>
      <c r="AN131" s="155">
        <v>2.0993107470000003E7</v>
      </c>
      <c r="AO131" s="155">
        <v>2511692.76</v>
      </c>
      <c r="AP131" s="155">
        <v>191437.0</v>
      </c>
      <c r="AQ131" s="155">
        <v>0.0</v>
      </c>
      <c r="AR131" s="155">
        <f t="shared" si="155"/>
        <v>23696237.23</v>
      </c>
      <c r="AS131" s="154">
        <v>10.0</v>
      </c>
      <c r="AT131" s="155">
        <v>2.0749722910000004E7</v>
      </c>
      <c r="AU131" s="155">
        <v>0.0</v>
      </c>
      <c r="AV131" s="155">
        <v>0.0</v>
      </c>
      <c r="AW131" s="155">
        <f t="shared" si="156"/>
        <v>20749722.91</v>
      </c>
      <c r="AX131" s="154">
        <v>10.0</v>
      </c>
      <c r="AY131" s="155">
        <v>3.546984713E7</v>
      </c>
      <c r="AZ131" s="155">
        <v>0.0</v>
      </c>
      <c r="BA131" s="155">
        <v>0.0</v>
      </c>
      <c r="BB131" s="155">
        <f t="shared" si="157"/>
        <v>35469847.13</v>
      </c>
      <c r="BC131" s="154">
        <v>10.0</v>
      </c>
      <c r="BD131" s="155">
        <v>2.1178923299999997E7</v>
      </c>
      <c r="BE131" s="155">
        <v>0.0</v>
      </c>
      <c r="BF131" s="155">
        <v>500000.0</v>
      </c>
      <c r="BG131" s="155">
        <v>0.0</v>
      </c>
      <c r="BH131" s="155">
        <f t="shared" si="158"/>
        <v>21678923.3</v>
      </c>
      <c r="BI131" s="154">
        <v>10.0</v>
      </c>
      <c r="BJ131" s="155">
        <v>2.219062522E7</v>
      </c>
      <c r="BK131" s="155">
        <v>83237.52</v>
      </c>
      <c r="BL131" s="155"/>
      <c r="BM131" s="155">
        <v>1.221860769E7</v>
      </c>
      <c r="BN131" s="155">
        <f t="shared" si="159"/>
        <v>34492470.43</v>
      </c>
    </row>
    <row r="132" ht="12.75" customHeight="1">
      <c r="A132" s="180" t="s">
        <v>174</v>
      </c>
      <c r="B132" s="154">
        <v>12.0</v>
      </c>
      <c r="C132" s="155">
        <v>2.188714888E7</v>
      </c>
      <c r="D132" s="155">
        <v>0.0</v>
      </c>
      <c r="E132" s="155">
        <v>0.0</v>
      </c>
      <c r="F132" s="155">
        <v>1440000.0</v>
      </c>
      <c r="G132" s="155">
        <f t="shared" si="148"/>
        <v>23327148.88</v>
      </c>
      <c r="H132" s="154">
        <v>12.0</v>
      </c>
      <c r="I132" s="155">
        <v>1.9648835030000005E7</v>
      </c>
      <c r="J132" s="155">
        <v>0.0</v>
      </c>
      <c r="K132" s="155">
        <v>0.0</v>
      </c>
      <c r="L132" s="155">
        <f t="shared" si="149"/>
        <v>19648835.03</v>
      </c>
      <c r="M132" s="154">
        <v>12.0</v>
      </c>
      <c r="N132" s="155">
        <v>2.014702457E7</v>
      </c>
      <c r="O132" s="155">
        <v>0.0</v>
      </c>
      <c r="P132" s="155">
        <f t="shared" si="150"/>
        <v>20147024.57</v>
      </c>
      <c r="Q132" s="154">
        <v>12.0</v>
      </c>
      <c r="R132" s="155">
        <v>4.475132754999999E7</v>
      </c>
      <c r="S132" s="155">
        <v>1407148.08</v>
      </c>
      <c r="T132" s="155">
        <v>1978282.75</v>
      </c>
      <c r="U132" s="155">
        <f t="shared" si="151"/>
        <v>48136758.38</v>
      </c>
      <c r="V132" s="154">
        <v>9.0</v>
      </c>
      <c r="W132" s="155">
        <v>1.680924011E7</v>
      </c>
      <c r="X132" s="155">
        <v>281318.29</v>
      </c>
      <c r="Y132" s="155">
        <v>0.0</v>
      </c>
      <c r="Z132" s="155">
        <f t="shared" si="152"/>
        <v>17090558.4</v>
      </c>
      <c r="AA132" s="154">
        <v>9.0</v>
      </c>
      <c r="AB132" s="155">
        <v>1.6842346270000003E7</v>
      </c>
      <c r="AC132" s="155">
        <v>3279986.09</v>
      </c>
      <c r="AD132" s="155">
        <v>1.037046898E7</v>
      </c>
      <c r="AE132" s="155">
        <v>450000.0</v>
      </c>
      <c r="AF132" s="155">
        <f t="shared" si="153"/>
        <v>30942801.34</v>
      </c>
      <c r="AG132" s="154">
        <v>9.0</v>
      </c>
      <c r="AH132" s="155">
        <v>1.7171844180000003E7</v>
      </c>
      <c r="AI132" s="155">
        <v>7273129.42</v>
      </c>
      <c r="AJ132" s="155">
        <v>0.0</v>
      </c>
      <c r="AK132" s="155">
        <v>450000.0</v>
      </c>
      <c r="AL132" s="155">
        <f t="shared" si="154"/>
        <v>24894973.6</v>
      </c>
      <c r="AM132" s="154">
        <v>9.0</v>
      </c>
      <c r="AN132" s="155">
        <v>2.0270497770000003E7</v>
      </c>
      <c r="AO132" s="155">
        <v>5167833.27</v>
      </c>
      <c r="AP132" s="155">
        <v>137358.0</v>
      </c>
      <c r="AQ132" s="155">
        <v>0.0</v>
      </c>
      <c r="AR132" s="155">
        <f t="shared" si="155"/>
        <v>25575689.04</v>
      </c>
      <c r="AS132" s="154">
        <v>9.0</v>
      </c>
      <c r="AT132" s="155">
        <v>1.9933217709999997E7</v>
      </c>
      <c r="AU132" s="155">
        <v>2304852.58</v>
      </c>
      <c r="AV132" s="155">
        <v>0.0</v>
      </c>
      <c r="AW132" s="155">
        <f t="shared" si="156"/>
        <v>22238070.29</v>
      </c>
      <c r="AX132" s="154">
        <v>9.0</v>
      </c>
      <c r="AY132" s="155">
        <v>3.3426295700000003E7</v>
      </c>
      <c r="AZ132" s="155">
        <v>381415.56</v>
      </c>
      <c r="BA132" s="155">
        <v>0.0</v>
      </c>
      <c r="BB132" s="155">
        <f t="shared" si="157"/>
        <v>33807711.26</v>
      </c>
      <c r="BC132" s="154">
        <v>9.0</v>
      </c>
      <c r="BD132" s="155">
        <v>2.263569053999999E7</v>
      </c>
      <c r="BE132" s="155">
        <v>1640957.99</v>
      </c>
      <c r="BF132" s="155">
        <v>450000.0</v>
      </c>
      <c r="BG132" s="155">
        <v>0.0</v>
      </c>
      <c r="BH132" s="155">
        <f t="shared" si="158"/>
        <v>24726648.53</v>
      </c>
      <c r="BI132" s="154">
        <v>8.0</v>
      </c>
      <c r="BJ132" s="155">
        <v>2.037376144E7</v>
      </c>
      <c r="BK132" s="155">
        <v>907409.7</v>
      </c>
      <c r="BL132" s="155"/>
      <c r="BM132" s="155">
        <v>1.244888793E7</v>
      </c>
      <c r="BN132" s="155">
        <f t="shared" si="159"/>
        <v>33730059.07</v>
      </c>
    </row>
    <row r="133" ht="12.75" customHeight="1">
      <c r="A133" s="180" t="s">
        <v>169</v>
      </c>
      <c r="B133" s="154">
        <v>26.0</v>
      </c>
      <c r="C133" s="155">
        <v>4.815554644000002E7</v>
      </c>
      <c r="D133" s="155">
        <v>0.0</v>
      </c>
      <c r="E133" s="155">
        <v>0.0</v>
      </c>
      <c r="F133" s="155">
        <v>3120000.0</v>
      </c>
      <c r="G133" s="155">
        <f t="shared" si="148"/>
        <v>51275546.44</v>
      </c>
      <c r="H133" s="154">
        <v>26.0</v>
      </c>
      <c r="I133" s="155">
        <v>4.203596495000001E7</v>
      </c>
      <c r="J133" s="155">
        <v>0.0</v>
      </c>
      <c r="K133" s="155">
        <v>0.0</v>
      </c>
      <c r="L133" s="155">
        <f t="shared" si="149"/>
        <v>42035964.95</v>
      </c>
      <c r="M133" s="154">
        <v>26.0</v>
      </c>
      <c r="N133" s="155">
        <v>3.979470936000002E7</v>
      </c>
      <c r="O133" s="155">
        <v>0.0</v>
      </c>
      <c r="P133" s="155">
        <f t="shared" si="150"/>
        <v>39794709.36</v>
      </c>
      <c r="Q133" s="154">
        <v>26.0</v>
      </c>
      <c r="R133" s="155">
        <v>4.4687748390000015E7</v>
      </c>
      <c r="S133" s="155">
        <v>2318958.18</v>
      </c>
      <c r="T133" s="155">
        <v>623763.42</v>
      </c>
      <c r="U133" s="155">
        <f t="shared" si="151"/>
        <v>47630469.99</v>
      </c>
      <c r="V133" s="154">
        <v>21.0</v>
      </c>
      <c r="W133" s="155">
        <v>3.677788185E7</v>
      </c>
      <c r="X133" s="155">
        <v>1127083.22</v>
      </c>
      <c r="Y133" s="155">
        <v>0.0</v>
      </c>
      <c r="Z133" s="155">
        <f t="shared" si="152"/>
        <v>37904965.07</v>
      </c>
      <c r="AA133" s="154">
        <v>21.0</v>
      </c>
      <c r="AB133" s="155">
        <v>3.743186272E7</v>
      </c>
      <c r="AC133" s="155">
        <v>1.16654031E7</v>
      </c>
      <c r="AD133" s="155">
        <v>2.499401956E7</v>
      </c>
      <c r="AE133" s="155">
        <v>1050000.0</v>
      </c>
      <c r="AF133" s="155">
        <f t="shared" si="153"/>
        <v>75141285.38</v>
      </c>
      <c r="AG133" s="154">
        <v>21.0</v>
      </c>
      <c r="AH133" s="155">
        <v>4.031018654000001E7</v>
      </c>
      <c r="AI133" s="155">
        <v>1.161111899E7</v>
      </c>
      <c r="AJ133" s="155">
        <v>0.0</v>
      </c>
      <c r="AK133" s="155">
        <v>1050000.0</v>
      </c>
      <c r="AL133" s="155">
        <f t="shared" si="154"/>
        <v>52971305.53</v>
      </c>
      <c r="AM133" s="154">
        <v>21.0</v>
      </c>
      <c r="AN133" s="155">
        <v>4.520723625E7</v>
      </c>
      <c r="AO133" s="155">
        <v>1.1234128010000002E7</v>
      </c>
      <c r="AP133" s="155">
        <v>520837.0</v>
      </c>
      <c r="AQ133" s="155">
        <v>160000.0</v>
      </c>
      <c r="AR133" s="155">
        <f t="shared" si="155"/>
        <v>57122201.26</v>
      </c>
      <c r="AS133" s="154">
        <v>21.0</v>
      </c>
      <c r="AT133" s="155">
        <v>4.669654229000001E7</v>
      </c>
      <c r="AU133" s="155">
        <v>2653167.92</v>
      </c>
      <c r="AV133" s="155">
        <v>0.0</v>
      </c>
      <c r="AW133" s="155">
        <f t="shared" si="156"/>
        <v>49349710.21</v>
      </c>
      <c r="AX133" s="154">
        <v>21.0</v>
      </c>
      <c r="AY133" s="155">
        <v>7.878229126999998E7</v>
      </c>
      <c r="AZ133" s="155">
        <v>1508626.04</v>
      </c>
      <c r="BA133" s="155">
        <v>0.0</v>
      </c>
      <c r="BB133" s="155">
        <f t="shared" si="157"/>
        <v>80290917.31</v>
      </c>
      <c r="BC133" s="154">
        <v>21.0</v>
      </c>
      <c r="BD133" s="155">
        <v>4.863385706999999E7</v>
      </c>
      <c r="BE133" s="155">
        <v>963028.08</v>
      </c>
      <c r="BF133" s="155">
        <v>1050000.0</v>
      </c>
      <c r="BG133" s="155">
        <v>0.0</v>
      </c>
      <c r="BH133" s="155">
        <f t="shared" si="158"/>
        <v>50646885.15</v>
      </c>
      <c r="BI133" s="154">
        <v>21.0</v>
      </c>
      <c r="BJ133" s="155">
        <v>4.909568078E7</v>
      </c>
      <c r="BK133" s="155">
        <v>1961957.85</v>
      </c>
      <c r="BL133" s="155"/>
      <c r="BM133" s="155">
        <v>2.999153324E7</v>
      </c>
      <c r="BN133" s="155">
        <f t="shared" si="159"/>
        <v>81049171.87</v>
      </c>
    </row>
    <row r="134" ht="12.75" customHeight="1">
      <c r="A134" s="180" t="s">
        <v>463</v>
      </c>
      <c r="B134" s="154">
        <v>10.0</v>
      </c>
      <c r="C134" s="155">
        <v>1.7729141240000002E7</v>
      </c>
      <c r="D134" s="155">
        <v>605430.0</v>
      </c>
      <c r="E134" s="155">
        <v>0.0</v>
      </c>
      <c r="F134" s="155">
        <v>1200000.0</v>
      </c>
      <c r="G134" s="155">
        <f t="shared" si="148"/>
        <v>19534571.24</v>
      </c>
      <c r="H134" s="154">
        <v>10.0</v>
      </c>
      <c r="I134" s="155">
        <v>1.6749488799999999E7</v>
      </c>
      <c r="J134" s="155">
        <v>115298.43</v>
      </c>
      <c r="K134" s="155">
        <v>0.0</v>
      </c>
      <c r="L134" s="155">
        <f t="shared" si="149"/>
        <v>16864787.23</v>
      </c>
      <c r="M134" s="154">
        <v>10.0</v>
      </c>
      <c r="N134" s="155">
        <v>1.5962468409999996E7</v>
      </c>
      <c r="O134" s="155">
        <v>0.0</v>
      </c>
      <c r="P134" s="155">
        <f t="shared" si="150"/>
        <v>15962468.41</v>
      </c>
      <c r="Q134" s="154">
        <v>10.0</v>
      </c>
      <c r="R134" s="155">
        <v>2.0621892960000005E7</v>
      </c>
      <c r="S134" s="155">
        <v>119706.45999999999</v>
      </c>
      <c r="T134" s="155">
        <v>558105.87</v>
      </c>
      <c r="U134" s="155">
        <f t="shared" si="151"/>
        <v>21299705.29</v>
      </c>
      <c r="V134" s="154">
        <v>9.0</v>
      </c>
      <c r="W134" s="155">
        <v>1.518849615E7</v>
      </c>
      <c r="X134" s="155">
        <v>0.0</v>
      </c>
      <c r="Y134" s="155">
        <v>0.0</v>
      </c>
      <c r="Z134" s="155">
        <f t="shared" si="152"/>
        <v>15188496.15</v>
      </c>
      <c r="AA134" s="154">
        <v>9.0</v>
      </c>
      <c r="AB134" s="155">
        <v>1.504314028E7</v>
      </c>
      <c r="AC134" s="155">
        <v>5966649.59</v>
      </c>
      <c r="AD134" s="155">
        <v>1.054681551E7</v>
      </c>
      <c r="AE134" s="155">
        <v>450000.0</v>
      </c>
      <c r="AF134" s="155">
        <f t="shared" si="153"/>
        <v>32006605.38</v>
      </c>
      <c r="AG134" s="154">
        <v>9.0</v>
      </c>
      <c r="AH134" s="155">
        <v>1.691027492E7</v>
      </c>
      <c r="AI134" s="155">
        <v>79145.24</v>
      </c>
      <c r="AJ134" s="155">
        <v>0.0</v>
      </c>
      <c r="AK134" s="155">
        <v>450000.0</v>
      </c>
      <c r="AL134" s="155">
        <f t="shared" si="154"/>
        <v>17439420.16</v>
      </c>
      <c r="AM134" s="154">
        <v>9.0</v>
      </c>
      <c r="AN134" s="155">
        <v>1.878879929E7</v>
      </c>
      <c r="AO134" s="155">
        <v>2828689.0</v>
      </c>
      <c r="AP134" s="155">
        <v>250963.0</v>
      </c>
      <c r="AQ134" s="155">
        <v>0.0</v>
      </c>
      <c r="AR134" s="155">
        <f t="shared" si="155"/>
        <v>21868451.29</v>
      </c>
      <c r="AS134" s="154">
        <v>9.0</v>
      </c>
      <c r="AT134" s="155">
        <v>1.7769276749999993E7</v>
      </c>
      <c r="AU134" s="155">
        <v>2051017.6099999999</v>
      </c>
      <c r="AV134" s="155">
        <v>0.0</v>
      </c>
      <c r="AW134" s="155">
        <f t="shared" si="156"/>
        <v>19820294.36</v>
      </c>
      <c r="AX134" s="154">
        <v>9.0</v>
      </c>
      <c r="AY134" s="155">
        <v>3.507877462E7</v>
      </c>
      <c r="AZ134" s="155">
        <v>389496.46</v>
      </c>
      <c r="BA134" s="155">
        <v>1455029.66</v>
      </c>
      <c r="BB134" s="155">
        <f t="shared" si="157"/>
        <v>36923300.74</v>
      </c>
      <c r="BC134" s="154">
        <v>9.0</v>
      </c>
      <c r="BD134" s="155">
        <v>1.6050442350000001E7</v>
      </c>
      <c r="BE134" s="155">
        <v>0.0</v>
      </c>
      <c r="BF134" s="155">
        <v>400000.0</v>
      </c>
      <c r="BG134" s="155">
        <v>0.0</v>
      </c>
      <c r="BH134" s="155">
        <f t="shared" si="158"/>
        <v>16450442.35</v>
      </c>
      <c r="BI134" s="154">
        <v>8.0</v>
      </c>
      <c r="BJ134" s="155">
        <v>1.626452908E7</v>
      </c>
      <c r="BK134" s="155">
        <v>562641.76</v>
      </c>
      <c r="BL134" s="155"/>
      <c r="BM134" s="155">
        <v>8850123.43</v>
      </c>
      <c r="BN134" s="155">
        <f t="shared" si="159"/>
        <v>25677294.27</v>
      </c>
    </row>
    <row r="135" ht="12.75" customHeight="1">
      <c r="A135" s="180" t="s">
        <v>183</v>
      </c>
      <c r="B135" s="154">
        <v>11.0</v>
      </c>
      <c r="C135" s="155">
        <v>1.990288835E7</v>
      </c>
      <c r="D135" s="155">
        <v>617477.45</v>
      </c>
      <c r="E135" s="155">
        <v>0.0</v>
      </c>
      <c r="F135" s="155">
        <v>1320000.0</v>
      </c>
      <c r="G135" s="155">
        <f t="shared" si="148"/>
        <v>21840365.8</v>
      </c>
      <c r="H135" s="154">
        <v>11.0</v>
      </c>
      <c r="I135" s="155">
        <v>1.703555597E7</v>
      </c>
      <c r="J135" s="155">
        <v>672565.8400000001</v>
      </c>
      <c r="K135" s="155">
        <v>0.0</v>
      </c>
      <c r="L135" s="155">
        <f t="shared" si="149"/>
        <v>17708121.81</v>
      </c>
      <c r="M135" s="154">
        <v>11.0</v>
      </c>
      <c r="N135" s="155">
        <v>1.6724196219999997E7</v>
      </c>
      <c r="O135" s="155">
        <v>556984.27</v>
      </c>
      <c r="P135" s="155">
        <f t="shared" si="150"/>
        <v>17281180.49</v>
      </c>
      <c r="Q135" s="154">
        <v>11.0</v>
      </c>
      <c r="R135" s="155">
        <v>5.051689383E7</v>
      </c>
      <c r="S135" s="155">
        <v>311246.61</v>
      </c>
      <c r="T135" s="155">
        <v>1398345.74</v>
      </c>
      <c r="U135" s="155">
        <f t="shared" si="151"/>
        <v>52226486.18</v>
      </c>
      <c r="V135" s="154">
        <v>7.0</v>
      </c>
      <c r="W135" s="155">
        <v>1.2439275359999998E7</v>
      </c>
      <c r="X135" s="155">
        <v>0.0</v>
      </c>
      <c r="Y135" s="155">
        <v>0.0</v>
      </c>
      <c r="Z135" s="155">
        <f t="shared" si="152"/>
        <v>12439275.36</v>
      </c>
      <c r="AA135" s="154">
        <v>7.0</v>
      </c>
      <c r="AB135" s="155">
        <v>1.2345233140000002E7</v>
      </c>
      <c r="AC135" s="155">
        <v>243711.21999999997</v>
      </c>
      <c r="AD135" s="155">
        <v>7065911.57</v>
      </c>
      <c r="AE135" s="155">
        <v>350000.0</v>
      </c>
      <c r="AF135" s="155">
        <f t="shared" si="153"/>
        <v>20004855.93</v>
      </c>
      <c r="AG135" s="154">
        <v>7.0</v>
      </c>
      <c r="AH135" s="155">
        <v>1.2764476479999999E7</v>
      </c>
      <c r="AI135" s="155">
        <v>2902331.3000000003</v>
      </c>
      <c r="AJ135" s="155">
        <v>0.0</v>
      </c>
      <c r="AK135" s="155">
        <v>350000.0</v>
      </c>
      <c r="AL135" s="155">
        <f t="shared" si="154"/>
        <v>16016807.78</v>
      </c>
      <c r="AM135" s="154">
        <v>7.0</v>
      </c>
      <c r="AN135" s="155">
        <v>1.45145955E7</v>
      </c>
      <c r="AO135" s="155">
        <v>2123456.31</v>
      </c>
      <c r="AP135" s="155">
        <v>33618.0</v>
      </c>
      <c r="AQ135" s="155">
        <v>0.0</v>
      </c>
      <c r="AR135" s="155">
        <f t="shared" si="155"/>
        <v>16671669.81</v>
      </c>
      <c r="AS135" s="154">
        <v>7.0</v>
      </c>
      <c r="AT135" s="155">
        <v>1.41429511E7</v>
      </c>
      <c r="AU135" s="155">
        <v>3244496.72</v>
      </c>
      <c r="AV135" s="155">
        <v>0.0</v>
      </c>
      <c r="AW135" s="155">
        <f t="shared" si="156"/>
        <v>17387447.82</v>
      </c>
      <c r="AX135" s="154">
        <v>7.0</v>
      </c>
      <c r="AY135" s="155">
        <v>2.9328529150000002E7</v>
      </c>
      <c r="AZ135" s="155">
        <v>3423516.59</v>
      </c>
      <c r="BA135" s="155">
        <v>0.0</v>
      </c>
      <c r="BB135" s="155">
        <f t="shared" si="157"/>
        <v>32752045.74</v>
      </c>
      <c r="BC135" s="154">
        <v>7.0</v>
      </c>
      <c r="BD135" s="155">
        <v>1.6341274E7</v>
      </c>
      <c r="BE135" s="155">
        <v>550311.38</v>
      </c>
      <c r="BF135" s="155">
        <v>350000.0</v>
      </c>
      <c r="BG135" s="155">
        <v>0.0</v>
      </c>
      <c r="BH135" s="155">
        <f t="shared" si="158"/>
        <v>17241585.38</v>
      </c>
      <c r="BI135" s="154">
        <v>7.0</v>
      </c>
      <c r="BJ135" s="155">
        <v>1.651171128E7</v>
      </c>
      <c r="BK135" s="155">
        <v>422911.06</v>
      </c>
      <c r="BL135" s="155"/>
      <c r="BM135" s="155">
        <v>9523157.09</v>
      </c>
      <c r="BN135" s="155">
        <f t="shared" si="159"/>
        <v>26457779.43</v>
      </c>
    </row>
    <row r="136" ht="12.75" customHeight="1">
      <c r="A136" s="180" t="s">
        <v>464</v>
      </c>
      <c r="B136" s="154">
        <v>1.0</v>
      </c>
      <c r="C136" s="155">
        <v>4172934.35</v>
      </c>
      <c r="D136" s="155">
        <v>0.0</v>
      </c>
      <c r="E136" s="155">
        <v>0.0</v>
      </c>
      <c r="F136" s="155">
        <v>120000.0</v>
      </c>
      <c r="G136" s="155">
        <f t="shared" si="148"/>
        <v>4292934.35</v>
      </c>
      <c r="H136" s="154">
        <v>1.0</v>
      </c>
      <c r="I136" s="155">
        <v>4021201.9500000007</v>
      </c>
      <c r="J136" s="155">
        <v>0.0</v>
      </c>
      <c r="K136" s="155">
        <v>0.0</v>
      </c>
      <c r="L136" s="155">
        <f t="shared" si="149"/>
        <v>4021201.95</v>
      </c>
      <c r="M136" s="154">
        <v>1.0</v>
      </c>
      <c r="N136" s="155">
        <v>1170242.98</v>
      </c>
      <c r="O136" s="155">
        <v>0.0</v>
      </c>
      <c r="P136" s="155">
        <f t="shared" si="150"/>
        <v>1170242.98</v>
      </c>
      <c r="Q136" s="154">
        <v>1.0</v>
      </c>
      <c r="R136" s="155">
        <v>130027.09</v>
      </c>
      <c r="S136" s="155">
        <v>0.0</v>
      </c>
      <c r="T136" s="155">
        <v>0.0</v>
      </c>
      <c r="U136" s="155">
        <f t="shared" si="151"/>
        <v>130027.09</v>
      </c>
      <c r="V136" s="154">
        <v>1.0</v>
      </c>
      <c r="W136" s="155">
        <v>7944642.72</v>
      </c>
      <c r="X136" s="155">
        <v>0.0</v>
      </c>
      <c r="Y136" s="155">
        <v>0.0</v>
      </c>
      <c r="Z136" s="155">
        <f t="shared" si="152"/>
        <v>7944642.72</v>
      </c>
      <c r="AA136" s="154">
        <v>1.0</v>
      </c>
      <c r="AB136" s="155">
        <v>4173863.4099999997</v>
      </c>
      <c r="AC136" s="155">
        <v>0.0</v>
      </c>
      <c r="AD136" s="155">
        <v>1171000.4</v>
      </c>
      <c r="AE136" s="155">
        <v>50000.0</v>
      </c>
      <c r="AF136" s="155">
        <f t="shared" si="153"/>
        <v>5394863.81</v>
      </c>
      <c r="AG136" s="154">
        <v>1.0</v>
      </c>
      <c r="AH136" s="155">
        <v>4319948.199999999</v>
      </c>
      <c r="AI136" s="155">
        <v>0.0</v>
      </c>
      <c r="AJ136" s="155">
        <v>0.0</v>
      </c>
      <c r="AK136" s="155">
        <v>50000.0</v>
      </c>
      <c r="AL136" s="155">
        <f t="shared" si="154"/>
        <v>4369948.2</v>
      </c>
      <c r="AM136" s="154">
        <v>1.0</v>
      </c>
      <c r="AN136" s="155">
        <v>4449547.680000002</v>
      </c>
      <c r="AO136" s="155">
        <v>0.0</v>
      </c>
      <c r="AP136" s="155">
        <v>0.0</v>
      </c>
      <c r="AQ136" s="155">
        <v>160000.0</v>
      </c>
      <c r="AR136" s="155">
        <f t="shared" si="155"/>
        <v>4609547.68</v>
      </c>
      <c r="AS136" s="154">
        <v>1.0</v>
      </c>
      <c r="AT136" s="155">
        <v>4538538.279999999</v>
      </c>
      <c r="AU136" s="155">
        <v>0.0</v>
      </c>
      <c r="AV136" s="155">
        <v>0.0</v>
      </c>
      <c r="AW136" s="155">
        <f t="shared" si="156"/>
        <v>4538538.28</v>
      </c>
      <c r="AX136" s="154">
        <v>1.0</v>
      </c>
      <c r="AY136" s="155">
        <v>8260613.329999999</v>
      </c>
      <c r="AZ136" s="155">
        <v>0.0</v>
      </c>
      <c r="BA136" s="155">
        <v>0.0</v>
      </c>
      <c r="BB136" s="155">
        <f t="shared" si="157"/>
        <v>8260613.33</v>
      </c>
      <c r="BC136" s="154">
        <v>1.0</v>
      </c>
      <c r="BD136" s="155">
        <v>4701481.45</v>
      </c>
      <c r="BE136" s="155">
        <v>0.0</v>
      </c>
      <c r="BF136" s="155">
        <v>50000.0</v>
      </c>
      <c r="BG136" s="155">
        <v>0.0</v>
      </c>
      <c r="BH136" s="155">
        <f t="shared" si="158"/>
        <v>4751481.45</v>
      </c>
      <c r="BI136" s="154">
        <v>1.0</v>
      </c>
      <c r="BJ136" s="155">
        <v>4748495.65</v>
      </c>
      <c r="BK136" s="155"/>
      <c r="BL136" s="155"/>
      <c r="BM136" s="155">
        <v>2374247.82</v>
      </c>
      <c r="BN136" s="155">
        <f t="shared" si="159"/>
        <v>7122743.47</v>
      </c>
    </row>
    <row r="137" ht="12.75" customHeight="1">
      <c r="A137" s="147" t="s">
        <v>416</v>
      </c>
      <c r="B137" s="157">
        <f t="shared" ref="B137:BN137" si="160">SUM(B123:B136)</f>
        <v>139</v>
      </c>
      <c r="C137" s="157">
        <f t="shared" si="160"/>
        <v>283245348.9</v>
      </c>
      <c r="D137" s="157">
        <f t="shared" si="160"/>
        <v>1263012.59</v>
      </c>
      <c r="E137" s="157">
        <f t="shared" si="160"/>
        <v>538140.55</v>
      </c>
      <c r="F137" s="157">
        <f t="shared" si="160"/>
        <v>16560000</v>
      </c>
      <c r="G137" s="157">
        <f t="shared" si="160"/>
        <v>301606502</v>
      </c>
      <c r="H137" s="157">
        <f t="shared" si="160"/>
        <v>139</v>
      </c>
      <c r="I137" s="157">
        <f t="shared" si="160"/>
        <v>248553977</v>
      </c>
      <c r="J137" s="157">
        <f t="shared" si="160"/>
        <v>1408925.01</v>
      </c>
      <c r="K137" s="157">
        <f t="shared" si="160"/>
        <v>0</v>
      </c>
      <c r="L137" s="157">
        <f t="shared" si="160"/>
        <v>249962902</v>
      </c>
      <c r="M137" s="157">
        <f t="shared" si="160"/>
        <v>139</v>
      </c>
      <c r="N137" s="157">
        <f t="shared" si="160"/>
        <v>242493001.7</v>
      </c>
      <c r="O137" s="157">
        <f t="shared" si="160"/>
        <v>568014.49</v>
      </c>
      <c r="P137" s="157">
        <f t="shared" si="160"/>
        <v>243061016.2</v>
      </c>
      <c r="Q137" s="157">
        <f t="shared" si="160"/>
        <v>139</v>
      </c>
      <c r="R137" s="157">
        <f t="shared" si="160"/>
        <v>530502806.4</v>
      </c>
      <c r="S137" s="157">
        <f t="shared" si="160"/>
        <v>8783014.82</v>
      </c>
      <c r="T137" s="157">
        <f t="shared" si="160"/>
        <v>16510373.31</v>
      </c>
      <c r="U137" s="157">
        <f t="shared" si="160"/>
        <v>555796194.6</v>
      </c>
      <c r="V137" s="157">
        <f t="shared" si="160"/>
        <v>109</v>
      </c>
      <c r="W137" s="157">
        <f t="shared" si="160"/>
        <v>303241733.7</v>
      </c>
      <c r="X137" s="157">
        <f t="shared" si="160"/>
        <v>2958421.15</v>
      </c>
      <c r="Y137" s="157">
        <f t="shared" si="160"/>
        <v>3810394.95</v>
      </c>
      <c r="Z137" s="157">
        <f t="shared" si="160"/>
        <v>310010549.8</v>
      </c>
      <c r="AA137" s="157">
        <f t="shared" si="160"/>
        <v>109</v>
      </c>
      <c r="AB137" s="157">
        <f t="shared" si="160"/>
        <v>204112821.8</v>
      </c>
      <c r="AC137" s="157">
        <f t="shared" si="160"/>
        <v>33720985.77</v>
      </c>
      <c r="AD137" s="157">
        <f t="shared" si="160"/>
        <v>122542611.4</v>
      </c>
      <c r="AE137" s="157">
        <f t="shared" si="160"/>
        <v>5300000</v>
      </c>
      <c r="AF137" s="157">
        <f t="shared" si="160"/>
        <v>365676419</v>
      </c>
      <c r="AG137" s="157">
        <f t="shared" si="160"/>
        <v>109</v>
      </c>
      <c r="AH137" s="157">
        <f t="shared" si="160"/>
        <v>219821836.7</v>
      </c>
      <c r="AI137" s="157">
        <f t="shared" si="160"/>
        <v>36056533.95</v>
      </c>
      <c r="AJ137" s="157">
        <f t="shared" si="160"/>
        <v>317588.5</v>
      </c>
      <c r="AK137" s="157">
        <f t="shared" si="160"/>
        <v>5300000</v>
      </c>
      <c r="AL137" s="157">
        <f t="shared" si="160"/>
        <v>261495959.2</v>
      </c>
      <c r="AM137" s="157">
        <f t="shared" si="160"/>
        <v>105</v>
      </c>
      <c r="AN137" s="157">
        <f t="shared" si="160"/>
        <v>255222872.1</v>
      </c>
      <c r="AO137" s="157">
        <f t="shared" si="160"/>
        <v>30593505.74</v>
      </c>
      <c r="AP137" s="157">
        <f t="shared" si="160"/>
        <v>3016935.71</v>
      </c>
      <c r="AQ137" s="157">
        <f t="shared" si="160"/>
        <v>5281656</v>
      </c>
      <c r="AR137" s="157">
        <f t="shared" si="160"/>
        <v>294114969.5</v>
      </c>
      <c r="AS137" s="157">
        <f t="shared" si="160"/>
        <v>102</v>
      </c>
      <c r="AT137" s="157">
        <f t="shared" si="160"/>
        <v>235134931.4</v>
      </c>
      <c r="AU137" s="157">
        <f t="shared" si="160"/>
        <v>15190680.25</v>
      </c>
      <c r="AV137" s="157">
        <f t="shared" si="160"/>
        <v>0</v>
      </c>
      <c r="AW137" s="157">
        <f t="shared" si="160"/>
        <v>250325611.6</v>
      </c>
      <c r="AX137" s="157">
        <f t="shared" si="160"/>
        <v>102</v>
      </c>
      <c r="AY137" s="157">
        <f t="shared" si="160"/>
        <v>419146300.6</v>
      </c>
      <c r="AZ137" s="157">
        <f t="shared" si="160"/>
        <v>13928158.93</v>
      </c>
      <c r="BA137" s="157">
        <f t="shared" si="160"/>
        <v>1455029.66</v>
      </c>
      <c r="BB137" s="157">
        <f t="shared" si="160"/>
        <v>434529489.2</v>
      </c>
      <c r="BC137" s="157">
        <f t="shared" si="160"/>
        <v>102</v>
      </c>
      <c r="BD137" s="157">
        <f t="shared" si="160"/>
        <v>244372415.9</v>
      </c>
      <c r="BE137" s="157">
        <f t="shared" si="160"/>
        <v>5989402.89</v>
      </c>
      <c r="BF137" s="157">
        <f t="shared" si="160"/>
        <v>5000000</v>
      </c>
      <c r="BG137" s="157">
        <f t="shared" si="160"/>
        <v>1167441.08</v>
      </c>
      <c r="BH137" s="157">
        <f t="shared" si="160"/>
        <v>256529259.8</v>
      </c>
      <c r="BI137" s="157">
        <f t="shared" si="160"/>
        <v>97</v>
      </c>
      <c r="BJ137" s="157">
        <f t="shared" si="160"/>
        <v>243918319.5</v>
      </c>
      <c r="BK137" s="157">
        <f t="shared" si="160"/>
        <v>4149756.41</v>
      </c>
      <c r="BL137" s="157">
        <f t="shared" si="160"/>
        <v>0</v>
      </c>
      <c r="BM137" s="157">
        <f t="shared" si="160"/>
        <v>137908423.8</v>
      </c>
      <c r="BN137" s="157">
        <f t="shared" si="160"/>
        <v>385976499.6</v>
      </c>
    </row>
    <row r="138" ht="12.75" customHeight="1">
      <c r="A138" s="180"/>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59"/>
      <c r="AT138" s="159"/>
      <c r="AU138" s="159"/>
      <c r="AV138" s="159"/>
      <c r="AW138" s="159"/>
      <c r="AX138" s="159"/>
      <c r="AY138" s="159"/>
      <c r="AZ138" s="159"/>
      <c r="BA138" s="159"/>
      <c r="BB138" s="159"/>
      <c r="BC138" s="159"/>
      <c r="BD138" s="159"/>
      <c r="BE138" s="159"/>
      <c r="BF138" s="159"/>
      <c r="BG138" s="159"/>
      <c r="BH138" s="159"/>
      <c r="BI138" s="159"/>
      <c r="BJ138" s="159"/>
      <c r="BK138" s="159"/>
      <c r="BL138" s="159"/>
      <c r="BM138" s="159"/>
      <c r="BN138" s="159"/>
    </row>
    <row r="139" ht="12.75" customHeight="1">
      <c r="A139" s="147" t="s">
        <v>392</v>
      </c>
      <c r="B139" s="163" t="s">
        <v>406</v>
      </c>
      <c r="C139" s="152" t="s">
        <v>407</v>
      </c>
      <c r="D139" s="152" t="s">
        <v>408</v>
      </c>
      <c r="E139" s="151" t="s">
        <v>409</v>
      </c>
      <c r="F139" s="151" t="s">
        <v>410</v>
      </c>
      <c r="G139" s="152" t="s">
        <v>305</v>
      </c>
      <c r="H139" s="163" t="s">
        <v>406</v>
      </c>
      <c r="I139" s="152" t="s">
        <v>407</v>
      </c>
      <c r="J139" s="152" t="s">
        <v>408</v>
      </c>
      <c r="K139" s="151" t="s">
        <v>409</v>
      </c>
      <c r="L139" s="152" t="s">
        <v>305</v>
      </c>
      <c r="M139" s="163" t="s">
        <v>406</v>
      </c>
      <c r="N139" s="152" t="s">
        <v>407</v>
      </c>
      <c r="O139" s="152" t="s">
        <v>408</v>
      </c>
      <c r="P139" s="152" t="s">
        <v>305</v>
      </c>
      <c r="Q139" s="163" t="s">
        <v>406</v>
      </c>
      <c r="R139" s="152" t="s">
        <v>407</v>
      </c>
      <c r="S139" s="152" t="s">
        <v>408</v>
      </c>
      <c r="T139" s="151" t="s">
        <v>409</v>
      </c>
      <c r="U139" s="152" t="s">
        <v>305</v>
      </c>
      <c r="V139" s="163" t="s">
        <v>406</v>
      </c>
      <c r="W139" s="152" t="s">
        <v>407</v>
      </c>
      <c r="X139" s="152" t="s">
        <v>408</v>
      </c>
      <c r="Y139" s="151" t="s">
        <v>409</v>
      </c>
      <c r="Z139" s="152" t="s">
        <v>305</v>
      </c>
      <c r="AA139" s="163" t="s">
        <v>406</v>
      </c>
      <c r="AB139" s="152" t="s">
        <v>407</v>
      </c>
      <c r="AC139" s="152" t="s">
        <v>408</v>
      </c>
      <c r="AD139" s="151" t="s">
        <v>409</v>
      </c>
      <c r="AE139" s="151" t="s">
        <v>411</v>
      </c>
      <c r="AF139" s="152" t="s">
        <v>305</v>
      </c>
      <c r="AG139" s="163" t="s">
        <v>406</v>
      </c>
      <c r="AH139" s="152" t="s">
        <v>407</v>
      </c>
      <c r="AI139" s="152" t="s">
        <v>408</v>
      </c>
      <c r="AJ139" s="151" t="s">
        <v>409</v>
      </c>
      <c r="AK139" s="151" t="s">
        <v>411</v>
      </c>
      <c r="AL139" s="152" t="s">
        <v>305</v>
      </c>
      <c r="AM139" s="163" t="s">
        <v>406</v>
      </c>
      <c r="AN139" s="152" t="s">
        <v>407</v>
      </c>
      <c r="AO139" s="152" t="s">
        <v>408</v>
      </c>
      <c r="AP139" s="151" t="s">
        <v>409</v>
      </c>
      <c r="AQ139" s="151" t="s">
        <v>411</v>
      </c>
      <c r="AR139" s="152" t="s">
        <v>305</v>
      </c>
      <c r="AS139" s="163" t="s">
        <v>406</v>
      </c>
      <c r="AT139" s="152" t="s">
        <v>407</v>
      </c>
      <c r="AU139" s="152" t="s">
        <v>408</v>
      </c>
      <c r="AV139" s="151" t="s">
        <v>409</v>
      </c>
      <c r="AW139" s="152" t="s">
        <v>305</v>
      </c>
      <c r="AX139" s="163" t="s">
        <v>406</v>
      </c>
      <c r="AY139" s="152" t="s">
        <v>407</v>
      </c>
      <c r="AZ139" s="152" t="s">
        <v>408</v>
      </c>
      <c r="BA139" s="151" t="s">
        <v>409</v>
      </c>
      <c r="BB139" s="152" t="s">
        <v>305</v>
      </c>
      <c r="BC139" s="163" t="s">
        <v>406</v>
      </c>
      <c r="BD139" s="152" t="s">
        <v>407</v>
      </c>
      <c r="BE139" s="152" t="s">
        <v>408</v>
      </c>
      <c r="BF139" s="151" t="s">
        <v>412</v>
      </c>
      <c r="BG139" s="151" t="s">
        <v>409</v>
      </c>
      <c r="BH139" s="152" t="s">
        <v>305</v>
      </c>
      <c r="BI139" s="163" t="s">
        <v>406</v>
      </c>
      <c r="BJ139" s="152" t="s">
        <v>407</v>
      </c>
      <c r="BK139" s="152" t="s">
        <v>408</v>
      </c>
      <c r="BL139" s="151" t="s">
        <v>412</v>
      </c>
      <c r="BM139" s="151" t="s">
        <v>409</v>
      </c>
      <c r="BN139" s="152" t="s">
        <v>305</v>
      </c>
    </row>
    <row r="140" ht="12.75" customHeight="1">
      <c r="A140" s="181" t="s">
        <v>465</v>
      </c>
      <c r="B140" s="182">
        <f t="shared" ref="B140:BN140" si="161">B114+B109+B104+B99+B94+B88+B80+B71+B67+B63+B59+B54+B43+B38+B32+B11+B119+B48+B137+B16</f>
        <v>515</v>
      </c>
      <c r="C140" s="182">
        <f t="shared" si="161"/>
        <v>1125840850</v>
      </c>
      <c r="D140" s="182">
        <f t="shared" si="161"/>
        <v>55966851.11</v>
      </c>
      <c r="E140" s="182">
        <f t="shared" si="161"/>
        <v>4810293.23</v>
      </c>
      <c r="F140" s="182">
        <f t="shared" si="161"/>
        <v>60480000</v>
      </c>
      <c r="G140" s="182">
        <f t="shared" si="161"/>
        <v>1247097995</v>
      </c>
      <c r="H140" s="182">
        <f t="shared" si="161"/>
        <v>515</v>
      </c>
      <c r="I140" s="182">
        <f t="shared" si="161"/>
        <v>911733360.2</v>
      </c>
      <c r="J140" s="182">
        <f t="shared" si="161"/>
        <v>73345546.75</v>
      </c>
      <c r="K140" s="182">
        <f t="shared" si="161"/>
        <v>416458.21</v>
      </c>
      <c r="L140" s="182">
        <f t="shared" si="161"/>
        <v>985495365.1</v>
      </c>
      <c r="M140" s="182">
        <f t="shared" si="161"/>
        <v>515</v>
      </c>
      <c r="N140" s="182">
        <f t="shared" si="161"/>
        <v>932567326.2</v>
      </c>
      <c r="O140" s="182">
        <f t="shared" si="161"/>
        <v>47092939.47</v>
      </c>
      <c r="P140" s="182">
        <f t="shared" si="161"/>
        <v>979660265.6</v>
      </c>
      <c r="Q140" s="182">
        <f t="shared" si="161"/>
        <v>515</v>
      </c>
      <c r="R140" s="182">
        <f t="shared" si="161"/>
        <v>1594454225</v>
      </c>
      <c r="S140" s="182">
        <f t="shared" si="161"/>
        <v>72788374.31</v>
      </c>
      <c r="T140" s="182">
        <f t="shared" si="161"/>
        <v>35243136.1</v>
      </c>
      <c r="U140" s="182">
        <f t="shared" si="161"/>
        <v>1702485735</v>
      </c>
      <c r="V140" s="182">
        <f t="shared" si="161"/>
        <v>455</v>
      </c>
      <c r="W140" s="182">
        <f t="shared" si="161"/>
        <v>992160070</v>
      </c>
      <c r="X140" s="182">
        <f t="shared" si="161"/>
        <v>72066490.12</v>
      </c>
      <c r="Y140" s="182">
        <f t="shared" si="161"/>
        <v>4941748.88</v>
      </c>
      <c r="Z140" s="182">
        <f t="shared" si="161"/>
        <v>1069168309</v>
      </c>
      <c r="AA140" s="182">
        <f t="shared" si="161"/>
        <v>449</v>
      </c>
      <c r="AB140" s="182">
        <f t="shared" si="161"/>
        <v>910509222.7</v>
      </c>
      <c r="AC140" s="182">
        <f t="shared" si="161"/>
        <v>235728498.4</v>
      </c>
      <c r="AD140" s="182">
        <f t="shared" si="161"/>
        <v>577842106</v>
      </c>
      <c r="AE140" s="182">
        <f t="shared" si="161"/>
        <v>22700000</v>
      </c>
      <c r="AF140" s="182">
        <f t="shared" si="161"/>
        <v>1746779827</v>
      </c>
      <c r="AG140" s="182">
        <f t="shared" si="161"/>
        <v>440</v>
      </c>
      <c r="AH140" s="182">
        <f t="shared" si="161"/>
        <v>1431841557</v>
      </c>
      <c r="AI140" s="182">
        <f t="shared" si="161"/>
        <v>174898231</v>
      </c>
      <c r="AJ140" s="182">
        <f t="shared" si="161"/>
        <v>8900740.67</v>
      </c>
      <c r="AK140" s="182">
        <f t="shared" si="161"/>
        <v>22450000</v>
      </c>
      <c r="AL140" s="182">
        <f t="shared" si="161"/>
        <v>1638090529</v>
      </c>
      <c r="AM140" s="182">
        <f t="shared" si="161"/>
        <v>440</v>
      </c>
      <c r="AN140" s="182">
        <f t="shared" si="161"/>
        <v>1076175608</v>
      </c>
      <c r="AO140" s="182">
        <f t="shared" si="161"/>
        <v>174739971</v>
      </c>
      <c r="AP140" s="182">
        <f t="shared" si="161"/>
        <v>12727090.65</v>
      </c>
      <c r="AQ140" s="182">
        <f t="shared" si="161"/>
        <v>13818801</v>
      </c>
      <c r="AR140" s="182">
        <f t="shared" si="161"/>
        <v>1277461471</v>
      </c>
      <c r="AS140" s="182">
        <f t="shared" si="161"/>
        <v>431</v>
      </c>
      <c r="AT140" s="182">
        <f t="shared" si="161"/>
        <v>1007626842</v>
      </c>
      <c r="AU140" s="182">
        <f t="shared" si="161"/>
        <v>74286605.52</v>
      </c>
      <c r="AV140" s="182">
        <f t="shared" si="161"/>
        <v>2420529.75</v>
      </c>
      <c r="AW140" s="182">
        <f t="shared" si="161"/>
        <v>1084333978</v>
      </c>
      <c r="AX140" s="182">
        <f t="shared" si="161"/>
        <v>431</v>
      </c>
      <c r="AY140" s="182">
        <f t="shared" si="161"/>
        <v>1794105669</v>
      </c>
      <c r="AZ140" s="182">
        <f t="shared" si="161"/>
        <v>54782954.64</v>
      </c>
      <c r="BA140" s="182">
        <f t="shared" si="161"/>
        <v>5136991.04</v>
      </c>
      <c r="BB140" s="182">
        <f t="shared" si="161"/>
        <v>1854025615</v>
      </c>
      <c r="BC140" s="182">
        <f t="shared" si="161"/>
        <v>431</v>
      </c>
      <c r="BD140" s="182">
        <f t="shared" si="161"/>
        <v>1038879910</v>
      </c>
      <c r="BE140" s="182">
        <f t="shared" si="161"/>
        <v>128166332.6</v>
      </c>
      <c r="BF140" s="182">
        <f t="shared" si="161"/>
        <v>21200000</v>
      </c>
      <c r="BG140" s="182">
        <f t="shared" si="161"/>
        <v>2413219.79</v>
      </c>
      <c r="BH140" s="182">
        <f t="shared" si="161"/>
        <v>1190659462</v>
      </c>
      <c r="BI140" s="182">
        <f t="shared" si="161"/>
        <v>423</v>
      </c>
      <c r="BJ140" s="182">
        <f t="shared" si="161"/>
        <v>1056542836</v>
      </c>
      <c r="BK140" s="182">
        <f t="shared" si="161"/>
        <v>71487223.8</v>
      </c>
      <c r="BL140" s="182">
        <f t="shared" si="161"/>
        <v>0</v>
      </c>
      <c r="BM140" s="182">
        <f t="shared" si="161"/>
        <v>622156988.5</v>
      </c>
      <c r="BN140" s="182">
        <f t="shared" si="161"/>
        <v>1750187048</v>
      </c>
    </row>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4">
    <mergeCell ref="AA4:AF4"/>
    <mergeCell ref="AG4:AL4"/>
    <mergeCell ref="AM4:AR4"/>
    <mergeCell ref="AS4:AW4"/>
    <mergeCell ref="AX4:BB4"/>
    <mergeCell ref="BC4:BH4"/>
    <mergeCell ref="A1:BN1"/>
    <mergeCell ref="B3:BN3"/>
    <mergeCell ref="B4:G4"/>
    <mergeCell ref="H4:L4"/>
    <mergeCell ref="M4:P4"/>
    <mergeCell ref="Q4:U4"/>
    <mergeCell ref="V4:Z4"/>
    <mergeCell ref="BI4:BN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2010-01-12T14:45:01Z</dcterms:created>
  <dc:creator>m.Palma</dc:creator>
</cp:coreProperties>
</file>