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ciones Industriales" sheetId="1" r:id="rId4"/>
  </sheets>
  <definedNames/>
  <calcPr/>
  <extLst>
    <ext uri="GoogleSheetsCustomDataVersion2">
      <go:sheetsCustomData xmlns:go="http://customooxmlschemas.google.com/" r:id="rId5" roundtripDataChecksum="D6vTTXqnCPeAcuyVfVijPe27Gw0BjAZVwgJDLy30JBA="/>
    </ext>
  </extLst>
</workbook>
</file>

<file path=xl/sharedStrings.xml><?xml version="1.0" encoding="utf-8"?>
<sst xmlns="http://schemas.openxmlformats.org/spreadsheetml/2006/main" count="15" uniqueCount="15">
  <si>
    <t>Periodo (Promedio mes)</t>
  </si>
  <si>
    <t>Hs NORMAL</t>
  </si>
  <si>
    <t xml:space="preserve">Hs NORMAL TRABAJADAS </t>
  </si>
  <si>
    <t xml:space="preserve">ENFERMEDAD </t>
  </si>
  <si>
    <t xml:space="preserve">ACCIDENTES </t>
  </si>
  <si>
    <t>COMPENSATO-RIOS</t>
  </si>
  <si>
    <t>Ausencias, Licencias Vs. y Suspensiones</t>
  </si>
  <si>
    <t>AUSENTISMO s/vacaciones</t>
  </si>
  <si>
    <t>Horas Suplementarias</t>
  </si>
  <si>
    <t>HORAS 130 Y al 100</t>
  </si>
  <si>
    <t>Horas Suplementarias vs Trabajadas</t>
  </si>
  <si>
    <t>Monto Horas Suplementarias</t>
  </si>
  <si>
    <t>Dotación</t>
  </si>
  <si>
    <t>Relacion Compensatorias vs suplementarias</t>
  </si>
  <si>
    <t>Horas trabajadas vs dotación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</si>
</sst>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&quot;HH&quot;"/>
    <numFmt numFmtId="165" formatCode="[$-C0A]mmm\-yy"/>
    <numFmt numFmtId="166" formatCode="_ &quot;$&quot;\ * #,##0_ ;_ &quot;$&quot;\ * \-#,##0_ ;_ &quot;$&quot;\ * &quot;-&quot;??_ ;_ @_ "/>
    <numFmt numFmtId="167" formatCode="[$-C0A]dd\-mmm\-yy"/>
  </numFmts>
  <fonts count="16">
    <font>
      <sz val="11.0"/>
      <color theme="1"/>
      <name val="Calibri"/>
      <scheme val="minor"/>
    </font>
    <font>
      <b/>
      <sz val="12.0"/>
      <color theme="1"/>
      <name val="Calibri"/>
    </font>
    <font>
      <sz val="9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sz val="11.0"/>
      <color rgb="FF00B050"/>
      <name val="Calibri"/>
    </font>
    <font>
      <sz val="12.0"/>
      <color rgb="FF00B050"/>
      <name val="Calibri"/>
    </font>
    <font>
      <sz val="11.0"/>
      <color rgb="FFFF0000"/>
      <name val="Calibri"/>
    </font>
    <font>
      <sz val="12.0"/>
      <color rgb="FFFF0000"/>
      <name val="Calibri"/>
    </font>
    <font>
      <b/>
      <sz val="11.0"/>
      <color rgb="FFFF0000"/>
      <name val="Calibri"/>
    </font>
    <font>
      <b/>
      <sz val="12.0"/>
      <color rgb="FFFF0000"/>
      <name val="Calibri"/>
    </font>
    <font>
      <b/>
      <sz val="11.0"/>
      <color theme="1"/>
      <name val="Calibri"/>
    </font>
    <font>
      <sz val="11.0"/>
      <color theme="9"/>
      <name val="Calibri"/>
    </font>
    <font>
      <sz val="12.0"/>
      <color theme="9"/>
      <name val="Calibri"/>
    </font>
    <font>
      <b/>
      <sz val="11.0"/>
      <color theme="9"/>
      <name val="Calibri"/>
    </font>
    <font>
      <b/>
      <sz val="12.0"/>
      <color theme="9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/>
      <right/>
      <top/>
      <bottom/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FFFFF"/>
      </left>
      <top style="dotted">
        <color rgb="FFFFFFFF"/>
      </top>
      <bottom style="dotted">
        <color rgb="FFFFFFFF"/>
      </bottom>
    </border>
    <border>
      <left style="dotted">
        <color rgb="FFFFFFFF"/>
      </left>
      <right style="dotted">
        <color rgb="FFFFFFFF"/>
      </right>
      <top style="dotted">
        <color rgb="FFFFFFFF"/>
      </top>
    </border>
    <border>
      <left style="dotted">
        <color rgb="FFFFFFFF"/>
      </left>
      <top style="dotted">
        <color rgb="FFFFFFFF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0" fillId="2" fontId="4" numFmtId="0" xfId="0" applyFont="1"/>
    <xf borderId="0" fillId="2" fontId="5" numFmtId="165" xfId="0" applyAlignment="1" applyFont="1" applyNumberFormat="1">
      <alignment horizontal="center"/>
    </xf>
    <xf borderId="0" fillId="2" fontId="6" numFmtId="164" xfId="0" applyAlignment="1" applyFont="1" applyNumberFormat="1">
      <alignment horizontal="center" vertical="center"/>
    </xf>
    <xf borderId="0" fillId="2" fontId="6" numFmtId="9" xfId="0" applyAlignment="1" applyFont="1" applyNumberFormat="1">
      <alignment horizontal="center" vertical="center"/>
    </xf>
    <xf borderId="0" fillId="2" fontId="6" numFmtId="166" xfId="0" applyAlignment="1" applyFont="1" applyNumberFormat="1">
      <alignment horizontal="center" vertical="center"/>
    </xf>
    <xf borderId="0" fillId="2" fontId="5" numFmtId="1" xfId="0" applyAlignment="1" applyFont="1" applyNumberFormat="1">
      <alignment horizontal="center"/>
    </xf>
    <xf borderId="0" fillId="2" fontId="5" numFmtId="9" xfId="0" applyAlignment="1" applyFont="1" applyNumberFormat="1">
      <alignment horizontal="center" vertical="center"/>
    </xf>
    <xf borderId="0" fillId="2" fontId="4" numFmtId="10" xfId="0" applyFont="1" applyNumberFormat="1"/>
    <xf borderId="0" fillId="2" fontId="4" numFmtId="164" xfId="0" applyFont="1" applyNumberFormat="1"/>
    <xf borderId="0" fillId="2" fontId="4" numFmtId="9" xfId="0" applyFont="1" applyNumberFormat="1"/>
    <xf borderId="0" fillId="2" fontId="4" numFmtId="2" xfId="0" applyFont="1" applyNumberFormat="1"/>
    <xf borderId="0" fillId="2" fontId="7" numFmtId="165" xfId="0" applyAlignment="1" applyFont="1" applyNumberFormat="1">
      <alignment horizontal="center"/>
    </xf>
    <xf borderId="0" fillId="2" fontId="8" numFmtId="164" xfId="0" applyAlignment="1" applyFont="1" applyNumberFormat="1">
      <alignment horizontal="center" vertical="center"/>
    </xf>
    <xf borderId="0" fillId="2" fontId="8" numFmtId="9" xfId="0" applyAlignment="1" applyFont="1" applyNumberFormat="1">
      <alignment horizontal="center" vertical="center"/>
    </xf>
    <xf borderId="0" fillId="2" fontId="8" numFmtId="166" xfId="0" applyAlignment="1" applyFont="1" applyNumberFormat="1">
      <alignment horizontal="center" vertical="center"/>
    </xf>
    <xf borderId="0" fillId="2" fontId="7" numFmtId="1" xfId="0" applyAlignment="1" applyFont="1" applyNumberFormat="1">
      <alignment horizontal="center"/>
    </xf>
    <xf borderId="0" fillId="2" fontId="7" numFmtId="9" xfId="0" applyAlignment="1" applyFont="1" applyNumberFormat="1">
      <alignment horizontal="center" vertical="center"/>
    </xf>
    <xf borderId="2" fillId="2" fontId="7" numFmtId="165" xfId="0" applyAlignment="1" applyBorder="1" applyFont="1" applyNumberFormat="1">
      <alignment horizontal="center"/>
    </xf>
    <xf borderId="2" fillId="2" fontId="8" numFmtId="164" xfId="0" applyAlignment="1" applyBorder="1" applyFont="1" applyNumberFormat="1">
      <alignment horizontal="center" vertical="center"/>
    </xf>
    <xf borderId="2" fillId="2" fontId="8" numFmtId="9" xfId="0" applyAlignment="1" applyBorder="1" applyFont="1" applyNumberFormat="1">
      <alignment horizontal="center" vertical="center"/>
    </xf>
    <xf borderId="2" fillId="2" fontId="9" numFmtId="0" xfId="0" applyAlignment="1" applyBorder="1" applyFont="1">
      <alignment horizontal="center"/>
    </xf>
    <xf borderId="2" fillId="2" fontId="10" numFmtId="164" xfId="0" applyAlignment="1" applyBorder="1" applyFont="1" applyNumberFormat="1">
      <alignment horizontal="center" vertical="center"/>
    </xf>
    <xf borderId="0" fillId="2" fontId="10" numFmtId="164" xfId="0" applyAlignment="1" applyFont="1" applyNumberFormat="1">
      <alignment horizontal="center" vertical="center"/>
    </xf>
    <xf borderId="0" fillId="2" fontId="10" numFmtId="9" xfId="0" applyAlignment="1" applyFont="1" applyNumberFormat="1">
      <alignment horizontal="center" vertical="center"/>
    </xf>
    <xf borderId="0" fillId="2" fontId="10" numFmtId="166" xfId="0" applyAlignment="1" applyFont="1" applyNumberFormat="1">
      <alignment horizontal="center" vertical="center"/>
    </xf>
    <xf borderId="0" fillId="2" fontId="9" numFmtId="1" xfId="0" applyAlignment="1" applyFont="1" applyNumberFormat="1">
      <alignment horizontal="center"/>
    </xf>
    <xf borderId="0" fillId="2" fontId="9" numFmtId="9" xfId="0" applyAlignment="1" applyFont="1" applyNumberFormat="1">
      <alignment horizontal="center" vertical="center"/>
    </xf>
    <xf borderId="0" fillId="2" fontId="11" numFmtId="164" xfId="0" applyFont="1" applyNumberFormat="1"/>
    <xf borderId="0" fillId="2" fontId="11" numFmtId="0" xfId="0" applyFont="1"/>
    <xf borderId="2" fillId="2" fontId="12" numFmtId="165" xfId="0" applyAlignment="1" applyBorder="1" applyFont="1" applyNumberFormat="1">
      <alignment horizontal="center"/>
    </xf>
    <xf borderId="2" fillId="2" fontId="13" numFmtId="164" xfId="0" applyAlignment="1" applyBorder="1" applyFont="1" applyNumberFormat="1">
      <alignment horizontal="center" vertical="center"/>
    </xf>
    <xf borderId="2" fillId="2" fontId="13" numFmtId="9" xfId="0" applyAlignment="1" applyBorder="1" applyFont="1" applyNumberFormat="1">
      <alignment horizontal="center" vertical="center"/>
    </xf>
    <xf borderId="0" fillId="2" fontId="13" numFmtId="164" xfId="0" applyAlignment="1" applyFont="1" applyNumberFormat="1">
      <alignment horizontal="center" vertical="center"/>
    </xf>
    <xf borderId="0" fillId="2" fontId="13" numFmtId="9" xfId="0" applyAlignment="1" applyFont="1" applyNumberFormat="1">
      <alignment horizontal="center" vertical="center"/>
    </xf>
    <xf borderId="0" fillId="2" fontId="13" numFmtId="166" xfId="0" applyAlignment="1" applyFont="1" applyNumberFormat="1">
      <alignment horizontal="center" vertical="center"/>
    </xf>
    <xf borderId="0" fillId="2" fontId="12" numFmtId="1" xfId="0" applyAlignment="1" applyFont="1" applyNumberFormat="1">
      <alignment horizontal="center"/>
    </xf>
    <xf borderId="0" fillId="2" fontId="12" numFmtId="9" xfId="0" applyAlignment="1" applyFont="1" applyNumberFormat="1">
      <alignment horizontal="center" vertical="center"/>
    </xf>
    <xf borderId="2" fillId="2" fontId="14" numFmtId="167" xfId="0" applyAlignment="1" applyBorder="1" applyFont="1" applyNumberFormat="1">
      <alignment horizontal="center"/>
    </xf>
    <xf borderId="2" fillId="2" fontId="15" numFmtId="164" xfId="0" applyAlignment="1" applyBorder="1" applyFont="1" applyNumberFormat="1">
      <alignment horizontal="center" vertical="center"/>
    </xf>
    <xf borderId="2" fillId="2" fontId="15" numFmtId="9" xfId="0" applyAlignment="1" applyBorder="1" applyFont="1" applyNumberFormat="1">
      <alignment horizontal="center" vertical="center"/>
    </xf>
    <xf borderId="0" fillId="2" fontId="15" numFmtId="164" xfId="0" applyAlignment="1" applyFont="1" applyNumberFormat="1">
      <alignment horizontal="center" vertical="center"/>
    </xf>
    <xf borderId="0" fillId="2" fontId="15" numFmtId="9" xfId="0" applyAlignment="1" applyFont="1" applyNumberFormat="1">
      <alignment horizontal="center" vertical="center"/>
    </xf>
    <xf borderId="0" fillId="2" fontId="15" numFmtId="166" xfId="0" applyAlignment="1" applyFont="1" applyNumberFormat="1">
      <alignment horizontal="center" vertical="center"/>
    </xf>
    <xf borderId="0" fillId="2" fontId="14" numFmtId="1" xfId="0" applyAlignment="1" applyFont="1" applyNumberFormat="1">
      <alignment horizontal="center"/>
    </xf>
    <xf borderId="0" fillId="2" fontId="14" numFmtId="9" xfId="0" applyAlignment="1" applyFont="1" applyNumberFormat="1">
      <alignment horizontal="center" vertical="center"/>
    </xf>
    <xf borderId="2" fillId="2" fontId="5" numFmtId="165" xfId="0" applyAlignment="1" applyBorder="1" applyFont="1" applyNumberFormat="1">
      <alignment horizontal="center"/>
    </xf>
    <xf borderId="2" fillId="2" fontId="6" numFmtId="164" xfId="0" applyAlignment="1" applyBorder="1" applyFont="1" applyNumberFormat="1">
      <alignment horizontal="center" vertical="center"/>
    </xf>
    <xf borderId="2" fillId="2" fontId="6" numFmtId="9" xfId="0" applyAlignment="1" applyBorder="1" applyFont="1" applyNumberFormat="1">
      <alignment horizontal="center" vertical="center"/>
    </xf>
    <xf borderId="3" fillId="2" fontId="4" numFmtId="17" xfId="0" applyBorder="1" applyFont="1" applyNumberFormat="1"/>
    <xf borderId="3" fillId="2" fontId="4" numFmtId="0" xfId="0" applyBorder="1" applyFont="1"/>
    <xf borderId="4" fillId="2" fontId="4" numFmtId="166" xfId="0" applyBorder="1" applyFont="1" applyNumberFormat="1"/>
    <xf borderId="3" fillId="2" fontId="4" numFmtId="0" xfId="0" applyAlignment="1" applyBorder="1" applyFont="1">
      <alignment horizontal="center"/>
    </xf>
    <xf borderId="4" fillId="2" fontId="4" numFmtId="0" xfId="0" applyBorder="1" applyFont="1"/>
    <xf borderId="3" fillId="2" fontId="4" numFmtId="0" xfId="0" applyAlignment="1" applyBorder="1" applyFont="1">
      <alignment horizontal="right"/>
    </xf>
    <xf borderId="5" fillId="2" fontId="4" numFmtId="0" xfId="0" applyBorder="1" applyFont="1"/>
    <xf borderId="5" fillId="2" fontId="4" numFmtId="0" xfId="0" applyAlignment="1" applyBorder="1" applyFont="1">
      <alignment horizontal="center"/>
    </xf>
    <xf borderId="6" fillId="2" fontId="4" numFmtId="0" xfId="0" applyBorder="1" applyFont="1"/>
    <xf borderId="0" fillId="2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AUSENTISMO s/vacaciones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D9959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2A0C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2CCDC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ABF8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DDD9C3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8CB3E3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E5B8B7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DAE5F1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C4BD97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Industriales'!$A$2:$A$15</c:f>
            </c:strRef>
          </c:cat>
          <c:val>
            <c:numRef>
              <c:f>'Relaciones Industriales'!$H$2:$H$15</c:f>
              <c:numCache/>
            </c:numRef>
          </c:val>
        </c:ser>
        <c:axId val="1060232108"/>
        <c:axId val="1504402465"/>
      </c:barChart>
      <c:catAx>
        <c:axId val="1060232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402465"/>
      </c:catAx>
      <c:valAx>
        <c:axId val="1504402465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400">
                <a:solidFill>
                  <a:srgbClr val="000000"/>
                </a:solidFill>
                <a:latin typeface="Calibri"/>
              </a:defRPr>
            </a:pPr>
          </a:p>
        </c:txPr>
        <c:crossAx val="1060232108"/>
        <c:majorUnit val="0.05000000000000001"/>
        <c:minorUnit val="0.010000000000000002"/>
      </c:valAx>
    </c:plotArea>
    <c:legend>
      <c:legendPos val="b"/>
      <c:overlay val="0"/>
      <c:txPr>
        <a:bodyPr/>
        <a:lstStyle/>
        <a:p>
          <a:pPr lvl="0">
            <a:defRPr b="1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500">
                <a:solidFill>
                  <a:srgbClr val="339966"/>
                </a:solidFill>
                <a:latin typeface="Calibri"/>
              </a:defRPr>
            </a:pPr>
            <a:r>
              <a:rPr b="1" i="0" sz="2500">
                <a:solidFill>
                  <a:srgbClr val="339966"/>
                </a:solidFill>
                <a:latin typeface="Calibri"/>
              </a:rPr>
              <a:t>Horas Suplementarias vs Trabajadas</a:t>
            </a:r>
          </a:p>
        </c:rich>
      </c:tx>
      <c:layout>
        <c:manualLayout>
          <c:xMode val="edge"/>
          <c:yMode val="edge"/>
          <c:x val="0.3091241943935919"/>
          <c:y val="0.027676970130799766"/>
        </c:manualLayout>
      </c:layout>
      <c:overlay val="0"/>
    </c:title>
    <c:plotArea>
      <c:layout>
        <c:manualLayout>
          <c:xMode val="edge"/>
          <c:yMode val="edge"/>
          <c:x val="0.09427530228744242"/>
          <c:y val="0.1568799835296605"/>
          <c:w val="0.8671657672193168"/>
          <c:h val="0.639341249391881"/>
        </c:manualLayout>
      </c:layout>
      <c:barChart>
        <c:barDir val="col"/>
        <c:ser>
          <c:idx val="0"/>
          <c:order val="0"/>
          <c:tx>
            <c:strRef>
              <c:f>'Relaciones Industriales'!$K$1</c:f>
            </c:strRef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D9959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2A0C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2CCDC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ABF8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DDD9C3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C0504D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E5B8B7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DAE5F1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C4BD97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F2DADA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Industriales'!$A$2:$A$15</c:f>
            </c:strRef>
          </c:cat>
          <c:val>
            <c:numRef>
              <c:f>'Relaciones Industriales'!$K$2:$K$15</c:f>
              <c:numCache/>
            </c:numRef>
          </c:val>
        </c:ser>
        <c:axId val="1491046869"/>
        <c:axId val="160177051"/>
      </c:barChart>
      <c:catAx>
        <c:axId val="1491046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77051"/>
      </c:catAx>
      <c:valAx>
        <c:axId val="160177051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  <c:crossAx val="1491046869"/>
        <c:majorUnit val="0.05000000000000001"/>
        <c:minorUnit val="0.010000000000000002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solidFill>
                  <a:srgbClr val="FFFFFF"/>
                </a:solidFill>
              </a:defRPr>
            </a:pPr>
          </a:p>
        </c:txPr>
      </c:legendEntry>
      <c:layout>
        <c:manualLayout>
          <c:xMode val="edge"/>
          <c:yMode val="edge"/>
          <c:x val="0.18819758180100324"/>
          <c:y val="0.9031498008332824"/>
        </c:manualLayout>
      </c:layout>
      <c:overlay val="0"/>
      <c:txPr>
        <a:bodyPr/>
        <a:lstStyle/>
        <a:p>
          <a:pPr lvl="0">
            <a:defRPr b="1" i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Monto Horas Suplementarias</a:t>
            </a:r>
          </a:p>
        </c:rich>
      </c:tx>
      <c:layout>
        <c:manualLayout>
          <c:xMode val="edge"/>
          <c:yMode val="edge"/>
          <c:x val="0.35551574017319687"/>
          <c:y val="0.022948048849265743"/>
        </c:manualLayout>
      </c:layout>
      <c:overlay val="0"/>
    </c:title>
    <c:plotArea>
      <c:layout>
        <c:manualLayout>
          <c:xMode val="edge"/>
          <c:yMode val="edge"/>
          <c:x val="0.0956524840699307"/>
          <c:y val="0.14506583371293466"/>
          <c:w val="0.8723501051730236"/>
          <c:h val="0.6713590834552143"/>
        </c:manualLayout>
      </c:layout>
      <c:barChart>
        <c:barDir val="col"/>
        <c:ser>
          <c:idx val="0"/>
          <c:order val="0"/>
          <c:tx>
            <c:v>Monto Horas Suplementarias</c:v>
          </c:tx>
          <c:spPr>
            <a:solidFill>
              <a:srgbClr val="C2D59B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D9959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2A0C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2CCDC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ABF8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DDD9C3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C0504D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E5B8B7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DAE5F1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C4BD97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25"/>
          </c:dPt>
          <c:dPt>
            <c:idx val="26"/>
          </c:dPt>
          <c:dLbls>
            <c:dLbl>
              <c:idx val="25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[VALOR]</a:t>
                    </a:r>
                  </a:p>
                </c:rich>
              </c:tx>
              <c:numFmt formatCode="_ &quot;$&quot;\ * #,##0_ ;_ &quot;$&quot;\ * \-#,##0_ ;_ &quot;$&quot;\ * &quot;-&quot;??_ ;_ @_ " sourceLinked="0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6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[VALOR]</a:t>
                    </a:r>
                  </a:p>
                </c:rich>
              </c:tx>
              <c:numFmt formatCode="_ &quot;$&quot;\ * #,##0_ ;_ &quot;$&quot;\ * \-#,##0_ ;_ &quot;$&quot;\ * &quot;-&quot;??_ ;_ @_ " sourceLinked="0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_ &quot;$&quot;\ * #,##0_ ;_ &quot;$&quot;\ * \-#,##0_ ;_ &quot;$&quot;\ * &quot;-&quot;??_ ;_ @_ 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Industriales'!$A$2:$A$15</c:f>
            </c:strRef>
          </c:cat>
          <c:val>
            <c:numRef>
              <c:f>'Relaciones Industriales'!$L$2:$L$15</c:f>
              <c:numCache/>
            </c:numRef>
          </c:val>
        </c:ser>
        <c:axId val="2093664172"/>
        <c:axId val="1569663578"/>
      </c:barChart>
      <c:catAx>
        <c:axId val="2093664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9663578"/>
      </c:catAx>
      <c:valAx>
        <c:axId val="1569663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93664172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500">
                <a:solidFill>
                  <a:srgbClr val="808000"/>
                </a:solidFill>
                <a:latin typeface="Calibri"/>
              </a:defRPr>
            </a:pPr>
            <a:r>
              <a:rPr b="1" i="0" sz="2500">
                <a:solidFill>
                  <a:srgbClr val="808000"/>
                </a:solidFill>
                <a:latin typeface="Calibri"/>
              </a:rPr>
              <a:t>Horas normales y relación horas vs dotación</a:t>
            </a:r>
          </a:p>
        </c:rich>
      </c:tx>
      <c:layout>
        <c:manualLayout>
          <c:xMode val="edge"/>
          <c:yMode val="edge"/>
          <c:x val="0.23962224687341913"/>
          <c:y val="0.010252098652957635"/>
        </c:manualLayout>
      </c:layout>
      <c:overlay val="0"/>
    </c:title>
    <c:plotArea>
      <c:layout>
        <c:manualLayout>
          <c:xMode val="edge"/>
          <c:yMode val="edge"/>
          <c:x val="0.11603267698533568"/>
          <c:y val="0.17733639754360847"/>
          <c:w val="0.8000461069962694"/>
          <c:h val="0.5804864145009566"/>
        </c:manualLayout>
      </c:layout>
      <c:barChart>
        <c:barDir val="col"/>
        <c:ser>
          <c:idx val="0"/>
          <c:order val="0"/>
          <c:tx>
            <c:v>Hs NORMAL TRABAJADAS 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0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1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2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3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4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5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6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7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8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'Relaciones Industriales'!$A$2:$A$21</c:f>
            </c:strRef>
          </c:cat>
          <c:val>
            <c:numRef>
              <c:f>'Relaciones Industriales'!$A$2:$A$21</c:f>
              <c:numCache/>
            </c:numRef>
          </c:val>
        </c:ser>
        <c:ser>
          <c:idx val="1"/>
          <c:order val="1"/>
          <c:tx>
            <c:v>Horas trabajadas vs dotación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6"/>
          </c:dPt>
          <c:dPt>
            <c:idx val="8"/>
          </c:dPt>
          <c:dPt>
            <c:idx val="9"/>
          </c:dPt>
          <c:dLbls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b="1" i="0" sz="14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numFmt formatCode="General" sourceLinked="1"/>
              <c:txPr>
                <a:bodyPr/>
                <a:lstStyle/>
                <a:p>
                  <a:pPr lvl="0">
                    <a:defRPr b="1" i="0" sz="14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numFmt formatCode="General" sourceLinked="1"/>
              <c:txPr>
                <a:bodyPr/>
                <a:lstStyle/>
                <a:p>
                  <a:pPr lvl="0">
                    <a:defRPr b="1" i="0" sz="14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Industriales'!$A$2:$A$21</c:f>
            </c:strRef>
          </c:cat>
          <c:val>
            <c:numRef>
              <c:f>'Relaciones Industriales'!$C$2:$C$21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Industriales'!$A$2:$A$21</c:f>
            </c:strRef>
          </c:cat>
          <c:val>
            <c:numRef>
              <c:f>'Relaciones Industriales'!$C$1</c:f>
              <c:numCache/>
            </c:numRef>
          </c:val>
        </c:ser>
        <c:ser>
          <c:idx val="3"/>
          <c:order val="3"/>
          <c:cat>
            <c:strRef>
              <c:f>'Relaciones Industriales'!$A$2:$A$21</c:f>
            </c:strRef>
          </c:cat>
          <c:val>
            <c:numRef>
              <c:f>'Relaciones Industriales'!$O$1:$O$21</c:f>
              <c:numCache/>
            </c:numRef>
          </c:val>
        </c:ser>
        <c:ser>
          <c:idx val="4"/>
          <c:order val="4"/>
          <c:cat>
            <c:strRef>
              <c:f>'Relaciones Industriales'!$A$2:$A$21</c:f>
            </c:strRef>
          </c:cat>
          <c:val>
            <c:numRef>
              <c:f>'Relaciones Industriales'!$O$1</c:f>
              <c:numCache/>
            </c:numRef>
          </c:val>
        </c:ser>
        <c:axId val="724765530"/>
        <c:axId val="1764365063"/>
      </c:barChart>
      <c:catAx>
        <c:axId val="724765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-270000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764365063"/>
      </c:catAx>
      <c:valAx>
        <c:axId val="1764365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24765530"/>
      </c:valAx>
    </c:plotArea>
    <c:legend>
      <c:legendPos val="b"/>
      <c:legendEntry>
        <c:idx val="0"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</c:legendEntry>
      <c:layout>
        <c:manualLayout>
          <c:xMode val="edge"/>
          <c:yMode val="edge"/>
          <c:x val="0.2778603244948374"/>
          <c:y val="0.9306662688526791"/>
        </c:manualLayout>
      </c:layout>
      <c:overlay val="0"/>
      <c:txPr>
        <a:bodyPr/>
        <a:lstStyle/>
        <a:p>
          <a:pPr lvl="0">
            <a:defRPr b="0" i="0" sz="4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B050"/>
                </a:solidFill>
                <a:latin typeface="+mn-lt"/>
              </a:defRPr>
            </a:pPr>
            <a:r>
              <a:rPr b="1" i="0" sz="2400">
                <a:solidFill>
                  <a:srgbClr val="00B050"/>
                </a:solidFill>
                <a:latin typeface="+mn-lt"/>
              </a:rPr>
              <a:t>Apertura de Ausentismo s/ Vacaciones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ACCIDENTES 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Industriales'!$A$2:$A$15</c:f>
            </c:strRef>
          </c:cat>
          <c:val>
            <c:numRef>
              <c:f>'Relaciones Industriales'!$E$2:$E$15</c:f>
              <c:numCache/>
            </c:numRef>
          </c:val>
        </c:ser>
        <c:ser>
          <c:idx val="1"/>
          <c:order val="1"/>
          <c:tx>
            <c:v>ENFERMEDAD 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Industriales'!$A$2:$A$15</c:f>
            </c:strRef>
          </c:cat>
          <c:val>
            <c:numRef>
              <c:f>'Relaciones Industriales'!$D$2:$D$15</c:f>
              <c:numCache/>
            </c:numRef>
          </c:val>
        </c:ser>
        <c:ser>
          <c:idx val="2"/>
          <c:order val="2"/>
          <c:tx>
            <c:v>Ausencias, Licencias Vs. y Suspensiones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Industriales'!$A$2:$A$15</c:f>
            </c:strRef>
          </c:cat>
          <c:val>
            <c:numRef>
              <c:f>'Relaciones Industriales'!$G$2:$G$15</c:f>
              <c:numCache/>
            </c:numRef>
          </c:val>
        </c:ser>
        <c:ser>
          <c:idx val="3"/>
          <c:order val="3"/>
          <c:tx>
            <c:v>COMPENSATORIOS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Industriales'!$A$2:$A$15</c:f>
            </c:strRef>
          </c:cat>
          <c:val>
            <c:numRef>
              <c:f>'Relaciones Industriales'!$F$2:$F$15</c:f>
              <c:numCache/>
            </c:numRef>
          </c:val>
        </c:ser>
        <c:axId val="1609041729"/>
        <c:axId val="626973122"/>
      </c:barChart>
      <c:catAx>
        <c:axId val="1609041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6973122"/>
      </c:catAx>
      <c:valAx>
        <c:axId val="626973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09041729"/>
      </c:valAx>
    </c:plotArea>
    <c:legend>
      <c:legendPos val="b"/>
      <c:overlay val="0"/>
      <c:txPr>
        <a:bodyPr/>
        <a:lstStyle/>
        <a:p>
          <a:pPr lvl="0">
            <a:defRPr b="0" i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70C0"/>
                </a:solidFill>
                <a:latin typeface="+mn-lt"/>
              </a:defRPr>
            </a:pPr>
            <a:r>
              <a:rPr b="1" i="0" sz="2400">
                <a:solidFill>
                  <a:srgbClr val="0070C0"/>
                </a:solidFill>
                <a:latin typeface="+mn-lt"/>
              </a:rPr>
              <a:t>Horas compensatorias vs horas suplementarias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Relacion Compensatorias vs suplementarias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77F44A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Industriales'!$A$2:$A$15</c:f>
            </c:strRef>
          </c:cat>
          <c:val>
            <c:numRef>
              <c:f>'Relaciones Industriales'!$N$2:$N$15</c:f>
              <c:numCache/>
            </c:numRef>
          </c:val>
        </c:ser>
        <c:axId val="2124394870"/>
        <c:axId val="1644586385"/>
      </c:barChart>
      <c:catAx>
        <c:axId val="2124394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4586385"/>
      </c:catAx>
      <c:valAx>
        <c:axId val="1644586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439487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17</xdr:row>
      <xdr:rowOff>9525</xdr:rowOff>
    </xdr:from>
    <xdr:ext cx="6638925" cy="4114800"/>
    <xdr:graphicFrame>
      <xdr:nvGraphicFramePr>
        <xdr:cNvPr id="144890920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47625</xdr:colOff>
      <xdr:row>38</xdr:row>
      <xdr:rowOff>152400</xdr:rowOff>
    </xdr:from>
    <xdr:ext cx="6638925" cy="3619500"/>
    <xdr:graphicFrame>
      <xdr:nvGraphicFramePr>
        <xdr:cNvPr id="74777688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914400</xdr:colOff>
      <xdr:row>38</xdr:row>
      <xdr:rowOff>152400</xdr:rowOff>
    </xdr:from>
    <xdr:ext cx="7362825" cy="3619500"/>
    <xdr:graphicFrame>
      <xdr:nvGraphicFramePr>
        <xdr:cNvPr id="1645768069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47625</xdr:colOff>
      <xdr:row>57</xdr:row>
      <xdr:rowOff>9525</xdr:rowOff>
    </xdr:from>
    <xdr:ext cx="6638925" cy="4038600"/>
    <xdr:graphicFrame>
      <xdr:nvGraphicFramePr>
        <xdr:cNvPr id="2007388569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914400</xdr:colOff>
      <xdr:row>17</xdr:row>
      <xdr:rowOff>9525</xdr:rowOff>
    </xdr:from>
    <xdr:ext cx="7362825" cy="4114800"/>
    <xdr:graphicFrame>
      <xdr:nvGraphicFramePr>
        <xdr:cNvPr id="1934340752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914400</xdr:colOff>
      <xdr:row>56</xdr:row>
      <xdr:rowOff>200025</xdr:rowOff>
    </xdr:from>
    <xdr:ext cx="7362825" cy="4038600"/>
    <xdr:graphicFrame>
      <xdr:nvGraphicFramePr>
        <xdr:cNvPr id="467854389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514350</xdr:colOff>
      <xdr:row>39</xdr:row>
      <xdr:rowOff>180975</xdr:rowOff>
    </xdr:from>
    <xdr:ext cx="3114675" cy="190500"/>
    <xdr:sp>
      <xdr:nvSpPr>
        <xdr:cNvPr id="3" name="Shape 3"/>
        <xdr:cNvSpPr txBox="1"/>
      </xdr:nvSpPr>
      <xdr:spPr>
        <a:xfrm>
          <a:off x="3011695" y="3641888"/>
          <a:ext cx="466861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Expresado en Millones de $ en valores corrientes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7.71"/>
    <col customWidth="1" min="3" max="3" width="20.0"/>
    <col customWidth="1" min="4" max="4" width="15.29"/>
    <col customWidth="1" min="5" max="5" width="18.86"/>
    <col customWidth="1" min="6" max="6" width="15.29"/>
    <col customWidth="1" min="7" max="7" width="22.71"/>
    <col customWidth="1" min="8" max="8" width="19.86"/>
    <col customWidth="1" min="9" max="9" width="21.86"/>
    <col customWidth="1" min="10" max="10" width="16.43"/>
    <col customWidth="1" min="11" max="11" width="23.0"/>
    <col customWidth="1" min="12" max="12" width="21.86"/>
    <col customWidth="1" min="13" max="13" width="13.43"/>
    <col customWidth="1" min="14" max="14" width="14.43"/>
    <col customWidth="1" min="15" max="15" width="11.43"/>
    <col customWidth="1" min="16" max="16" width="14.43"/>
    <col customWidth="1" min="17" max="17" width="14.71"/>
    <col customWidth="1" min="18" max="19" width="11.43"/>
    <col customWidth="1" min="20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>
        <v>45658.0</v>
      </c>
      <c r="B2" s="7">
        <v>74096.0</v>
      </c>
      <c r="C2" s="7">
        <v>49582.0</v>
      </c>
      <c r="D2" s="7">
        <v>1921.0</v>
      </c>
      <c r="E2" s="7">
        <v>336.0</v>
      </c>
      <c r="F2" s="7">
        <v>2282.0</v>
      </c>
      <c r="G2" s="7">
        <v>3832.0</v>
      </c>
      <c r="H2" s="8">
        <f>(D2+E2+F2)/B2</f>
        <v>0.06125836752</v>
      </c>
      <c r="I2" s="7">
        <v>4470.0</v>
      </c>
      <c r="J2" s="7">
        <v>2803.0</v>
      </c>
      <c r="K2" s="8">
        <f t="shared" ref="K2:K15" si="1">IF(C2=0,"",(I2+J2)/C2)</f>
        <v>0.1466862974</v>
      </c>
      <c r="L2" s="9">
        <v>1.17844507E8</v>
      </c>
      <c r="M2" s="10">
        <v>421.0</v>
      </c>
      <c r="N2" s="11">
        <f t="shared" ref="N2:N15" si="2">+F2/J2</f>
        <v>0.8141277203</v>
      </c>
      <c r="O2" s="7">
        <f t="shared" ref="O2:O15" si="3">+C2/M2</f>
        <v>117.7719715</v>
      </c>
      <c r="P2" s="12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6">
        <v>45689.0</v>
      </c>
      <c r="B3" s="7">
        <v>67040.0</v>
      </c>
      <c r="C3" s="7">
        <v>44700.0</v>
      </c>
      <c r="D3" s="7">
        <v>2160.0</v>
      </c>
      <c r="E3" s="7">
        <v>452.0</v>
      </c>
      <c r="F3" s="7">
        <v>2141.0</v>
      </c>
      <c r="G3" s="7">
        <v>2876.0</v>
      </c>
      <c r="H3" s="8">
        <f t="shared" ref="H3:H15" si="4">(D3+E3+G3+F3)/B3</f>
        <v>0.1137977327</v>
      </c>
      <c r="I3" s="7">
        <v>2731.0</v>
      </c>
      <c r="J3" s="7">
        <v>1524.0</v>
      </c>
      <c r="K3" s="8">
        <f t="shared" si="1"/>
        <v>0.0951901566</v>
      </c>
      <c r="L3" s="9">
        <v>6.7169187E7</v>
      </c>
      <c r="M3" s="10">
        <v>419.0</v>
      </c>
      <c r="N3" s="11">
        <f t="shared" si="2"/>
        <v>1.404855643</v>
      </c>
      <c r="O3" s="7">
        <f t="shared" si="3"/>
        <v>106.6825776</v>
      </c>
      <c r="P3" s="12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6">
        <v>45717.0</v>
      </c>
      <c r="B4" s="7">
        <v>60480.0</v>
      </c>
      <c r="C4" s="7">
        <v>47451.0</v>
      </c>
      <c r="D4" s="7">
        <v>2080.0</v>
      </c>
      <c r="E4" s="7">
        <v>410.0</v>
      </c>
      <c r="F4" s="7">
        <v>2158.0</v>
      </c>
      <c r="G4" s="7">
        <v>3565.0</v>
      </c>
      <c r="H4" s="8">
        <f t="shared" si="4"/>
        <v>0.1357969577</v>
      </c>
      <c r="I4" s="7">
        <v>1596.0</v>
      </c>
      <c r="J4" s="7">
        <v>6262.0</v>
      </c>
      <c r="K4" s="8">
        <f t="shared" si="1"/>
        <v>0.1656024109</v>
      </c>
      <c r="L4" s="9">
        <v>1.3693049E8</v>
      </c>
      <c r="M4" s="10">
        <v>420.0</v>
      </c>
      <c r="N4" s="11">
        <f t="shared" si="2"/>
        <v>0.3446183328</v>
      </c>
      <c r="O4" s="7">
        <f t="shared" si="3"/>
        <v>112.9785714</v>
      </c>
      <c r="P4" s="12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6">
        <v>45748.0</v>
      </c>
      <c r="B5" s="7">
        <v>67520.0</v>
      </c>
      <c r="C5" s="7">
        <v>55661.0</v>
      </c>
      <c r="D5" s="7">
        <v>2143.0</v>
      </c>
      <c r="E5" s="7">
        <v>560.0</v>
      </c>
      <c r="F5" s="7">
        <v>3199.0</v>
      </c>
      <c r="G5" s="7">
        <v>4397.0</v>
      </c>
      <c r="H5" s="8">
        <f t="shared" si="4"/>
        <v>0.1525325829</v>
      </c>
      <c r="I5" s="7">
        <v>5491.0</v>
      </c>
      <c r="J5" s="7">
        <v>2718.0</v>
      </c>
      <c r="K5" s="8">
        <f t="shared" si="1"/>
        <v>0.147482079</v>
      </c>
      <c r="L5" s="9">
        <v>1.31921653E8</v>
      </c>
      <c r="M5" s="10">
        <v>422.0</v>
      </c>
      <c r="N5" s="11">
        <f t="shared" si="2"/>
        <v>1.176968359</v>
      </c>
      <c r="O5" s="7">
        <f t="shared" si="3"/>
        <v>131.8981043</v>
      </c>
      <c r="P5" s="12"/>
      <c r="Q5" s="13"/>
      <c r="R5" s="14"/>
      <c r="S5" s="5"/>
      <c r="T5" s="5"/>
      <c r="U5" s="5"/>
      <c r="V5" s="5"/>
      <c r="W5" s="5"/>
      <c r="X5" s="5"/>
      <c r="Y5" s="5"/>
      <c r="Z5" s="5"/>
    </row>
    <row r="6" ht="15.0" customHeight="1">
      <c r="A6" s="6">
        <v>45778.0</v>
      </c>
      <c r="B6" s="7">
        <v>67680.0</v>
      </c>
      <c r="C6" s="7">
        <v>57179.0</v>
      </c>
      <c r="D6" s="7">
        <v>2395.0</v>
      </c>
      <c r="E6" s="7">
        <v>201.0</v>
      </c>
      <c r="F6" s="7">
        <v>2634.0</v>
      </c>
      <c r="G6" s="7">
        <v>3071.0</v>
      </c>
      <c r="H6" s="8">
        <f t="shared" si="4"/>
        <v>0.1226507092</v>
      </c>
      <c r="I6" s="7">
        <v>3384.0</v>
      </c>
      <c r="J6" s="7">
        <v>1282.0</v>
      </c>
      <c r="K6" s="8">
        <f t="shared" si="1"/>
        <v>0.08160338586</v>
      </c>
      <c r="L6" s="9">
        <v>7.4867647E7</v>
      </c>
      <c r="M6" s="10">
        <v>423.0</v>
      </c>
      <c r="N6" s="11">
        <f t="shared" si="2"/>
        <v>2.054602184</v>
      </c>
      <c r="O6" s="7">
        <f t="shared" si="3"/>
        <v>135.1749409</v>
      </c>
      <c r="P6" s="12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6">
        <v>45809.0</v>
      </c>
      <c r="B7" s="7">
        <v>64296.0</v>
      </c>
      <c r="C7" s="7">
        <v>54681.0</v>
      </c>
      <c r="D7" s="7">
        <v>2650.0</v>
      </c>
      <c r="E7" s="7">
        <v>421.0</v>
      </c>
      <c r="F7" s="7">
        <v>1592.0</v>
      </c>
      <c r="G7" s="7">
        <v>3368.0</v>
      </c>
      <c r="H7" s="8">
        <f t="shared" si="4"/>
        <v>0.1249066816</v>
      </c>
      <c r="I7" s="7">
        <v>2742.0</v>
      </c>
      <c r="J7" s="7">
        <v>1699.0</v>
      </c>
      <c r="K7" s="8">
        <f t="shared" si="1"/>
        <v>0.08121651031</v>
      </c>
      <c r="L7" s="9">
        <v>7.4819435E7</v>
      </c>
      <c r="M7" s="10">
        <v>423.0</v>
      </c>
      <c r="N7" s="11">
        <f t="shared" si="2"/>
        <v>0.9370217775</v>
      </c>
      <c r="O7" s="7">
        <f t="shared" si="3"/>
        <v>129.2695035</v>
      </c>
      <c r="P7" s="15"/>
      <c r="Q7" s="13"/>
      <c r="R7" s="14"/>
      <c r="S7" s="5"/>
      <c r="T7" s="5"/>
      <c r="U7" s="5"/>
      <c r="V7" s="5"/>
      <c r="W7" s="5"/>
      <c r="X7" s="5"/>
      <c r="Y7" s="5"/>
      <c r="Z7" s="5"/>
    </row>
    <row r="8" ht="15.0" customHeight="1">
      <c r="A8" s="6">
        <v>45839.0</v>
      </c>
      <c r="B8" s="7">
        <v>74272.0</v>
      </c>
      <c r="C8" s="7">
        <v>58966.0</v>
      </c>
      <c r="D8" s="7">
        <v>3218.0</v>
      </c>
      <c r="E8" s="7">
        <v>633.0</v>
      </c>
      <c r="F8" s="7">
        <v>2020.0</v>
      </c>
      <c r="G8" s="7">
        <v>3252.0</v>
      </c>
      <c r="H8" s="8">
        <f t="shared" si="4"/>
        <v>0.1228322921</v>
      </c>
      <c r="I8" s="7">
        <v>2400.0</v>
      </c>
      <c r="J8" s="7">
        <v>1490.0</v>
      </c>
      <c r="K8" s="8">
        <f t="shared" si="1"/>
        <v>0.06597022013</v>
      </c>
      <c r="L8" s="9">
        <v>6.5688401E7</v>
      </c>
      <c r="M8" s="10">
        <v>422.0</v>
      </c>
      <c r="N8" s="11">
        <f t="shared" si="2"/>
        <v>1.355704698</v>
      </c>
      <c r="O8" s="7">
        <f t="shared" si="3"/>
        <v>139.7298578</v>
      </c>
      <c r="P8" s="12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6">
        <v>45870.0</v>
      </c>
      <c r="B9" s="7">
        <v>67200.0</v>
      </c>
      <c r="C9" s="7">
        <v>54829.0</v>
      </c>
      <c r="D9" s="7">
        <v>3408.0</v>
      </c>
      <c r="E9" s="7">
        <v>739.0</v>
      </c>
      <c r="F9" s="7">
        <v>1832.0</v>
      </c>
      <c r="G9" s="7">
        <v>2545.0</v>
      </c>
      <c r="H9" s="8">
        <f t="shared" si="4"/>
        <v>0.1268452381</v>
      </c>
      <c r="I9" s="7">
        <v>4436.0</v>
      </c>
      <c r="J9" s="7">
        <v>2163.0</v>
      </c>
      <c r="K9" s="8">
        <f t="shared" si="1"/>
        <v>0.120356016</v>
      </c>
      <c r="L9" s="9">
        <v>1.10333858E8</v>
      </c>
      <c r="M9" s="10">
        <v>420.0</v>
      </c>
      <c r="N9" s="11">
        <f t="shared" si="2"/>
        <v>0.8469717984</v>
      </c>
      <c r="O9" s="7">
        <f t="shared" si="3"/>
        <v>130.5452381</v>
      </c>
      <c r="P9" s="12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6">
        <v>45901.0</v>
      </c>
      <c r="B10" s="7">
        <v>71064.0</v>
      </c>
      <c r="C10" s="7">
        <v>59350.0</v>
      </c>
      <c r="D10" s="7">
        <v>3506.0</v>
      </c>
      <c r="E10" s="7">
        <v>757.0</v>
      </c>
      <c r="F10" s="7">
        <v>1852.0</v>
      </c>
      <c r="G10" s="7">
        <v>2663.0</v>
      </c>
      <c r="H10" s="8">
        <f t="shared" si="4"/>
        <v>0.1235224586</v>
      </c>
      <c r="I10" s="7">
        <v>8477.0</v>
      </c>
      <c r="J10" s="7">
        <v>6171.0</v>
      </c>
      <c r="K10" s="8">
        <f t="shared" si="1"/>
        <v>0.2468070767</v>
      </c>
      <c r="L10" s="9">
        <v>2.6753341472E8</v>
      </c>
      <c r="M10" s="10">
        <v>423.0</v>
      </c>
      <c r="N10" s="11">
        <f t="shared" si="2"/>
        <v>0.3001134338</v>
      </c>
      <c r="O10" s="7">
        <f t="shared" si="3"/>
        <v>140.3073286</v>
      </c>
      <c r="P10" s="12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6">
        <v>45931.0</v>
      </c>
      <c r="B11" s="7">
        <v>74800.0</v>
      </c>
      <c r="C11" s="7">
        <v>60933.0</v>
      </c>
      <c r="D11" s="7">
        <v>3688.0</v>
      </c>
      <c r="E11" s="7">
        <v>583.0</v>
      </c>
      <c r="F11" s="7">
        <v>3955.0</v>
      </c>
      <c r="G11" s="7">
        <v>2770.0</v>
      </c>
      <c r="H11" s="8">
        <f t="shared" si="4"/>
        <v>0.1470053476</v>
      </c>
      <c r="I11" s="7">
        <v>11625.0</v>
      </c>
      <c r="J11" s="7">
        <v>8306.0</v>
      </c>
      <c r="K11" s="8">
        <f t="shared" si="1"/>
        <v>0.3270969754</v>
      </c>
      <c r="L11" s="9">
        <v>3.746924373500001E8</v>
      </c>
      <c r="M11" s="10">
        <v>425.0</v>
      </c>
      <c r="N11" s="11">
        <f t="shared" si="2"/>
        <v>0.4761618107</v>
      </c>
      <c r="O11" s="7">
        <f t="shared" si="3"/>
        <v>143.3717647</v>
      </c>
      <c r="P11" s="7"/>
      <c r="Q11" s="13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6">
        <v>45962.0</v>
      </c>
      <c r="B12" s="7">
        <v>60768.0</v>
      </c>
      <c r="C12" s="7">
        <v>47988.0</v>
      </c>
      <c r="D12" s="7">
        <v>2913.0</v>
      </c>
      <c r="E12" s="7">
        <v>605.0</v>
      </c>
      <c r="F12" s="7">
        <v>4610.0</v>
      </c>
      <c r="G12" s="7">
        <v>2141.0</v>
      </c>
      <c r="H12" s="8">
        <f t="shared" si="4"/>
        <v>0.1689869668</v>
      </c>
      <c r="I12" s="7">
        <v>5489.0</v>
      </c>
      <c r="J12" s="7">
        <v>5008.0</v>
      </c>
      <c r="K12" s="8">
        <f t="shared" si="1"/>
        <v>0.2187421855</v>
      </c>
      <c r="L12" s="9">
        <v>2.0040413819E8</v>
      </c>
      <c r="M12" s="10">
        <v>422.0</v>
      </c>
      <c r="N12" s="11">
        <f t="shared" si="2"/>
        <v>0.9205271565</v>
      </c>
      <c r="O12" s="7">
        <f t="shared" si="3"/>
        <v>113.7156398</v>
      </c>
      <c r="P12" s="7"/>
      <c r="Q12" s="13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6">
        <v>45992.0</v>
      </c>
      <c r="B13" s="7">
        <v>64752.0</v>
      </c>
      <c r="C13" s="7">
        <v>50998.0</v>
      </c>
      <c r="D13" s="7">
        <v>2447.0</v>
      </c>
      <c r="E13" s="7">
        <v>633.0</v>
      </c>
      <c r="F13" s="7">
        <v>4595.0</v>
      </c>
      <c r="G13" s="7">
        <v>3360.0</v>
      </c>
      <c r="H13" s="8">
        <f t="shared" si="4"/>
        <v>0.1704194465</v>
      </c>
      <c r="I13" s="7">
        <v>7073.0</v>
      </c>
      <c r="J13" s="7">
        <v>5646.0</v>
      </c>
      <c r="K13" s="8">
        <f t="shared" si="1"/>
        <v>0.2494019373</v>
      </c>
      <c r="L13" s="9">
        <v>2.4834670035E8</v>
      </c>
      <c r="M13" s="10">
        <v>426.0</v>
      </c>
      <c r="N13" s="11">
        <f t="shared" si="2"/>
        <v>0.8138505136</v>
      </c>
      <c r="O13" s="7">
        <f t="shared" si="3"/>
        <v>119.713615</v>
      </c>
      <c r="P13" s="7"/>
      <c r="Q13" s="13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16">
        <v>46023.0</v>
      </c>
      <c r="B14" s="17">
        <v>71736.0</v>
      </c>
      <c r="C14" s="17">
        <v>46890.0</v>
      </c>
      <c r="D14" s="17">
        <v>2208.0</v>
      </c>
      <c r="E14" s="17">
        <v>920.0</v>
      </c>
      <c r="F14" s="17">
        <v>3952.0</v>
      </c>
      <c r="G14" s="17">
        <v>2287.0</v>
      </c>
      <c r="H14" s="18">
        <f t="shared" si="4"/>
        <v>0.1305760009</v>
      </c>
      <c r="I14" s="17">
        <v>6704.0</v>
      </c>
      <c r="J14" s="17">
        <v>4177.0</v>
      </c>
      <c r="K14" s="18">
        <f t="shared" si="1"/>
        <v>0.2320537428</v>
      </c>
      <c r="L14" s="19">
        <v>2.1549940463E8</v>
      </c>
      <c r="M14" s="20">
        <v>427.0</v>
      </c>
      <c r="N14" s="21">
        <f t="shared" si="2"/>
        <v>0.9461335887</v>
      </c>
      <c r="O14" s="17">
        <f t="shared" si="3"/>
        <v>109.8126464</v>
      </c>
      <c r="P14" s="7"/>
      <c r="Q14" s="13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16">
        <v>46054.0</v>
      </c>
      <c r="B15" s="17">
        <v>60912.0</v>
      </c>
      <c r="C15" s="17">
        <v>38802.0</v>
      </c>
      <c r="D15" s="17">
        <v>1881.0</v>
      </c>
      <c r="E15" s="17">
        <v>768.0</v>
      </c>
      <c r="F15" s="17">
        <v>5021.0</v>
      </c>
      <c r="G15" s="17">
        <v>2201.0</v>
      </c>
      <c r="H15" s="18">
        <f t="shared" si="4"/>
        <v>0.1620534542</v>
      </c>
      <c r="I15" s="17">
        <v>3061.0</v>
      </c>
      <c r="J15" s="17">
        <v>2738.0</v>
      </c>
      <c r="K15" s="18">
        <f t="shared" si="1"/>
        <v>0.1494510592</v>
      </c>
      <c r="L15" s="19">
        <v>1.2128038271E8</v>
      </c>
      <c r="M15" s="20">
        <v>423.0</v>
      </c>
      <c r="N15" s="21">
        <f t="shared" si="2"/>
        <v>1.833820307</v>
      </c>
      <c r="O15" s="17">
        <f t="shared" si="3"/>
        <v>91.73049645</v>
      </c>
      <c r="P15" s="13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hidden="1" customHeight="1">
      <c r="A16" s="16"/>
      <c r="B16" s="17"/>
      <c r="C16" s="17"/>
      <c r="D16" s="17"/>
      <c r="E16" s="17"/>
      <c r="F16" s="17"/>
      <c r="G16" s="17"/>
      <c r="H16" s="18"/>
      <c r="I16" s="17"/>
      <c r="J16" s="17"/>
      <c r="K16" s="18"/>
      <c r="L16" s="19"/>
      <c r="M16" s="20"/>
      <c r="N16" s="21"/>
      <c r="O16" s="17"/>
      <c r="P16" s="13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22"/>
      <c r="B17" s="23"/>
      <c r="C17" s="23"/>
      <c r="D17" s="23"/>
      <c r="E17" s="23"/>
      <c r="F17" s="23"/>
      <c r="G17" s="23"/>
      <c r="H17" s="24"/>
      <c r="I17" s="23"/>
      <c r="J17" s="17"/>
      <c r="K17" s="18"/>
      <c r="L17" s="19"/>
      <c r="M17" s="20"/>
      <c r="N17" s="21"/>
      <c r="O17" s="17"/>
      <c r="P17" s="13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22"/>
      <c r="B18" s="23"/>
      <c r="C18" s="23"/>
      <c r="D18" s="23"/>
      <c r="E18" s="23"/>
      <c r="F18" s="23"/>
      <c r="G18" s="23"/>
      <c r="H18" s="24"/>
      <c r="I18" s="23"/>
      <c r="J18" s="17"/>
      <c r="K18" s="18"/>
      <c r="L18" s="19"/>
      <c r="M18" s="20"/>
      <c r="N18" s="21"/>
      <c r="O18" s="17"/>
      <c r="P18" s="13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22"/>
      <c r="B19" s="23"/>
      <c r="C19" s="23"/>
      <c r="D19" s="23"/>
      <c r="E19" s="23"/>
      <c r="F19" s="23"/>
      <c r="G19" s="23"/>
      <c r="H19" s="24"/>
      <c r="I19" s="23"/>
      <c r="J19" s="17"/>
      <c r="K19" s="18"/>
      <c r="L19" s="19"/>
      <c r="M19" s="20"/>
      <c r="N19" s="21"/>
      <c r="O19" s="17"/>
      <c r="P19" s="13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25"/>
      <c r="B20" s="26"/>
      <c r="C20" s="26"/>
      <c r="D20" s="26"/>
      <c r="E20" s="26"/>
      <c r="F20" s="26"/>
      <c r="G20" s="26"/>
      <c r="H20" s="24"/>
      <c r="I20" s="26"/>
      <c r="J20" s="27"/>
      <c r="K20" s="28"/>
      <c r="L20" s="29"/>
      <c r="M20" s="30"/>
      <c r="N20" s="31"/>
      <c r="O20" s="27"/>
      <c r="P20" s="32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0" customHeight="1">
      <c r="A21" s="34"/>
      <c r="B21" s="35"/>
      <c r="C21" s="35"/>
      <c r="D21" s="35"/>
      <c r="E21" s="35"/>
      <c r="F21" s="35"/>
      <c r="G21" s="35"/>
      <c r="H21" s="36"/>
      <c r="I21" s="35"/>
      <c r="J21" s="37"/>
      <c r="K21" s="38"/>
      <c r="L21" s="39"/>
      <c r="M21" s="40"/>
      <c r="N21" s="41"/>
      <c r="O21" s="37"/>
      <c r="P21" s="13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34"/>
      <c r="B22" s="35"/>
      <c r="C22" s="35"/>
      <c r="D22" s="35"/>
      <c r="E22" s="35"/>
      <c r="F22" s="35"/>
      <c r="G22" s="35"/>
      <c r="H22" s="36"/>
      <c r="I22" s="35"/>
      <c r="J22" s="37"/>
      <c r="K22" s="38"/>
      <c r="L22" s="39"/>
      <c r="M22" s="40"/>
      <c r="N22" s="41"/>
      <c r="O22" s="37"/>
      <c r="P22" s="13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34"/>
      <c r="B23" s="35"/>
      <c r="C23" s="35"/>
      <c r="D23" s="35"/>
      <c r="E23" s="35"/>
      <c r="F23" s="35"/>
      <c r="G23" s="35"/>
      <c r="H23" s="36"/>
      <c r="I23" s="35"/>
      <c r="J23" s="37"/>
      <c r="K23" s="38"/>
      <c r="L23" s="39"/>
      <c r="M23" s="40"/>
      <c r="N23" s="41"/>
      <c r="O23" s="37"/>
      <c r="P23" s="13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34"/>
      <c r="B24" s="35"/>
      <c r="C24" s="35"/>
      <c r="D24" s="35"/>
      <c r="E24" s="35"/>
      <c r="F24" s="35"/>
      <c r="G24" s="35"/>
      <c r="H24" s="36"/>
      <c r="I24" s="35"/>
      <c r="J24" s="37"/>
      <c r="K24" s="38"/>
      <c r="L24" s="39"/>
      <c r="M24" s="40"/>
      <c r="N24" s="41"/>
      <c r="O24" s="37"/>
      <c r="P24" s="13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34"/>
      <c r="B25" s="35"/>
      <c r="C25" s="35"/>
      <c r="D25" s="35"/>
      <c r="E25" s="35"/>
      <c r="F25" s="35"/>
      <c r="G25" s="35"/>
      <c r="H25" s="36"/>
      <c r="I25" s="35"/>
      <c r="J25" s="37"/>
      <c r="K25" s="38"/>
      <c r="L25" s="39"/>
      <c r="M25" s="40"/>
      <c r="N25" s="41"/>
      <c r="O25" s="37"/>
      <c r="P25" s="13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34"/>
      <c r="B26" s="35"/>
      <c r="C26" s="35"/>
      <c r="D26" s="35"/>
      <c r="E26" s="35"/>
      <c r="F26" s="35"/>
      <c r="G26" s="35"/>
      <c r="H26" s="36"/>
      <c r="I26" s="35"/>
      <c r="J26" s="37"/>
      <c r="K26" s="38"/>
      <c r="L26" s="39"/>
      <c r="M26" s="40"/>
      <c r="N26" s="41"/>
      <c r="O26" s="37"/>
      <c r="P26" s="13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34"/>
      <c r="B27" s="35"/>
      <c r="C27" s="35"/>
      <c r="D27" s="35"/>
      <c r="E27" s="35"/>
      <c r="F27" s="35"/>
      <c r="G27" s="35"/>
      <c r="H27" s="36"/>
      <c r="I27" s="35"/>
      <c r="J27" s="37"/>
      <c r="K27" s="38"/>
      <c r="L27" s="39"/>
      <c r="M27" s="40"/>
      <c r="N27" s="41"/>
      <c r="O27" s="37"/>
      <c r="P27" s="13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34"/>
      <c r="B28" s="35"/>
      <c r="C28" s="35"/>
      <c r="D28" s="35"/>
      <c r="E28" s="35"/>
      <c r="F28" s="35"/>
      <c r="G28" s="35"/>
      <c r="H28" s="36"/>
      <c r="I28" s="35"/>
      <c r="J28" s="37"/>
      <c r="K28" s="38"/>
      <c r="L28" s="39"/>
      <c r="M28" s="40"/>
      <c r="N28" s="41"/>
      <c r="O28" s="37"/>
      <c r="P28" s="13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34"/>
      <c r="B29" s="35"/>
      <c r="C29" s="35"/>
      <c r="D29" s="35"/>
      <c r="E29" s="35"/>
      <c r="F29" s="35"/>
      <c r="G29" s="35"/>
      <c r="H29" s="36"/>
      <c r="I29" s="35"/>
      <c r="J29" s="37"/>
      <c r="K29" s="38"/>
      <c r="L29" s="39"/>
      <c r="M29" s="40"/>
      <c r="N29" s="41"/>
      <c r="O29" s="37"/>
      <c r="P29" s="13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34"/>
      <c r="B30" s="35"/>
      <c r="C30" s="35"/>
      <c r="D30" s="35"/>
      <c r="E30" s="35"/>
      <c r="F30" s="35"/>
      <c r="G30" s="35"/>
      <c r="H30" s="36"/>
      <c r="I30" s="35"/>
      <c r="J30" s="37"/>
      <c r="K30" s="38"/>
      <c r="L30" s="39"/>
      <c r="M30" s="40"/>
      <c r="N30" s="41"/>
      <c r="O30" s="37"/>
      <c r="P30" s="13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34"/>
      <c r="B31" s="35"/>
      <c r="C31" s="35"/>
      <c r="D31" s="35"/>
      <c r="E31" s="35"/>
      <c r="F31" s="35"/>
      <c r="G31" s="35"/>
      <c r="H31" s="36"/>
      <c r="I31" s="35"/>
      <c r="J31" s="37"/>
      <c r="K31" s="38"/>
      <c r="L31" s="39"/>
      <c r="M31" s="40"/>
      <c r="N31" s="41"/>
      <c r="O31" s="37"/>
      <c r="P31" s="13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34"/>
      <c r="B32" s="35"/>
      <c r="C32" s="35"/>
      <c r="D32" s="35"/>
      <c r="E32" s="35"/>
      <c r="F32" s="35"/>
      <c r="G32" s="35"/>
      <c r="H32" s="36"/>
      <c r="I32" s="35"/>
      <c r="J32" s="37"/>
      <c r="K32" s="38"/>
      <c r="L32" s="39"/>
      <c r="M32" s="40"/>
      <c r="N32" s="41"/>
      <c r="O32" s="37"/>
      <c r="P32" s="13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42"/>
      <c r="B33" s="43"/>
      <c r="C33" s="43"/>
      <c r="D33" s="43"/>
      <c r="E33" s="43"/>
      <c r="F33" s="43"/>
      <c r="G33" s="43"/>
      <c r="H33" s="44"/>
      <c r="I33" s="43"/>
      <c r="J33" s="45"/>
      <c r="K33" s="46"/>
      <c r="L33" s="47"/>
      <c r="M33" s="48"/>
      <c r="N33" s="49"/>
      <c r="O33" s="45"/>
      <c r="P33" s="13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50"/>
      <c r="B34" s="51"/>
      <c r="C34" s="51"/>
      <c r="D34" s="51"/>
      <c r="E34" s="51"/>
      <c r="F34" s="51"/>
      <c r="G34" s="51"/>
      <c r="H34" s="52"/>
      <c r="I34" s="51"/>
      <c r="J34" s="7"/>
      <c r="K34" s="8"/>
      <c r="L34" s="9"/>
      <c r="M34" s="10"/>
      <c r="N34" s="11"/>
      <c r="O34" s="7"/>
      <c r="P34" s="13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3"/>
      <c r="B35" s="54"/>
      <c r="C35" s="54"/>
      <c r="D35" s="54"/>
      <c r="E35" s="54"/>
      <c r="F35" s="54"/>
      <c r="G35" s="54"/>
      <c r="H35" s="52"/>
      <c r="I35" s="54"/>
      <c r="J35" s="54"/>
      <c r="K35" s="54"/>
      <c r="L35" s="5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4"/>
      <c r="B36" s="54"/>
      <c r="C36" s="54"/>
      <c r="D36" s="54"/>
      <c r="E36" s="54"/>
      <c r="F36" s="54"/>
      <c r="G36" s="54"/>
      <c r="H36" s="56"/>
      <c r="I36" s="54"/>
      <c r="J36" s="54"/>
      <c r="K36" s="54"/>
      <c r="L36" s="57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4"/>
      <c r="B37" s="54"/>
      <c r="C37" s="54"/>
      <c r="D37" s="54"/>
      <c r="E37" s="54"/>
      <c r="F37" s="54"/>
      <c r="G37" s="54"/>
      <c r="H37" s="56"/>
      <c r="I37" s="54"/>
      <c r="J37" s="54"/>
      <c r="K37" s="54"/>
      <c r="L37" s="57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4"/>
      <c r="B38" s="54"/>
      <c r="C38" s="54"/>
      <c r="D38" s="54"/>
      <c r="E38" s="54"/>
      <c r="F38" s="54"/>
      <c r="G38" s="54"/>
      <c r="H38" s="56"/>
      <c r="I38" s="54"/>
      <c r="J38" s="54"/>
      <c r="K38" s="54"/>
      <c r="L38" s="57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4"/>
      <c r="B39" s="54"/>
      <c r="C39" s="54"/>
      <c r="D39" s="54"/>
      <c r="E39" s="54"/>
      <c r="F39" s="54"/>
      <c r="G39" s="54"/>
      <c r="H39" s="56"/>
      <c r="I39" s="54"/>
      <c r="J39" s="54"/>
      <c r="K39" s="54"/>
      <c r="L39" s="5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4"/>
      <c r="B40" s="54"/>
      <c r="C40" s="54"/>
      <c r="D40" s="54"/>
      <c r="E40" s="54"/>
      <c r="F40" s="54"/>
      <c r="G40" s="54"/>
      <c r="H40" s="56"/>
      <c r="I40" s="54"/>
      <c r="J40" s="54"/>
      <c r="K40" s="54"/>
      <c r="L40" s="57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4"/>
      <c r="B41" s="54"/>
      <c r="C41" s="54"/>
      <c r="D41" s="54"/>
      <c r="E41" s="54"/>
      <c r="F41" s="54"/>
      <c r="G41" s="54"/>
      <c r="H41" s="56"/>
      <c r="I41" s="54"/>
      <c r="J41" s="54"/>
      <c r="K41" s="54"/>
      <c r="L41" s="57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4"/>
      <c r="B42" s="54"/>
      <c r="C42" s="54"/>
      <c r="D42" s="54"/>
      <c r="E42" s="54"/>
      <c r="F42" s="54"/>
      <c r="G42" s="54"/>
      <c r="H42" s="56"/>
      <c r="I42" s="54"/>
      <c r="J42" s="54"/>
      <c r="K42" s="54"/>
      <c r="L42" s="57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4"/>
      <c r="B43" s="54"/>
      <c r="C43" s="54"/>
      <c r="D43" s="54"/>
      <c r="E43" s="54"/>
      <c r="F43" s="54"/>
      <c r="G43" s="54"/>
      <c r="H43" s="58"/>
      <c r="I43" s="54"/>
      <c r="J43" s="54"/>
      <c r="K43" s="54"/>
      <c r="L43" s="57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4"/>
      <c r="B44" s="54"/>
      <c r="C44" s="54"/>
      <c r="D44" s="54"/>
      <c r="E44" s="54"/>
      <c r="F44" s="54"/>
      <c r="G44" s="54"/>
      <c r="H44" s="56"/>
      <c r="I44" s="54"/>
      <c r="J44" s="54"/>
      <c r="K44" s="54"/>
      <c r="L44" s="57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4"/>
      <c r="B45" s="54"/>
      <c r="C45" s="54"/>
      <c r="D45" s="54"/>
      <c r="E45" s="54"/>
      <c r="F45" s="54"/>
      <c r="G45" s="54"/>
      <c r="H45" s="56"/>
      <c r="I45" s="54"/>
      <c r="J45" s="54"/>
      <c r="K45" s="54"/>
      <c r="L45" s="57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4"/>
      <c r="B46" s="54"/>
      <c r="C46" s="54"/>
      <c r="D46" s="54"/>
      <c r="E46" s="54"/>
      <c r="F46" s="54"/>
      <c r="G46" s="54"/>
      <c r="H46" s="56"/>
      <c r="I46" s="54"/>
      <c r="J46" s="54"/>
      <c r="K46" s="54"/>
      <c r="L46" s="57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4"/>
      <c r="B47" s="54"/>
      <c r="C47" s="54"/>
      <c r="D47" s="54"/>
      <c r="E47" s="54"/>
      <c r="F47" s="54"/>
      <c r="G47" s="54"/>
      <c r="H47" s="56"/>
      <c r="I47" s="54"/>
      <c r="J47" s="54"/>
      <c r="K47" s="54"/>
      <c r="L47" s="57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4"/>
      <c r="B48" s="54"/>
      <c r="C48" s="54"/>
      <c r="D48" s="54"/>
      <c r="E48" s="54"/>
      <c r="F48" s="54"/>
      <c r="G48" s="54"/>
      <c r="H48" s="56"/>
      <c r="I48" s="54"/>
      <c r="J48" s="54"/>
      <c r="K48" s="54"/>
      <c r="L48" s="57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4"/>
      <c r="B49" s="54"/>
      <c r="C49" s="54"/>
      <c r="D49" s="54"/>
      <c r="E49" s="54"/>
      <c r="F49" s="54"/>
      <c r="G49" s="54"/>
      <c r="H49" s="56"/>
      <c r="I49" s="54"/>
      <c r="J49" s="54"/>
      <c r="K49" s="54"/>
      <c r="L49" s="57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4"/>
      <c r="B50" s="54"/>
      <c r="C50" s="54"/>
      <c r="D50" s="54"/>
      <c r="E50" s="54"/>
      <c r="F50" s="54"/>
      <c r="G50" s="54"/>
      <c r="H50" s="56"/>
      <c r="I50" s="54"/>
      <c r="J50" s="54"/>
      <c r="K50" s="54"/>
      <c r="L50" s="57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4"/>
      <c r="B51" s="54"/>
      <c r="C51" s="54"/>
      <c r="D51" s="54"/>
      <c r="E51" s="54"/>
      <c r="F51" s="54"/>
      <c r="G51" s="54"/>
      <c r="H51" s="56"/>
      <c r="I51" s="54"/>
      <c r="J51" s="54"/>
      <c r="K51" s="54"/>
      <c r="L51" s="57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4"/>
      <c r="B52" s="54"/>
      <c r="C52" s="54"/>
      <c r="D52" s="54"/>
      <c r="E52" s="54"/>
      <c r="F52" s="54"/>
      <c r="G52" s="54"/>
      <c r="H52" s="56"/>
      <c r="I52" s="54"/>
      <c r="J52" s="54"/>
      <c r="K52" s="54"/>
      <c r="L52" s="57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9"/>
      <c r="B53" s="59"/>
      <c r="C53" s="59"/>
      <c r="D53" s="59"/>
      <c r="E53" s="59"/>
      <c r="F53" s="59"/>
      <c r="G53" s="59"/>
      <c r="H53" s="60"/>
      <c r="I53" s="59"/>
      <c r="J53" s="59"/>
      <c r="K53" s="59"/>
      <c r="L53" s="6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6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6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6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6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6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6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6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6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6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6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6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6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6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6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6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6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6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6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6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6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6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6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6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6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6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6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6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6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6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6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6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6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6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6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6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6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6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6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6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6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6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6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6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6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6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6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6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6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6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6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6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6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6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6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6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6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6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6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6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6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6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6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6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6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6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6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6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6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6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6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6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6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6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6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6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6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6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6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6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6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6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6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6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6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6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6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6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6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6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6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6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6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6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6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6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6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6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6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6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6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6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6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6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6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6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6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6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6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6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6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6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6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6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6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6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6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6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6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6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6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6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6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6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6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6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6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6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6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6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6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6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6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6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6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6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6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6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6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6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6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6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6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6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6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6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6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6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62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6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6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6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6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62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62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6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6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6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6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6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6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6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6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6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6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6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62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6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6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6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6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6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62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6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62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62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62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62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62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6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6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6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6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6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6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6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6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6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6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6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6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6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6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6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6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6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6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6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6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6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6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6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6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6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6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6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6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6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6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6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6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6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6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6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6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6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6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6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6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6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6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6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6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6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6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62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6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6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6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6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6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6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6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6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6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6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62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6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62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62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62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62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62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62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62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6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6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62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62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62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62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62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62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62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62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62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62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62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62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62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62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62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62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62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62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62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62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62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62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62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62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62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62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62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62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62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62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62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62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62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62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62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62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62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62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62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62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62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62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62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62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62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62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62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62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62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62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62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62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62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62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62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62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62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62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62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62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62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62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62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62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62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62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62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62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62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62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62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62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62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62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62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62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62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62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62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6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62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62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62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62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62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62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62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62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62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62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62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62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62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62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62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62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62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62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62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62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62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62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62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62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62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62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62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62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62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62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62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62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62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62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62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62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62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62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62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62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62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62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62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62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62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62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62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62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62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62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62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62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62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62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62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62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62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62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62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62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62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62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62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62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62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62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62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62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62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62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62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62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62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62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62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62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62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62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62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62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62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62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62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62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62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6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6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6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62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62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62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62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6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62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62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62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62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62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62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62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62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62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62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62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6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6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6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6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6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6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6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6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6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6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6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6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6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6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6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6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6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6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6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6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6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6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62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62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6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6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6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6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6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6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6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6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6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6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6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6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6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6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6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6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6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6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6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6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6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62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62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62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62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62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62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62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62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62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62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62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62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62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62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62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62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62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62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62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62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62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62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62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62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62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62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62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62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62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62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62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62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62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62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62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62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62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62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62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62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62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62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62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62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62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62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62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62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62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62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62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6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6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6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6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6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6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6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6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6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6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62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62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6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6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6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6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6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6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6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6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6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6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62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62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6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6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6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6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6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6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6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6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6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6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62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62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6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6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6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62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62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62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62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62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62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62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62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62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6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62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62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62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62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62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62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62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62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62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62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62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62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62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62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62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62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62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62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62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62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62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62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62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62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62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62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62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62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62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62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62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62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62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62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62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62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62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62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62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62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62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62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62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62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62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62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62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62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6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6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6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6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6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6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6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6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62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62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62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62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62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62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62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62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62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6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6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62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62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62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62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62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62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62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62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62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62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62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62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62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62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62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62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62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62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62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62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62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62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62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62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62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62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62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62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62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62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62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62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62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62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62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62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62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62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62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62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62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62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62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62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62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62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62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62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62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62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62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62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62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62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62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62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62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62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62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62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62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62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62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62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62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62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62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62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62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62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62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62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62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62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62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62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62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62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62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62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62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62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62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62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62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62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62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62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62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62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62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62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62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62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62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62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62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62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62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62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62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62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62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62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62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62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62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62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62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62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62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62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62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62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62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62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62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62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62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62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62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62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62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62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62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62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62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62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62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62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62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62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62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62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62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62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62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62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62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62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62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62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62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62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62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62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62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62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62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62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62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62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62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62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62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62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62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62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62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62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62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62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62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62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62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62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62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62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62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62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62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62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62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62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62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62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62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62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62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62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62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62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62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62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62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62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62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62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62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62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62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62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62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62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62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62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62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62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62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62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62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62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62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62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62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62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62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62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62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62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62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62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62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62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62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62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62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62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62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62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62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62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62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62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62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62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62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62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62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62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62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62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62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62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62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62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62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62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62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62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62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62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62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62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62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62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62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62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62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62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62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62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62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62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62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62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62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62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62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62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62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62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62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62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62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62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62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62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62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rintOptions horizontalCentered="1"/>
  <pageMargins bottom="0.0" footer="0.0" header="0.0" left="0.3937007874015748" right="0.3937007874015748" top="0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2016-06-08T18:09:53Z</dcterms:created>
  <dc:creator>puccella</dc:creator>
</cp:coreProperties>
</file>