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4c96642c631659/Escritorio/"/>
    </mc:Choice>
  </mc:AlternateContent>
  <xr:revisionPtr revIDLastSave="0" documentId="11_70156F0FCDB9A142AE267E05860B146395B6281F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Dashboard integral" sheetId="1" r:id="rId1"/>
    <sheet name="Ausentismo 1S" sheetId="2" r:id="rId2"/>
    <sheet name="KPI preventivos" sheetId="3" r:id="rId3"/>
    <sheet name="Ranking BP" sheetId="4" r:id="rId4"/>
    <sheet name="Clasificacion BP" sheetId="5" r:id="rId5"/>
    <sheet name="Fuentes y criteri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E12" i="4"/>
  <c r="E11" i="4"/>
  <c r="E10" i="4"/>
  <c r="E9" i="4"/>
  <c r="E8" i="4"/>
  <c r="E7" i="4"/>
  <c r="E6" i="4"/>
  <c r="E5" i="4"/>
  <c r="D13" i="3"/>
  <c r="D12" i="3"/>
  <c r="E8" i="3"/>
  <c r="D8" i="3"/>
  <c r="C8" i="3"/>
  <c r="F8" i="3" s="1"/>
  <c r="J11" i="1" s="1"/>
  <c r="B8" i="3"/>
  <c r="F7" i="3"/>
  <c r="F6" i="3"/>
  <c r="F5" i="3"/>
  <c r="I12" i="2"/>
  <c r="G12" i="2"/>
  <c r="E12" i="2"/>
  <c r="D12" i="2"/>
  <c r="C12" i="2"/>
  <c r="O10" i="2"/>
  <c r="D21" i="2" s="1"/>
  <c r="K10" i="2"/>
  <c r="J10" i="2"/>
  <c r="O9" i="2"/>
  <c r="D20" i="2" s="1"/>
  <c r="K9" i="2"/>
  <c r="J9" i="2"/>
  <c r="O8" i="2"/>
  <c r="D19" i="2" s="1"/>
  <c r="K8" i="2"/>
  <c r="J8" i="2"/>
  <c r="O7" i="2"/>
  <c r="D18" i="2" s="1"/>
  <c r="K7" i="2"/>
  <c r="J7" i="2"/>
  <c r="O6" i="2"/>
  <c r="D17" i="2" s="1"/>
  <c r="K6" i="2"/>
  <c r="J6" i="2"/>
  <c r="O5" i="2"/>
  <c r="D16" i="2" s="1"/>
  <c r="K5" i="2"/>
  <c r="J5" i="2"/>
  <c r="B30" i="1"/>
  <c r="B29" i="1"/>
  <c r="B28" i="1"/>
  <c r="B27" i="1"/>
  <c r="B26" i="1"/>
  <c r="D22" i="1"/>
  <c r="D21" i="1"/>
  <c r="D20" i="1"/>
  <c r="D19" i="1"/>
  <c r="D18" i="1"/>
  <c r="D17" i="1"/>
  <c r="G11" i="1"/>
  <c r="D11" i="1"/>
  <c r="A11" i="1"/>
  <c r="J5" i="1"/>
  <c r="C11" i="4" l="1"/>
  <c r="C10" i="4"/>
  <c r="C9" i="4"/>
  <c r="C30" i="1" s="1"/>
  <c r="C12" i="4"/>
  <c r="C8" i="4"/>
  <c r="C29" i="1" s="1"/>
  <c r="C6" i="4"/>
  <c r="C27" i="1" s="1"/>
  <c r="C7" i="4"/>
  <c r="C28" i="1" s="1"/>
  <c r="C5" i="4"/>
  <c r="O12" i="2"/>
  <c r="G5" i="1" s="1"/>
  <c r="B26" i="2"/>
  <c r="P10" i="2"/>
  <c r="M10" i="2"/>
  <c r="Q10" i="2"/>
  <c r="L10" i="2"/>
  <c r="N10" i="2"/>
  <c r="R10" i="2"/>
  <c r="Q9" i="2"/>
  <c r="P9" i="2"/>
  <c r="M9" i="2"/>
  <c r="R9" i="2"/>
  <c r="L9" i="2"/>
  <c r="N9" i="2"/>
  <c r="P8" i="2"/>
  <c r="M8" i="2"/>
  <c r="Q8" i="2"/>
  <c r="R8" i="2"/>
  <c r="L8" i="2"/>
  <c r="N8" i="2"/>
  <c r="M7" i="2"/>
  <c r="P7" i="2"/>
  <c r="Q7" i="2"/>
  <c r="R7" i="2"/>
  <c r="N7" i="2"/>
  <c r="L7" i="2"/>
  <c r="P6" i="2"/>
  <c r="M6" i="2"/>
  <c r="Q6" i="2"/>
  <c r="L6" i="2"/>
  <c r="R6" i="2"/>
  <c r="N6" i="2"/>
  <c r="P5" i="2"/>
  <c r="Q5" i="2"/>
  <c r="K12" i="2"/>
  <c r="M5" i="2"/>
  <c r="R5" i="2"/>
  <c r="R12" i="2" s="1"/>
  <c r="L5" i="2"/>
  <c r="L12" i="2" s="1"/>
  <c r="B27" i="2" s="1"/>
  <c r="N5" i="2"/>
  <c r="J12" i="2"/>
  <c r="C26" i="1" l="1"/>
  <c r="C13" i="4"/>
  <c r="B21" i="2"/>
  <c r="B22" i="1"/>
  <c r="C22" i="1"/>
  <c r="C21" i="2"/>
  <c r="B21" i="1"/>
  <c r="B20" i="2"/>
  <c r="C21" i="1"/>
  <c r="C20" i="2"/>
  <c r="B19" i="2"/>
  <c r="B20" i="1"/>
  <c r="C19" i="2"/>
  <c r="C20" i="1"/>
  <c r="B18" i="2"/>
  <c r="B19" i="1"/>
  <c r="C19" i="1"/>
  <c r="C18" i="2"/>
  <c r="B17" i="2"/>
  <c r="B18" i="1"/>
  <c r="C17" i="2"/>
  <c r="C18" i="1"/>
  <c r="B17" i="1"/>
  <c r="B16" i="2"/>
  <c r="C17" i="1"/>
  <c r="C16" i="2"/>
  <c r="N12" i="2"/>
  <c r="D5" i="1" s="1"/>
  <c r="P12" i="2"/>
  <c r="B25" i="2"/>
  <c r="C25" i="2" s="1"/>
  <c r="C27" i="2"/>
  <c r="C26" i="2"/>
  <c r="M12" i="2"/>
  <c r="A5" i="1" s="1"/>
  <c r="Q12" i="2"/>
</calcChain>
</file>

<file path=xl/sharedStrings.xml><?xml version="1.0" encoding="utf-8"?>
<sst xmlns="http://schemas.openxmlformats.org/spreadsheetml/2006/main" count="285" uniqueCount="204">
  <si>
    <t>Dashboard integral - Servicio Medico Tandanor</t>
  </si>
  <si>
    <t>Primer semestre 2026 | Ausentismo, prevencion y capacidad de respuesta.</t>
  </si>
  <si>
    <t>AUSENTISMO SERVICIO MEDICO</t>
  </si>
  <si>
    <t>BP</t>
  </si>
  <si>
    <t>ART</t>
  </si>
  <si>
    <t>COBERTURA ANTIGRIPAL</t>
  </si>
  <si>
    <t>JERARQUIA
Total medico
incluye BP
e incluye ART</t>
  </si>
  <si>
    <t>Indicadores operativos</t>
  </si>
  <si>
    <t>BOTIQUINES</t>
  </si>
  <si>
    <t>DEA</t>
  </si>
  <si>
    <t>OXIGENO</t>
  </si>
  <si>
    <t>ACTIVOS DE EMERGENCIA</t>
  </si>
  <si>
    <t>3 equipos
no operativos
1 botiquin c/obs.</t>
  </si>
  <si>
    <t>Mes</t>
  </si>
  <si>
    <t>Total Servicio Medico</t>
  </si>
  <si>
    <t>Enero</t>
  </si>
  <si>
    <t>Febrero</t>
  </si>
  <si>
    <t>Marzo</t>
  </si>
  <si>
    <t>Abril</t>
  </si>
  <si>
    <t>Mayo</t>
  </si>
  <si>
    <t>Junio</t>
  </si>
  <si>
    <t>Patologia BP</t>
  </si>
  <si>
    <t>Casos</t>
  </si>
  <si>
    <t>% BP</t>
  </si>
  <si>
    <t>Rank</t>
  </si>
  <si>
    <t>Traumatologicas - miembros inferiores</t>
  </si>
  <si>
    <t>Otras</t>
  </si>
  <si>
    <t>Traumatologicas - columna</t>
  </si>
  <si>
    <t>Salud mental</t>
  </si>
  <si>
    <t>Traumatologicas - miembros superiores</t>
  </si>
  <si>
    <t>Alertas de calidad y gestion</t>
  </si>
  <si>
    <t>BP: 39 registros del semestre se consolidaron en 34 casos reales; 5 continuidades dejaron de contarse como casos nuevos. Vacunacion: 200 aplicaciones consolidadas, pero 193 personas marcadas SI en la nomina (diferencia: 7). Equipamiento: 3 activos no operativos y 1 botiquin con observaciones.</t>
  </si>
  <si>
    <t>Ausentismo atribuible al Servicio Medico - Primer semestre 2026</t>
  </si>
  <si>
    <t>BP distingue casos activos, nuevos y unicos acumulados. Una continuidad de la misma persona y patologia se cuenta una sola vez.</t>
  </si>
  <si>
    <t>Periodo</t>
  </si>
  <si>
    <t>Hs teoricas</t>
  </si>
  <si>
    <t>Hs enfermedad</t>
  </si>
  <si>
    <t>Hs ART</t>
  </si>
  <si>
    <t>BP activos</t>
  </si>
  <si>
    <t>BP nuevos</t>
  </si>
  <si>
    <t>BP unicos acum.</t>
  </si>
  <si>
    <t>Dias habiles BP</t>
  </si>
  <si>
    <t>Hs BP</t>
  </si>
  <si>
    <t>Hs medicas</t>
  </si>
  <si>
    <t>Otras enfermedades</t>
  </si>
  <si>
    <t>Tasa medica</t>
  </si>
  <si>
    <t>Tasa BP</t>
  </si>
  <si>
    <t>Tasa ART</t>
  </si>
  <si>
    <t>% BP / medico</t>
  </si>
  <si>
    <t>% ART / medico</t>
  </si>
  <si>
    <t>Control</t>
  </si>
  <si>
    <t>2026-01</t>
  </si>
  <si>
    <t>2026-02</t>
  </si>
  <si>
    <t>2026-03</t>
  </si>
  <si>
    <t>2026-04</t>
  </si>
  <si>
    <t>2026-05</t>
  </si>
  <si>
    <t>2026-06</t>
  </si>
  <si>
    <t>1er semestre 2026</t>
  </si>
  <si>
    <t>-</t>
  </si>
  <si>
    <t>Composicion semestral</t>
  </si>
  <si>
    <t>Horas</t>
  </si>
  <si>
    <t>% del total medico</t>
  </si>
  <si>
    <t>Lectura</t>
  </si>
  <si>
    <t>Parte de enfermedad</t>
  </si>
  <si>
    <t>Accidentes cubiertos por ART</t>
  </si>
  <si>
    <t>Enfermedad no clasificada como BP</t>
  </si>
  <si>
    <t>KPIs preventivos y capacidad de respuesta</t>
  </si>
  <si>
    <t>Vacunacion antigripal, botiquines, DEA, oxigeno y activos de emergencia.</t>
  </si>
  <si>
    <t>Activo</t>
  </si>
  <si>
    <t>Total</t>
  </si>
  <si>
    <t>Operativos</t>
  </si>
  <si>
    <t>Con observaciones</t>
  </si>
  <si>
    <t>No operativos</t>
  </si>
  <si>
    <t>% plenamente operativo</t>
  </si>
  <si>
    <t>Botiquines</t>
  </si>
  <si>
    <t>Oxigeno</t>
  </si>
  <si>
    <t>Total activos</t>
  </si>
  <si>
    <t>Vacunacion antigripal</t>
  </si>
  <si>
    <t>Personas</t>
  </si>
  <si>
    <t>Dotacion</t>
  </si>
  <si>
    <t>Cobertura</t>
  </si>
  <si>
    <t>Control de calidad</t>
  </si>
  <si>
    <t>Registro consolidado</t>
  </si>
  <si>
    <t>193 SI en nomina; diferencia 7</t>
  </si>
  <si>
    <t>Nomina marcada SI</t>
  </si>
  <si>
    <t>Pendiente conciliacion</t>
  </si>
  <si>
    <t>Indicador adicional</t>
  </si>
  <si>
    <t>Valor</t>
  </si>
  <si>
    <t>Estado</t>
  </si>
  <si>
    <t>Observacion</t>
  </si>
  <si>
    <t>Equipos fuera de servicio</t>
  </si>
  <si>
    <t>Atencion</t>
  </si>
  <si>
    <t>1 botiquin + 1 DEA + 1 oxigeno</t>
  </si>
  <si>
    <t>Botiquin con observaciones</t>
  </si>
  <si>
    <t>Seguimiento</t>
  </si>
  <si>
    <t>BOT-10</t>
  </si>
  <si>
    <t>Ambulancias registradas</t>
  </si>
  <si>
    <t>Revisar</t>
  </si>
  <si>
    <t>Una unidad sin estado consignado</t>
  </si>
  <si>
    <t>Capacitaciones registradas</t>
  </si>
  <si>
    <t>En curso</t>
  </si>
  <si>
    <t>RCP; asistencia sin completar</t>
  </si>
  <si>
    <t>Criterio: plenamente operativo exige estado "operativo" sin observaciones. Los porcentajes se recalcularon desde cada inventario, no desde las tarjetas antiguas.</t>
  </si>
  <si>
    <t>Ranking de patologias en enfermedad prolongada (BP)</t>
  </si>
  <si>
    <t>34 casos reales del semestre. Las continuidades mensuales de una misma persona y patologia se consolidaron. Sin nombres ni legajos.</t>
  </si>
  <si>
    <t>Grupo de patologias</t>
  </si>
  <si>
    <t>% de episodios BP</t>
  </si>
  <si>
    <t>Grupo breve</t>
  </si>
  <si>
    <t>Miembros inferiores</t>
  </si>
  <si>
    <t>Columna</t>
  </si>
  <si>
    <t>Miembros superiores</t>
  </si>
  <si>
    <t>Oncologicas</t>
  </si>
  <si>
    <t>Cardiovasculares</t>
  </si>
  <si>
    <t>Respiratorias</t>
  </si>
  <si>
    <t>Lectura principal</t>
  </si>
  <si>
    <t>Las causas traumatologicas representan 18 de 34 casos reales BP (52,9%). Dentro de ellas predominan miembros inferiores: 11 casos (32,4% del total).</t>
  </si>
  <si>
    <t>Nota de revision</t>
  </si>
  <si>
    <t>La categoria "Otras" concentra 9 casos heterogeneos. Conviene revisarla periodicamente para crear subgrupos cuando el volumen lo justifique. Hay un caso sin diagnostico consignado.</t>
  </si>
  <si>
    <t>Clasificacion de casos reales BP</t>
  </si>
  <si>
    <t>Base desidentificada: consolida continuidades de la misma persona y patologia. No contiene nombres ni legajos.</t>
  </si>
  <si>
    <t>Caso</t>
  </si>
  <si>
    <t>Primera baja</t>
  </si>
  <si>
    <t>Ultima alta</t>
  </si>
  <si>
    <t>Diagnosticos consolidados</t>
  </si>
  <si>
    <t>Categoria principal</t>
  </si>
  <si>
    <t>Registros unidos</t>
  </si>
  <si>
    <t>POP ARTROSCOPIA DE ROD IZQ</t>
  </si>
  <si>
    <t>TRASTORNO DEPRESIVO</t>
  </si>
  <si>
    <t>POP MENISECTOMIA ROD DER. / CA prostata</t>
  </si>
  <si>
    <t>CIRROSIS HEPATICA | HDA/ CIRROSIS HEPATICA</t>
  </si>
  <si>
    <t>DISCOPATIA L2-L3, L5-S1</t>
  </si>
  <si>
    <t>POP DE LCA + POL + AOL ROD DER</t>
  </si>
  <si>
    <t>SME MENISCAL (GENU VARO ARTROSICO) | POP OSTEOMIA ROD IZQ</t>
  </si>
  <si>
    <t>POP DE LCA ROD IZQ</t>
  </si>
  <si>
    <t>HERNIA DISCAL L5-S1</t>
  </si>
  <si>
    <t>SME MENISCAL | POP SX MENISCAL ROD DER.</t>
  </si>
  <si>
    <t>HERIDA CORTANTE EN CARA PALMAR MANO DER.</t>
  </si>
  <si>
    <t>APEX</t>
  </si>
  <si>
    <t>EPICONDILITIS</t>
  </si>
  <si>
    <t>SME MENISCAL ROD | POP MENISECTOMIA ROD DER.</t>
  </si>
  <si>
    <t>ULCERA VARICOSA MMII IZQUIERDO</t>
  </si>
  <si>
    <t>POP ARTROSCOPIA DE ROD DERECHA</t>
  </si>
  <si>
    <t>TX DE CODO</t>
  </si>
  <si>
    <t>HERNIOPLASTIA</t>
  </si>
  <si>
    <t>POP DEDO PIE IZQ (AMPUTACIÓN POR POLIDACTILIA)</t>
  </si>
  <si>
    <t>LUMBALGIA RECIDIVANTE</t>
  </si>
  <si>
    <t>POP COLECISTECTOMIA</t>
  </si>
  <si>
    <t>RABDOMIOLISIS</t>
  </si>
  <si>
    <t>CA PANCREAS</t>
  </si>
  <si>
    <t>IPB PIE IZQ</t>
  </si>
  <si>
    <t>POP MENISECTOMIA ROD DER.</t>
  </si>
  <si>
    <t>F43.2</t>
  </si>
  <si>
    <t>HERNIOPLASTIA INGUINAL IZQ</t>
  </si>
  <si>
    <t>POP TRANSPLANTE RENAL</t>
  </si>
  <si>
    <t>POLITRAUMATISMO POR AI</t>
  </si>
  <si>
    <t>LUMBALGIA/DISCOPATIA</t>
  </si>
  <si>
    <t>F41.1</t>
  </si>
  <si>
    <t>ACV</t>
  </si>
  <si>
    <t>SIN DIAGNOSTICO</t>
  </si>
  <si>
    <t>SME MENISCAL ROD IZQ</t>
  </si>
  <si>
    <t>Fuentes y criterios del tablero</t>
  </si>
  <si>
    <t>Definiciones operativas, alcance y controles de calidad.</t>
  </si>
  <si>
    <t>KPI</t>
  </si>
  <si>
    <t>Definicion</t>
  </si>
  <si>
    <t>Numerador</t>
  </si>
  <si>
    <t>Denominador</t>
  </si>
  <si>
    <t>Fuente</t>
  </si>
  <si>
    <t>Ausentismo Servicio Medico</t>
  </si>
  <si>
    <t>Toda ausencia medica reportada</t>
  </si>
  <si>
    <t>Enfermedad + ART</t>
  </si>
  <si>
    <t>Horas normales teoricas</t>
  </si>
  <si>
    <t>Indicador Ausentismo junio.xlsx</t>
  </si>
  <si>
    <t>BP y ART son componentes; no se suman por fuera.</t>
  </si>
  <si>
    <t>Enfermedad prolongada</t>
  </si>
  <si>
    <t>Dias laborables BP x 8</t>
  </si>
  <si>
    <t>Planilla Tandanor (1).xlsx - BP</t>
  </si>
  <si>
    <t>Misma persona + misma patologia continuada = un caso real.</t>
  </si>
  <si>
    <t>Ausencia por accidente ART</t>
  </si>
  <si>
    <t>Horas ART</t>
  </si>
  <si>
    <t>Componente del total medico.</t>
  </si>
  <si>
    <t>Vacunacion</t>
  </si>
  <si>
    <t>Cobertura antigripal</t>
  </si>
  <si>
    <t>200 aplicaciones</t>
  </si>
  <si>
    <t>432 personas</t>
  </si>
  <si>
    <t>Control servicio medico + listado PDF</t>
  </si>
  <si>
    <t>Nomina SI=193; diferencia 7 pendiente.</t>
  </si>
  <si>
    <t>Plenamente operativos</t>
  </si>
  <si>
    <t>34</t>
  </si>
  <si>
    <t>36</t>
  </si>
  <si>
    <t>Control Completo - BOTIQUINES</t>
  </si>
  <si>
    <t>1 con observaciones y 1 no operativo.</t>
  </si>
  <si>
    <t>3</t>
  </si>
  <si>
    <t>4</t>
  </si>
  <si>
    <t>Control Completo - Dea</t>
  </si>
  <si>
    <t>1 fuera de servicio.</t>
  </si>
  <si>
    <t>6</t>
  </si>
  <si>
    <t>7</t>
  </si>
  <si>
    <t>Control Completo - Oxigeno</t>
  </si>
  <si>
    <t>1 no operativo.</t>
  </si>
  <si>
    <t>Criterio de clasificacion BP</t>
  </si>
  <si>
    <t>Grupos utilizados: cardiovasculares, salud mental, traumatologicas de miembros inferiores, miembros superiores y columna, oncologicas, respiratorias y otras.</t>
  </si>
  <si>
    <t>Unidad de conteo: caso real por persona y patologia. Se consolidaron 39 registros semestrales en 34 casos unicos.</t>
  </si>
  <si>
    <t>La hoja Clasificacion BP permite auditar cada asignacion sin exponer nombres ni legajos.</t>
  </si>
  <si>
    <t>Actualizado: 10/08/2026.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</si>
</sst>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"/>
  </numFmts>
  <fonts count="25">
    <font>
      <sz val="11"/>
      <name val="Carlito"/>
    </font>
    <font>
      <b/>
      <sz val="17"/>
      <color rgb="FFFFFFFF"/>
      <name val="Calibri"/>
    </font>
    <font>
      <sz val="10"/>
      <color rgb="FFFFFFFF"/>
      <name val="Calibri"/>
    </font>
    <font>
      <b/>
      <sz val="10"/>
      <color rgb="FFFFFFFF"/>
      <name val="Calibri"/>
    </font>
    <font>
      <sz val="10"/>
      <color rgb="FF243746"/>
      <name val="Calibri"/>
    </font>
    <font>
      <b/>
      <sz val="10"/>
      <color rgb="FF243746"/>
      <name val="Calibri"/>
    </font>
    <font>
      <sz val="10"/>
      <color rgb="FF607080"/>
      <name val="Calibri"/>
    </font>
    <font>
      <sz val="8"/>
      <color rgb="FFFFFFFF"/>
      <name val="Calibri"/>
    </font>
    <font>
      <sz val="11"/>
      <color rgb="FF243746"/>
      <name val="Calibri"/>
    </font>
    <font>
      <b/>
      <sz val="10"/>
      <color rgb="FF087F7A"/>
      <name val="Calibri"/>
    </font>
    <font>
      <b/>
      <sz val="23"/>
      <color rgb="FF087F7A"/>
      <name val="Calibri"/>
    </font>
    <font>
      <b/>
      <sz val="10"/>
      <color rgb="FF2878B5"/>
      <name val="Calibri"/>
    </font>
    <font>
      <b/>
      <sz val="23"/>
      <color rgb="FF2878B5"/>
      <name val="Calibri"/>
    </font>
    <font>
      <b/>
      <sz val="10"/>
      <color rgb="FFB83A4B"/>
      <name val="Calibri"/>
    </font>
    <font>
      <b/>
      <sz val="23"/>
      <color rgb="FFB83A4B"/>
      <name val="Calibri"/>
    </font>
    <font>
      <b/>
      <sz val="10"/>
      <color rgb="FFC58A12"/>
      <name val="Calibri"/>
    </font>
    <font>
      <b/>
      <sz val="23"/>
      <color rgb="FFC58A12"/>
      <name val="Calibri"/>
    </font>
    <font>
      <b/>
      <sz val="10"/>
      <color rgb="FF607080"/>
      <name val="Calibri"/>
    </font>
    <font>
      <b/>
      <sz val="11"/>
      <color rgb="FFFFFFFF"/>
      <name val="Calibri"/>
    </font>
    <font>
      <b/>
      <sz val="20"/>
      <color rgb="FF087F7A"/>
      <name val="Calibri"/>
    </font>
    <font>
      <b/>
      <sz val="20"/>
      <color rgb="FF2878B5"/>
      <name val="Calibri"/>
    </font>
    <font>
      <b/>
      <sz val="10"/>
      <color rgb="FF2F855A"/>
      <name val="Calibri"/>
    </font>
    <font>
      <b/>
      <sz val="20"/>
      <color rgb="FF2F855A"/>
      <name val="Calibri"/>
    </font>
    <font>
      <b/>
      <sz val="10"/>
      <color rgb="FFE76F51"/>
      <name val="Calibri"/>
    </font>
    <font>
      <b/>
      <sz val="20"/>
      <color rgb="FFE76F5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87F7A"/>
      </patternFill>
    </fill>
    <fill>
      <patternFill patternType="solid">
        <fgColor rgb="FFFFF6DA"/>
      </patternFill>
    </fill>
    <fill>
      <patternFill patternType="solid">
        <fgColor rgb="FFE8F1FA"/>
      </patternFill>
    </fill>
    <fill>
      <patternFill patternType="solid">
        <fgColor rgb="FFD9F0EE"/>
      </patternFill>
    </fill>
    <fill>
      <patternFill patternType="solid">
        <fgColor rgb="FFF3F6F8"/>
      </patternFill>
    </fill>
    <fill>
      <patternFill patternType="solid">
        <fgColor rgb="FFF8E8EB"/>
      </patternFill>
    </fill>
  </fills>
  <borders count="76">
    <border>
      <left/>
      <right/>
      <top/>
      <bottom/>
      <diagonal/>
    </border>
    <border>
      <left/>
      <right/>
      <top/>
      <bottom style="thin">
        <color rgb="FFD7E0E7"/>
      </bottom>
      <diagonal/>
    </border>
    <border>
      <left/>
      <right/>
      <top style="thin">
        <color rgb="FFD7E0E7"/>
      </top>
      <bottom style="thin">
        <color rgb="FFD7E0E7"/>
      </bottom>
      <diagonal/>
    </border>
    <border>
      <left/>
      <right/>
      <top style="thin">
        <color rgb="FFD7E0E7"/>
      </top>
      <bottom/>
      <diagonal/>
    </border>
    <border>
      <left style="medium">
        <color rgb="FF087F7A"/>
      </left>
      <right/>
      <top style="medium">
        <color rgb="FF087F7A"/>
      </top>
      <bottom style="medium">
        <color rgb="FF087F7A"/>
      </bottom>
      <diagonal/>
    </border>
    <border>
      <left/>
      <right/>
      <top style="medium">
        <color rgb="FF087F7A"/>
      </top>
      <bottom style="medium">
        <color rgb="FF087F7A"/>
      </bottom>
      <diagonal/>
    </border>
    <border>
      <left/>
      <right style="medium">
        <color rgb="FF087F7A"/>
      </right>
      <top style="medium">
        <color rgb="FF087F7A"/>
      </top>
      <bottom style="medium">
        <color rgb="FF087F7A"/>
      </bottom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  <border>
      <left style="medium">
        <color rgb="FF087F7A"/>
      </left>
      <right/>
      <top style="medium">
        <color rgb="FF087F7A"/>
      </top>
      <bottom/>
      <diagonal/>
    </border>
    <border>
      <left/>
      <right/>
      <top style="medium">
        <color rgb="FF087F7A"/>
      </top>
      <bottom/>
      <diagonal/>
    </border>
    <border>
      <left/>
      <right style="medium">
        <color rgb="FF087F7A"/>
      </right>
      <top style="medium">
        <color rgb="FF087F7A"/>
      </top>
      <bottom/>
      <diagonal/>
    </border>
    <border>
      <left style="medium">
        <color rgb="FF087F7A"/>
      </left>
      <right/>
      <top/>
      <bottom/>
      <diagonal/>
    </border>
    <border>
      <left/>
      <right style="medium">
        <color rgb="FF087F7A"/>
      </right>
      <top/>
      <bottom/>
      <diagonal/>
    </border>
    <border>
      <left style="medium">
        <color rgb="FF087F7A"/>
      </left>
      <right/>
      <top/>
      <bottom style="medium">
        <color rgb="FF087F7A"/>
      </bottom>
      <diagonal/>
    </border>
    <border>
      <left/>
      <right/>
      <top/>
      <bottom style="medium">
        <color rgb="FF087F7A"/>
      </bottom>
      <diagonal/>
    </border>
    <border>
      <left/>
      <right style="medium">
        <color rgb="FF087F7A"/>
      </right>
      <top/>
      <bottom style="medium">
        <color rgb="FF087F7A"/>
      </bottom>
      <diagonal/>
    </border>
    <border>
      <left style="medium">
        <color rgb="FF2878B5"/>
      </left>
      <right/>
      <top style="medium">
        <color rgb="FF2878B5"/>
      </top>
      <bottom/>
      <diagonal/>
    </border>
    <border>
      <left/>
      <right/>
      <top style="medium">
        <color rgb="FF2878B5"/>
      </top>
      <bottom/>
      <diagonal/>
    </border>
    <border>
      <left/>
      <right style="medium">
        <color rgb="FF2878B5"/>
      </right>
      <top style="medium">
        <color rgb="FF2878B5"/>
      </top>
      <bottom/>
      <diagonal/>
    </border>
    <border>
      <left style="medium">
        <color rgb="FF2878B5"/>
      </left>
      <right/>
      <top/>
      <bottom/>
      <diagonal/>
    </border>
    <border>
      <left/>
      <right style="medium">
        <color rgb="FF2878B5"/>
      </right>
      <top/>
      <bottom/>
      <diagonal/>
    </border>
    <border>
      <left style="medium">
        <color rgb="FF2878B5"/>
      </left>
      <right/>
      <top/>
      <bottom style="medium">
        <color rgb="FF2878B5"/>
      </bottom>
      <diagonal/>
    </border>
    <border>
      <left/>
      <right/>
      <top/>
      <bottom style="medium">
        <color rgb="FF2878B5"/>
      </bottom>
      <diagonal/>
    </border>
    <border>
      <left/>
      <right style="medium">
        <color rgb="FF2878B5"/>
      </right>
      <top/>
      <bottom style="medium">
        <color rgb="FF2878B5"/>
      </bottom>
      <diagonal/>
    </border>
    <border>
      <left style="medium">
        <color rgb="FFB83A4B"/>
      </left>
      <right/>
      <top style="medium">
        <color rgb="FFB83A4B"/>
      </top>
      <bottom/>
      <diagonal/>
    </border>
    <border>
      <left/>
      <right/>
      <top style="medium">
        <color rgb="FFB83A4B"/>
      </top>
      <bottom/>
      <diagonal/>
    </border>
    <border>
      <left/>
      <right style="medium">
        <color rgb="FFB83A4B"/>
      </right>
      <top style="medium">
        <color rgb="FFB83A4B"/>
      </top>
      <bottom/>
      <diagonal/>
    </border>
    <border>
      <left style="medium">
        <color rgb="FFB83A4B"/>
      </left>
      <right/>
      <top/>
      <bottom/>
      <diagonal/>
    </border>
    <border>
      <left/>
      <right style="medium">
        <color rgb="FFB83A4B"/>
      </right>
      <top/>
      <bottom/>
      <diagonal/>
    </border>
    <border>
      <left style="medium">
        <color rgb="FFB83A4B"/>
      </left>
      <right/>
      <top/>
      <bottom style="medium">
        <color rgb="FFB83A4B"/>
      </bottom>
      <diagonal/>
    </border>
    <border>
      <left/>
      <right/>
      <top/>
      <bottom style="medium">
        <color rgb="FFB83A4B"/>
      </bottom>
      <diagonal/>
    </border>
    <border>
      <left/>
      <right style="medium">
        <color rgb="FFB83A4B"/>
      </right>
      <top/>
      <bottom style="medium">
        <color rgb="FFB83A4B"/>
      </bottom>
      <diagonal/>
    </border>
    <border>
      <left style="medium">
        <color rgb="FFC58A12"/>
      </left>
      <right/>
      <top style="medium">
        <color rgb="FFC58A12"/>
      </top>
      <bottom/>
      <diagonal/>
    </border>
    <border>
      <left/>
      <right/>
      <top style="medium">
        <color rgb="FFC58A12"/>
      </top>
      <bottom/>
      <diagonal/>
    </border>
    <border>
      <left/>
      <right style="medium">
        <color rgb="FFC58A12"/>
      </right>
      <top style="medium">
        <color rgb="FFC58A12"/>
      </top>
      <bottom/>
      <diagonal/>
    </border>
    <border>
      <left style="medium">
        <color rgb="FFC58A12"/>
      </left>
      <right/>
      <top/>
      <bottom/>
      <diagonal/>
    </border>
    <border>
      <left/>
      <right style="medium">
        <color rgb="FFC58A12"/>
      </right>
      <top/>
      <bottom/>
      <diagonal/>
    </border>
    <border>
      <left style="medium">
        <color rgb="FFC58A12"/>
      </left>
      <right/>
      <top/>
      <bottom style="medium">
        <color rgb="FFC58A12"/>
      </bottom>
      <diagonal/>
    </border>
    <border>
      <left/>
      <right/>
      <top/>
      <bottom style="medium">
        <color rgb="FFC58A12"/>
      </bottom>
      <diagonal/>
    </border>
    <border>
      <left/>
      <right style="medium">
        <color rgb="FFC58A12"/>
      </right>
      <top/>
      <bottom style="medium">
        <color rgb="FFC58A12"/>
      </bottom>
      <diagonal/>
    </border>
    <border>
      <left style="thin">
        <color rgb="FFD7E0E7"/>
      </left>
      <right/>
      <top style="thin">
        <color rgb="FFD7E0E7"/>
      </top>
      <bottom/>
      <diagonal/>
    </border>
    <border>
      <left/>
      <right style="thin">
        <color rgb="FFD7E0E7"/>
      </right>
      <top style="thin">
        <color rgb="FFD7E0E7"/>
      </top>
      <bottom/>
      <diagonal/>
    </border>
    <border>
      <left style="thin">
        <color rgb="FFD7E0E7"/>
      </left>
      <right/>
      <top/>
      <bottom/>
      <diagonal/>
    </border>
    <border>
      <left/>
      <right style="thin">
        <color rgb="FFD7E0E7"/>
      </right>
      <top/>
      <bottom/>
      <diagonal/>
    </border>
    <border>
      <left style="thin">
        <color rgb="FFD7E0E7"/>
      </left>
      <right/>
      <top/>
      <bottom style="thin">
        <color rgb="FFD7E0E7"/>
      </bottom>
      <diagonal/>
    </border>
    <border>
      <left/>
      <right style="thin">
        <color rgb="FFD7E0E7"/>
      </right>
      <top/>
      <bottom style="thin">
        <color rgb="FFD7E0E7"/>
      </bottom>
      <diagonal/>
    </border>
    <border>
      <left style="medium">
        <color rgb="FF2F855A"/>
      </left>
      <right/>
      <top style="medium">
        <color rgb="FF2F855A"/>
      </top>
      <bottom/>
      <diagonal/>
    </border>
    <border>
      <left/>
      <right/>
      <top style="medium">
        <color rgb="FF2F855A"/>
      </top>
      <bottom/>
      <diagonal/>
    </border>
    <border>
      <left/>
      <right style="medium">
        <color rgb="FF2F855A"/>
      </right>
      <top style="medium">
        <color rgb="FF2F855A"/>
      </top>
      <bottom/>
      <diagonal/>
    </border>
    <border>
      <left style="medium">
        <color rgb="FF2F855A"/>
      </left>
      <right/>
      <top/>
      <bottom/>
      <diagonal/>
    </border>
    <border>
      <left/>
      <right style="medium">
        <color rgb="FF2F855A"/>
      </right>
      <top/>
      <bottom/>
      <diagonal/>
    </border>
    <border>
      <left style="medium">
        <color rgb="FF2F855A"/>
      </left>
      <right/>
      <top/>
      <bottom style="medium">
        <color rgb="FF2F855A"/>
      </bottom>
      <diagonal/>
    </border>
    <border>
      <left/>
      <right/>
      <top/>
      <bottom style="medium">
        <color rgb="FF2F855A"/>
      </bottom>
      <diagonal/>
    </border>
    <border>
      <left/>
      <right style="medium">
        <color rgb="FF2F855A"/>
      </right>
      <top/>
      <bottom style="medium">
        <color rgb="FF2F855A"/>
      </bottom>
      <diagonal/>
    </border>
    <border>
      <left style="medium">
        <color rgb="FFE76F51"/>
      </left>
      <right/>
      <top style="medium">
        <color rgb="FFE76F51"/>
      </top>
      <bottom/>
      <diagonal/>
    </border>
    <border>
      <left/>
      <right/>
      <top style="medium">
        <color rgb="FFE76F51"/>
      </top>
      <bottom/>
      <diagonal/>
    </border>
    <border>
      <left/>
      <right style="medium">
        <color rgb="FFE76F51"/>
      </right>
      <top style="medium">
        <color rgb="FFE76F51"/>
      </top>
      <bottom/>
      <diagonal/>
    </border>
    <border>
      <left style="medium">
        <color rgb="FFE76F51"/>
      </left>
      <right/>
      <top/>
      <bottom/>
      <diagonal/>
    </border>
    <border>
      <left/>
      <right style="medium">
        <color rgb="FFE76F51"/>
      </right>
      <top/>
      <bottom/>
      <diagonal/>
    </border>
    <border>
      <left style="medium">
        <color rgb="FFE76F51"/>
      </left>
      <right/>
      <top/>
      <bottom style="medium">
        <color rgb="FFE76F51"/>
      </bottom>
      <diagonal/>
    </border>
    <border>
      <left/>
      <right/>
      <top/>
      <bottom style="medium">
        <color rgb="FFE76F51"/>
      </bottom>
      <diagonal/>
    </border>
    <border>
      <left/>
      <right style="medium">
        <color rgb="FFE76F51"/>
      </right>
      <top/>
      <bottom style="medium">
        <color rgb="FFE76F51"/>
      </bottom>
      <diagonal/>
    </border>
    <border>
      <left style="thin">
        <color rgb="FFB83A4B"/>
      </left>
      <right/>
      <top style="thin">
        <color rgb="FFB83A4B"/>
      </top>
      <bottom/>
      <diagonal/>
    </border>
    <border>
      <left/>
      <right style="thin">
        <color rgb="FFB83A4B"/>
      </right>
      <top style="thin">
        <color rgb="FFB83A4B"/>
      </top>
      <bottom/>
      <diagonal/>
    </border>
    <border>
      <left style="thin">
        <color rgb="FFB83A4B"/>
      </left>
      <right/>
      <top/>
      <bottom/>
      <diagonal/>
    </border>
    <border>
      <left/>
      <right style="thin">
        <color rgb="FFB83A4B"/>
      </right>
      <top/>
      <bottom/>
      <diagonal/>
    </border>
    <border>
      <left style="thin">
        <color rgb="FFB83A4B"/>
      </left>
      <right/>
      <top/>
      <bottom style="thin">
        <color rgb="FFB83A4B"/>
      </bottom>
      <diagonal/>
    </border>
    <border>
      <left/>
      <right style="thin">
        <color rgb="FFB83A4B"/>
      </right>
      <top/>
      <bottom style="thin">
        <color rgb="FFB83A4B"/>
      </bottom>
      <diagonal/>
    </border>
    <border>
      <left style="thin">
        <color rgb="FFC58A12"/>
      </left>
      <right/>
      <top style="thin">
        <color rgb="FFC58A12"/>
      </top>
      <bottom/>
      <diagonal/>
    </border>
    <border>
      <left/>
      <right/>
      <top style="thin">
        <color rgb="FFC58A12"/>
      </top>
      <bottom/>
      <diagonal/>
    </border>
    <border>
      <left/>
      <right style="thin">
        <color rgb="FFC58A12"/>
      </right>
      <top style="thin">
        <color rgb="FFC58A12"/>
      </top>
      <bottom/>
      <diagonal/>
    </border>
    <border>
      <left style="thin">
        <color rgb="FFC58A12"/>
      </left>
      <right/>
      <top/>
      <bottom/>
      <diagonal/>
    </border>
    <border>
      <left/>
      <right style="thin">
        <color rgb="FFC58A12"/>
      </right>
      <top/>
      <bottom/>
      <diagonal/>
    </border>
    <border>
      <left style="thin">
        <color rgb="FFC58A12"/>
      </left>
      <right/>
      <top/>
      <bottom style="thin">
        <color rgb="FFC58A12"/>
      </bottom>
      <diagonal/>
    </border>
    <border>
      <left/>
      <right/>
      <top/>
      <bottom style="thin">
        <color rgb="FFC58A12"/>
      </bottom>
      <diagonal/>
    </border>
    <border>
      <left/>
      <right style="thin">
        <color rgb="FFC58A12"/>
      </right>
      <top/>
      <bottom style="thin">
        <color rgb="FFC58A12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/>
    <xf numFmtId="0" fontId="4" fillId="5" borderId="1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5" fillId="6" borderId="0" xfId="0" applyFont="1" applyFill="1"/>
    <xf numFmtId="0" fontId="5" fillId="6" borderId="6" xfId="0" applyFont="1" applyFill="1" applyBorder="1"/>
    <xf numFmtId="3" fontId="4" fillId="4" borderId="1" xfId="0" applyNumberFormat="1" applyFont="1" applyFill="1" applyBorder="1"/>
    <xf numFmtId="3" fontId="4" fillId="5" borderId="1" xfId="0" applyNumberFormat="1" applyFont="1" applyFill="1" applyBorder="1"/>
    <xf numFmtId="3" fontId="4" fillId="4" borderId="2" xfId="0" applyNumberFormat="1" applyFont="1" applyFill="1" applyBorder="1"/>
    <xf numFmtId="3" fontId="4" fillId="5" borderId="2" xfId="0" applyNumberFormat="1" applyFont="1" applyFill="1" applyBorder="1"/>
    <xf numFmtId="3" fontId="4" fillId="4" borderId="3" xfId="0" applyNumberFormat="1" applyFont="1" applyFill="1" applyBorder="1"/>
    <xf numFmtId="3" fontId="4" fillId="5" borderId="3" xfId="0" applyNumberFormat="1" applyFont="1" applyFill="1" applyBorder="1"/>
    <xf numFmtId="3" fontId="0" fillId="0" borderId="0" xfId="0" applyNumberFormat="1"/>
    <xf numFmtId="3" fontId="5" fillId="6" borderId="5" xfId="0" applyNumberFormat="1" applyFont="1" applyFill="1" applyBorder="1"/>
    <xf numFmtId="164" fontId="4" fillId="5" borderId="1" xfId="0" applyNumberFormat="1" applyFont="1" applyFill="1" applyBorder="1"/>
    <xf numFmtId="164" fontId="4" fillId="5" borderId="2" xfId="0" applyNumberFormat="1" applyFont="1" applyFill="1" applyBorder="1"/>
    <xf numFmtId="164" fontId="4" fillId="5" borderId="3" xfId="0" applyNumberFormat="1" applyFont="1" applyFill="1" applyBorder="1"/>
    <xf numFmtId="164" fontId="0" fillId="0" borderId="0" xfId="0" applyNumberFormat="1"/>
    <xf numFmtId="164" fontId="5" fillId="6" borderId="5" xfId="0" applyNumberFormat="1" applyFont="1" applyFill="1" applyBorder="1"/>
    <xf numFmtId="0" fontId="0" fillId="0" borderId="7" xfId="0" applyBorder="1"/>
    <xf numFmtId="164" fontId="0" fillId="0" borderId="7" xfId="0" applyNumberFormat="1" applyBorder="1"/>
    <xf numFmtId="3" fontId="0" fillId="0" borderId="7" xfId="0" applyNumberForma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3" fontId="4" fillId="0" borderId="1" xfId="0" applyNumberFormat="1" applyFont="1" applyBorder="1"/>
    <xf numFmtId="3" fontId="4" fillId="0" borderId="2" xfId="0" applyNumberFormat="1" applyFont="1" applyBorder="1"/>
    <xf numFmtId="3" fontId="4" fillId="0" borderId="3" xfId="0" applyNumberFormat="1" applyFont="1" applyBorder="1"/>
    <xf numFmtId="3" fontId="5" fillId="6" borderId="0" xfId="0" applyNumberFormat="1" applyFont="1" applyFill="1"/>
    <xf numFmtId="164" fontId="4" fillId="0" borderId="1" xfId="0" applyNumberFormat="1" applyFont="1" applyBorder="1"/>
    <xf numFmtId="164" fontId="4" fillId="0" borderId="2" xfId="0" applyNumberFormat="1" applyFont="1" applyBorder="1"/>
    <xf numFmtId="164" fontId="4" fillId="0" borderId="3" xfId="0" applyNumberFormat="1" applyFont="1" applyBorder="1"/>
    <xf numFmtId="164" fontId="5" fillId="6" borderId="0" xfId="0" applyNumberFormat="1" applyFont="1" applyFill="1"/>
    <xf numFmtId="0" fontId="4" fillId="0" borderId="7" xfId="0" applyFont="1" applyBorder="1"/>
    <xf numFmtId="164" fontId="4" fillId="0" borderId="7" xfId="0" applyNumberFormat="1" applyFont="1" applyBorder="1"/>
    <xf numFmtId="0" fontId="4" fillId="4" borderId="7" xfId="0" applyFont="1" applyFill="1" applyBorder="1"/>
    <xf numFmtId="0" fontId="7" fillId="0" borderId="0" xfId="0" applyFont="1"/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165" fontId="4" fillId="0" borderId="1" xfId="0" applyNumberFormat="1" applyFont="1" applyBorder="1" applyAlignment="1">
      <alignment vertical="top"/>
    </xf>
    <xf numFmtId="165" fontId="4" fillId="0" borderId="2" xfId="0" applyNumberFormat="1" applyFont="1" applyBorder="1" applyAlignment="1">
      <alignment vertical="top"/>
    </xf>
    <xf numFmtId="165" fontId="4" fillId="0" borderId="3" xfId="0" applyNumberFormat="1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0" fillId="0" borderId="7" xfId="0" applyBorder="1" applyAlignment="1">
      <alignment vertical="center" wrapText="1"/>
    </xf>
    <xf numFmtId="164" fontId="0" fillId="0" borderId="7" xfId="0" applyNumberFormat="1" applyBorder="1" applyAlignment="1">
      <alignment vertical="center" wrapText="1"/>
    </xf>
    <xf numFmtId="0" fontId="1" fillId="2" borderId="0" xfId="0" applyFont="1" applyFill="1"/>
    <xf numFmtId="0" fontId="2" fillId="2" borderId="0" xfId="0" applyFont="1" applyFill="1"/>
    <xf numFmtId="0" fontId="9" fillId="6" borderId="8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164" fontId="10" fillId="6" borderId="11" xfId="0" applyNumberFormat="1" applyFont="1" applyFill="1" applyBorder="1" applyAlignment="1">
      <alignment horizontal="center" vertical="center"/>
    </xf>
    <xf numFmtId="164" fontId="10" fillId="6" borderId="0" xfId="0" applyNumberFormat="1" applyFont="1" applyFill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3" xfId="0" applyNumberFormat="1" applyFont="1" applyFill="1" applyBorder="1" applyAlignment="1">
      <alignment horizontal="center" vertical="center"/>
    </xf>
    <xf numFmtId="164" fontId="10" fillId="6" borderId="14" xfId="0" applyNumberFormat="1" applyFont="1" applyFill="1" applyBorder="1" applyAlignment="1">
      <alignment horizontal="center" vertical="center"/>
    </xf>
    <xf numFmtId="164" fontId="10" fillId="6" borderId="15" xfId="0" applyNumberFormat="1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11" fillId="5" borderId="18" xfId="0" applyFont="1" applyFill="1" applyBorder="1" applyAlignment="1">
      <alignment horizontal="center"/>
    </xf>
    <xf numFmtId="164" fontId="12" fillId="5" borderId="19" xfId="0" applyNumberFormat="1" applyFont="1" applyFill="1" applyBorder="1" applyAlignment="1">
      <alignment horizontal="center" vertical="center"/>
    </xf>
    <xf numFmtId="164" fontId="12" fillId="5" borderId="0" xfId="0" applyNumberFormat="1" applyFont="1" applyFill="1" applyAlignment="1">
      <alignment horizontal="center" vertical="center"/>
    </xf>
    <xf numFmtId="164" fontId="12" fillId="5" borderId="20" xfId="0" applyNumberFormat="1" applyFont="1" applyFill="1" applyBorder="1" applyAlignment="1">
      <alignment horizontal="center" vertical="center"/>
    </xf>
    <xf numFmtId="164" fontId="12" fillId="5" borderId="21" xfId="0" applyNumberFormat="1" applyFont="1" applyFill="1" applyBorder="1" applyAlignment="1">
      <alignment horizontal="center" vertical="center"/>
    </xf>
    <xf numFmtId="164" fontId="12" fillId="5" borderId="22" xfId="0" applyNumberFormat="1" applyFont="1" applyFill="1" applyBorder="1" applyAlignment="1">
      <alignment horizontal="center" vertical="center"/>
    </xf>
    <xf numFmtId="164" fontId="12" fillId="5" borderId="23" xfId="0" applyNumberFormat="1" applyFont="1" applyFill="1" applyBorder="1" applyAlignment="1">
      <alignment horizontal="center" vertical="center"/>
    </xf>
    <xf numFmtId="0" fontId="13" fillId="8" borderId="24" xfId="0" applyFont="1" applyFill="1" applyBorder="1" applyAlignment="1">
      <alignment horizontal="center"/>
    </xf>
    <xf numFmtId="0" fontId="13" fillId="8" borderId="25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164" fontId="14" fillId="8" borderId="27" xfId="0" applyNumberFormat="1" applyFont="1" applyFill="1" applyBorder="1" applyAlignment="1">
      <alignment horizontal="center" vertical="center"/>
    </xf>
    <xf numFmtId="164" fontId="14" fillId="8" borderId="0" xfId="0" applyNumberFormat="1" applyFont="1" applyFill="1" applyAlignment="1">
      <alignment horizontal="center" vertical="center"/>
    </xf>
    <xf numFmtId="164" fontId="14" fillId="8" borderId="28" xfId="0" applyNumberFormat="1" applyFont="1" applyFill="1" applyBorder="1" applyAlignment="1">
      <alignment horizontal="center" vertical="center"/>
    </xf>
    <xf numFmtId="164" fontId="14" fillId="8" borderId="29" xfId="0" applyNumberFormat="1" applyFont="1" applyFill="1" applyBorder="1" applyAlignment="1">
      <alignment horizontal="center" vertical="center"/>
    </xf>
    <xf numFmtId="164" fontId="14" fillId="8" borderId="30" xfId="0" applyNumberFormat="1" applyFont="1" applyFill="1" applyBorder="1" applyAlignment="1">
      <alignment horizontal="center" vertical="center"/>
    </xf>
    <xf numFmtId="164" fontId="14" fillId="8" borderId="31" xfId="0" applyNumberFormat="1" applyFont="1" applyFill="1" applyBorder="1" applyAlignment="1">
      <alignment horizontal="center" vertical="center"/>
    </xf>
    <xf numFmtId="0" fontId="15" fillId="4" borderId="32" xfId="0" applyFont="1" applyFill="1" applyBorder="1" applyAlignment="1">
      <alignment horizontal="center"/>
    </xf>
    <xf numFmtId="0" fontId="15" fillId="4" borderId="33" xfId="0" applyFont="1" applyFill="1" applyBorder="1" applyAlignment="1">
      <alignment horizontal="center"/>
    </xf>
    <xf numFmtId="0" fontId="15" fillId="4" borderId="34" xfId="0" applyFont="1" applyFill="1" applyBorder="1" applyAlignment="1">
      <alignment horizontal="center"/>
    </xf>
    <xf numFmtId="164" fontId="16" fillId="4" borderId="35" xfId="0" applyNumberFormat="1" applyFont="1" applyFill="1" applyBorder="1" applyAlignment="1">
      <alignment horizontal="center" vertical="center"/>
    </xf>
    <xf numFmtId="164" fontId="16" fillId="4" borderId="0" xfId="0" applyNumberFormat="1" applyFont="1" applyFill="1" applyAlignment="1">
      <alignment horizontal="center" vertical="center"/>
    </xf>
    <xf numFmtId="164" fontId="16" fillId="4" borderId="36" xfId="0" applyNumberFormat="1" applyFont="1" applyFill="1" applyBorder="1" applyAlignment="1">
      <alignment horizontal="center" vertical="center"/>
    </xf>
    <xf numFmtId="164" fontId="16" fillId="4" borderId="37" xfId="0" applyNumberFormat="1" applyFont="1" applyFill="1" applyBorder="1" applyAlignment="1">
      <alignment horizontal="center" vertical="center"/>
    </xf>
    <xf numFmtId="164" fontId="16" fillId="4" borderId="38" xfId="0" applyNumberFormat="1" applyFont="1" applyFill="1" applyBorder="1" applyAlignment="1">
      <alignment horizontal="center" vertical="center"/>
    </xf>
    <xf numFmtId="164" fontId="16" fillId="4" borderId="39" xfId="0" applyNumberFormat="1" applyFont="1" applyFill="1" applyBorder="1" applyAlignment="1">
      <alignment horizontal="center" vertical="center"/>
    </xf>
    <xf numFmtId="0" fontId="17" fillId="7" borderId="40" xfId="0" applyFont="1" applyFill="1" applyBorder="1" applyAlignment="1">
      <alignment horizontal="center" vertical="center" wrapText="1"/>
    </xf>
    <xf numFmtId="0" fontId="17" fillId="7" borderId="41" xfId="0" applyFont="1" applyFill="1" applyBorder="1" applyAlignment="1">
      <alignment horizontal="center" vertical="center" wrapText="1"/>
    </xf>
    <xf numFmtId="0" fontId="17" fillId="7" borderId="42" xfId="0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0" fontId="17" fillId="7" borderId="44" xfId="0" applyFont="1" applyFill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center" vertical="center" wrapText="1"/>
    </xf>
    <xf numFmtId="0" fontId="18" fillId="3" borderId="0" xfId="0" applyFont="1" applyFill="1"/>
    <xf numFmtId="0" fontId="9" fillId="7" borderId="8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164" fontId="19" fillId="7" borderId="11" xfId="0" applyNumberFormat="1" applyFont="1" applyFill="1" applyBorder="1" applyAlignment="1">
      <alignment horizontal="center" vertical="center"/>
    </xf>
    <xf numFmtId="164" fontId="19" fillId="7" borderId="0" xfId="0" applyNumberFormat="1" applyFont="1" applyFill="1" applyAlignment="1">
      <alignment horizontal="center" vertical="center"/>
    </xf>
    <xf numFmtId="164" fontId="19" fillId="7" borderId="12" xfId="0" applyNumberFormat="1" applyFont="1" applyFill="1" applyBorder="1" applyAlignment="1">
      <alignment horizontal="center" vertical="center"/>
    </xf>
    <xf numFmtId="164" fontId="19" fillId="7" borderId="13" xfId="0" applyNumberFormat="1" applyFont="1" applyFill="1" applyBorder="1" applyAlignment="1">
      <alignment horizontal="center" vertical="center"/>
    </xf>
    <xf numFmtId="164" fontId="19" fillId="7" borderId="14" xfId="0" applyNumberFormat="1" applyFont="1" applyFill="1" applyBorder="1" applyAlignment="1">
      <alignment horizontal="center" vertical="center"/>
    </xf>
    <xf numFmtId="164" fontId="19" fillId="7" borderId="15" xfId="0" applyNumberFormat="1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/>
    </xf>
    <xf numFmtId="0" fontId="11" fillId="7" borderId="17" xfId="0" applyFont="1" applyFill="1" applyBorder="1" applyAlignment="1">
      <alignment horizontal="center"/>
    </xf>
    <xf numFmtId="0" fontId="11" fillId="7" borderId="18" xfId="0" applyFont="1" applyFill="1" applyBorder="1" applyAlignment="1">
      <alignment horizontal="center"/>
    </xf>
    <xf numFmtId="164" fontId="20" fillId="7" borderId="19" xfId="0" applyNumberFormat="1" applyFont="1" applyFill="1" applyBorder="1" applyAlignment="1">
      <alignment horizontal="center" vertical="center"/>
    </xf>
    <xf numFmtId="164" fontId="20" fillId="7" borderId="0" xfId="0" applyNumberFormat="1" applyFont="1" applyFill="1" applyAlignment="1">
      <alignment horizontal="center" vertical="center"/>
    </xf>
    <xf numFmtId="164" fontId="20" fillId="7" borderId="20" xfId="0" applyNumberFormat="1" applyFont="1" applyFill="1" applyBorder="1" applyAlignment="1">
      <alignment horizontal="center" vertical="center"/>
    </xf>
    <xf numFmtId="164" fontId="20" fillId="7" borderId="21" xfId="0" applyNumberFormat="1" applyFont="1" applyFill="1" applyBorder="1" applyAlignment="1">
      <alignment horizontal="center" vertical="center"/>
    </xf>
    <xf numFmtId="164" fontId="20" fillId="7" borderId="22" xfId="0" applyNumberFormat="1" applyFont="1" applyFill="1" applyBorder="1" applyAlignment="1">
      <alignment horizontal="center" vertical="center"/>
    </xf>
    <xf numFmtId="164" fontId="20" fillId="7" borderId="23" xfId="0" applyNumberFormat="1" applyFont="1" applyFill="1" applyBorder="1" applyAlignment="1">
      <alignment horizontal="center" vertical="center"/>
    </xf>
    <xf numFmtId="0" fontId="21" fillId="7" borderId="46" xfId="0" applyFont="1" applyFill="1" applyBorder="1" applyAlignment="1">
      <alignment horizontal="center"/>
    </xf>
    <xf numFmtId="0" fontId="21" fillId="7" borderId="47" xfId="0" applyFont="1" applyFill="1" applyBorder="1" applyAlignment="1">
      <alignment horizontal="center"/>
    </xf>
    <xf numFmtId="0" fontId="21" fillId="7" borderId="48" xfId="0" applyFont="1" applyFill="1" applyBorder="1" applyAlignment="1">
      <alignment horizontal="center"/>
    </xf>
    <xf numFmtId="164" fontId="22" fillId="7" borderId="49" xfId="0" applyNumberFormat="1" applyFont="1" applyFill="1" applyBorder="1" applyAlignment="1">
      <alignment horizontal="center" vertical="center"/>
    </xf>
    <xf numFmtId="164" fontId="22" fillId="7" borderId="0" xfId="0" applyNumberFormat="1" applyFont="1" applyFill="1" applyAlignment="1">
      <alignment horizontal="center" vertical="center"/>
    </xf>
    <xf numFmtId="164" fontId="22" fillId="7" borderId="50" xfId="0" applyNumberFormat="1" applyFont="1" applyFill="1" applyBorder="1" applyAlignment="1">
      <alignment horizontal="center" vertical="center"/>
    </xf>
    <xf numFmtId="164" fontId="22" fillId="7" borderId="51" xfId="0" applyNumberFormat="1" applyFont="1" applyFill="1" applyBorder="1" applyAlignment="1">
      <alignment horizontal="center" vertical="center"/>
    </xf>
    <xf numFmtId="164" fontId="22" fillId="7" borderId="52" xfId="0" applyNumberFormat="1" applyFont="1" applyFill="1" applyBorder="1" applyAlignment="1">
      <alignment horizontal="center" vertical="center"/>
    </xf>
    <xf numFmtId="164" fontId="22" fillId="7" borderId="53" xfId="0" applyNumberFormat="1" applyFont="1" applyFill="1" applyBorder="1" applyAlignment="1">
      <alignment horizontal="center" vertical="center"/>
    </xf>
    <xf numFmtId="0" fontId="23" fillId="7" borderId="54" xfId="0" applyFont="1" applyFill="1" applyBorder="1" applyAlignment="1">
      <alignment horizontal="center"/>
    </xf>
    <xf numFmtId="0" fontId="23" fillId="7" borderId="55" xfId="0" applyFont="1" applyFill="1" applyBorder="1" applyAlignment="1">
      <alignment horizontal="center"/>
    </xf>
    <xf numFmtId="0" fontId="23" fillId="7" borderId="56" xfId="0" applyFont="1" applyFill="1" applyBorder="1" applyAlignment="1">
      <alignment horizontal="center"/>
    </xf>
    <xf numFmtId="164" fontId="24" fillId="7" borderId="57" xfId="0" applyNumberFormat="1" applyFont="1" applyFill="1" applyBorder="1" applyAlignment="1">
      <alignment horizontal="center" vertical="center"/>
    </xf>
    <xf numFmtId="164" fontId="24" fillId="7" borderId="0" xfId="0" applyNumberFormat="1" applyFont="1" applyFill="1" applyAlignment="1">
      <alignment horizontal="center" vertical="center"/>
    </xf>
    <xf numFmtId="164" fontId="24" fillId="7" borderId="58" xfId="0" applyNumberFormat="1" applyFont="1" applyFill="1" applyBorder="1" applyAlignment="1">
      <alignment horizontal="center" vertical="center"/>
    </xf>
    <xf numFmtId="164" fontId="24" fillId="7" borderId="59" xfId="0" applyNumberFormat="1" applyFont="1" applyFill="1" applyBorder="1" applyAlignment="1">
      <alignment horizontal="center" vertical="center"/>
    </xf>
    <xf numFmtId="164" fontId="24" fillId="7" borderId="60" xfId="0" applyNumberFormat="1" applyFont="1" applyFill="1" applyBorder="1" applyAlignment="1">
      <alignment horizontal="center" vertical="center"/>
    </xf>
    <xf numFmtId="164" fontId="24" fillId="7" borderId="61" xfId="0" applyNumberFormat="1" applyFont="1" applyFill="1" applyBorder="1" applyAlignment="1">
      <alignment horizontal="center" vertical="center"/>
    </xf>
    <xf numFmtId="0" fontId="13" fillId="8" borderId="62" xfId="0" applyFont="1" applyFill="1" applyBorder="1" applyAlignment="1">
      <alignment horizontal="center" vertical="center" wrapText="1"/>
    </xf>
    <xf numFmtId="0" fontId="13" fillId="8" borderId="63" xfId="0" applyFont="1" applyFill="1" applyBorder="1" applyAlignment="1">
      <alignment horizontal="center" vertical="center" wrapText="1"/>
    </xf>
    <xf numFmtId="0" fontId="13" fillId="8" borderId="64" xfId="0" applyFont="1" applyFill="1" applyBorder="1" applyAlignment="1">
      <alignment horizontal="center" vertical="center" wrapText="1"/>
    </xf>
    <xf numFmtId="0" fontId="13" fillId="8" borderId="65" xfId="0" applyFont="1" applyFill="1" applyBorder="1" applyAlignment="1">
      <alignment horizontal="center" vertical="center" wrapText="1"/>
    </xf>
    <xf numFmtId="0" fontId="13" fillId="8" borderId="66" xfId="0" applyFont="1" applyFill="1" applyBorder="1" applyAlignment="1">
      <alignment horizontal="center" vertical="center" wrapText="1"/>
    </xf>
    <xf numFmtId="0" fontId="13" fillId="8" borderId="67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4" borderId="68" xfId="0" applyFont="1" applyFill="1" applyBorder="1" applyAlignment="1">
      <alignment vertical="center" wrapText="1"/>
    </xf>
    <xf numFmtId="0" fontId="4" fillId="4" borderId="69" xfId="0" applyFont="1" applyFill="1" applyBorder="1" applyAlignment="1">
      <alignment vertical="center" wrapText="1"/>
    </xf>
    <xf numFmtId="0" fontId="4" fillId="4" borderId="70" xfId="0" applyFont="1" applyFill="1" applyBorder="1" applyAlignment="1">
      <alignment vertical="center" wrapText="1"/>
    </xf>
    <xf numFmtId="0" fontId="4" fillId="4" borderId="7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72" xfId="0" applyFont="1" applyFill="1" applyBorder="1" applyAlignment="1">
      <alignment vertical="center" wrapText="1"/>
    </xf>
    <xf numFmtId="0" fontId="4" fillId="4" borderId="73" xfId="0" applyFont="1" applyFill="1" applyBorder="1" applyAlignment="1">
      <alignment vertical="center" wrapText="1"/>
    </xf>
    <xf numFmtId="0" fontId="4" fillId="4" borderId="74" xfId="0" applyFont="1" applyFill="1" applyBorder="1" applyAlignment="1">
      <alignment vertical="center" wrapText="1"/>
    </xf>
    <xf numFmtId="0" fontId="4" fillId="4" borderId="75" xfId="0" applyFont="1" applyFill="1" applyBorder="1" applyAlignment="1">
      <alignment vertical="center" wrapText="1"/>
    </xf>
    <xf numFmtId="0" fontId="5" fillId="6" borderId="4" xfId="0" applyFont="1" applyFill="1" applyBorder="1"/>
    <xf numFmtId="0" fontId="5" fillId="6" borderId="5" xfId="0" applyFont="1" applyFill="1" applyBorder="1"/>
    <xf numFmtId="0" fontId="6" fillId="7" borderId="0" xfId="0" applyFont="1" applyFill="1" applyAlignment="1">
      <alignment wrapText="1"/>
    </xf>
    <xf numFmtId="0" fontId="3" fillId="3" borderId="0" xfId="0" applyFont="1" applyFill="1"/>
    <xf numFmtId="0" fontId="8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AR"/>
              <a:t>Ausentismo medico: total y componentes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Servicio Medico</c:v>
          </c:tx>
          <c:marker>
            <c:symbol val="none"/>
          </c:marker>
          <c:cat>
            <c:strRef>
              <c:f>'Dashboard integral'!$A$17:$A$22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'Dashboard integral'!$B$17:$B$22</c:f>
              <c:numCache>
                <c:formatCode>0.0%</c:formatCode>
                <c:ptCount val="6"/>
                <c:pt idx="0">
                  <c:v>4.3604326976692316E-2</c:v>
                </c:pt>
                <c:pt idx="1">
                  <c:v>4.3488967691095351E-2</c:v>
                </c:pt>
                <c:pt idx="2">
                  <c:v>4.4376491646778045E-2</c:v>
                </c:pt>
                <c:pt idx="3">
                  <c:v>4.2030502392344495E-2</c:v>
                </c:pt>
                <c:pt idx="4">
                  <c:v>5.1378446115288218E-2</c:v>
                </c:pt>
                <c:pt idx="5">
                  <c:v>5.7701070858965593E-2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3-4EE8-BD38-11F926D67DCC}"/>
            </c:ext>
          </c:extLst>
        </c:ser>
        <c:ser>
          <c:idx val="1"/>
          <c:order val="1"/>
          <c:tx>
            <c:v>BP</c:v>
          </c:tx>
          <c:marker>
            <c:symbol val="none"/>
          </c:marker>
          <c:cat>
            <c:strRef>
              <c:f>'Dashboard integral'!$A$17:$A$22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'Dashboard integral'!$C$17:$C$22</c:f>
              <c:numCache>
                <c:formatCode>0.0%</c:formatCode>
                <c:ptCount val="6"/>
                <c:pt idx="0">
                  <c:v>2.0965763354522136E-2</c:v>
                </c:pt>
                <c:pt idx="1">
                  <c:v>1.9963225636984501E-2</c:v>
                </c:pt>
                <c:pt idx="2">
                  <c:v>1.4558472553699284E-2</c:v>
                </c:pt>
                <c:pt idx="3">
                  <c:v>1.686602870813397E-2</c:v>
                </c:pt>
                <c:pt idx="4">
                  <c:v>2.6190476190476191E-2</c:v>
                </c:pt>
                <c:pt idx="5">
                  <c:v>2.961950330371383E-2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3-4EE8-BD38-11F926D67DCC}"/>
            </c:ext>
          </c:extLst>
        </c:ser>
        <c:ser>
          <c:idx val="2"/>
          <c:order val="2"/>
          <c:tx>
            <c:v>ART</c:v>
          </c:tx>
          <c:marker>
            <c:symbol val="none"/>
          </c:marker>
          <c:cat>
            <c:strRef>
              <c:f>'Dashboard integral'!$A$17:$A$22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'Dashboard integral'!$D$17:$D$22</c:f>
              <c:numCache>
                <c:formatCode>0.0%</c:formatCode>
                <c:ptCount val="6"/>
                <c:pt idx="0">
                  <c:v>1.2824802051968329E-2</c:v>
                </c:pt>
                <c:pt idx="1">
                  <c:v>1.260835303388495E-2</c:v>
                </c:pt>
                <c:pt idx="2">
                  <c:v>1.3126491646778043E-2</c:v>
                </c:pt>
                <c:pt idx="3">
                  <c:v>5.1435406698564596E-3</c:v>
                </c:pt>
                <c:pt idx="4">
                  <c:v>6.4066416040100254E-3</c:v>
                </c:pt>
                <c:pt idx="5">
                  <c:v>9.8826611984506717E-3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23-4EE8-BD38-11F926D67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7.0000000000000007E-2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  <c:majorUnit val="0.01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AR"/>
              <a:t>Total medico y componentes BP / 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Servicio Medico</c:v>
          </c:tx>
          <c:marker>
            <c:symbol val="none"/>
          </c:marker>
          <c:cat>
            <c:strRef>
              <c:f>'Ausentismo 1S'!$A$16:$A$21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'Ausentismo 1S'!$B$16:$B$21</c:f>
              <c:numCache>
                <c:formatCode>0.0%</c:formatCode>
                <c:ptCount val="6"/>
                <c:pt idx="0">
                  <c:v>4.3604326976692316E-2</c:v>
                </c:pt>
                <c:pt idx="1">
                  <c:v>4.3488967691095351E-2</c:v>
                </c:pt>
                <c:pt idx="2">
                  <c:v>4.4376491646778045E-2</c:v>
                </c:pt>
                <c:pt idx="3">
                  <c:v>4.2030502392344495E-2</c:v>
                </c:pt>
                <c:pt idx="4">
                  <c:v>5.1378446115288218E-2</c:v>
                </c:pt>
                <c:pt idx="5">
                  <c:v>5.7701070858965593E-2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8-41E2-A0E3-C14BF7A1E43C}"/>
            </c:ext>
          </c:extLst>
        </c:ser>
        <c:ser>
          <c:idx val="1"/>
          <c:order val="1"/>
          <c:tx>
            <c:v>BP</c:v>
          </c:tx>
          <c:marker>
            <c:symbol val="none"/>
          </c:marker>
          <c:cat>
            <c:strRef>
              <c:f>'Ausentismo 1S'!$A$16:$A$21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'Ausentismo 1S'!$C$16:$C$21</c:f>
              <c:numCache>
                <c:formatCode>0.0%</c:formatCode>
                <c:ptCount val="6"/>
                <c:pt idx="0">
                  <c:v>2.0965763354522136E-2</c:v>
                </c:pt>
                <c:pt idx="1">
                  <c:v>1.9963225636984501E-2</c:v>
                </c:pt>
                <c:pt idx="2">
                  <c:v>1.4558472553699284E-2</c:v>
                </c:pt>
                <c:pt idx="3">
                  <c:v>1.686602870813397E-2</c:v>
                </c:pt>
                <c:pt idx="4">
                  <c:v>2.6190476190476191E-2</c:v>
                </c:pt>
                <c:pt idx="5">
                  <c:v>2.961950330371383E-2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8-41E2-A0E3-C14BF7A1E43C}"/>
            </c:ext>
          </c:extLst>
        </c:ser>
        <c:ser>
          <c:idx val="2"/>
          <c:order val="2"/>
          <c:tx>
            <c:v>ART</c:v>
          </c:tx>
          <c:marker>
            <c:symbol val="none"/>
          </c:marker>
          <c:cat>
            <c:strRef>
              <c:f>'Ausentismo 1S'!$A$16:$A$21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'Ausentismo 1S'!$D$16:$D$21</c:f>
              <c:numCache>
                <c:formatCode>0.0%</c:formatCode>
                <c:ptCount val="6"/>
                <c:pt idx="0">
                  <c:v>1.2824802051968329E-2</c:v>
                </c:pt>
                <c:pt idx="1">
                  <c:v>1.260835303388495E-2</c:v>
                </c:pt>
                <c:pt idx="2">
                  <c:v>1.3126491646778043E-2</c:v>
                </c:pt>
                <c:pt idx="3">
                  <c:v>5.1435406698564596E-3</c:v>
                </c:pt>
                <c:pt idx="4">
                  <c:v>6.4066416040100254E-3</c:v>
                </c:pt>
                <c:pt idx="5">
                  <c:v>9.8826611984506717E-3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8-41E2-A0E3-C14BF7A1E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7.0000000000000007E-2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  <c:majorUnit val="0.01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AR"/>
              <a:t>Patologias BP mas frecuentes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Casos</c:v>
          </c:tx>
          <c:spPr>
            <a:solidFill>
              <a:srgbClr val="2878B5"/>
            </a:solidFill>
          </c:spPr>
          <c:invertIfNegative val="1"/>
          <c:cat>
            <c:strRef>
              <c:f>'Ranking BP'!$D$5:$D$12</c:f>
              <c:strCache>
                <c:ptCount val="8"/>
                <c:pt idx="0">
                  <c:v>Miembros inferiores</c:v>
                </c:pt>
                <c:pt idx="1">
                  <c:v>Otras</c:v>
                </c:pt>
                <c:pt idx="2">
                  <c:v>Columna</c:v>
                </c:pt>
                <c:pt idx="3">
                  <c:v>Salud mental</c:v>
                </c:pt>
                <c:pt idx="4">
                  <c:v>Miembros superiores</c:v>
                </c:pt>
                <c:pt idx="5">
                  <c:v>Oncologicas</c:v>
                </c:pt>
                <c:pt idx="6">
                  <c:v>Cardiovasculares</c:v>
                </c:pt>
                <c:pt idx="7">
                  <c:v>Respiratorias</c:v>
                </c:pt>
              </c:strCache>
            </c:strRef>
          </c:cat>
          <c:val>
            <c:numRef>
              <c:f>'Ranking BP'!$E$5:$E$12</c:f>
              <c:numCache>
                <c:formatCode>General</c:formatCode>
                <c:ptCount val="8"/>
                <c:pt idx="0">
                  <c:v>11</c:v>
                </c:pt>
                <c:pt idx="1">
                  <c:v>9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3C5-4606-8A75-4327BBE46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showGridLines="0" topLeftCell="A13" workbookViewId="0">
      <selection activeCell="A34" sqref="A34:N36"/>
    </sheetView>
  </sheetViews>
  <sheetFormatPr baseColWidth="10" defaultColWidth="8.796875" defaultRowHeight="13.8"/>
  <cols>
    <col min="1" max="1" width="26" customWidth="1"/>
    <col min="2" max="4" width="17" customWidth="1"/>
    <col min="5" max="5" width="3" customWidth="1"/>
    <col min="6" max="14" width="12" customWidth="1"/>
  </cols>
  <sheetData>
    <row r="1" spans="1:14" ht="30" customHeight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9.95" customHeight="1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4" spans="1:14" ht="14.4">
      <c r="A4" s="54" t="s">
        <v>2</v>
      </c>
      <c r="B4" s="55"/>
      <c r="C4" s="56"/>
      <c r="D4" s="63" t="s">
        <v>3</v>
      </c>
      <c r="E4" s="64"/>
      <c r="F4" s="65"/>
      <c r="G4" s="72" t="s">
        <v>4</v>
      </c>
      <c r="H4" s="73"/>
      <c r="I4" s="74"/>
      <c r="J4" s="81" t="s">
        <v>5</v>
      </c>
      <c r="K4" s="82"/>
      <c r="L4" s="83"/>
      <c r="M4" s="90" t="s">
        <v>6</v>
      </c>
      <c r="N4" s="91"/>
    </row>
    <row r="5" spans="1:14">
      <c r="A5" s="57">
        <f>'Ausentismo 1S'!$M$12</f>
        <v>4.716298248766948E-2</v>
      </c>
      <c r="B5" s="58"/>
      <c r="C5" s="59"/>
      <c r="D5" s="66">
        <f>'Ausentismo 1S'!$N$12</f>
        <v>2.1406178238383353E-2</v>
      </c>
      <c r="E5" s="67"/>
      <c r="F5" s="68"/>
      <c r="G5" s="75">
        <f>'Ausentismo 1S'!$O$12</f>
        <v>1.0021665768086423E-2</v>
      </c>
      <c r="H5" s="76"/>
      <c r="I5" s="77"/>
      <c r="J5" s="84">
        <f>'KPI preventivos'!$D$12</f>
        <v>0.46296296296296297</v>
      </c>
      <c r="K5" s="85"/>
      <c r="L5" s="86"/>
      <c r="M5" s="92"/>
      <c r="N5" s="93"/>
    </row>
    <row r="6" spans="1:14">
      <c r="A6" s="57"/>
      <c r="B6" s="58"/>
      <c r="C6" s="59"/>
      <c r="D6" s="66"/>
      <c r="E6" s="67"/>
      <c r="F6" s="68"/>
      <c r="G6" s="75"/>
      <c r="H6" s="76"/>
      <c r="I6" s="77"/>
      <c r="J6" s="84"/>
      <c r="K6" s="85"/>
      <c r="L6" s="86"/>
      <c r="M6" s="92"/>
      <c r="N6" s="93"/>
    </row>
    <row r="7" spans="1:14">
      <c r="A7" s="60"/>
      <c r="B7" s="61"/>
      <c r="C7" s="62"/>
      <c r="D7" s="69"/>
      <c r="E7" s="70"/>
      <c r="F7" s="71"/>
      <c r="G7" s="78"/>
      <c r="H7" s="79"/>
      <c r="I7" s="80"/>
      <c r="J7" s="87"/>
      <c r="K7" s="88"/>
      <c r="L7" s="89"/>
      <c r="M7" s="94"/>
      <c r="N7" s="95"/>
    </row>
    <row r="9" spans="1:14" ht="14.4">
      <c r="A9" s="96" t="s">
        <v>7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</row>
    <row r="10" spans="1:14" ht="14.4">
      <c r="A10" s="97" t="s">
        <v>8</v>
      </c>
      <c r="B10" s="98"/>
      <c r="C10" s="99"/>
      <c r="D10" s="106" t="s">
        <v>9</v>
      </c>
      <c r="E10" s="107"/>
      <c r="F10" s="108"/>
      <c r="G10" s="115" t="s">
        <v>10</v>
      </c>
      <c r="H10" s="116"/>
      <c r="I10" s="117"/>
      <c r="J10" s="124" t="s">
        <v>11</v>
      </c>
      <c r="K10" s="125"/>
      <c r="L10" s="126"/>
      <c r="M10" s="133" t="s">
        <v>12</v>
      </c>
      <c r="N10" s="134"/>
    </row>
    <row r="11" spans="1:14">
      <c r="A11" s="100">
        <f>'KPI preventivos'!$F$5</f>
        <v>0.94444444444444442</v>
      </c>
      <c r="B11" s="101"/>
      <c r="C11" s="102"/>
      <c r="D11" s="109">
        <f>'KPI preventivos'!$F$6</f>
        <v>0.75</v>
      </c>
      <c r="E11" s="110"/>
      <c r="F11" s="111"/>
      <c r="G11" s="118">
        <f>'KPI preventivos'!$F$7</f>
        <v>0.8571428571428571</v>
      </c>
      <c r="H11" s="119"/>
      <c r="I11" s="120"/>
      <c r="J11" s="127">
        <f>'KPI preventivos'!$F$8</f>
        <v>0.91489361702127658</v>
      </c>
      <c r="K11" s="128"/>
      <c r="L11" s="129"/>
      <c r="M11" s="135"/>
      <c r="N11" s="136"/>
    </row>
    <row r="12" spans="1:14">
      <c r="A12" s="100"/>
      <c r="B12" s="101"/>
      <c r="C12" s="102"/>
      <c r="D12" s="109"/>
      <c r="E12" s="110"/>
      <c r="F12" s="111"/>
      <c r="G12" s="118"/>
      <c r="H12" s="119"/>
      <c r="I12" s="120"/>
      <c r="J12" s="127"/>
      <c r="K12" s="128"/>
      <c r="L12" s="129"/>
      <c r="M12" s="135"/>
      <c r="N12" s="136"/>
    </row>
    <row r="13" spans="1:14">
      <c r="A13" s="103"/>
      <c r="B13" s="104"/>
      <c r="C13" s="105"/>
      <c r="D13" s="112"/>
      <c r="E13" s="113"/>
      <c r="F13" s="114"/>
      <c r="G13" s="121"/>
      <c r="H13" s="122"/>
      <c r="I13" s="123"/>
      <c r="J13" s="130"/>
      <c r="K13" s="131"/>
      <c r="L13" s="132"/>
      <c r="M13" s="137"/>
      <c r="N13" s="138"/>
    </row>
    <row r="16" spans="1:14" ht="28.05" customHeight="1">
      <c r="A16" s="1" t="s">
        <v>13</v>
      </c>
      <c r="B16" s="1" t="s">
        <v>14</v>
      </c>
      <c r="C16" s="1" t="s">
        <v>3</v>
      </c>
      <c r="D16" s="1" t="s">
        <v>4</v>
      </c>
    </row>
    <row r="17" spans="1:4">
      <c r="A17" s="23" t="s">
        <v>15</v>
      </c>
      <c r="B17" s="24">
        <f>'Ausentismo 1S'!M5</f>
        <v>4.3604326976692316E-2</v>
      </c>
      <c r="C17" s="24">
        <f>'Ausentismo 1S'!N5</f>
        <v>2.0965763354522136E-2</v>
      </c>
      <c r="D17" s="24">
        <f>'Ausentismo 1S'!O5</f>
        <v>1.2824802051968329E-2</v>
      </c>
    </row>
    <row r="18" spans="1:4">
      <c r="A18" s="23" t="s">
        <v>16</v>
      </c>
      <c r="B18" s="24">
        <f>'Ausentismo 1S'!M6</f>
        <v>4.3488967691095351E-2</v>
      </c>
      <c r="C18" s="24">
        <f>'Ausentismo 1S'!N6</f>
        <v>1.9963225636984501E-2</v>
      </c>
      <c r="D18" s="24">
        <f>'Ausentismo 1S'!O6</f>
        <v>1.260835303388495E-2</v>
      </c>
    </row>
    <row r="19" spans="1:4">
      <c r="A19" s="23" t="s">
        <v>17</v>
      </c>
      <c r="B19" s="24">
        <f>'Ausentismo 1S'!M7</f>
        <v>4.4376491646778045E-2</v>
      </c>
      <c r="C19" s="24">
        <f>'Ausentismo 1S'!N7</f>
        <v>1.4558472553699284E-2</v>
      </c>
      <c r="D19" s="24">
        <f>'Ausentismo 1S'!O7</f>
        <v>1.3126491646778043E-2</v>
      </c>
    </row>
    <row r="20" spans="1:4">
      <c r="A20" s="23" t="s">
        <v>18</v>
      </c>
      <c r="B20" s="24">
        <f>'Ausentismo 1S'!M8</f>
        <v>4.2030502392344495E-2</v>
      </c>
      <c r="C20" s="24">
        <f>'Ausentismo 1S'!N8</f>
        <v>1.686602870813397E-2</v>
      </c>
      <c r="D20" s="24">
        <f>'Ausentismo 1S'!O8</f>
        <v>5.1435406698564596E-3</v>
      </c>
    </row>
    <row r="21" spans="1:4">
      <c r="A21" s="23" t="s">
        <v>19</v>
      </c>
      <c r="B21" s="24">
        <f>'Ausentismo 1S'!M9</f>
        <v>5.1378446115288218E-2</v>
      </c>
      <c r="C21" s="24">
        <f>'Ausentismo 1S'!N9</f>
        <v>2.6190476190476191E-2</v>
      </c>
      <c r="D21" s="24">
        <f>'Ausentismo 1S'!O9</f>
        <v>6.4066416040100254E-3</v>
      </c>
    </row>
    <row r="22" spans="1:4">
      <c r="A22" s="23" t="s">
        <v>20</v>
      </c>
      <c r="B22" s="24">
        <f>'Ausentismo 1S'!M10</f>
        <v>5.7701070858965593E-2</v>
      </c>
      <c r="C22" s="24">
        <f>'Ausentismo 1S'!N10</f>
        <v>2.961950330371383E-2</v>
      </c>
      <c r="D22" s="24">
        <f>'Ausentismo 1S'!O10</f>
        <v>9.8826611984506717E-3</v>
      </c>
    </row>
    <row r="25" spans="1:4" ht="28.05" customHeight="1">
      <c r="A25" s="1" t="s">
        <v>21</v>
      </c>
      <c r="B25" s="1" t="s">
        <v>22</v>
      </c>
      <c r="C25" s="1" t="s">
        <v>23</v>
      </c>
      <c r="D25" s="1" t="s">
        <v>24</v>
      </c>
    </row>
    <row r="26" spans="1:4" ht="28.95" customHeight="1">
      <c r="A26" s="50" t="s">
        <v>25</v>
      </c>
      <c r="B26" s="50">
        <f>'Ranking BP'!B5</f>
        <v>11</v>
      </c>
      <c r="C26" s="51">
        <f>'Ranking BP'!C5</f>
        <v>0.3235294117647059</v>
      </c>
      <c r="D26" s="50">
        <v>1</v>
      </c>
    </row>
    <row r="27" spans="1:4" ht="28.95" customHeight="1">
      <c r="A27" s="50" t="s">
        <v>26</v>
      </c>
      <c r="B27" s="50">
        <f>'Ranking BP'!B6</f>
        <v>9</v>
      </c>
      <c r="C27" s="51">
        <f>'Ranking BP'!C6</f>
        <v>0.26470588235294118</v>
      </c>
      <c r="D27" s="50">
        <v>2</v>
      </c>
    </row>
    <row r="28" spans="1:4" ht="28.95" customHeight="1">
      <c r="A28" s="50" t="s">
        <v>27</v>
      </c>
      <c r="B28" s="50">
        <f>'Ranking BP'!B7</f>
        <v>4</v>
      </c>
      <c r="C28" s="51">
        <f>'Ranking BP'!C7</f>
        <v>0.11764705882352941</v>
      </c>
      <c r="D28" s="50">
        <v>3</v>
      </c>
    </row>
    <row r="29" spans="1:4" ht="28.95" customHeight="1">
      <c r="A29" s="50" t="s">
        <v>28</v>
      </c>
      <c r="B29" s="50">
        <f>'Ranking BP'!B8</f>
        <v>3</v>
      </c>
      <c r="C29" s="51">
        <f>'Ranking BP'!C8</f>
        <v>8.8235294117647065E-2</v>
      </c>
      <c r="D29" s="50">
        <v>4</v>
      </c>
    </row>
    <row r="30" spans="1:4" ht="28.95" customHeight="1">
      <c r="A30" s="50" t="s">
        <v>29</v>
      </c>
      <c r="B30" s="50">
        <f>'Ranking BP'!B9</f>
        <v>3</v>
      </c>
      <c r="C30" s="51">
        <f>'Ranking BP'!C9</f>
        <v>8.8235294117647065E-2</v>
      </c>
      <c r="D30" s="50">
        <v>5</v>
      </c>
    </row>
    <row r="33" spans="1:14" ht="14.4">
      <c r="A33" s="139" t="s">
        <v>30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</row>
    <row r="34" spans="1:14">
      <c r="A34" s="140" t="s">
        <v>31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2"/>
    </row>
    <row r="35" spans="1:14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5"/>
    </row>
    <row r="36" spans="1:14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8"/>
    </row>
  </sheetData>
  <mergeCells count="23">
    <mergeCell ref="A33:N33"/>
    <mergeCell ref="A34:N36"/>
    <mergeCell ref="A9:N9"/>
    <mergeCell ref="A10:C10"/>
    <mergeCell ref="A11:C13"/>
    <mergeCell ref="D10:F10"/>
    <mergeCell ref="D11:F13"/>
    <mergeCell ref="G10:I10"/>
    <mergeCell ref="G11:I13"/>
    <mergeCell ref="J10:L10"/>
    <mergeCell ref="J11:L13"/>
    <mergeCell ref="M10:N13"/>
    <mergeCell ref="A1:N1"/>
    <mergeCell ref="A2:N2"/>
    <mergeCell ref="A4:C4"/>
    <mergeCell ref="A5:C7"/>
    <mergeCell ref="D4:F4"/>
    <mergeCell ref="D5:F7"/>
    <mergeCell ref="G4:I4"/>
    <mergeCell ref="G5:I7"/>
    <mergeCell ref="J4:L4"/>
    <mergeCell ref="J5:L7"/>
    <mergeCell ref="M4:N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showGridLines="0" topLeftCell="A12" workbookViewId="0">
      <selection activeCell="C40" sqref="C40"/>
    </sheetView>
  </sheetViews>
  <sheetFormatPr baseColWidth="10" defaultColWidth="8.796875" defaultRowHeight="13.8"/>
  <cols>
    <col min="1" max="1" width="18" customWidth="1"/>
    <col min="2" max="2" width="13" customWidth="1"/>
    <col min="3" max="12" width="14" customWidth="1"/>
    <col min="13" max="17" width="13" customWidth="1"/>
    <col min="18" max="18" width="11" customWidth="1"/>
  </cols>
  <sheetData>
    <row r="1" spans="1:18" ht="30" customHeight="1">
      <c r="A1" s="52" t="s">
        <v>32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ht="19.95" customHeight="1">
      <c r="A2" s="53" t="s">
        <v>33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4" spans="1:18" ht="28.05" customHeight="1">
      <c r="A4" s="1" t="s">
        <v>34</v>
      </c>
      <c r="B4" s="1" t="s">
        <v>13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</row>
    <row r="5" spans="1:18" ht="14.4">
      <c r="A5" s="2" t="s">
        <v>51</v>
      </c>
      <c r="B5" s="2" t="s">
        <v>15</v>
      </c>
      <c r="C5" s="10">
        <v>71736</v>
      </c>
      <c r="D5" s="10">
        <v>2208</v>
      </c>
      <c r="E5" s="10">
        <v>920</v>
      </c>
      <c r="F5" s="10">
        <v>12</v>
      </c>
      <c r="G5" s="10">
        <v>4</v>
      </c>
      <c r="H5" s="10">
        <v>12</v>
      </c>
      <c r="I5" s="10">
        <v>188</v>
      </c>
      <c r="J5" s="11">
        <f t="shared" ref="J5:J10" si="0">I5*8</f>
        <v>1504</v>
      </c>
      <c r="K5" s="11">
        <f t="shared" ref="K5:K10" si="1">D5+E5</f>
        <v>3128</v>
      </c>
      <c r="L5" s="11">
        <f t="shared" ref="L5:L10" si="2">D5-J5</f>
        <v>704</v>
      </c>
      <c r="M5" s="18">
        <f t="shared" ref="M5:M10" si="3">IF(C5=0,"",K5/C5)</f>
        <v>4.3604326976692316E-2</v>
      </c>
      <c r="N5" s="18">
        <f t="shared" ref="N5:N10" si="4">IF(C5=0,"",J5/C5)</f>
        <v>2.0965763354522136E-2</v>
      </c>
      <c r="O5" s="18">
        <f t="shared" ref="O5:O10" si="5">IF(C5=0,"",E5/C5)</f>
        <v>1.2824802051968329E-2</v>
      </c>
      <c r="P5" s="18">
        <f t="shared" ref="P5:P10" si="6">IF(K5=0,"",J5/K5)</f>
        <v>0.48081841432225064</v>
      </c>
      <c r="Q5" s="18">
        <f t="shared" ref="Q5:Q10" si="7">IF(K5=0,"",E5/K5)</f>
        <v>0.29411764705882354</v>
      </c>
      <c r="R5" s="3" t="str">
        <f t="shared" ref="R5:R10" si="8">IF(AND(J5&lt;=D5,E5&lt;=K5),"OK","REVISAR")</f>
        <v>OK</v>
      </c>
    </row>
    <row r="6" spans="1:18" ht="14.4">
      <c r="A6" s="4" t="s">
        <v>52</v>
      </c>
      <c r="B6" s="4" t="s">
        <v>16</v>
      </c>
      <c r="C6" s="12">
        <v>60912</v>
      </c>
      <c r="D6" s="12">
        <v>1881</v>
      </c>
      <c r="E6" s="12">
        <v>768</v>
      </c>
      <c r="F6" s="12">
        <v>12</v>
      </c>
      <c r="G6" s="12">
        <v>3</v>
      </c>
      <c r="H6" s="12">
        <v>15</v>
      </c>
      <c r="I6" s="12">
        <v>152</v>
      </c>
      <c r="J6" s="13">
        <f t="shared" si="0"/>
        <v>1216</v>
      </c>
      <c r="K6" s="13">
        <f t="shared" si="1"/>
        <v>2649</v>
      </c>
      <c r="L6" s="13">
        <f t="shared" si="2"/>
        <v>665</v>
      </c>
      <c r="M6" s="19">
        <f t="shared" si="3"/>
        <v>4.3488967691095351E-2</v>
      </c>
      <c r="N6" s="19">
        <f t="shared" si="4"/>
        <v>1.9963225636984501E-2</v>
      </c>
      <c r="O6" s="19">
        <f t="shared" si="5"/>
        <v>1.260835303388495E-2</v>
      </c>
      <c r="P6" s="19">
        <f t="shared" si="6"/>
        <v>0.45904114760286902</v>
      </c>
      <c r="Q6" s="19">
        <f t="shared" si="7"/>
        <v>0.28992072480181202</v>
      </c>
      <c r="R6" s="5" t="str">
        <f t="shared" si="8"/>
        <v>OK</v>
      </c>
    </row>
    <row r="7" spans="1:18" ht="14.4">
      <c r="A7" s="4" t="s">
        <v>53</v>
      </c>
      <c r="B7" s="4" t="s">
        <v>17</v>
      </c>
      <c r="C7" s="12">
        <v>67040</v>
      </c>
      <c r="D7" s="12">
        <v>2095</v>
      </c>
      <c r="E7" s="12">
        <v>880</v>
      </c>
      <c r="F7" s="12">
        <v>11</v>
      </c>
      <c r="G7" s="12">
        <v>3</v>
      </c>
      <c r="H7" s="12">
        <v>18</v>
      </c>
      <c r="I7" s="12">
        <v>122</v>
      </c>
      <c r="J7" s="13">
        <f t="shared" si="0"/>
        <v>976</v>
      </c>
      <c r="K7" s="13">
        <f t="shared" si="1"/>
        <v>2975</v>
      </c>
      <c r="L7" s="13">
        <f t="shared" si="2"/>
        <v>1119</v>
      </c>
      <c r="M7" s="19">
        <f t="shared" si="3"/>
        <v>4.4376491646778045E-2</v>
      </c>
      <c r="N7" s="19">
        <f t="shared" si="4"/>
        <v>1.4558472553699284E-2</v>
      </c>
      <c r="O7" s="19">
        <f t="shared" si="5"/>
        <v>1.3126491646778043E-2</v>
      </c>
      <c r="P7" s="19">
        <f t="shared" si="6"/>
        <v>0.32806722689075629</v>
      </c>
      <c r="Q7" s="19">
        <f t="shared" si="7"/>
        <v>0.2957983193277311</v>
      </c>
      <c r="R7" s="5" t="str">
        <f t="shared" si="8"/>
        <v>OK</v>
      </c>
    </row>
    <row r="8" spans="1:18" ht="14.4">
      <c r="A8" s="4" t="s">
        <v>54</v>
      </c>
      <c r="B8" s="4" t="s">
        <v>18</v>
      </c>
      <c r="C8" s="12">
        <v>66880</v>
      </c>
      <c r="D8" s="12">
        <v>2467</v>
      </c>
      <c r="E8" s="12">
        <v>344</v>
      </c>
      <c r="F8" s="12">
        <v>11</v>
      </c>
      <c r="G8" s="12">
        <v>5</v>
      </c>
      <c r="H8" s="12">
        <v>23</v>
      </c>
      <c r="I8" s="12">
        <v>141</v>
      </c>
      <c r="J8" s="13">
        <f t="shared" si="0"/>
        <v>1128</v>
      </c>
      <c r="K8" s="13">
        <f t="shared" si="1"/>
        <v>2811</v>
      </c>
      <c r="L8" s="13">
        <f t="shared" si="2"/>
        <v>1339</v>
      </c>
      <c r="M8" s="19">
        <f t="shared" si="3"/>
        <v>4.2030502392344495E-2</v>
      </c>
      <c r="N8" s="19">
        <f t="shared" si="4"/>
        <v>1.686602870813397E-2</v>
      </c>
      <c r="O8" s="19">
        <f t="shared" si="5"/>
        <v>5.1435406698564596E-3</v>
      </c>
      <c r="P8" s="19">
        <f t="shared" si="6"/>
        <v>0.40128068303094983</v>
      </c>
      <c r="Q8" s="19">
        <f t="shared" si="7"/>
        <v>0.1223763785129847</v>
      </c>
      <c r="R8" s="5" t="str">
        <f t="shared" si="8"/>
        <v>OK</v>
      </c>
    </row>
    <row r="9" spans="1:18" ht="14.4">
      <c r="A9" s="4" t="s">
        <v>55</v>
      </c>
      <c r="B9" s="4" t="s">
        <v>19</v>
      </c>
      <c r="C9" s="12">
        <v>63840</v>
      </c>
      <c r="D9" s="12">
        <v>2871</v>
      </c>
      <c r="E9" s="12">
        <v>409</v>
      </c>
      <c r="F9" s="12">
        <v>16</v>
      </c>
      <c r="G9" s="12">
        <v>7</v>
      </c>
      <c r="H9" s="12">
        <v>30</v>
      </c>
      <c r="I9" s="12">
        <v>209</v>
      </c>
      <c r="J9" s="13">
        <f t="shared" si="0"/>
        <v>1672</v>
      </c>
      <c r="K9" s="13">
        <f t="shared" si="1"/>
        <v>3280</v>
      </c>
      <c r="L9" s="13">
        <f t="shared" si="2"/>
        <v>1199</v>
      </c>
      <c r="M9" s="19">
        <f t="shared" si="3"/>
        <v>5.1378446115288218E-2</v>
      </c>
      <c r="N9" s="19">
        <f t="shared" si="4"/>
        <v>2.6190476190476191E-2</v>
      </c>
      <c r="O9" s="19">
        <f t="shared" si="5"/>
        <v>6.4066416040100254E-3</v>
      </c>
      <c r="P9" s="19">
        <f t="shared" si="6"/>
        <v>0.50975609756097562</v>
      </c>
      <c r="Q9" s="19">
        <f t="shared" si="7"/>
        <v>0.12469512195121951</v>
      </c>
      <c r="R9" s="5" t="str">
        <f t="shared" si="8"/>
        <v>OK</v>
      </c>
    </row>
    <row r="10" spans="1:18" ht="14.4">
      <c r="A10" s="6" t="s">
        <v>56</v>
      </c>
      <c r="B10" s="6" t="s">
        <v>20</v>
      </c>
      <c r="C10" s="14">
        <v>70224</v>
      </c>
      <c r="D10" s="14">
        <v>3358</v>
      </c>
      <c r="E10" s="14">
        <v>694</v>
      </c>
      <c r="F10" s="14">
        <v>17</v>
      </c>
      <c r="G10" s="14">
        <v>4</v>
      </c>
      <c r="H10" s="14">
        <v>34</v>
      </c>
      <c r="I10" s="14">
        <v>260</v>
      </c>
      <c r="J10" s="15">
        <f t="shared" si="0"/>
        <v>2080</v>
      </c>
      <c r="K10" s="15">
        <f t="shared" si="1"/>
        <v>4052</v>
      </c>
      <c r="L10" s="15">
        <f t="shared" si="2"/>
        <v>1278</v>
      </c>
      <c r="M10" s="20">
        <f t="shared" si="3"/>
        <v>5.7701070858965593E-2</v>
      </c>
      <c r="N10" s="20">
        <f t="shared" si="4"/>
        <v>2.961950330371383E-2</v>
      </c>
      <c r="O10" s="20">
        <f t="shared" si="5"/>
        <v>9.8826611984506717E-3</v>
      </c>
      <c r="P10" s="20">
        <f t="shared" si="6"/>
        <v>0.51332675222112534</v>
      </c>
      <c r="Q10" s="20">
        <f t="shared" si="7"/>
        <v>0.17127344521224086</v>
      </c>
      <c r="R10" s="7" t="str">
        <f t="shared" si="8"/>
        <v>OK</v>
      </c>
    </row>
    <row r="11" spans="1:18"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1"/>
      <c r="N11" s="21"/>
      <c r="O11" s="21"/>
      <c r="P11" s="21"/>
      <c r="Q11" s="21"/>
    </row>
    <row r="12" spans="1:18" ht="14.4">
      <c r="A12" s="149" t="s">
        <v>57</v>
      </c>
      <c r="B12" s="150"/>
      <c r="C12" s="17">
        <f>SUM(C5:C10)</f>
        <v>400632</v>
      </c>
      <c r="D12" s="17">
        <f>SUM(D5:D10)</f>
        <v>14880</v>
      </c>
      <c r="E12" s="17">
        <f>SUM(E5:E10)</f>
        <v>4015</v>
      </c>
      <c r="F12" s="17" t="s">
        <v>58</v>
      </c>
      <c r="G12" s="17">
        <f>SUM(G5:G10)</f>
        <v>26</v>
      </c>
      <c r="H12" s="17">
        <v>34</v>
      </c>
      <c r="I12" s="17">
        <f>SUM(I5:I10)</f>
        <v>1072</v>
      </c>
      <c r="J12" s="17">
        <f>SUM(J5:J10)</f>
        <v>8576</v>
      </c>
      <c r="K12" s="17">
        <f>SUM(K5:K10)</f>
        <v>18895</v>
      </c>
      <c r="L12" s="17">
        <f>SUM(L5:L10)</f>
        <v>6304</v>
      </c>
      <c r="M12" s="22">
        <f>K12/C12</f>
        <v>4.716298248766948E-2</v>
      </c>
      <c r="N12" s="22">
        <f>J12/C12</f>
        <v>2.1406178238383353E-2</v>
      </c>
      <c r="O12" s="22">
        <f>E12/C12</f>
        <v>1.0021665768086423E-2</v>
      </c>
      <c r="P12" s="22">
        <f>J12/K12</f>
        <v>0.45387668695422068</v>
      </c>
      <c r="Q12" s="22">
        <f>E12/K12</f>
        <v>0.21249007673987827</v>
      </c>
      <c r="R12" s="9" t="str">
        <f>IF(COUNTIF(R5:R10,"REVISAR")=0,"OK","REVISAR")</f>
        <v>OK</v>
      </c>
    </row>
    <row r="15" spans="1:18" ht="28.05" customHeight="1">
      <c r="A15" s="1" t="s">
        <v>13</v>
      </c>
      <c r="B15" s="1" t="s">
        <v>14</v>
      </c>
      <c r="C15" s="1" t="s">
        <v>3</v>
      </c>
      <c r="D15" s="1" t="s">
        <v>4</v>
      </c>
    </row>
    <row r="16" spans="1:18">
      <c r="A16" s="23" t="s">
        <v>15</v>
      </c>
      <c r="B16" s="24">
        <f t="shared" ref="B16:D21" si="9">M5</f>
        <v>4.3604326976692316E-2</v>
      </c>
      <c r="C16" s="24">
        <f t="shared" si="9"/>
        <v>2.0965763354522136E-2</v>
      </c>
      <c r="D16" s="24">
        <f t="shared" si="9"/>
        <v>1.2824802051968329E-2</v>
      </c>
    </row>
    <row r="17" spans="1:4">
      <c r="A17" s="23" t="s">
        <v>16</v>
      </c>
      <c r="B17" s="24">
        <f t="shared" si="9"/>
        <v>4.3488967691095351E-2</v>
      </c>
      <c r="C17" s="24">
        <f t="shared" si="9"/>
        <v>1.9963225636984501E-2</v>
      </c>
      <c r="D17" s="24">
        <f t="shared" si="9"/>
        <v>1.260835303388495E-2</v>
      </c>
    </row>
    <row r="18" spans="1:4">
      <c r="A18" s="23" t="s">
        <v>17</v>
      </c>
      <c r="B18" s="24">
        <f t="shared" si="9"/>
        <v>4.4376491646778045E-2</v>
      </c>
      <c r="C18" s="24">
        <f t="shared" si="9"/>
        <v>1.4558472553699284E-2</v>
      </c>
      <c r="D18" s="24">
        <f t="shared" si="9"/>
        <v>1.3126491646778043E-2</v>
      </c>
    </row>
    <row r="19" spans="1:4">
      <c r="A19" s="23" t="s">
        <v>18</v>
      </c>
      <c r="B19" s="24">
        <f t="shared" si="9"/>
        <v>4.2030502392344495E-2</v>
      </c>
      <c r="C19" s="24">
        <f t="shared" si="9"/>
        <v>1.686602870813397E-2</v>
      </c>
      <c r="D19" s="24">
        <f t="shared" si="9"/>
        <v>5.1435406698564596E-3</v>
      </c>
    </row>
    <row r="20" spans="1:4">
      <c r="A20" s="23" t="s">
        <v>19</v>
      </c>
      <c r="B20" s="24">
        <f t="shared" si="9"/>
        <v>5.1378446115288218E-2</v>
      </c>
      <c r="C20" s="24">
        <f t="shared" si="9"/>
        <v>2.6190476190476191E-2</v>
      </c>
      <c r="D20" s="24">
        <f t="shared" si="9"/>
        <v>6.4066416040100254E-3</v>
      </c>
    </row>
    <row r="21" spans="1:4">
      <c r="A21" s="23" t="s">
        <v>20</v>
      </c>
      <c r="B21" s="24">
        <f t="shared" si="9"/>
        <v>5.7701070858965593E-2</v>
      </c>
      <c r="C21" s="24">
        <f t="shared" si="9"/>
        <v>2.961950330371383E-2</v>
      </c>
      <c r="D21" s="24">
        <f t="shared" si="9"/>
        <v>9.8826611984506717E-3</v>
      </c>
    </row>
    <row r="24" spans="1:4" ht="28.05" customHeight="1">
      <c r="A24" s="1" t="s">
        <v>59</v>
      </c>
      <c r="B24" s="1" t="s">
        <v>60</v>
      </c>
      <c r="C24" s="1" t="s">
        <v>61</v>
      </c>
      <c r="D24" s="1" t="s">
        <v>62</v>
      </c>
    </row>
    <row r="25" spans="1:4">
      <c r="A25" s="23" t="s">
        <v>3</v>
      </c>
      <c r="B25" s="25">
        <f>J12</f>
        <v>8576</v>
      </c>
      <c r="C25" s="24">
        <f>B25/$K$12</f>
        <v>0.45387668695422068</v>
      </c>
      <c r="D25" s="23" t="s">
        <v>63</v>
      </c>
    </row>
    <row r="26" spans="1:4">
      <c r="A26" s="23" t="s">
        <v>4</v>
      </c>
      <c r="B26" s="25">
        <f>E12</f>
        <v>4015</v>
      </c>
      <c r="C26" s="24">
        <f>B26/$K$12</f>
        <v>0.21249007673987827</v>
      </c>
      <c r="D26" s="23" t="s">
        <v>64</v>
      </c>
    </row>
    <row r="27" spans="1:4">
      <c r="A27" s="23" t="s">
        <v>44</v>
      </c>
      <c r="B27" s="25">
        <f>L12</f>
        <v>6304</v>
      </c>
      <c r="C27" s="24">
        <f>B27/$K$12</f>
        <v>0.33363323630590103</v>
      </c>
      <c r="D27" s="23" t="s">
        <v>65</v>
      </c>
    </row>
  </sheetData>
  <mergeCells count="3">
    <mergeCell ref="A1:R1"/>
    <mergeCell ref="A2:R2"/>
    <mergeCell ref="A12:B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>
      <selection activeCell="A25" sqref="A25"/>
    </sheetView>
  </sheetViews>
  <sheetFormatPr baseColWidth="10" defaultColWidth="8.796875" defaultRowHeight="13.8"/>
  <cols>
    <col min="1" max="1" width="27" customWidth="1"/>
    <col min="2" max="5" width="17" customWidth="1"/>
    <col min="6" max="6" width="21" customWidth="1"/>
    <col min="7" max="10" width="13" customWidth="1"/>
  </cols>
  <sheetData>
    <row r="1" spans="1:10" ht="30" customHeight="1">
      <c r="A1" s="52" t="s">
        <v>66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9.95" customHeight="1">
      <c r="A2" s="53" t="s">
        <v>67</v>
      </c>
      <c r="B2" s="53"/>
      <c r="C2" s="53"/>
      <c r="D2" s="53"/>
      <c r="E2" s="53"/>
      <c r="F2" s="53"/>
      <c r="G2" s="53"/>
      <c r="H2" s="53"/>
      <c r="I2" s="53"/>
      <c r="J2" s="53"/>
    </row>
    <row r="4" spans="1:10" ht="28.05" customHeight="1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</row>
    <row r="5" spans="1:10" ht="14.4">
      <c r="A5" s="26" t="s">
        <v>74</v>
      </c>
      <c r="B5" s="29">
        <v>36</v>
      </c>
      <c r="C5" s="29">
        <v>34</v>
      </c>
      <c r="D5" s="29">
        <v>1</v>
      </c>
      <c r="E5" s="29">
        <v>1</v>
      </c>
      <c r="F5" s="33">
        <f>IF(B5=0,"",C5/B5)</f>
        <v>0.94444444444444442</v>
      </c>
    </row>
    <row r="6" spans="1:10" ht="14.4">
      <c r="A6" s="27" t="s">
        <v>9</v>
      </c>
      <c r="B6" s="30">
        <v>4</v>
      </c>
      <c r="C6" s="30">
        <v>3</v>
      </c>
      <c r="D6" s="30">
        <v>0</v>
      </c>
      <c r="E6" s="30">
        <v>1</v>
      </c>
      <c r="F6" s="34">
        <f>IF(B6=0,"",C6/B6)</f>
        <v>0.75</v>
      </c>
    </row>
    <row r="7" spans="1:10" ht="14.4">
      <c r="A7" s="28" t="s">
        <v>75</v>
      </c>
      <c r="B7" s="31">
        <v>7</v>
      </c>
      <c r="C7" s="31">
        <v>6</v>
      </c>
      <c r="D7" s="31">
        <v>0</v>
      </c>
      <c r="E7" s="31">
        <v>1</v>
      </c>
      <c r="F7" s="35">
        <f>IF(B7=0,"",C7/B7)</f>
        <v>0.8571428571428571</v>
      </c>
    </row>
    <row r="8" spans="1:10" ht="14.4">
      <c r="A8" s="8" t="s">
        <v>76</v>
      </c>
      <c r="B8" s="32">
        <f>SUM(B5:B7)</f>
        <v>47</v>
      </c>
      <c r="C8" s="32">
        <f>SUM(C5:C7)</f>
        <v>43</v>
      </c>
      <c r="D8" s="32">
        <f>SUM(D5:D7)</f>
        <v>1</v>
      </c>
      <c r="E8" s="32">
        <f>SUM(E5:E7)</f>
        <v>3</v>
      </c>
      <c r="F8" s="36">
        <f>C8/B8</f>
        <v>0.91489361702127658</v>
      </c>
    </row>
    <row r="11" spans="1:10" ht="28.05" customHeight="1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81</v>
      </c>
    </row>
    <row r="12" spans="1:10" ht="14.4">
      <c r="A12" s="37" t="s">
        <v>82</v>
      </c>
      <c r="B12" s="37">
        <v>200</v>
      </c>
      <c r="C12" s="37">
        <v>432</v>
      </c>
      <c r="D12" s="38">
        <f>B12/C12</f>
        <v>0.46296296296296297</v>
      </c>
      <c r="E12" s="39" t="s">
        <v>83</v>
      </c>
    </row>
    <row r="13" spans="1:10" ht="14.4">
      <c r="A13" s="37" t="s">
        <v>84</v>
      </c>
      <c r="B13" s="37">
        <v>193</v>
      </c>
      <c r="C13" s="37">
        <v>432</v>
      </c>
      <c r="D13" s="38">
        <f>B13/C13</f>
        <v>0.44675925925925924</v>
      </c>
      <c r="E13" s="39" t="s">
        <v>85</v>
      </c>
    </row>
    <row r="16" spans="1:10" ht="28.05" customHeight="1">
      <c r="A16" s="1" t="s">
        <v>86</v>
      </c>
      <c r="B16" s="1" t="s">
        <v>87</v>
      </c>
      <c r="C16" s="1" t="s">
        <v>88</v>
      </c>
      <c r="D16" s="1" t="s">
        <v>89</v>
      </c>
    </row>
    <row r="17" spans="1:6" ht="14.4">
      <c r="A17" s="26" t="s">
        <v>90</v>
      </c>
      <c r="B17" s="26">
        <v>3</v>
      </c>
      <c r="C17" s="26" t="s">
        <v>91</v>
      </c>
      <c r="D17" s="26" t="s">
        <v>92</v>
      </c>
    </row>
    <row r="18" spans="1:6" ht="14.4">
      <c r="A18" s="27" t="s">
        <v>93</v>
      </c>
      <c r="B18" s="27">
        <v>1</v>
      </c>
      <c r="C18" s="27" t="s">
        <v>94</v>
      </c>
      <c r="D18" s="27" t="s">
        <v>95</v>
      </c>
    </row>
    <row r="19" spans="1:6" ht="14.4">
      <c r="A19" s="27" t="s">
        <v>96</v>
      </c>
      <c r="B19" s="27">
        <v>2</v>
      </c>
      <c r="C19" s="27" t="s">
        <v>97</v>
      </c>
      <c r="D19" s="27" t="s">
        <v>98</v>
      </c>
    </row>
    <row r="20" spans="1:6" ht="14.4">
      <c r="A20" s="28" t="s">
        <v>99</v>
      </c>
      <c r="B20" s="28">
        <v>1</v>
      </c>
      <c r="C20" s="28" t="s">
        <v>100</v>
      </c>
      <c r="D20" s="28" t="s">
        <v>101</v>
      </c>
    </row>
    <row r="23" spans="1:6" ht="14.4">
      <c r="A23" s="151" t="s">
        <v>102</v>
      </c>
      <c r="B23" s="151"/>
      <c r="C23" s="151"/>
      <c r="D23" s="151"/>
      <c r="E23" s="151"/>
      <c r="F23" s="151"/>
    </row>
  </sheetData>
  <mergeCells count="3">
    <mergeCell ref="A1:J1"/>
    <mergeCell ref="A2:J2"/>
    <mergeCell ref="A23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workbookViewId="0">
      <selection sqref="A1:J1"/>
    </sheetView>
  </sheetViews>
  <sheetFormatPr baseColWidth="10" defaultColWidth="8.796875" defaultRowHeight="13.8"/>
  <cols>
    <col min="1" max="1" width="41" customWidth="1"/>
    <col min="2" max="3" width="17" customWidth="1"/>
  </cols>
  <sheetData>
    <row r="1" spans="1:10" ht="30" customHeight="1">
      <c r="A1" s="52" t="s">
        <v>103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9.95" customHeight="1">
      <c r="A2" s="53" t="s">
        <v>104</v>
      </c>
      <c r="B2" s="53"/>
      <c r="C2" s="53"/>
      <c r="D2" s="53"/>
      <c r="E2" s="53"/>
      <c r="F2" s="53"/>
      <c r="G2" s="53"/>
      <c r="H2" s="53"/>
      <c r="I2" s="53"/>
      <c r="J2" s="53"/>
    </row>
    <row r="4" spans="1:10" ht="28.05" customHeight="1">
      <c r="A4" s="1" t="s">
        <v>105</v>
      </c>
      <c r="B4" s="1" t="s">
        <v>22</v>
      </c>
      <c r="C4" s="1" t="s">
        <v>106</v>
      </c>
      <c r="D4" s="40" t="s">
        <v>107</v>
      </c>
      <c r="E4" s="40" t="s">
        <v>22</v>
      </c>
    </row>
    <row r="5" spans="1:10" ht="14.4">
      <c r="A5" s="26" t="s">
        <v>25</v>
      </c>
      <c r="B5" s="29">
        <v>11</v>
      </c>
      <c r="C5" s="33">
        <f t="shared" ref="C5:C12" si="0">IF($B$13=0,"",B5/$B$13)</f>
        <v>0.3235294117647059</v>
      </c>
      <c r="D5" s="40" t="s">
        <v>108</v>
      </c>
      <c r="E5" s="40">
        <f t="shared" ref="E5:E12" si="1">B5</f>
        <v>11</v>
      </c>
    </row>
    <row r="6" spans="1:10" ht="14.4">
      <c r="A6" s="27" t="s">
        <v>26</v>
      </c>
      <c r="B6" s="30">
        <v>9</v>
      </c>
      <c r="C6" s="34">
        <f t="shared" si="0"/>
        <v>0.26470588235294118</v>
      </c>
      <c r="D6" s="40" t="s">
        <v>26</v>
      </c>
      <c r="E6" s="40">
        <f t="shared" si="1"/>
        <v>9</v>
      </c>
    </row>
    <row r="7" spans="1:10" ht="14.4">
      <c r="A7" s="27" t="s">
        <v>27</v>
      </c>
      <c r="B7" s="30">
        <v>4</v>
      </c>
      <c r="C7" s="34">
        <f t="shared" si="0"/>
        <v>0.11764705882352941</v>
      </c>
      <c r="D7" s="40" t="s">
        <v>109</v>
      </c>
      <c r="E7" s="40">
        <f t="shared" si="1"/>
        <v>4</v>
      </c>
    </row>
    <row r="8" spans="1:10" ht="14.4">
      <c r="A8" s="27" t="s">
        <v>28</v>
      </c>
      <c r="B8" s="30">
        <v>3</v>
      </c>
      <c r="C8" s="34">
        <f t="shared" si="0"/>
        <v>8.8235294117647065E-2</v>
      </c>
      <c r="D8" s="40" t="s">
        <v>28</v>
      </c>
      <c r="E8" s="40">
        <f t="shared" si="1"/>
        <v>3</v>
      </c>
    </row>
    <row r="9" spans="1:10" ht="14.4">
      <c r="A9" s="27" t="s">
        <v>29</v>
      </c>
      <c r="B9" s="30">
        <v>3</v>
      </c>
      <c r="C9" s="34">
        <f t="shared" si="0"/>
        <v>8.8235294117647065E-2</v>
      </c>
      <c r="D9" s="40" t="s">
        <v>110</v>
      </c>
      <c r="E9" s="40">
        <f t="shared" si="1"/>
        <v>3</v>
      </c>
    </row>
    <row r="10" spans="1:10" ht="14.4">
      <c r="A10" s="27" t="s">
        <v>111</v>
      </c>
      <c r="B10" s="30">
        <v>2</v>
      </c>
      <c r="C10" s="34">
        <f t="shared" si="0"/>
        <v>5.8823529411764705E-2</v>
      </c>
      <c r="D10" s="40" t="s">
        <v>111</v>
      </c>
      <c r="E10" s="40">
        <f t="shared" si="1"/>
        <v>2</v>
      </c>
    </row>
    <row r="11" spans="1:10" ht="14.4">
      <c r="A11" s="27" t="s">
        <v>112</v>
      </c>
      <c r="B11" s="30">
        <v>2</v>
      </c>
      <c r="C11" s="34">
        <f t="shared" si="0"/>
        <v>5.8823529411764705E-2</v>
      </c>
      <c r="D11" s="40" t="s">
        <v>112</v>
      </c>
      <c r="E11" s="40">
        <f t="shared" si="1"/>
        <v>2</v>
      </c>
    </row>
    <row r="12" spans="1:10" ht="14.4">
      <c r="A12" s="28" t="s">
        <v>113</v>
      </c>
      <c r="B12" s="31">
        <v>0</v>
      </c>
      <c r="C12" s="35">
        <f t="shared" si="0"/>
        <v>0</v>
      </c>
      <c r="D12" s="40" t="s">
        <v>113</v>
      </c>
      <c r="E12" s="40">
        <f t="shared" si="1"/>
        <v>0</v>
      </c>
    </row>
    <row r="13" spans="1:10" ht="14.4">
      <c r="A13" s="8" t="s">
        <v>69</v>
      </c>
      <c r="B13" s="32">
        <f>SUM(B5:B12)</f>
        <v>34</v>
      </c>
      <c r="C13" s="36">
        <f>SUM(C5:C12)</f>
        <v>1</v>
      </c>
    </row>
    <row r="16" spans="1:10" ht="14.4">
      <c r="A16" s="152" t="s">
        <v>114</v>
      </c>
      <c r="B16" s="152"/>
      <c r="C16" s="152"/>
    </row>
    <row r="17" spans="1:3">
      <c r="A17" s="153" t="s">
        <v>115</v>
      </c>
      <c r="B17" s="153"/>
      <c r="C17" s="153"/>
    </row>
    <row r="18" spans="1:3">
      <c r="A18" s="153"/>
      <c r="B18" s="153"/>
      <c r="C18" s="153"/>
    </row>
    <row r="19" spans="1:3">
      <c r="A19" s="153"/>
      <c r="B19" s="153"/>
      <c r="C19" s="153"/>
    </row>
    <row r="22" spans="1:3" ht="14.4">
      <c r="A22" s="139" t="s">
        <v>116</v>
      </c>
      <c r="B22" s="139"/>
      <c r="C22" s="139"/>
    </row>
    <row r="23" spans="1:3">
      <c r="A23" s="154" t="s">
        <v>117</v>
      </c>
      <c r="B23" s="154"/>
      <c r="C23" s="154"/>
    </row>
    <row r="24" spans="1:3">
      <c r="A24" s="154"/>
      <c r="B24" s="154"/>
      <c r="C24" s="154"/>
    </row>
    <row r="25" spans="1:3">
      <c r="A25" s="154"/>
      <c r="B25" s="154"/>
      <c r="C25" s="154"/>
    </row>
  </sheetData>
  <mergeCells count="6">
    <mergeCell ref="A23:C25"/>
    <mergeCell ref="A1:J1"/>
    <mergeCell ref="A2:J2"/>
    <mergeCell ref="A16:C16"/>
    <mergeCell ref="A17:C19"/>
    <mergeCell ref="A22:C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showGridLines="0" workbookViewId="0">
      <selection sqref="A1:F1"/>
    </sheetView>
  </sheetViews>
  <sheetFormatPr baseColWidth="10" defaultColWidth="8.796875" defaultRowHeight="13.8"/>
  <cols>
    <col min="1" max="1" width="8" customWidth="1"/>
    <col min="2" max="3" width="13" customWidth="1"/>
    <col min="4" max="4" width="58" customWidth="1"/>
    <col min="5" max="5" width="39" customWidth="1"/>
    <col min="6" max="6" width="15" customWidth="1"/>
  </cols>
  <sheetData>
    <row r="1" spans="1:6" ht="30" customHeight="1">
      <c r="A1" s="52" t="s">
        <v>118</v>
      </c>
      <c r="B1" s="52"/>
      <c r="C1" s="52"/>
      <c r="D1" s="52"/>
      <c r="E1" s="52"/>
      <c r="F1" s="52"/>
    </row>
    <row r="2" spans="1:6" ht="19.95" customHeight="1">
      <c r="A2" s="53" t="s">
        <v>119</v>
      </c>
      <c r="B2" s="53"/>
      <c r="C2" s="53"/>
      <c r="D2" s="53"/>
      <c r="E2" s="53"/>
      <c r="F2" s="53"/>
    </row>
    <row r="4" spans="1:6" ht="28.05" customHeight="1">
      <c r="A4" s="1" t="s">
        <v>120</v>
      </c>
      <c r="B4" s="1" t="s">
        <v>121</v>
      </c>
      <c r="C4" s="1" t="s">
        <v>122</v>
      </c>
      <c r="D4" s="1" t="s">
        <v>123</v>
      </c>
      <c r="E4" s="1" t="s">
        <v>124</v>
      </c>
      <c r="F4" s="1" t="s">
        <v>125</v>
      </c>
    </row>
    <row r="5" spans="1:6">
      <c r="A5" s="41">
        <v>1</v>
      </c>
      <c r="B5" s="44">
        <v>45929</v>
      </c>
      <c r="C5" s="44">
        <v>46041</v>
      </c>
      <c r="D5" s="47" t="s">
        <v>126</v>
      </c>
      <c r="E5" s="47" t="s">
        <v>25</v>
      </c>
      <c r="F5" s="41">
        <v>1</v>
      </c>
    </row>
    <row r="6" spans="1:6">
      <c r="A6" s="42">
        <v>2</v>
      </c>
      <c r="B6" s="45">
        <v>45866</v>
      </c>
      <c r="C6" s="45">
        <v>46044</v>
      </c>
      <c r="D6" s="48" t="s">
        <v>127</v>
      </c>
      <c r="E6" s="48" t="s">
        <v>28</v>
      </c>
      <c r="F6" s="42">
        <v>1</v>
      </c>
    </row>
    <row r="7" spans="1:6">
      <c r="A7" s="42">
        <v>3</v>
      </c>
      <c r="B7" s="45">
        <v>45946</v>
      </c>
      <c r="C7" s="45">
        <v>46053</v>
      </c>
      <c r="D7" s="48" t="s">
        <v>128</v>
      </c>
      <c r="E7" s="48" t="s">
        <v>111</v>
      </c>
      <c r="F7" s="42">
        <v>1</v>
      </c>
    </row>
    <row r="8" spans="1:6">
      <c r="A8" s="42">
        <v>4</v>
      </c>
      <c r="B8" s="45">
        <v>45968</v>
      </c>
      <c r="C8" s="45">
        <v>46206</v>
      </c>
      <c r="D8" s="48" t="s">
        <v>129</v>
      </c>
      <c r="E8" s="48" t="s">
        <v>26</v>
      </c>
      <c r="F8" s="42">
        <v>2</v>
      </c>
    </row>
    <row r="9" spans="1:6">
      <c r="A9" s="42">
        <v>5</v>
      </c>
      <c r="B9" s="45">
        <v>45915</v>
      </c>
      <c r="C9" s="45">
        <v>46161</v>
      </c>
      <c r="D9" s="48" t="s">
        <v>130</v>
      </c>
      <c r="E9" s="48" t="s">
        <v>27</v>
      </c>
      <c r="F9" s="42">
        <v>1</v>
      </c>
    </row>
    <row r="10" spans="1:6">
      <c r="A10" s="42">
        <v>6</v>
      </c>
      <c r="B10" s="45">
        <v>45856</v>
      </c>
      <c r="C10" s="45">
        <v>46084</v>
      </c>
      <c r="D10" s="48" t="s">
        <v>131</v>
      </c>
      <c r="E10" s="48" t="s">
        <v>25</v>
      </c>
      <c r="F10" s="42">
        <v>1</v>
      </c>
    </row>
    <row r="11" spans="1:6">
      <c r="A11" s="42">
        <v>7</v>
      </c>
      <c r="B11" s="45">
        <v>45856</v>
      </c>
      <c r="C11" s="45">
        <v>46202</v>
      </c>
      <c r="D11" s="48" t="s">
        <v>132</v>
      </c>
      <c r="E11" s="48" t="s">
        <v>25</v>
      </c>
      <c r="F11" s="42">
        <v>2</v>
      </c>
    </row>
    <row r="12" spans="1:6">
      <c r="A12" s="42">
        <v>8</v>
      </c>
      <c r="B12" s="45">
        <v>45870</v>
      </c>
      <c r="C12" s="45">
        <v>46082</v>
      </c>
      <c r="D12" s="48" t="s">
        <v>133</v>
      </c>
      <c r="E12" s="48" t="s">
        <v>25</v>
      </c>
      <c r="F12" s="42">
        <v>1</v>
      </c>
    </row>
    <row r="13" spans="1:6">
      <c r="A13" s="42">
        <v>9</v>
      </c>
      <c r="B13" s="45">
        <v>46036</v>
      </c>
      <c r="C13" s="45">
        <v>46155</v>
      </c>
      <c r="D13" s="48" t="s">
        <v>134</v>
      </c>
      <c r="E13" s="48" t="s">
        <v>27</v>
      </c>
      <c r="F13" s="42">
        <v>2</v>
      </c>
    </row>
    <row r="14" spans="1:6">
      <c r="A14" s="42">
        <v>10</v>
      </c>
      <c r="B14" s="45">
        <v>46041</v>
      </c>
      <c r="C14" s="45">
        <v>46202</v>
      </c>
      <c r="D14" s="48" t="s">
        <v>135</v>
      </c>
      <c r="E14" s="48" t="s">
        <v>25</v>
      </c>
      <c r="F14" s="42">
        <v>2</v>
      </c>
    </row>
    <row r="15" spans="1:6">
      <c r="A15" s="42">
        <v>11</v>
      </c>
      <c r="B15" s="45">
        <v>46041</v>
      </c>
      <c r="C15" s="45">
        <v>46062</v>
      </c>
      <c r="D15" s="48" t="s">
        <v>136</v>
      </c>
      <c r="E15" s="48" t="s">
        <v>29</v>
      </c>
      <c r="F15" s="42">
        <v>1</v>
      </c>
    </row>
    <row r="16" spans="1:6">
      <c r="A16" s="42">
        <v>12</v>
      </c>
      <c r="B16" s="45">
        <v>46051</v>
      </c>
      <c r="C16" s="45">
        <v>46081</v>
      </c>
      <c r="D16" s="48" t="s">
        <v>137</v>
      </c>
      <c r="E16" s="48" t="s">
        <v>26</v>
      </c>
      <c r="F16" s="42">
        <v>1</v>
      </c>
    </row>
    <row r="17" spans="1:6">
      <c r="A17" s="42">
        <v>13</v>
      </c>
      <c r="B17" s="45">
        <v>46062</v>
      </c>
      <c r="C17" s="45">
        <v>46093</v>
      </c>
      <c r="D17" s="48" t="s">
        <v>138</v>
      </c>
      <c r="E17" s="48" t="s">
        <v>29</v>
      </c>
      <c r="F17" s="42">
        <v>1</v>
      </c>
    </row>
    <row r="18" spans="1:6">
      <c r="A18" s="42">
        <v>14</v>
      </c>
      <c r="B18" s="45">
        <v>46079</v>
      </c>
      <c r="C18" s="45"/>
      <c r="D18" s="48" t="s">
        <v>139</v>
      </c>
      <c r="E18" s="48" t="s">
        <v>25</v>
      </c>
      <c r="F18" s="42">
        <v>2</v>
      </c>
    </row>
    <row r="19" spans="1:6">
      <c r="A19" s="42">
        <v>15</v>
      </c>
      <c r="B19" s="45">
        <v>46094</v>
      </c>
      <c r="C19" s="45">
        <v>46125</v>
      </c>
      <c r="D19" s="48" t="s">
        <v>140</v>
      </c>
      <c r="E19" s="48" t="s">
        <v>112</v>
      </c>
      <c r="F19" s="42">
        <v>1</v>
      </c>
    </row>
    <row r="20" spans="1:6">
      <c r="A20" s="42">
        <v>16</v>
      </c>
      <c r="B20" s="45">
        <v>46079</v>
      </c>
      <c r="C20" s="45">
        <v>46132</v>
      </c>
      <c r="D20" s="48" t="s">
        <v>141</v>
      </c>
      <c r="E20" s="48" t="s">
        <v>25</v>
      </c>
      <c r="F20" s="42">
        <v>1</v>
      </c>
    </row>
    <row r="21" spans="1:6">
      <c r="A21" s="42">
        <v>17</v>
      </c>
      <c r="B21" s="45">
        <v>46099</v>
      </c>
      <c r="C21" s="45">
        <v>46101</v>
      </c>
      <c r="D21" s="48" t="s">
        <v>142</v>
      </c>
      <c r="E21" s="48" t="s">
        <v>29</v>
      </c>
      <c r="F21" s="42">
        <v>1</v>
      </c>
    </row>
    <row r="22" spans="1:6">
      <c r="A22" s="42">
        <v>18</v>
      </c>
      <c r="B22" s="45">
        <v>46098</v>
      </c>
      <c r="C22" s="45">
        <v>46122</v>
      </c>
      <c r="D22" s="48" t="s">
        <v>143</v>
      </c>
      <c r="E22" s="48" t="s">
        <v>26</v>
      </c>
      <c r="F22" s="42">
        <v>1</v>
      </c>
    </row>
    <row r="23" spans="1:6">
      <c r="A23" s="42">
        <v>19</v>
      </c>
      <c r="B23" s="45">
        <v>46132</v>
      </c>
      <c r="C23" s="45">
        <v>46150</v>
      </c>
      <c r="D23" s="48" t="s">
        <v>144</v>
      </c>
      <c r="E23" s="48" t="s">
        <v>25</v>
      </c>
      <c r="F23" s="42">
        <v>1</v>
      </c>
    </row>
    <row r="24" spans="1:6">
      <c r="A24" s="42">
        <v>20</v>
      </c>
      <c r="B24" s="45">
        <v>46134</v>
      </c>
      <c r="C24" s="45">
        <v>46169</v>
      </c>
      <c r="D24" s="48" t="s">
        <v>145</v>
      </c>
      <c r="E24" s="48" t="s">
        <v>27</v>
      </c>
      <c r="F24" s="42">
        <v>1</v>
      </c>
    </row>
    <row r="25" spans="1:6">
      <c r="A25" s="42">
        <v>21</v>
      </c>
      <c r="B25" s="45">
        <v>46144</v>
      </c>
      <c r="C25" s="45">
        <v>46171</v>
      </c>
      <c r="D25" s="48" t="s">
        <v>146</v>
      </c>
      <c r="E25" s="48" t="s">
        <v>26</v>
      </c>
      <c r="F25" s="42">
        <v>1</v>
      </c>
    </row>
    <row r="26" spans="1:6">
      <c r="A26" s="42">
        <v>22</v>
      </c>
      <c r="B26" s="45">
        <v>46148</v>
      </c>
      <c r="C26" s="45">
        <v>46174</v>
      </c>
      <c r="D26" s="48" t="s">
        <v>147</v>
      </c>
      <c r="E26" s="48" t="s">
        <v>26</v>
      </c>
      <c r="F26" s="42">
        <v>1</v>
      </c>
    </row>
    <row r="27" spans="1:6">
      <c r="A27" s="42">
        <v>23</v>
      </c>
      <c r="B27" s="45">
        <v>46148</v>
      </c>
      <c r="C27" s="45">
        <v>46204</v>
      </c>
      <c r="D27" s="48" t="s">
        <v>148</v>
      </c>
      <c r="E27" s="48" t="s">
        <v>111</v>
      </c>
      <c r="F27" s="42">
        <v>1</v>
      </c>
    </row>
    <row r="28" spans="1:6">
      <c r="A28" s="42">
        <v>24</v>
      </c>
      <c r="B28" s="45">
        <v>46146</v>
      </c>
      <c r="C28" s="45">
        <v>46204</v>
      </c>
      <c r="D28" s="48" t="s">
        <v>149</v>
      </c>
      <c r="E28" s="48" t="s">
        <v>25</v>
      </c>
      <c r="F28" s="42">
        <v>1</v>
      </c>
    </row>
    <row r="29" spans="1:6">
      <c r="A29" s="42">
        <v>25</v>
      </c>
      <c r="B29" s="45">
        <v>46121</v>
      </c>
      <c r="C29" s="45">
        <v>46220</v>
      </c>
      <c r="D29" s="48" t="s">
        <v>150</v>
      </c>
      <c r="E29" s="48" t="s">
        <v>25</v>
      </c>
      <c r="F29" s="42">
        <v>1</v>
      </c>
    </row>
    <row r="30" spans="1:6">
      <c r="A30" s="42">
        <v>26</v>
      </c>
      <c r="B30" s="45">
        <v>46171</v>
      </c>
      <c r="C30" s="45">
        <v>46211</v>
      </c>
      <c r="D30" s="48" t="s">
        <v>151</v>
      </c>
      <c r="E30" s="48" t="s">
        <v>28</v>
      </c>
      <c r="F30" s="42">
        <v>1</v>
      </c>
    </row>
    <row r="31" spans="1:6">
      <c r="A31" s="42">
        <v>27</v>
      </c>
      <c r="B31" s="45">
        <v>46191</v>
      </c>
      <c r="C31" s="45">
        <v>46220</v>
      </c>
      <c r="D31" s="48" t="s">
        <v>152</v>
      </c>
      <c r="E31" s="48" t="s">
        <v>26</v>
      </c>
      <c r="F31" s="42">
        <v>1</v>
      </c>
    </row>
    <row r="32" spans="1:6">
      <c r="A32" s="42">
        <v>28</v>
      </c>
      <c r="B32" s="45">
        <v>46113</v>
      </c>
      <c r="C32" s="45"/>
      <c r="D32" s="48" t="s">
        <v>153</v>
      </c>
      <c r="E32" s="48" t="s">
        <v>26</v>
      </c>
      <c r="F32" s="42">
        <v>1</v>
      </c>
    </row>
    <row r="33" spans="1:6">
      <c r="A33" s="42">
        <v>29</v>
      </c>
      <c r="B33" s="45">
        <v>46113</v>
      </c>
      <c r="C33" s="45"/>
      <c r="D33" s="48" t="s">
        <v>154</v>
      </c>
      <c r="E33" s="48" t="s">
        <v>26</v>
      </c>
      <c r="F33" s="42">
        <v>1</v>
      </c>
    </row>
    <row r="34" spans="1:6">
      <c r="A34" s="42">
        <v>30</v>
      </c>
      <c r="B34" s="45">
        <v>46170</v>
      </c>
      <c r="C34" s="45"/>
      <c r="D34" s="48" t="s">
        <v>155</v>
      </c>
      <c r="E34" s="48" t="s">
        <v>27</v>
      </c>
      <c r="F34" s="42">
        <v>1</v>
      </c>
    </row>
    <row r="35" spans="1:6">
      <c r="A35" s="42">
        <v>31</v>
      </c>
      <c r="B35" s="45">
        <v>46171</v>
      </c>
      <c r="C35" s="45"/>
      <c r="D35" s="48" t="s">
        <v>156</v>
      </c>
      <c r="E35" s="48" t="s">
        <v>28</v>
      </c>
      <c r="F35" s="42">
        <v>1</v>
      </c>
    </row>
    <row r="36" spans="1:6">
      <c r="A36" s="42">
        <v>32</v>
      </c>
      <c r="B36" s="45">
        <v>46202</v>
      </c>
      <c r="C36" s="45"/>
      <c r="D36" s="48" t="s">
        <v>157</v>
      </c>
      <c r="E36" s="48" t="s">
        <v>112</v>
      </c>
      <c r="F36" s="42">
        <v>1</v>
      </c>
    </row>
    <row r="37" spans="1:6">
      <c r="A37" s="42">
        <v>33</v>
      </c>
      <c r="B37" s="45">
        <v>46203</v>
      </c>
      <c r="C37" s="45"/>
      <c r="D37" s="48" t="s">
        <v>158</v>
      </c>
      <c r="E37" s="48" t="s">
        <v>26</v>
      </c>
      <c r="F37" s="42">
        <v>1</v>
      </c>
    </row>
    <row r="38" spans="1:6">
      <c r="A38" s="43">
        <v>34</v>
      </c>
      <c r="B38" s="46">
        <v>46183</v>
      </c>
      <c r="C38" s="46"/>
      <c r="D38" s="49" t="s">
        <v>159</v>
      </c>
      <c r="E38" s="49" t="s">
        <v>25</v>
      </c>
      <c r="F38" s="43">
        <v>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showGridLines="0" tabSelected="1" workbookViewId="0">
      <selection sqref="A1:F1"/>
    </sheetView>
  </sheetViews>
  <sheetFormatPr baseColWidth="10" defaultColWidth="8.796875" defaultRowHeight="13.8"/>
  <cols>
    <col min="1" max="1" width="27" customWidth="1"/>
    <col min="2" max="2" width="32" customWidth="1"/>
    <col min="3" max="4" width="22" customWidth="1"/>
    <col min="5" max="5" width="36" customWidth="1"/>
    <col min="6" max="6" width="38" customWidth="1"/>
  </cols>
  <sheetData>
    <row r="1" spans="1:6" ht="30" customHeight="1">
      <c r="A1" s="52" t="s">
        <v>160</v>
      </c>
      <c r="B1" s="52"/>
      <c r="C1" s="52"/>
      <c r="D1" s="52"/>
      <c r="E1" s="52"/>
      <c r="F1" s="52"/>
    </row>
    <row r="2" spans="1:6" ht="19.95" customHeight="1">
      <c r="A2" s="53" t="s">
        <v>161</v>
      </c>
      <c r="B2" s="53"/>
      <c r="C2" s="53"/>
      <c r="D2" s="53"/>
      <c r="E2" s="53"/>
      <c r="F2" s="53"/>
    </row>
    <row r="4" spans="1:6" ht="28.05" customHeight="1">
      <c r="A4" s="1" t="s">
        <v>162</v>
      </c>
      <c r="B4" s="1" t="s">
        <v>163</v>
      </c>
      <c r="C4" s="1" t="s">
        <v>164</v>
      </c>
      <c r="D4" s="1" t="s">
        <v>165</v>
      </c>
      <c r="E4" s="1" t="s">
        <v>166</v>
      </c>
      <c r="F4" s="1" t="s">
        <v>89</v>
      </c>
    </row>
    <row r="5" spans="1:6" ht="37.950000000000003" customHeight="1">
      <c r="A5" s="47" t="s">
        <v>167</v>
      </c>
      <c r="B5" s="47" t="s">
        <v>168</v>
      </c>
      <c r="C5" s="47" t="s">
        <v>169</v>
      </c>
      <c r="D5" s="47" t="s">
        <v>170</v>
      </c>
      <c r="E5" s="47" t="s">
        <v>171</v>
      </c>
      <c r="F5" s="47" t="s">
        <v>172</v>
      </c>
    </row>
    <row r="6" spans="1:6" ht="37.950000000000003" customHeight="1">
      <c r="A6" s="48" t="s">
        <v>3</v>
      </c>
      <c r="B6" s="48" t="s">
        <v>173</v>
      </c>
      <c r="C6" s="48" t="s">
        <v>174</v>
      </c>
      <c r="D6" s="48" t="s">
        <v>170</v>
      </c>
      <c r="E6" s="48" t="s">
        <v>175</v>
      </c>
      <c r="F6" s="48" t="s">
        <v>176</v>
      </c>
    </row>
    <row r="7" spans="1:6" ht="37.950000000000003" customHeight="1">
      <c r="A7" s="48" t="s">
        <v>4</v>
      </c>
      <c r="B7" s="48" t="s">
        <v>177</v>
      </c>
      <c r="C7" s="48" t="s">
        <v>178</v>
      </c>
      <c r="D7" s="48" t="s">
        <v>170</v>
      </c>
      <c r="E7" s="48" t="s">
        <v>171</v>
      </c>
      <c r="F7" s="48" t="s">
        <v>179</v>
      </c>
    </row>
    <row r="8" spans="1:6" ht="37.950000000000003" customHeight="1">
      <c r="A8" s="48" t="s">
        <v>180</v>
      </c>
      <c r="B8" s="48" t="s">
        <v>181</v>
      </c>
      <c r="C8" s="48" t="s">
        <v>182</v>
      </c>
      <c r="D8" s="48" t="s">
        <v>183</v>
      </c>
      <c r="E8" s="48" t="s">
        <v>184</v>
      </c>
      <c r="F8" s="48" t="s">
        <v>185</v>
      </c>
    </row>
    <row r="9" spans="1:6" ht="37.950000000000003" customHeight="1">
      <c r="A9" s="48" t="s">
        <v>74</v>
      </c>
      <c r="B9" s="48" t="s">
        <v>186</v>
      </c>
      <c r="C9" s="48" t="s">
        <v>187</v>
      </c>
      <c r="D9" s="48" t="s">
        <v>188</v>
      </c>
      <c r="E9" s="48" t="s">
        <v>189</v>
      </c>
      <c r="F9" s="48" t="s">
        <v>190</v>
      </c>
    </row>
    <row r="10" spans="1:6" ht="37.950000000000003" customHeight="1">
      <c r="A10" s="48" t="s">
        <v>9</v>
      </c>
      <c r="B10" s="48" t="s">
        <v>70</v>
      </c>
      <c r="C10" s="48" t="s">
        <v>191</v>
      </c>
      <c r="D10" s="48" t="s">
        <v>192</v>
      </c>
      <c r="E10" s="48" t="s">
        <v>193</v>
      </c>
      <c r="F10" s="48" t="s">
        <v>194</v>
      </c>
    </row>
    <row r="11" spans="1:6" ht="37.950000000000003" customHeight="1">
      <c r="A11" s="49" t="s">
        <v>75</v>
      </c>
      <c r="B11" s="49" t="s">
        <v>70</v>
      </c>
      <c r="C11" s="49" t="s">
        <v>195</v>
      </c>
      <c r="D11" s="49" t="s">
        <v>196</v>
      </c>
      <c r="E11" s="49" t="s">
        <v>197</v>
      </c>
      <c r="F11" s="49" t="s">
        <v>198</v>
      </c>
    </row>
    <row r="14" spans="1:6" ht="14.4">
      <c r="A14" s="152" t="s">
        <v>199</v>
      </c>
      <c r="B14" s="152"/>
      <c r="C14" s="152"/>
      <c r="D14" s="152"/>
      <c r="E14" s="152"/>
      <c r="F14" s="152"/>
    </row>
    <row r="15" spans="1:6" ht="28.05" customHeight="1">
      <c r="A15" s="155" t="s">
        <v>200</v>
      </c>
      <c r="B15" s="155"/>
      <c r="C15" s="155"/>
      <c r="D15" s="155"/>
      <c r="E15" s="155"/>
      <c r="F15" s="155"/>
    </row>
    <row r="16" spans="1:6" ht="28.05" customHeight="1">
      <c r="A16" s="155" t="s">
        <v>201</v>
      </c>
      <c r="B16" s="155"/>
      <c r="C16" s="155"/>
      <c r="D16" s="155"/>
      <c r="E16" s="155"/>
      <c r="F16" s="155"/>
    </row>
    <row r="17" spans="1:6" ht="28.05" customHeight="1">
      <c r="A17" s="155" t="s">
        <v>202</v>
      </c>
      <c r="B17" s="155"/>
      <c r="C17" s="155"/>
      <c r="D17" s="155"/>
      <c r="E17" s="155"/>
      <c r="F17" s="155"/>
    </row>
    <row r="18" spans="1:6" ht="28.05" customHeight="1">
      <c r="A18" s="155" t="s">
        <v>203</v>
      </c>
      <c r="B18" s="155"/>
      <c r="C18" s="155"/>
      <c r="D18" s="155"/>
      <c r="E18" s="155"/>
      <c r="F18" s="155"/>
    </row>
  </sheetData>
  <mergeCells count="7">
    <mergeCell ref="A17:F17"/>
    <mergeCell ref="A18:F18"/>
    <mergeCell ref="A1:F1"/>
    <mergeCell ref="A2:F2"/>
    <mergeCell ref="A14:F14"/>
    <mergeCell ref="A15:F15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 integral</vt:lpstr>
      <vt:lpstr>Ausentismo 1S</vt:lpstr>
      <vt:lpstr>KPI preventivos</vt:lpstr>
      <vt:lpstr>Ranking BP</vt:lpstr>
      <vt:lpstr>Clasificacion BP</vt:lpstr>
      <vt:lpstr>Fuentes y 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 Lechmann</cp:lastModifiedBy>
  <dcterms:modified xsi:type="dcterms:W3CDTF">2026-10-07T11:41:14Z</dcterms:modified>
</cp:coreProperties>
</file>