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charts/chart3.xml" ContentType="application/vnd.openxmlformats-officedocument.drawingml.chart+xml"/>
  <Override PartName="/xl/charts/chart4.xml" ContentType="application/vnd.openxmlformats-officedocument.drawingml.chart+xml"/>
  <Override PartName="/xl/drawings/drawing3.xml" ContentType="application/vnd.openxmlformats-officedocument.drawing+xml"/>
  <Override PartName="/xl/charts/chart5.xml" ContentType="application/vnd.openxmlformats-officedocument.drawingml.chart+xml"/>
  <Override PartName="/xl/drawings/drawing4.xml" ContentType="application/vnd.openxmlformats-officedocument.drawing+xml"/>
  <Override PartName="/xl/charts/chart6.xml" ContentType="application/vnd.openxmlformats-officedocument.drawingml.chart+xml"/>
  <Override PartName="/xl/drawings/drawing5.xml" ContentType="application/vnd.openxmlformats-officedocument.drawing+xml"/>
  <Override PartName="/xl/charts/chart7.xml" ContentType="application/vnd.openxmlformats-officedocument.drawingml.chart+xml"/>
  <Override PartName="/xl/drawings/drawing6.xml" ContentType="application/vnd.openxmlformats-officedocument.drawing+xml"/>
  <Override PartName="/xl/charts/chart8.xml" ContentType="application/vnd.openxmlformats-officedocument.drawingml.chart+xml"/>
  <Override PartName="/xl/drawings/drawing7.xml" ContentType="application/vnd.openxmlformats-officedocument.drawing+xml"/>
  <Override PartName="/xl/charts/chart9.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defaultThemeVersion="124226"/>
  <mc:AlternateContent xmlns:mc="http://schemas.openxmlformats.org/markup-compatibility/2006">
    <mc:Choice Requires="x15">
      <x15ac:absPath xmlns:x15ac="http://schemas.microsoft.com/office/spreadsheetml/2010/11/ac" url="C:\Users\t.081\Desktop\"/>
    </mc:Choice>
  </mc:AlternateContent>
  <xr:revisionPtr revIDLastSave="0" documentId="13_ncr:1_{FAD46103-0C1A-4836-BC90-6D4578651169}" xr6:coauthVersionLast="47" xr6:coauthVersionMax="47" xr10:uidLastSave="{00000000-0000-0000-0000-000000000000}"/>
  <bookViews>
    <workbookView xWindow="-120" yWindow="-120" windowWidth="20640" windowHeight="11160" tabRatio="695" firstSheet="4" activeTab="5" xr2:uid="{00000000-000D-0000-FFFF-FFFF00000000}"/>
  </bookViews>
  <sheets>
    <sheet name="AUSENTISMO CONVENIO" sheetId="1" r:id="rId1"/>
    <sheet name="AUSENTISMO FC" sheetId="12" r:id="rId2"/>
    <sheet name="DISTRIBUCION MENSUAL DE HORAS" sheetId="2" r:id="rId3"/>
    <sheet name="TOTAL POR SECTOR" sheetId="11" r:id="rId4"/>
    <sheet name="INDICE ACCIDENTES" sheetId="3" r:id="rId5"/>
    <sheet name="DATOS" sheetId="15" r:id="rId6"/>
    <sheet name="DISTRIBUCION DE HORAS C" sheetId="18" r:id="rId7"/>
    <sheet name="DISTRIBUCION DE HORAS FC" sheetId="17" r:id="rId8"/>
    <sheet name="Apertura de Acc " sheetId="9" r:id="rId9"/>
    <sheet name="APERTURA ACCIDENTES" sheetId="8" r:id="rId10"/>
    <sheet name="ALTAS Y BAJAS" sheetId="4" r:id="rId11"/>
    <sheet name="Haberes" sheetId="20" state="hidden" r:id="rId12"/>
  </sheets>
  <definedNames>
    <definedName name="_xlnm._FilterDatabase" localSheetId="10" hidden="1">'ALTAS Y BAJAS'!#REF!</definedName>
    <definedName name="_xlnm._FilterDatabase" localSheetId="6" hidden="1">'DISTRIBUCION DE HORAS C'!$C$5:$AH$11</definedName>
    <definedName name="_xlnm._FilterDatabase" localSheetId="11" hidden="1">Haberes!$A$5:$BN$11</definedName>
    <definedName name="_xlnm._FilterDatabase" localSheetId="4" hidden="1">'INDICE ACCIDENTES'!$A$49:$FE$92</definedName>
    <definedName name="_xlnm.Print_Area" localSheetId="5">DATOS!$A$1:$K$41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36" i="15" l="1"/>
  <c r="FE51" i="3" l="1"/>
  <c r="FE52" i="3"/>
  <c r="FE53" i="3"/>
  <c r="FE54" i="3"/>
  <c r="FE55" i="3"/>
  <c r="FE56" i="3"/>
  <c r="FE57" i="3"/>
  <c r="FE58" i="3"/>
  <c r="FE59" i="3"/>
  <c r="FE60" i="3"/>
  <c r="FE61" i="3"/>
  <c r="FE62" i="3"/>
  <c r="FE63" i="3"/>
  <c r="FE64" i="3"/>
  <c r="FE65" i="3"/>
  <c r="FE66" i="3"/>
  <c r="FE67" i="3"/>
  <c r="FE68" i="3"/>
  <c r="FE69" i="3"/>
  <c r="FE70" i="3"/>
  <c r="FE71" i="3"/>
  <c r="FE72" i="3"/>
  <c r="FE73" i="3"/>
  <c r="FE74" i="3"/>
  <c r="FE75" i="3"/>
  <c r="FE76" i="3"/>
  <c r="FE77" i="3"/>
  <c r="FE78" i="3"/>
  <c r="FE79" i="3"/>
  <c r="FE80" i="3"/>
  <c r="FE81" i="3"/>
  <c r="FE82" i="3"/>
  <c r="FE83" i="3"/>
  <c r="FE84" i="3"/>
  <c r="FE85" i="3"/>
  <c r="FE86" i="3"/>
  <c r="FE87" i="3"/>
  <c r="FE88" i="3"/>
  <c r="FE89" i="3"/>
  <c r="FE90" i="3"/>
  <c r="FE91" i="3"/>
  <c r="FE50" i="3"/>
  <c r="FD92" i="3"/>
  <c r="C164" i="8" l="1"/>
  <c r="D164" i="8"/>
  <c r="E164" i="8"/>
  <c r="B164" i="8"/>
  <c r="E163" i="8"/>
  <c r="D163" i="9"/>
  <c r="E163" i="9"/>
  <c r="F163" i="9"/>
  <c r="C163" i="9"/>
  <c r="G162" i="9"/>
  <c r="G163" i="9" s="1"/>
  <c r="W12" i="17" l="1"/>
  <c r="C41" i="15"/>
  <c r="C40" i="15"/>
  <c r="C39" i="15"/>
  <c r="C38" i="15"/>
  <c r="C37" i="15"/>
  <c r="C36" i="15"/>
  <c r="C35" i="15"/>
  <c r="G12" i="18"/>
  <c r="E162" i="8"/>
  <c r="G161" i="9" l="1"/>
  <c r="FC92" i="3" l="1"/>
  <c r="E161" i="8" l="1"/>
  <c r="G160" i="9"/>
  <c r="FB92" i="3" l="1"/>
  <c r="B12" i="17" l="1"/>
  <c r="C12" i="17"/>
  <c r="D12" i="17"/>
  <c r="E12" i="17"/>
  <c r="F12" i="17"/>
  <c r="G12" i="17"/>
  <c r="H12" i="17"/>
  <c r="I12" i="17"/>
  <c r="J12" i="17"/>
  <c r="K12" i="17"/>
  <c r="L12" i="17"/>
  <c r="M12" i="17"/>
  <c r="N12" i="17"/>
  <c r="O12" i="17"/>
  <c r="P12" i="17"/>
  <c r="Q12" i="17"/>
  <c r="R12" i="17"/>
  <c r="S12" i="17"/>
  <c r="T12" i="17"/>
  <c r="U12" i="17"/>
  <c r="V12" i="17"/>
  <c r="X12" i="17"/>
  <c r="Y12" i="17"/>
  <c r="Z12" i="17"/>
  <c r="E41" i="15"/>
  <c r="E40" i="15"/>
  <c r="E39" i="15"/>
  <c r="E38" i="15"/>
  <c r="E37" i="15"/>
  <c r="U12" i="18"/>
  <c r="F12" i="18"/>
  <c r="H12" i="18"/>
  <c r="I12" i="18"/>
  <c r="J12" i="18"/>
  <c r="K12" i="18"/>
  <c r="P12" i="18"/>
  <c r="L12" i="18"/>
  <c r="M12" i="18"/>
  <c r="N12" i="18"/>
  <c r="O12" i="18"/>
  <c r="E12" i="18"/>
  <c r="V12" i="18"/>
  <c r="AC12" i="18"/>
  <c r="Q12" i="18"/>
  <c r="AF12" i="18"/>
  <c r="Y12" i="18"/>
  <c r="R12" i="18"/>
  <c r="T12" i="18"/>
  <c r="S12" i="18"/>
  <c r="B12" i="18"/>
  <c r="C12" i="18"/>
  <c r="D12" i="18"/>
  <c r="W12" i="18"/>
  <c r="X12" i="18"/>
  <c r="Z12" i="18"/>
  <c r="AA12" i="18"/>
  <c r="AB12" i="18"/>
  <c r="AD12" i="18"/>
  <c r="AE12" i="18"/>
  <c r="AG12" i="18"/>
  <c r="AH12" i="18"/>
  <c r="E160" i="8" l="1"/>
  <c r="G159" i="9"/>
  <c r="FA92" i="3" l="1"/>
  <c r="E159" i="8"/>
  <c r="G158" i="9"/>
  <c r="EZ92" i="3"/>
  <c r="E158" i="8" l="1"/>
  <c r="G157" i="9"/>
  <c r="EY92" i="3"/>
  <c r="E157" i="8" l="1"/>
  <c r="G156" i="9"/>
  <c r="EX92" i="3" l="1"/>
  <c r="C18" i="15"/>
  <c r="E156" i="8"/>
  <c r="G155" i="9"/>
  <c r="EW92" i="3" l="1"/>
  <c r="E155" i="8" l="1"/>
  <c r="G154" i="9"/>
  <c r="EV92" i="3" l="1"/>
  <c r="E154" i="8" l="1"/>
  <c r="G153" i="9"/>
  <c r="EU92" i="3" l="1"/>
  <c r="E153" i="8"/>
  <c r="G152" i="9"/>
  <c r="ET92" i="3"/>
  <c r="E152" i="8"/>
  <c r="G151" i="9"/>
  <c r="ES92" i="3"/>
  <c r="E151" i="8" l="1"/>
  <c r="G150" i="9"/>
  <c r="ER92" i="3"/>
  <c r="E150" i="8" l="1"/>
  <c r="G149" i="9"/>
  <c r="EQ92" i="3"/>
  <c r="E149" i="8" l="1"/>
  <c r="G148" i="9"/>
  <c r="FE92" i="3"/>
  <c r="EP92" i="3"/>
  <c r="EO92" i="3"/>
  <c r="BN140" i="20"/>
  <c r="BI11" i="20"/>
  <c r="BI140" i="20"/>
  <c r="BJ140" i="20"/>
  <c r="BM32" i="20"/>
  <c r="BM80" i="20"/>
  <c r="BM88" i="20"/>
  <c r="BM94" i="20"/>
  <c r="BM137" i="20"/>
  <c r="BM38" i="20"/>
  <c r="BM16" i="20"/>
  <c r="BM11" i="20"/>
  <c r="BL137" i="20"/>
  <c r="BK137" i="20"/>
  <c r="BJ137" i="20"/>
  <c r="BI137" i="20"/>
  <c r="BN136" i="20"/>
  <c r="BN135" i="20"/>
  <c r="BN134" i="20"/>
  <c r="BN133" i="20"/>
  <c r="BN132" i="20"/>
  <c r="BN131" i="20"/>
  <c r="BN130" i="20"/>
  <c r="BN129" i="20"/>
  <c r="BN128" i="20"/>
  <c r="BN127" i="20"/>
  <c r="BN126" i="20"/>
  <c r="BN125" i="20"/>
  <c r="BN124" i="20"/>
  <c r="BN123" i="20"/>
  <c r="BK119" i="20"/>
  <c r="BJ119" i="20"/>
  <c r="BI119" i="20"/>
  <c r="BN118" i="20"/>
  <c r="BN119" i="20"/>
  <c r="BK114" i="20"/>
  <c r="BJ114" i="20"/>
  <c r="BI114" i="20"/>
  <c r="BN113" i="20"/>
  <c r="BN114" i="20"/>
  <c r="BM109" i="20"/>
  <c r="BL109" i="20"/>
  <c r="BK109" i="20"/>
  <c r="BJ109" i="20"/>
  <c r="BI109" i="20"/>
  <c r="BN108" i="20"/>
  <c r="BN109" i="20"/>
  <c r="BK104" i="20"/>
  <c r="BJ104" i="20"/>
  <c r="BI104" i="20"/>
  <c r="BN103" i="20"/>
  <c r="BN104" i="20"/>
  <c r="BK99" i="20"/>
  <c r="BJ99" i="20"/>
  <c r="BI99" i="20"/>
  <c r="BN98" i="20"/>
  <c r="BN99" i="20"/>
  <c r="BL94" i="20"/>
  <c r="BK94" i="20"/>
  <c r="BJ94" i="20"/>
  <c r="BI94" i="20"/>
  <c r="BN93" i="20"/>
  <c r="BN92" i="20"/>
  <c r="BL88" i="20"/>
  <c r="BK88" i="20"/>
  <c r="BJ88" i="20"/>
  <c r="BI88" i="20"/>
  <c r="BN87" i="20"/>
  <c r="BN86" i="20"/>
  <c r="BN85" i="20"/>
  <c r="BN84" i="20"/>
  <c r="BL80" i="20"/>
  <c r="BK80" i="20"/>
  <c r="BJ80" i="20"/>
  <c r="BI80" i="20"/>
  <c r="BN79" i="20"/>
  <c r="BN78" i="20"/>
  <c r="BN77" i="20"/>
  <c r="BN76" i="20"/>
  <c r="BK71" i="20"/>
  <c r="BJ71" i="20"/>
  <c r="BI71" i="20"/>
  <c r="BN70" i="20"/>
  <c r="BN71" i="20"/>
  <c r="BK67" i="20"/>
  <c r="BJ67" i="20"/>
  <c r="BI67" i="20"/>
  <c r="BN66" i="20"/>
  <c r="BN67" i="20"/>
  <c r="BM63" i="20"/>
  <c r="BL63" i="20"/>
  <c r="BK63" i="20"/>
  <c r="BJ63" i="20"/>
  <c r="BI63" i="20"/>
  <c r="BN62" i="20"/>
  <c r="BN63" i="20"/>
  <c r="BM59" i="20"/>
  <c r="BL59" i="20"/>
  <c r="BK59" i="20"/>
  <c r="BJ59" i="20"/>
  <c r="BI59" i="20"/>
  <c r="BN58" i="20"/>
  <c r="BN59" i="20"/>
  <c r="BM54" i="20"/>
  <c r="BL54" i="20"/>
  <c r="BK54" i="20"/>
  <c r="BJ54" i="20"/>
  <c r="BI54" i="20"/>
  <c r="BN53" i="20"/>
  <c r="BN54" i="20"/>
  <c r="BM48" i="20"/>
  <c r="BL48" i="20"/>
  <c r="BK48" i="20"/>
  <c r="BJ48" i="20"/>
  <c r="BI48" i="20"/>
  <c r="BN47" i="20"/>
  <c r="BN48" i="20"/>
  <c r="BM43" i="20"/>
  <c r="BL43" i="20"/>
  <c r="BK43" i="20"/>
  <c r="BJ43" i="20"/>
  <c r="BI43" i="20"/>
  <c r="BN42" i="20"/>
  <c r="BN43" i="20"/>
  <c r="BL38" i="20"/>
  <c r="BK38" i="20"/>
  <c r="BJ38" i="20"/>
  <c r="BN37" i="20"/>
  <c r="BN36" i="20"/>
  <c r="BL32" i="20"/>
  <c r="BK32" i="20"/>
  <c r="BJ32" i="20"/>
  <c r="BI32" i="20"/>
  <c r="BN31" i="20"/>
  <c r="BN30" i="20"/>
  <c r="BN29" i="20"/>
  <c r="BN28" i="20"/>
  <c r="BN27" i="20"/>
  <c r="BN26" i="20"/>
  <c r="BN25" i="20"/>
  <c r="BN24" i="20"/>
  <c r="BN23" i="20"/>
  <c r="BN22" i="20"/>
  <c r="BN21" i="20"/>
  <c r="BN20" i="20"/>
  <c r="BL16" i="20"/>
  <c r="BK16" i="20"/>
  <c r="BJ16" i="20"/>
  <c r="BI16" i="20"/>
  <c r="BN15" i="20"/>
  <c r="BN16" i="20"/>
  <c r="BL11" i="20"/>
  <c r="BK11" i="20"/>
  <c r="BJ11" i="20"/>
  <c r="BN10" i="20"/>
  <c r="BN9" i="20"/>
  <c r="BN8" i="20"/>
  <c r="BN7" i="20"/>
  <c r="BN6" i="20"/>
  <c r="C59" i="20"/>
  <c r="D59" i="20"/>
  <c r="E59" i="20"/>
  <c r="F59" i="20"/>
  <c r="H59" i="20"/>
  <c r="I59" i="20"/>
  <c r="J59" i="20"/>
  <c r="K59" i="20"/>
  <c r="M59" i="20"/>
  <c r="N59" i="20"/>
  <c r="O59" i="20"/>
  <c r="Q59" i="20"/>
  <c r="R59" i="20"/>
  <c r="S59" i="20"/>
  <c r="T59" i="20"/>
  <c r="V59" i="20"/>
  <c r="W59" i="20"/>
  <c r="X59" i="20"/>
  <c r="Y59" i="20"/>
  <c r="AA59" i="20"/>
  <c r="AB59" i="20"/>
  <c r="AC59" i="20"/>
  <c r="AD59" i="20"/>
  <c r="AE59" i="20"/>
  <c r="AG59" i="20"/>
  <c r="AH59" i="20"/>
  <c r="AI59" i="20"/>
  <c r="AJ59" i="20"/>
  <c r="AK59" i="20"/>
  <c r="AM59" i="20"/>
  <c r="AN59" i="20"/>
  <c r="AO59" i="20"/>
  <c r="AP59" i="20"/>
  <c r="AQ59" i="20"/>
  <c r="AS59" i="20"/>
  <c r="AT59" i="20"/>
  <c r="AU59" i="20"/>
  <c r="AV59" i="20"/>
  <c r="AX59" i="20"/>
  <c r="AY59" i="20"/>
  <c r="AZ59" i="20"/>
  <c r="BA59" i="20"/>
  <c r="BC59" i="20"/>
  <c r="BD59" i="20"/>
  <c r="BE59" i="20"/>
  <c r="BF59" i="20"/>
  <c r="BG59" i="20"/>
  <c r="C54" i="20"/>
  <c r="D54" i="20"/>
  <c r="E54" i="20"/>
  <c r="F54" i="20"/>
  <c r="G54" i="20"/>
  <c r="H54" i="20"/>
  <c r="I54" i="20"/>
  <c r="J54" i="20"/>
  <c r="K54" i="20"/>
  <c r="L54" i="20"/>
  <c r="M54" i="20"/>
  <c r="N54" i="20"/>
  <c r="O54" i="20"/>
  <c r="P54" i="20"/>
  <c r="Q54" i="20"/>
  <c r="R54" i="20"/>
  <c r="S54" i="20"/>
  <c r="T54" i="20"/>
  <c r="U54" i="20"/>
  <c r="V54" i="20"/>
  <c r="W54" i="20"/>
  <c r="X54" i="20"/>
  <c r="Y54" i="20"/>
  <c r="Z54" i="20"/>
  <c r="AA54" i="20"/>
  <c r="AB54" i="20"/>
  <c r="AC54" i="20"/>
  <c r="AD54" i="20"/>
  <c r="AE54" i="20"/>
  <c r="AF54" i="20"/>
  <c r="AG54" i="20"/>
  <c r="AH54" i="20"/>
  <c r="AI54" i="20"/>
  <c r="AJ54" i="20"/>
  <c r="AK54" i="20"/>
  <c r="AL54" i="20"/>
  <c r="AM54" i="20"/>
  <c r="AN54" i="20"/>
  <c r="AO54" i="20"/>
  <c r="AP54" i="20"/>
  <c r="AQ54" i="20"/>
  <c r="AR54" i="20"/>
  <c r="AS54" i="20"/>
  <c r="AT54" i="20"/>
  <c r="AU54" i="20"/>
  <c r="AV54" i="20"/>
  <c r="AW54" i="20"/>
  <c r="AX54" i="20"/>
  <c r="AY54" i="20"/>
  <c r="AZ54" i="20"/>
  <c r="BA54" i="20"/>
  <c r="BB54" i="20"/>
  <c r="BC54" i="20"/>
  <c r="BD54" i="20"/>
  <c r="BE54" i="20"/>
  <c r="BF54" i="20"/>
  <c r="BG54" i="20"/>
  <c r="BH54" i="20"/>
  <c r="C48" i="20"/>
  <c r="D48" i="20"/>
  <c r="E48" i="20"/>
  <c r="F48" i="20"/>
  <c r="G48" i="20"/>
  <c r="H48" i="20"/>
  <c r="I48" i="20"/>
  <c r="J48" i="20"/>
  <c r="K48" i="20"/>
  <c r="L48" i="20"/>
  <c r="M48" i="20"/>
  <c r="N48" i="20"/>
  <c r="O48" i="20"/>
  <c r="P48" i="20"/>
  <c r="Q48" i="20"/>
  <c r="R48" i="20"/>
  <c r="S48" i="20"/>
  <c r="T48" i="20"/>
  <c r="U48" i="20"/>
  <c r="V48" i="20"/>
  <c r="W48" i="20"/>
  <c r="X48" i="20"/>
  <c r="Y48" i="20"/>
  <c r="Z48" i="20"/>
  <c r="AA48" i="20"/>
  <c r="AB48" i="20"/>
  <c r="AC48" i="20"/>
  <c r="AD48" i="20"/>
  <c r="AE48" i="20"/>
  <c r="AF48" i="20"/>
  <c r="AG48" i="20"/>
  <c r="AH48" i="20"/>
  <c r="AI48" i="20"/>
  <c r="AJ48" i="20"/>
  <c r="AK48" i="20"/>
  <c r="AL48" i="20"/>
  <c r="AM48" i="20"/>
  <c r="AN48" i="20"/>
  <c r="AO48" i="20"/>
  <c r="AP48" i="20"/>
  <c r="AQ48" i="20"/>
  <c r="AR48" i="20"/>
  <c r="AS48" i="20"/>
  <c r="AT48" i="20"/>
  <c r="AU48" i="20"/>
  <c r="AV48" i="20"/>
  <c r="AW48" i="20"/>
  <c r="AX48" i="20"/>
  <c r="AY48" i="20"/>
  <c r="AZ48" i="20"/>
  <c r="BA48" i="20"/>
  <c r="BB48" i="20"/>
  <c r="BC48" i="20"/>
  <c r="BD48" i="20"/>
  <c r="BE48" i="20"/>
  <c r="BF48" i="20"/>
  <c r="BG48" i="20"/>
  <c r="BH48" i="20"/>
  <c r="C43" i="20"/>
  <c r="D43" i="20"/>
  <c r="E43" i="20"/>
  <c r="F43" i="20"/>
  <c r="G43" i="20"/>
  <c r="H43" i="20"/>
  <c r="I43" i="20"/>
  <c r="J43" i="20"/>
  <c r="K43" i="20"/>
  <c r="L43" i="20"/>
  <c r="M43" i="20"/>
  <c r="N43" i="20"/>
  <c r="O43" i="20"/>
  <c r="P43" i="20"/>
  <c r="Q43" i="20"/>
  <c r="R43" i="20"/>
  <c r="S43" i="20"/>
  <c r="T43" i="20"/>
  <c r="U43" i="20"/>
  <c r="V43" i="20"/>
  <c r="W43" i="20"/>
  <c r="X43" i="20"/>
  <c r="Y43" i="20"/>
  <c r="Z43" i="20"/>
  <c r="AA43" i="20"/>
  <c r="AB43" i="20"/>
  <c r="AC43" i="20"/>
  <c r="AD43" i="20"/>
  <c r="AE43" i="20"/>
  <c r="AF43" i="20"/>
  <c r="AG43" i="20"/>
  <c r="AH43" i="20"/>
  <c r="AI43" i="20"/>
  <c r="AJ43" i="20"/>
  <c r="AK43" i="20"/>
  <c r="AL43" i="20"/>
  <c r="AM43" i="20"/>
  <c r="AN43" i="20"/>
  <c r="AO43" i="20"/>
  <c r="AP43" i="20"/>
  <c r="AQ43" i="20"/>
  <c r="AR43" i="20"/>
  <c r="AS43" i="20"/>
  <c r="AT43" i="20"/>
  <c r="AU43" i="20"/>
  <c r="AV43" i="20"/>
  <c r="AW43" i="20"/>
  <c r="AX43" i="20"/>
  <c r="AY43" i="20"/>
  <c r="AZ43" i="20"/>
  <c r="BA43" i="20"/>
  <c r="BB43" i="20"/>
  <c r="BC43" i="20"/>
  <c r="BD43" i="20"/>
  <c r="BE43" i="20"/>
  <c r="BF43" i="20"/>
  <c r="BG43" i="20"/>
  <c r="BH43" i="20"/>
  <c r="B43" i="20"/>
  <c r="C63" i="20"/>
  <c r="D63" i="20"/>
  <c r="E63" i="20"/>
  <c r="F63" i="20"/>
  <c r="G63" i="20"/>
  <c r="H63" i="20"/>
  <c r="I63" i="20"/>
  <c r="J63" i="20"/>
  <c r="K63" i="20"/>
  <c r="L63" i="20"/>
  <c r="M63" i="20"/>
  <c r="N63" i="20"/>
  <c r="O63" i="20"/>
  <c r="P63" i="20"/>
  <c r="Q63" i="20"/>
  <c r="R63" i="20"/>
  <c r="S63" i="20"/>
  <c r="T63" i="20"/>
  <c r="U63" i="20"/>
  <c r="V63" i="20"/>
  <c r="W63" i="20"/>
  <c r="X63" i="20"/>
  <c r="Y63" i="20"/>
  <c r="Z63" i="20"/>
  <c r="AA63" i="20"/>
  <c r="AB63" i="20"/>
  <c r="AC63" i="20"/>
  <c r="AD63" i="20"/>
  <c r="AE63" i="20"/>
  <c r="AF63" i="20"/>
  <c r="AG63" i="20"/>
  <c r="AH63" i="20"/>
  <c r="AI63" i="20"/>
  <c r="AJ63" i="20"/>
  <c r="AK63" i="20"/>
  <c r="AL63" i="20"/>
  <c r="AM63" i="20"/>
  <c r="AN63" i="20"/>
  <c r="AO63" i="20"/>
  <c r="AP63" i="20"/>
  <c r="AQ63" i="20"/>
  <c r="AR63" i="20"/>
  <c r="AS63" i="20"/>
  <c r="AT63" i="20"/>
  <c r="AU63" i="20"/>
  <c r="AV63" i="20"/>
  <c r="AW63" i="20"/>
  <c r="AX63" i="20"/>
  <c r="AY63" i="20"/>
  <c r="AZ63" i="20"/>
  <c r="BA63" i="20"/>
  <c r="BB63" i="20"/>
  <c r="BC63" i="20"/>
  <c r="BD63" i="20"/>
  <c r="BE63" i="20"/>
  <c r="BF63" i="20"/>
  <c r="BG63" i="20"/>
  <c r="BH63" i="20"/>
  <c r="B63" i="20"/>
  <c r="E109" i="20"/>
  <c r="F109" i="20"/>
  <c r="H109" i="20"/>
  <c r="I109" i="20"/>
  <c r="J109" i="20"/>
  <c r="K109" i="20"/>
  <c r="M109" i="20"/>
  <c r="N109" i="20"/>
  <c r="O109" i="20"/>
  <c r="Q109" i="20"/>
  <c r="R109" i="20"/>
  <c r="S109" i="20"/>
  <c r="T109" i="20"/>
  <c r="U109" i="20"/>
  <c r="V109" i="20"/>
  <c r="W109" i="20"/>
  <c r="X109" i="20"/>
  <c r="Y109" i="20"/>
  <c r="Y140" i="20"/>
  <c r="AA109" i="20"/>
  <c r="AB109" i="20"/>
  <c r="AC109" i="20"/>
  <c r="AD109" i="20"/>
  <c r="AD140" i="20"/>
  <c r="AE109" i="20"/>
  <c r="AE140" i="20"/>
  <c r="AG109" i="20"/>
  <c r="AH109" i="20"/>
  <c r="AI109" i="20"/>
  <c r="AJ109" i="20"/>
  <c r="AK109" i="20"/>
  <c r="AM109" i="20"/>
  <c r="AN109" i="20"/>
  <c r="AO109" i="20"/>
  <c r="AP109" i="20"/>
  <c r="AQ109" i="20"/>
  <c r="AQ140" i="20"/>
  <c r="AS109" i="20"/>
  <c r="AT109" i="20"/>
  <c r="AU109" i="20"/>
  <c r="AV109" i="20"/>
  <c r="AX109" i="20"/>
  <c r="AY109" i="20"/>
  <c r="AZ109" i="20"/>
  <c r="BA109" i="20"/>
  <c r="BC109" i="20"/>
  <c r="BD109" i="20"/>
  <c r="BE109" i="20"/>
  <c r="BF109" i="20"/>
  <c r="BG109" i="20"/>
  <c r="C16" i="20"/>
  <c r="D16" i="20"/>
  <c r="E16" i="20"/>
  <c r="F16" i="20"/>
  <c r="G16" i="20"/>
  <c r="H16" i="20"/>
  <c r="I16" i="20"/>
  <c r="J16" i="20"/>
  <c r="K16" i="20"/>
  <c r="L16" i="20"/>
  <c r="M16" i="20"/>
  <c r="N16" i="20"/>
  <c r="O16" i="20"/>
  <c r="P16" i="20"/>
  <c r="Q16" i="20"/>
  <c r="R16" i="20"/>
  <c r="S16" i="20"/>
  <c r="T16" i="20"/>
  <c r="U16" i="20"/>
  <c r="V16" i="20"/>
  <c r="W16" i="20"/>
  <c r="X16" i="20"/>
  <c r="Y16" i="20"/>
  <c r="Z16" i="20"/>
  <c r="AA16" i="20"/>
  <c r="AB16" i="20"/>
  <c r="AC16" i="20"/>
  <c r="AD16" i="20"/>
  <c r="AE16" i="20"/>
  <c r="AF16" i="20"/>
  <c r="AG16" i="20"/>
  <c r="AH16" i="20"/>
  <c r="AI16" i="20"/>
  <c r="AJ16" i="20"/>
  <c r="AK16" i="20"/>
  <c r="AL16" i="20"/>
  <c r="AM16" i="20"/>
  <c r="AN16" i="20"/>
  <c r="AO16" i="20"/>
  <c r="AP16" i="20"/>
  <c r="AQ16" i="20"/>
  <c r="AR16" i="20"/>
  <c r="AS16" i="20"/>
  <c r="AT16" i="20"/>
  <c r="AU16" i="20"/>
  <c r="AV16" i="20"/>
  <c r="AW16" i="20"/>
  <c r="AX16" i="20"/>
  <c r="AY16" i="20"/>
  <c r="AZ16" i="20"/>
  <c r="BA16" i="20"/>
  <c r="BB16" i="20"/>
  <c r="BC16" i="20"/>
  <c r="BD16" i="20"/>
  <c r="BE16" i="20"/>
  <c r="BF16" i="20"/>
  <c r="BG16" i="20"/>
  <c r="BH16" i="20"/>
  <c r="B16" i="20"/>
  <c r="BG137" i="20"/>
  <c r="BF137" i="20"/>
  <c r="BE137" i="20"/>
  <c r="BD137" i="20"/>
  <c r="BC137" i="20"/>
  <c r="BA137" i="20"/>
  <c r="AZ137" i="20"/>
  <c r="AY137" i="20"/>
  <c r="AX137" i="20"/>
  <c r="AV137" i="20"/>
  <c r="AU137" i="20"/>
  <c r="AT137" i="20"/>
  <c r="AS137" i="20"/>
  <c r="AQ137" i="20"/>
  <c r="AP137" i="20"/>
  <c r="AO137" i="20"/>
  <c r="AN137" i="20"/>
  <c r="AM137" i="20"/>
  <c r="AK137" i="20"/>
  <c r="AJ137" i="20"/>
  <c r="AI137" i="20"/>
  <c r="AH137" i="20"/>
  <c r="AG137" i="20"/>
  <c r="AE137" i="20"/>
  <c r="AD137" i="20"/>
  <c r="AC137" i="20"/>
  <c r="AB137" i="20"/>
  <c r="AA137" i="20"/>
  <c r="Y137" i="20"/>
  <c r="X137" i="20"/>
  <c r="W137" i="20"/>
  <c r="V137" i="20"/>
  <c r="T137" i="20"/>
  <c r="S137" i="20"/>
  <c r="R137" i="20"/>
  <c r="Q137" i="20"/>
  <c r="O137" i="20"/>
  <c r="N137" i="20"/>
  <c r="M137" i="20"/>
  <c r="L137" i="20"/>
  <c r="K137" i="20"/>
  <c r="J137" i="20"/>
  <c r="I137" i="20"/>
  <c r="H137" i="20"/>
  <c r="F137" i="20"/>
  <c r="E137" i="20"/>
  <c r="D137" i="20"/>
  <c r="C137" i="20"/>
  <c r="B137" i="20"/>
  <c r="BH136" i="20"/>
  <c r="BB136" i="20"/>
  <c r="AW136" i="20"/>
  <c r="AR136" i="20"/>
  <c r="AL136" i="20"/>
  <c r="AF136" i="20"/>
  <c r="Z136" i="20"/>
  <c r="U136" i="20"/>
  <c r="P136" i="20"/>
  <c r="L136" i="20"/>
  <c r="G136" i="20"/>
  <c r="BH135" i="20"/>
  <c r="BB135" i="20"/>
  <c r="AW135" i="20"/>
  <c r="AR135" i="20"/>
  <c r="AL135" i="20"/>
  <c r="AF135" i="20"/>
  <c r="Z135" i="20"/>
  <c r="U135" i="20"/>
  <c r="P135" i="20"/>
  <c r="L135" i="20"/>
  <c r="G135" i="20"/>
  <c r="BH134" i="20"/>
  <c r="BB134" i="20"/>
  <c r="AW134" i="20"/>
  <c r="AR134" i="20"/>
  <c r="AL134" i="20"/>
  <c r="AF134" i="20"/>
  <c r="Z134" i="20"/>
  <c r="U134" i="20"/>
  <c r="P134" i="20"/>
  <c r="L134" i="20"/>
  <c r="G134" i="20"/>
  <c r="BH133" i="20"/>
  <c r="BB133" i="20"/>
  <c r="AW133" i="20"/>
  <c r="AR133" i="20"/>
  <c r="AL133" i="20"/>
  <c r="AF133" i="20"/>
  <c r="Z133" i="20"/>
  <c r="U133" i="20"/>
  <c r="P133" i="20"/>
  <c r="L133" i="20"/>
  <c r="G133" i="20"/>
  <c r="BH132" i="20"/>
  <c r="BB132" i="20"/>
  <c r="AW132" i="20"/>
  <c r="AR132" i="20"/>
  <c r="AL132" i="20"/>
  <c r="AF132" i="20"/>
  <c r="Z132" i="20"/>
  <c r="U132" i="20"/>
  <c r="P132" i="20"/>
  <c r="L132" i="20"/>
  <c r="G132" i="20"/>
  <c r="BH131" i="20"/>
  <c r="BB131" i="20"/>
  <c r="AW131" i="20"/>
  <c r="AR131" i="20"/>
  <c r="AL131" i="20"/>
  <c r="AF131" i="20"/>
  <c r="Z131" i="20"/>
  <c r="U131" i="20"/>
  <c r="P131" i="20"/>
  <c r="L131" i="20"/>
  <c r="G131" i="20"/>
  <c r="BH130" i="20"/>
  <c r="BB130" i="20"/>
  <c r="AW130" i="20"/>
  <c r="AR130" i="20"/>
  <c r="AL130" i="20"/>
  <c r="AF130" i="20"/>
  <c r="Z130" i="20"/>
  <c r="U130" i="20"/>
  <c r="P130" i="20"/>
  <c r="L130" i="20"/>
  <c r="G130" i="20"/>
  <c r="BH129" i="20"/>
  <c r="BB129" i="20"/>
  <c r="AW129" i="20"/>
  <c r="AR129" i="20"/>
  <c r="AL129" i="20"/>
  <c r="AF129" i="20"/>
  <c r="Z129" i="20"/>
  <c r="U129" i="20"/>
  <c r="P129" i="20"/>
  <c r="L129" i="20"/>
  <c r="G129" i="20"/>
  <c r="BH128" i="20"/>
  <c r="BB128" i="20"/>
  <c r="AW128" i="20"/>
  <c r="AR128" i="20"/>
  <c r="AL128" i="20"/>
  <c r="AF128" i="20"/>
  <c r="Z128" i="20"/>
  <c r="U128" i="20"/>
  <c r="P128" i="20"/>
  <c r="L128" i="20"/>
  <c r="G128" i="20"/>
  <c r="BH127" i="20"/>
  <c r="BB127" i="20"/>
  <c r="AW127" i="20"/>
  <c r="AR127" i="20"/>
  <c r="AL127" i="20"/>
  <c r="AF127" i="20"/>
  <c r="Z127" i="20"/>
  <c r="U127" i="20"/>
  <c r="P127" i="20"/>
  <c r="L127" i="20"/>
  <c r="G127" i="20"/>
  <c r="BH126" i="20"/>
  <c r="BB126" i="20"/>
  <c r="AW126" i="20"/>
  <c r="AR126" i="20"/>
  <c r="AL126" i="20"/>
  <c r="AF126" i="20"/>
  <c r="Z126" i="20"/>
  <c r="U126" i="20"/>
  <c r="P126" i="20"/>
  <c r="L126" i="20"/>
  <c r="G126" i="20"/>
  <c r="G137" i="20"/>
  <c r="BH125" i="20"/>
  <c r="BH137" i="20"/>
  <c r="BB125" i="20"/>
  <c r="AW125" i="20"/>
  <c r="AR125" i="20"/>
  <c r="AL125" i="20"/>
  <c r="AF125" i="20"/>
  <c r="Z125" i="20"/>
  <c r="U125" i="20"/>
  <c r="P125" i="20"/>
  <c r="L125" i="20"/>
  <c r="G125" i="20"/>
  <c r="BH124" i="20"/>
  <c r="BB124" i="20"/>
  <c r="AW124" i="20"/>
  <c r="AR124" i="20"/>
  <c r="AR137" i="20"/>
  <c r="AL124" i="20"/>
  <c r="AF124" i="20"/>
  <c r="Z124" i="20"/>
  <c r="U124" i="20"/>
  <c r="P124" i="20"/>
  <c r="L124" i="20"/>
  <c r="G124" i="20"/>
  <c r="BH123" i="20"/>
  <c r="BB123" i="20"/>
  <c r="BB137" i="20"/>
  <c r="AW123" i="20"/>
  <c r="AW137" i="20"/>
  <c r="AR123" i="20"/>
  <c r="AL123" i="20"/>
  <c r="AL137" i="20"/>
  <c r="AF123" i="20"/>
  <c r="AF137" i="20"/>
  <c r="Z123" i="20"/>
  <c r="Z137" i="20"/>
  <c r="U123" i="20"/>
  <c r="U137" i="20"/>
  <c r="P123" i="20"/>
  <c r="P137" i="20"/>
  <c r="L123" i="20"/>
  <c r="G123" i="20"/>
  <c r="BE119" i="20"/>
  <c r="BD119" i="20"/>
  <c r="BC119" i="20"/>
  <c r="AZ119" i="20"/>
  <c r="AY119" i="20"/>
  <c r="AX119" i="20"/>
  <c r="AU119" i="20"/>
  <c r="AT119" i="20"/>
  <c r="AS119" i="20"/>
  <c r="AO119" i="20"/>
  <c r="AN119" i="20"/>
  <c r="AM119" i="20"/>
  <c r="AI119" i="20"/>
  <c r="AH119" i="20"/>
  <c r="AG119" i="20"/>
  <c r="AF119" i="20"/>
  <c r="AC119" i="20"/>
  <c r="AB119" i="20"/>
  <c r="AA119" i="20"/>
  <c r="X119" i="20"/>
  <c r="W119" i="20"/>
  <c r="V119" i="20"/>
  <c r="S119" i="20"/>
  <c r="R119" i="20"/>
  <c r="Q119" i="20"/>
  <c r="P119" i="20"/>
  <c r="O119" i="20"/>
  <c r="N119" i="20"/>
  <c r="M119" i="20"/>
  <c r="J119" i="20"/>
  <c r="I119" i="20"/>
  <c r="H119" i="20"/>
  <c r="D119" i="20"/>
  <c r="C119" i="20"/>
  <c r="B119" i="20"/>
  <c r="BH118" i="20"/>
  <c r="BH119" i="20"/>
  <c r="BB118" i="20"/>
  <c r="BB119" i="20"/>
  <c r="AW118" i="20"/>
  <c r="AW119" i="20"/>
  <c r="AR118" i="20"/>
  <c r="AR119" i="20"/>
  <c r="AL118" i="20"/>
  <c r="AL119" i="20"/>
  <c r="AF118" i="20"/>
  <c r="Z118" i="20"/>
  <c r="Z119" i="20"/>
  <c r="U118" i="20"/>
  <c r="U119" i="20"/>
  <c r="P118" i="20"/>
  <c r="L118" i="20"/>
  <c r="L119" i="20"/>
  <c r="G118" i="20"/>
  <c r="G119" i="20"/>
  <c r="BE114" i="20"/>
  <c r="BD114" i="20"/>
  <c r="BC114" i="20"/>
  <c r="AZ114" i="20"/>
  <c r="AY114" i="20"/>
  <c r="AX114" i="20"/>
  <c r="AU114" i="20"/>
  <c r="AT114" i="20"/>
  <c r="AS114" i="20"/>
  <c r="AO114" i="20"/>
  <c r="AN114" i="20"/>
  <c r="AM114" i="20"/>
  <c r="AI114" i="20"/>
  <c r="AH114" i="20"/>
  <c r="AG114" i="20"/>
  <c r="AC114" i="20"/>
  <c r="AB114" i="20"/>
  <c r="AA114" i="20"/>
  <c r="X114" i="20"/>
  <c r="W114" i="20"/>
  <c r="V114" i="20"/>
  <c r="S114" i="20"/>
  <c r="R114" i="20"/>
  <c r="Q114" i="20"/>
  <c r="O114" i="20"/>
  <c r="N114" i="20"/>
  <c r="M114" i="20"/>
  <c r="L114" i="20"/>
  <c r="J114" i="20"/>
  <c r="I114" i="20"/>
  <c r="H114" i="20"/>
  <c r="D114" i="20"/>
  <c r="C114" i="20"/>
  <c r="B114" i="20"/>
  <c r="BH113" i="20"/>
  <c r="BH114" i="20"/>
  <c r="BB113" i="20"/>
  <c r="BB114" i="20"/>
  <c r="AW113" i="20"/>
  <c r="AW114" i="20"/>
  <c r="AR113" i="20"/>
  <c r="AR114" i="20"/>
  <c r="AL113" i="20"/>
  <c r="AL114" i="20"/>
  <c r="AF113" i="20"/>
  <c r="AF114" i="20"/>
  <c r="Z113" i="20"/>
  <c r="Z114" i="20"/>
  <c r="U113" i="20"/>
  <c r="U114" i="20"/>
  <c r="P113" i="20"/>
  <c r="P114" i="20"/>
  <c r="L113" i="20"/>
  <c r="G113" i="20"/>
  <c r="G114" i="20"/>
  <c r="D109" i="20"/>
  <c r="BH108" i="20"/>
  <c r="BH109" i="20"/>
  <c r="BB108" i="20"/>
  <c r="BB109" i="20"/>
  <c r="AW108" i="20"/>
  <c r="AW109" i="20"/>
  <c r="AR108" i="20"/>
  <c r="AR109" i="20"/>
  <c r="AL108" i="20"/>
  <c r="AL109" i="20"/>
  <c r="AF108" i="20"/>
  <c r="AF109" i="20"/>
  <c r="Z108" i="20"/>
  <c r="Z109" i="20"/>
  <c r="U108" i="20"/>
  <c r="P108" i="20"/>
  <c r="P109" i="20"/>
  <c r="L108" i="20"/>
  <c r="L109" i="20"/>
  <c r="G108" i="20"/>
  <c r="G109" i="20"/>
  <c r="BE104" i="20"/>
  <c r="BD104" i="20"/>
  <c r="BC104" i="20"/>
  <c r="AZ104" i="20"/>
  <c r="AY104" i="20"/>
  <c r="AX104" i="20"/>
  <c r="AU104" i="20"/>
  <c r="AT104" i="20"/>
  <c r="AS104" i="20"/>
  <c r="AO104" i="20"/>
  <c r="AN104" i="20"/>
  <c r="AM104" i="20"/>
  <c r="AI104" i="20"/>
  <c r="AH104" i="20"/>
  <c r="AG104" i="20"/>
  <c r="AC104" i="20"/>
  <c r="AB104" i="20"/>
  <c r="AA104" i="20"/>
  <c r="X104" i="20"/>
  <c r="W104" i="20"/>
  <c r="V104" i="20"/>
  <c r="S104" i="20"/>
  <c r="R104" i="20"/>
  <c r="Q104" i="20"/>
  <c r="O104" i="20"/>
  <c r="N104" i="20"/>
  <c r="M104" i="20"/>
  <c r="J104" i="20"/>
  <c r="I104" i="20"/>
  <c r="H104" i="20"/>
  <c r="D104" i="20"/>
  <c r="C104" i="20"/>
  <c r="B104" i="20"/>
  <c r="BH103" i="20"/>
  <c r="BH104" i="20"/>
  <c r="BB103" i="20"/>
  <c r="BB104" i="20"/>
  <c r="AW103" i="20"/>
  <c r="AW104" i="20"/>
  <c r="AR103" i="20"/>
  <c r="AR104" i="20"/>
  <c r="AL103" i="20"/>
  <c r="AL104" i="20"/>
  <c r="AF103" i="20"/>
  <c r="AF104" i="20"/>
  <c r="Z103" i="20"/>
  <c r="Z104" i="20"/>
  <c r="U103" i="20"/>
  <c r="U104" i="20"/>
  <c r="P103" i="20"/>
  <c r="P104" i="20"/>
  <c r="L103" i="20"/>
  <c r="L104" i="20"/>
  <c r="G103" i="20"/>
  <c r="G104" i="20"/>
  <c r="BE99" i="20"/>
  <c r="BD99" i="20"/>
  <c r="BC99" i="20"/>
  <c r="AZ99" i="20"/>
  <c r="AY99" i="20"/>
  <c r="AX99" i="20"/>
  <c r="AU99" i="20"/>
  <c r="AT99" i="20"/>
  <c r="AS99" i="20"/>
  <c r="AO99" i="20"/>
  <c r="AN99" i="20"/>
  <c r="AM99" i="20"/>
  <c r="AI99" i="20"/>
  <c r="AH99" i="20"/>
  <c r="AG99" i="20"/>
  <c r="AC99" i="20"/>
  <c r="AB99" i="20"/>
  <c r="AA99" i="20"/>
  <c r="X99" i="20"/>
  <c r="W99" i="20"/>
  <c r="V99" i="20"/>
  <c r="S99" i="20"/>
  <c r="R99" i="20"/>
  <c r="Q99" i="20"/>
  <c r="O99" i="20"/>
  <c r="N99" i="20"/>
  <c r="M99" i="20"/>
  <c r="J99" i="20"/>
  <c r="I99" i="20"/>
  <c r="H99" i="20"/>
  <c r="G99" i="20"/>
  <c r="D99" i="20"/>
  <c r="C99" i="20"/>
  <c r="B99" i="20"/>
  <c r="BH98" i="20"/>
  <c r="BH99" i="20"/>
  <c r="BB98" i="20"/>
  <c r="BB99" i="20"/>
  <c r="AW98" i="20"/>
  <c r="AW99" i="20"/>
  <c r="AR98" i="20"/>
  <c r="AR99" i="20"/>
  <c r="AL98" i="20"/>
  <c r="AL99" i="20"/>
  <c r="AF98" i="20"/>
  <c r="AF99" i="20"/>
  <c r="Z98" i="20"/>
  <c r="Z99" i="20"/>
  <c r="U98" i="20"/>
  <c r="U99" i="20"/>
  <c r="P98" i="20"/>
  <c r="P99" i="20"/>
  <c r="L98" i="20"/>
  <c r="L99" i="20"/>
  <c r="G98" i="20"/>
  <c r="BG94" i="20"/>
  <c r="BF94" i="20"/>
  <c r="BE94" i="20"/>
  <c r="BD94" i="20"/>
  <c r="BC94" i="20"/>
  <c r="BA94" i="20"/>
  <c r="AZ94" i="20"/>
  <c r="AY94" i="20"/>
  <c r="AX94" i="20"/>
  <c r="AV94" i="20"/>
  <c r="AU94" i="20"/>
  <c r="AT94" i="20"/>
  <c r="AS94" i="20"/>
  <c r="AR94" i="20"/>
  <c r="AQ94" i="20"/>
  <c r="AP94" i="20"/>
  <c r="AO94" i="20"/>
  <c r="AN94" i="20"/>
  <c r="AM94" i="20"/>
  <c r="AK94" i="20"/>
  <c r="AJ94" i="20"/>
  <c r="AI94" i="20"/>
  <c r="AH94" i="20"/>
  <c r="AG94" i="20"/>
  <c r="AF94" i="20"/>
  <c r="AE94" i="20"/>
  <c r="AD94" i="20"/>
  <c r="AC94" i="20"/>
  <c r="AB94" i="20"/>
  <c r="AA94" i="20"/>
  <c r="Y94" i="20"/>
  <c r="X94" i="20"/>
  <c r="W94" i="20"/>
  <c r="V94" i="20"/>
  <c r="U94" i="20"/>
  <c r="T94" i="20"/>
  <c r="S94" i="20"/>
  <c r="R94" i="20"/>
  <c r="Q94" i="20"/>
  <c r="O94" i="20"/>
  <c r="N94" i="20"/>
  <c r="M94" i="20"/>
  <c r="K94" i="20"/>
  <c r="J94" i="20"/>
  <c r="I94" i="20"/>
  <c r="H94" i="20"/>
  <c r="F94" i="20"/>
  <c r="E94" i="20"/>
  <c r="D94" i="20"/>
  <c r="C94" i="20"/>
  <c r="B94" i="20"/>
  <c r="BH93" i="20"/>
  <c r="BB93" i="20"/>
  <c r="AW93" i="20"/>
  <c r="AR93" i="20"/>
  <c r="AL93" i="20"/>
  <c r="AL94" i="20"/>
  <c r="AF93" i="20"/>
  <c r="Z93" i="20"/>
  <c r="U93" i="20"/>
  <c r="P93" i="20"/>
  <c r="L93" i="20"/>
  <c r="G93" i="20"/>
  <c r="G94" i="20"/>
  <c r="BH92" i="20"/>
  <c r="BH94" i="20"/>
  <c r="BB92" i="20"/>
  <c r="BB94" i="20"/>
  <c r="AW92" i="20"/>
  <c r="AW94" i="20"/>
  <c r="AR92" i="20"/>
  <c r="AL92" i="20"/>
  <c r="AF92" i="20"/>
  <c r="Z92" i="20"/>
  <c r="Z94" i="20"/>
  <c r="U92" i="20"/>
  <c r="P92" i="20"/>
  <c r="P94" i="20"/>
  <c r="L92" i="20"/>
  <c r="L94" i="20"/>
  <c r="G92" i="20"/>
  <c r="BH88" i="20"/>
  <c r="BG88" i="20"/>
  <c r="BF88" i="20"/>
  <c r="BE88" i="20"/>
  <c r="BD88" i="20"/>
  <c r="BC88" i="20"/>
  <c r="BB88" i="20"/>
  <c r="BA88" i="20"/>
  <c r="AZ88" i="20"/>
  <c r="AY88" i="20"/>
  <c r="AX88" i="20"/>
  <c r="AV88" i="20"/>
  <c r="AU88" i="20"/>
  <c r="AT88" i="20"/>
  <c r="AS88" i="20"/>
  <c r="AQ88" i="20"/>
  <c r="AP88" i="20"/>
  <c r="AO88" i="20"/>
  <c r="AN88" i="20"/>
  <c r="AM88" i="20"/>
  <c r="AK88" i="20"/>
  <c r="AJ88" i="20"/>
  <c r="AI88" i="20"/>
  <c r="AH88" i="20"/>
  <c r="AG88" i="20"/>
  <c r="AE88" i="20"/>
  <c r="AD88" i="20"/>
  <c r="AC88" i="20"/>
  <c r="AB88" i="20"/>
  <c r="AA88" i="20"/>
  <c r="Y88" i="20"/>
  <c r="X88" i="20"/>
  <c r="W88" i="20"/>
  <c r="V88" i="20"/>
  <c r="T88" i="20"/>
  <c r="S88" i="20"/>
  <c r="R88" i="20"/>
  <c r="Q88" i="20"/>
  <c r="O88" i="20"/>
  <c r="N88" i="20"/>
  <c r="M88" i="20"/>
  <c r="K88" i="20"/>
  <c r="J88" i="20"/>
  <c r="I88" i="20"/>
  <c r="H88" i="20"/>
  <c r="F88" i="20"/>
  <c r="E88" i="20"/>
  <c r="D88" i="20"/>
  <c r="C88" i="20"/>
  <c r="B88" i="20"/>
  <c r="BH87" i="20"/>
  <c r="BB87" i="20"/>
  <c r="AW87" i="20"/>
  <c r="AR87" i="20"/>
  <c r="AL87" i="20"/>
  <c r="AF87" i="20"/>
  <c r="Z87" i="20"/>
  <c r="U87" i="20"/>
  <c r="P87" i="20"/>
  <c r="L87" i="20"/>
  <c r="G87" i="20"/>
  <c r="BH86" i="20"/>
  <c r="BB86" i="20"/>
  <c r="AW86" i="20"/>
  <c r="AR86" i="20"/>
  <c r="AL86" i="20"/>
  <c r="AF86" i="20"/>
  <c r="Z86" i="20"/>
  <c r="U86" i="20"/>
  <c r="P86" i="20"/>
  <c r="L86" i="20"/>
  <c r="G86" i="20"/>
  <c r="BH85" i="20"/>
  <c r="BB85" i="20"/>
  <c r="AW85" i="20"/>
  <c r="AR85" i="20"/>
  <c r="AL85" i="20"/>
  <c r="AF85" i="20"/>
  <c r="Z85" i="20"/>
  <c r="U85" i="20"/>
  <c r="P85" i="20"/>
  <c r="L85" i="20"/>
  <c r="L88" i="20"/>
  <c r="G85" i="20"/>
  <c r="BH84" i="20"/>
  <c r="BB84" i="20"/>
  <c r="AW84" i="20"/>
  <c r="AW88" i="20"/>
  <c r="AR84" i="20"/>
  <c r="AR88" i="20"/>
  <c r="AL84" i="20"/>
  <c r="AL88" i="20"/>
  <c r="AF84" i="20"/>
  <c r="AF88" i="20"/>
  <c r="Z84" i="20"/>
  <c r="Z88" i="20"/>
  <c r="U84" i="20"/>
  <c r="U88" i="20"/>
  <c r="P84" i="20"/>
  <c r="P88" i="20"/>
  <c r="L84" i="20"/>
  <c r="G84" i="20"/>
  <c r="G88" i="20"/>
  <c r="BH80" i="20"/>
  <c r="BG80" i="20"/>
  <c r="BF80" i="20"/>
  <c r="BE80" i="20"/>
  <c r="BD80" i="20"/>
  <c r="BC80" i="20"/>
  <c r="BA80" i="20"/>
  <c r="AZ80" i="20"/>
  <c r="AY80" i="20"/>
  <c r="AX80" i="20"/>
  <c r="AV80" i="20"/>
  <c r="AU80" i="20"/>
  <c r="AT80" i="20"/>
  <c r="AS80" i="20"/>
  <c r="AQ80" i="20"/>
  <c r="AP80" i="20"/>
  <c r="AO80" i="20"/>
  <c r="AN80" i="20"/>
  <c r="AM80" i="20"/>
  <c r="AK80" i="20"/>
  <c r="AJ80" i="20"/>
  <c r="AI80" i="20"/>
  <c r="AH80" i="20"/>
  <c r="AG80" i="20"/>
  <c r="AE80" i="20"/>
  <c r="AD80" i="20"/>
  <c r="AC80" i="20"/>
  <c r="AB80" i="20"/>
  <c r="AA80" i="20"/>
  <c r="Y80" i="20"/>
  <c r="X80" i="20"/>
  <c r="W80" i="20"/>
  <c r="V80" i="20"/>
  <c r="T80" i="20"/>
  <c r="S80" i="20"/>
  <c r="R80" i="20"/>
  <c r="Q80" i="20"/>
  <c r="O80" i="20"/>
  <c r="N80" i="20"/>
  <c r="M80" i="20"/>
  <c r="L80" i="20"/>
  <c r="K80" i="20"/>
  <c r="J80" i="20"/>
  <c r="I80" i="20"/>
  <c r="H80" i="20"/>
  <c r="G80" i="20"/>
  <c r="F80" i="20"/>
  <c r="E80" i="20"/>
  <c r="D80" i="20"/>
  <c r="C80" i="20"/>
  <c r="B80" i="20"/>
  <c r="BH79" i="20"/>
  <c r="BB79" i="20"/>
  <c r="AW79" i="20"/>
  <c r="AR79" i="20"/>
  <c r="AL79" i="20"/>
  <c r="AF79" i="20"/>
  <c r="Z79" i="20"/>
  <c r="U79" i="20"/>
  <c r="P79" i="20"/>
  <c r="L79" i="20"/>
  <c r="G79" i="20"/>
  <c r="BH78" i="20"/>
  <c r="BB78" i="20"/>
  <c r="AW78" i="20"/>
  <c r="AR78" i="20"/>
  <c r="AL78" i="20"/>
  <c r="AF78" i="20"/>
  <c r="Z78" i="20"/>
  <c r="U78" i="20"/>
  <c r="P78" i="20"/>
  <c r="L78" i="20"/>
  <c r="G78" i="20"/>
  <c r="BH77" i="20"/>
  <c r="BB77" i="20"/>
  <c r="AW77" i="20"/>
  <c r="AW80" i="20"/>
  <c r="AR77" i="20"/>
  <c r="AL77" i="20"/>
  <c r="AF77" i="20"/>
  <c r="Z77" i="20"/>
  <c r="U77" i="20"/>
  <c r="P77" i="20"/>
  <c r="L77" i="20"/>
  <c r="G77" i="20"/>
  <c r="BH76" i="20"/>
  <c r="BB76" i="20"/>
  <c r="BB80" i="20"/>
  <c r="AW76" i="20"/>
  <c r="AR76" i="20"/>
  <c r="AR80" i="20"/>
  <c r="AL76" i="20"/>
  <c r="AL80" i="20"/>
  <c r="AF76" i="20"/>
  <c r="AF80" i="20"/>
  <c r="Z76" i="20"/>
  <c r="Z80" i="20"/>
  <c r="U76" i="20"/>
  <c r="U80" i="20"/>
  <c r="P76" i="20"/>
  <c r="P80" i="20"/>
  <c r="L76" i="20"/>
  <c r="G76" i="20"/>
  <c r="BE71" i="20"/>
  <c r="BE140" i="20"/>
  <c r="BD71" i="20"/>
  <c r="BC71" i="20"/>
  <c r="AZ71" i="20"/>
  <c r="AZ140" i="20"/>
  <c r="AY71" i="20"/>
  <c r="AX71" i="20"/>
  <c r="AU71" i="20"/>
  <c r="AT71" i="20"/>
  <c r="AS71" i="20"/>
  <c r="AO71" i="20"/>
  <c r="AN71" i="20"/>
  <c r="AM71" i="20"/>
  <c r="AM140" i="20"/>
  <c r="AI71" i="20"/>
  <c r="AH71" i="20"/>
  <c r="AG71" i="20"/>
  <c r="AC71" i="20"/>
  <c r="AB71" i="20"/>
  <c r="AA71" i="20"/>
  <c r="X71" i="20"/>
  <c r="W71" i="20"/>
  <c r="V71" i="20"/>
  <c r="S71" i="20"/>
  <c r="R71" i="20"/>
  <c r="R140" i="20"/>
  <c r="Q71" i="20"/>
  <c r="O71" i="20"/>
  <c r="N71" i="20"/>
  <c r="M71" i="20"/>
  <c r="J71" i="20"/>
  <c r="I71" i="20"/>
  <c r="H71" i="20"/>
  <c r="D71" i="20"/>
  <c r="C71" i="20"/>
  <c r="B71" i="20"/>
  <c r="BH70" i="20"/>
  <c r="BH71" i="20"/>
  <c r="BB70" i="20"/>
  <c r="BB71" i="20"/>
  <c r="AW70" i="20"/>
  <c r="AW71" i="20"/>
  <c r="AR70" i="20"/>
  <c r="AR71" i="20"/>
  <c r="AL70" i="20"/>
  <c r="AL71" i="20"/>
  <c r="AF70" i="20"/>
  <c r="AF71" i="20"/>
  <c r="Z70" i="20"/>
  <c r="Z71" i="20"/>
  <c r="U70" i="20"/>
  <c r="U71" i="20"/>
  <c r="P70" i="20"/>
  <c r="P71" i="20"/>
  <c r="L70" i="20"/>
  <c r="L71" i="20"/>
  <c r="G70" i="20"/>
  <c r="G71" i="20"/>
  <c r="BE67" i="20"/>
  <c r="BD67" i="20"/>
  <c r="BC67" i="20"/>
  <c r="AZ67" i="20"/>
  <c r="AY67" i="20"/>
  <c r="AX67" i="20"/>
  <c r="AU67" i="20"/>
  <c r="AT67" i="20"/>
  <c r="AS67" i="20"/>
  <c r="AO67" i="20"/>
  <c r="AN67" i="20"/>
  <c r="AM67" i="20"/>
  <c r="AI67" i="20"/>
  <c r="AH67" i="20"/>
  <c r="AG67" i="20"/>
  <c r="AC67" i="20"/>
  <c r="AB67" i="20"/>
  <c r="AA67" i="20"/>
  <c r="X67" i="20"/>
  <c r="W67" i="20"/>
  <c r="V67" i="20"/>
  <c r="S67" i="20"/>
  <c r="R67" i="20"/>
  <c r="Q67" i="20"/>
  <c r="O67" i="20"/>
  <c r="N67" i="20"/>
  <c r="M67" i="20"/>
  <c r="J67" i="20"/>
  <c r="I67" i="20"/>
  <c r="H67" i="20"/>
  <c r="D67" i="20"/>
  <c r="C67" i="20"/>
  <c r="B67" i="20"/>
  <c r="BH66" i="20"/>
  <c r="BH67" i="20"/>
  <c r="BB66" i="20"/>
  <c r="BB67" i="20"/>
  <c r="AW66" i="20"/>
  <c r="AW67" i="20"/>
  <c r="AR66" i="20"/>
  <c r="AR67" i="20"/>
  <c r="AL66" i="20"/>
  <c r="AL67" i="20"/>
  <c r="AF66" i="20"/>
  <c r="AF67" i="20"/>
  <c r="Z66" i="20"/>
  <c r="Z67" i="20"/>
  <c r="U66" i="20"/>
  <c r="U67" i="20"/>
  <c r="P66" i="20"/>
  <c r="P67" i="20"/>
  <c r="L66" i="20"/>
  <c r="L67" i="20"/>
  <c r="G66" i="20"/>
  <c r="G67" i="20"/>
  <c r="BH62" i="20"/>
  <c r="BB62" i="20"/>
  <c r="AW62" i="20"/>
  <c r="AR62" i="20"/>
  <c r="AL62" i="20"/>
  <c r="AF62" i="20"/>
  <c r="Z62" i="20"/>
  <c r="U62" i="20"/>
  <c r="P62" i="20"/>
  <c r="L62" i="20"/>
  <c r="G62" i="20"/>
  <c r="B59" i="20"/>
  <c r="BH58" i="20"/>
  <c r="BH59" i="20"/>
  <c r="BB58" i="20"/>
  <c r="BB59" i="20"/>
  <c r="AW58" i="20"/>
  <c r="AW59" i="20"/>
  <c r="AR58" i="20"/>
  <c r="AR59" i="20"/>
  <c r="AL58" i="20"/>
  <c r="AL59" i="20"/>
  <c r="AF58" i="20"/>
  <c r="AF59" i="20"/>
  <c r="Z58" i="20"/>
  <c r="Z59" i="20"/>
  <c r="U58" i="20"/>
  <c r="U59" i="20"/>
  <c r="P58" i="20"/>
  <c r="P59" i="20"/>
  <c r="L58" i="20"/>
  <c r="L59" i="20"/>
  <c r="G58" i="20"/>
  <c r="G59" i="20"/>
  <c r="B54" i="20"/>
  <c r="BH53" i="20"/>
  <c r="BB53" i="20"/>
  <c r="AW53" i="20"/>
  <c r="AR53" i="20"/>
  <c r="AL53" i="20"/>
  <c r="AF53" i="20"/>
  <c r="Z53" i="20"/>
  <c r="U53" i="20"/>
  <c r="P53" i="20"/>
  <c r="L53" i="20"/>
  <c r="G53" i="20"/>
  <c r="B48" i="20"/>
  <c r="BH47" i="20"/>
  <c r="BB47" i="20"/>
  <c r="AW47" i="20"/>
  <c r="AR47" i="20"/>
  <c r="AL47" i="20"/>
  <c r="AF47" i="20"/>
  <c r="Z47" i="20"/>
  <c r="U47" i="20"/>
  <c r="P47" i="20"/>
  <c r="L47" i="20"/>
  <c r="G47" i="20"/>
  <c r="BH42" i="20"/>
  <c r="BB42" i="20"/>
  <c r="AW42" i="20"/>
  <c r="AR42" i="20"/>
  <c r="AL42" i="20"/>
  <c r="AF42" i="20"/>
  <c r="Z42" i="20"/>
  <c r="U42" i="20"/>
  <c r="P42" i="20"/>
  <c r="L42" i="20"/>
  <c r="G42" i="20"/>
  <c r="BG38" i="20"/>
  <c r="BF38" i="20"/>
  <c r="BE38" i="20"/>
  <c r="BD38" i="20"/>
  <c r="BC38" i="20"/>
  <c r="BA38" i="20"/>
  <c r="AZ38" i="20"/>
  <c r="AY38" i="20"/>
  <c r="AX38" i="20"/>
  <c r="AV38" i="20"/>
  <c r="AU38" i="20"/>
  <c r="AT38" i="20"/>
  <c r="AS38" i="20"/>
  <c r="AR38" i="20"/>
  <c r="AQ38" i="20"/>
  <c r="AP38" i="20"/>
  <c r="AO38" i="20"/>
  <c r="AN38" i="20"/>
  <c r="AM38" i="20"/>
  <c r="AK38" i="20"/>
  <c r="AJ38" i="20"/>
  <c r="AI38" i="20"/>
  <c r="AH38" i="20"/>
  <c r="AG38" i="20"/>
  <c r="AF38" i="20"/>
  <c r="AE38" i="20"/>
  <c r="AD38" i="20"/>
  <c r="AC38" i="20"/>
  <c r="AB38" i="20"/>
  <c r="AA38" i="20"/>
  <c r="Y38" i="20"/>
  <c r="X38" i="20"/>
  <c r="W38" i="20"/>
  <c r="V38" i="20"/>
  <c r="U38" i="20"/>
  <c r="T38" i="20"/>
  <c r="S38" i="20"/>
  <c r="R38" i="20"/>
  <c r="Q38" i="20"/>
  <c r="O38" i="20"/>
  <c r="N38" i="20"/>
  <c r="M38" i="20"/>
  <c r="K38" i="20"/>
  <c r="J38" i="20"/>
  <c r="I38" i="20"/>
  <c r="H38" i="20"/>
  <c r="F38" i="20"/>
  <c r="E38" i="20"/>
  <c r="D38" i="20"/>
  <c r="C38" i="20"/>
  <c r="B38" i="20"/>
  <c r="BH37" i="20"/>
  <c r="BH36" i="20"/>
  <c r="BH38" i="20"/>
  <c r="BB36" i="20"/>
  <c r="BB38" i="20"/>
  <c r="AW36" i="20"/>
  <c r="AW38" i="20"/>
  <c r="AR36" i="20"/>
  <c r="AL36" i="20"/>
  <c r="AL38" i="20"/>
  <c r="AF36" i="20"/>
  <c r="Z36" i="20"/>
  <c r="Z38" i="20"/>
  <c r="U36" i="20"/>
  <c r="P36" i="20"/>
  <c r="P38" i="20"/>
  <c r="L36" i="20"/>
  <c r="L38" i="20"/>
  <c r="G36" i="20"/>
  <c r="G38" i="20"/>
  <c r="BG32" i="20"/>
  <c r="BF32" i="20"/>
  <c r="BE32" i="20"/>
  <c r="BD32" i="20"/>
  <c r="BC32" i="20"/>
  <c r="BA32" i="20"/>
  <c r="AZ32" i="20"/>
  <c r="AY32" i="20"/>
  <c r="AX32" i="20"/>
  <c r="AV32" i="20"/>
  <c r="AU32" i="20"/>
  <c r="AT32" i="20"/>
  <c r="AS32" i="20"/>
  <c r="AQ32" i="20"/>
  <c r="AP32" i="20"/>
  <c r="AO32" i="20"/>
  <c r="AN32" i="20"/>
  <c r="AM32" i="20"/>
  <c r="AK32" i="20"/>
  <c r="AJ32" i="20"/>
  <c r="AI32" i="20"/>
  <c r="AH32" i="20"/>
  <c r="AG32" i="20"/>
  <c r="AE32" i="20"/>
  <c r="AD32" i="20"/>
  <c r="AC32" i="20"/>
  <c r="AB32" i="20"/>
  <c r="AA32" i="20"/>
  <c r="Y32" i="20"/>
  <c r="X32" i="20"/>
  <c r="W32" i="20"/>
  <c r="V32" i="20"/>
  <c r="T32" i="20"/>
  <c r="S32" i="20"/>
  <c r="R32" i="20"/>
  <c r="Q32" i="20"/>
  <c r="O32" i="20"/>
  <c r="N32" i="20"/>
  <c r="M32" i="20"/>
  <c r="K32" i="20"/>
  <c r="J32" i="20"/>
  <c r="I32" i="20"/>
  <c r="H32" i="20"/>
  <c r="F32" i="20"/>
  <c r="E32" i="20"/>
  <c r="D32" i="20"/>
  <c r="C32" i="20"/>
  <c r="B32" i="20"/>
  <c r="BH31" i="20"/>
  <c r="BB31" i="20"/>
  <c r="AW31" i="20"/>
  <c r="AR31" i="20"/>
  <c r="AL31" i="20"/>
  <c r="AF31" i="20"/>
  <c r="Z31" i="20"/>
  <c r="U31" i="20"/>
  <c r="P31" i="20"/>
  <c r="L31" i="20"/>
  <c r="G31" i="20"/>
  <c r="BH30" i="20"/>
  <c r="BB30" i="20"/>
  <c r="AW30" i="20"/>
  <c r="AR30" i="20"/>
  <c r="AL30" i="20"/>
  <c r="AF30" i="20"/>
  <c r="Z30" i="20"/>
  <c r="U30" i="20"/>
  <c r="P30" i="20"/>
  <c r="L30" i="20"/>
  <c r="G30" i="20"/>
  <c r="BH29" i="20"/>
  <c r="BB29" i="20"/>
  <c r="AW29" i="20"/>
  <c r="AR29" i="20"/>
  <c r="AL29" i="20"/>
  <c r="AF29" i="20"/>
  <c r="Z29" i="20"/>
  <c r="U29" i="20"/>
  <c r="P29" i="20"/>
  <c r="L29" i="20"/>
  <c r="G29" i="20"/>
  <c r="BH28" i="20"/>
  <c r="BB28" i="20"/>
  <c r="AW28" i="20"/>
  <c r="AR28" i="20"/>
  <c r="AL28" i="20"/>
  <c r="AF28" i="20"/>
  <c r="Z28" i="20"/>
  <c r="U28" i="20"/>
  <c r="P28" i="20"/>
  <c r="L28" i="20"/>
  <c r="G28" i="20"/>
  <c r="BH27" i="20"/>
  <c r="BB27" i="20"/>
  <c r="AW27" i="20"/>
  <c r="AR27" i="20"/>
  <c r="AL27" i="20"/>
  <c r="AF27" i="20"/>
  <c r="Z27" i="20"/>
  <c r="U27" i="20"/>
  <c r="P27" i="20"/>
  <c r="L27" i="20"/>
  <c r="G27" i="20"/>
  <c r="G32" i="20"/>
  <c r="BH26" i="20"/>
  <c r="BB26" i="20"/>
  <c r="AW26" i="20"/>
  <c r="AR26" i="20"/>
  <c r="AL26" i="20"/>
  <c r="AF26" i="20"/>
  <c r="Z26" i="20"/>
  <c r="U26" i="20"/>
  <c r="P26" i="20"/>
  <c r="L26" i="20"/>
  <c r="G26" i="20"/>
  <c r="BH25" i="20"/>
  <c r="BB25" i="20"/>
  <c r="AW25" i="20"/>
  <c r="AR25" i="20"/>
  <c r="AL25" i="20"/>
  <c r="AF25" i="20"/>
  <c r="Z25" i="20"/>
  <c r="U25" i="20"/>
  <c r="P25" i="20"/>
  <c r="L25" i="20"/>
  <c r="G25" i="20"/>
  <c r="BH24" i="20"/>
  <c r="BB24" i="20"/>
  <c r="AW24" i="20"/>
  <c r="AR24" i="20"/>
  <c r="AL24" i="20"/>
  <c r="AF24" i="20"/>
  <c r="Z24" i="20"/>
  <c r="U24" i="20"/>
  <c r="P24" i="20"/>
  <c r="L24" i="20"/>
  <c r="G24" i="20"/>
  <c r="BH23" i="20"/>
  <c r="BB23" i="20"/>
  <c r="AW23" i="20"/>
  <c r="AR23" i="20"/>
  <c r="AL23" i="20"/>
  <c r="AF23" i="20"/>
  <c r="Z23" i="20"/>
  <c r="U23" i="20"/>
  <c r="P23" i="20"/>
  <c r="L23" i="20"/>
  <c r="G23" i="20"/>
  <c r="BH22" i="20"/>
  <c r="BB22" i="20"/>
  <c r="AW22" i="20"/>
  <c r="AR22" i="20"/>
  <c r="AL22" i="20"/>
  <c r="AF22" i="20"/>
  <c r="Z22" i="20"/>
  <c r="U22" i="20"/>
  <c r="P22" i="20"/>
  <c r="L22" i="20"/>
  <c r="G22" i="20"/>
  <c r="BH21" i="20"/>
  <c r="BB21" i="20"/>
  <c r="AW21" i="20"/>
  <c r="AR21" i="20"/>
  <c r="AR32" i="20"/>
  <c r="AL21" i="20"/>
  <c r="AF21" i="20"/>
  <c r="Z21" i="20"/>
  <c r="U21" i="20"/>
  <c r="P21" i="20"/>
  <c r="L21" i="20"/>
  <c r="G21" i="20"/>
  <c r="BH20" i="20"/>
  <c r="BH32" i="20"/>
  <c r="BB20" i="20"/>
  <c r="BB32" i="20"/>
  <c r="AW20" i="20"/>
  <c r="AW32" i="20"/>
  <c r="AR20" i="20"/>
  <c r="AL20" i="20"/>
  <c r="AL32" i="20"/>
  <c r="AF20" i="20"/>
  <c r="AF32" i="20"/>
  <c r="Z20" i="20"/>
  <c r="Z32" i="20"/>
  <c r="U20" i="20"/>
  <c r="U32" i="20"/>
  <c r="P20" i="20"/>
  <c r="P32" i="20"/>
  <c r="L20" i="20"/>
  <c r="L32" i="20"/>
  <c r="G20" i="20"/>
  <c r="BH15" i="20"/>
  <c r="BB15" i="20"/>
  <c r="AW15" i="20"/>
  <c r="AR15" i="20"/>
  <c r="AL15" i="20"/>
  <c r="AF15" i="20"/>
  <c r="Z15" i="20"/>
  <c r="U15" i="20"/>
  <c r="P15" i="20"/>
  <c r="L15" i="20"/>
  <c r="G15" i="20"/>
  <c r="BG11" i="20"/>
  <c r="BG140" i="20"/>
  <c r="BF11" i="20"/>
  <c r="BE11" i="20"/>
  <c r="BD11" i="20"/>
  <c r="BC11" i="20"/>
  <c r="BA11" i="20"/>
  <c r="AZ11" i="20"/>
  <c r="AY11" i="20"/>
  <c r="AY140" i="20"/>
  <c r="AX11" i="20"/>
  <c r="AV11" i="20"/>
  <c r="AV140" i="20"/>
  <c r="AU11" i="20"/>
  <c r="AU140" i="20"/>
  <c r="AT11" i="20"/>
  <c r="AS11" i="20"/>
  <c r="AS140" i="20"/>
  <c r="AQ11" i="20"/>
  <c r="AP11" i="20"/>
  <c r="AP140" i="20"/>
  <c r="AO11" i="20"/>
  <c r="AN11" i="20"/>
  <c r="AM11" i="20"/>
  <c r="AK11" i="20"/>
  <c r="AK140" i="20"/>
  <c r="AJ11" i="20"/>
  <c r="AJ140" i="20"/>
  <c r="AI11" i="20"/>
  <c r="AH11" i="20"/>
  <c r="AG11" i="20"/>
  <c r="AG140" i="20"/>
  <c r="AE11" i="20"/>
  <c r="AD11" i="20"/>
  <c r="AC11" i="20"/>
  <c r="AB11" i="20"/>
  <c r="AB140" i="20"/>
  <c r="AA11" i="20"/>
  <c r="AA140" i="20"/>
  <c r="Y11" i="20"/>
  <c r="X11" i="20"/>
  <c r="W11" i="20"/>
  <c r="W140" i="20"/>
  <c r="V11" i="20"/>
  <c r="T11" i="20"/>
  <c r="T140" i="20"/>
  <c r="S11" i="20"/>
  <c r="S140" i="20"/>
  <c r="R11" i="20"/>
  <c r="Q11" i="20"/>
  <c r="O11" i="20"/>
  <c r="O140" i="20"/>
  <c r="N11" i="20"/>
  <c r="M11" i="20"/>
  <c r="M140" i="20"/>
  <c r="K11" i="20"/>
  <c r="K140" i="20"/>
  <c r="J11" i="20"/>
  <c r="I11" i="20"/>
  <c r="I140" i="20"/>
  <c r="H11" i="20"/>
  <c r="F11" i="20"/>
  <c r="F140" i="20"/>
  <c r="E11" i="20"/>
  <c r="D11" i="20"/>
  <c r="C11" i="20"/>
  <c r="B11" i="20"/>
  <c r="BH10" i="20"/>
  <c r="BB10" i="20"/>
  <c r="AW10" i="20"/>
  <c r="AR10" i="20"/>
  <c r="AL10" i="20"/>
  <c r="AF10" i="20"/>
  <c r="Z10" i="20"/>
  <c r="U10" i="20"/>
  <c r="P10" i="20"/>
  <c r="L10" i="20"/>
  <c r="G10" i="20"/>
  <c r="BH9" i="20"/>
  <c r="BB9" i="20"/>
  <c r="AW9" i="20"/>
  <c r="AR9" i="20"/>
  <c r="AL9" i="20"/>
  <c r="AF9" i="20"/>
  <c r="Z9" i="20"/>
  <c r="U9" i="20"/>
  <c r="P9" i="20"/>
  <c r="L9" i="20"/>
  <c r="G9" i="20"/>
  <c r="BH8" i="20"/>
  <c r="BB8" i="20"/>
  <c r="AW8" i="20"/>
  <c r="AR8" i="20"/>
  <c r="AL8" i="20"/>
  <c r="AF8" i="20"/>
  <c r="Z8" i="20"/>
  <c r="U8" i="20"/>
  <c r="P8" i="20"/>
  <c r="L8" i="20"/>
  <c r="G8" i="20"/>
  <c r="BH7" i="20"/>
  <c r="BB7" i="20"/>
  <c r="AW7" i="20"/>
  <c r="AR7" i="20"/>
  <c r="AL7" i="20"/>
  <c r="AF7" i="20"/>
  <c r="Z7" i="20"/>
  <c r="U7" i="20"/>
  <c r="P7" i="20"/>
  <c r="L7" i="20"/>
  <c r="G7" i="20"/>
  <c r="BH6" i="20"/>
  <c r="BH11" i="20"/>
  <c r="BB6" i="20"/>
  <c r="BB11" i="20"/>
  <c r="AW6" i="20"/>
  <c r="AR6" i="20"/>
  <c r="AL6" i="20"/>
  <c r="AF6" i="20"/>
  <c r="Z6" i="20"/>
  <c r="Z11" i="20"/>
  <c r="U6" i="20"/>
  <c r="P6" i="20"/>
  <c r="P11" i="20"/>
  <c r="L6" i="20"/>
  <c r="G6" i="20"/>
  <c r="BC140" i="20"/>
  <c r="BD140" i="20"/>
  <c r="AI140" i="20"/>
  <c r="J140" i="20"/>
  <c r="AN140" i="20"/>
  <c r="BF140" i="20"/>
  <c r="C140" i="20"/>
  <c r="D140" i="20"/>
  <c r="AH140" i="20"/>
  <c r="AT140" i="20"/>
  <c r="Q140" i="20"/>
  <c r="V140" i="20"/>
  <c r="H140" i="20"/>
  <c r="X140" i="20"/>
  <c r="BH140" i="20"/>
  <c r="E140" i="20"/>
  <c r="BA140" i="20"/>
  <c r="P140" i="20"/>
  <c r="AO140" i="20"/>
  <c r="BB140" i="20"/>
  <c r="AC140" i="20"/>
  <c r="AF11" i="20"/>
  <c r="AF140" i="20"/>
  <c r="AL11" i="20"/>
  <c r="AR11" i="20"/>
  <c r="AR140" i="20"/>
  <c r="AW11" i="20"/>
  <c r="AW140" i="20"/>
  <c r="B140" i="20"/>
  <c r="L11" i="20"/>
  <c r="L140" i="20"/>
  <c r="G11" i="20"/>
  <c r="G140" i="20"/>
  <c r="U11" i="20"/>
  <c r="U140" i="20"/>
  <c r="BN38" i="20"/>
  <c r="BN94" i="20"/>
  <c r="BN80" i="20"/>
  <c r="BN137" i="20"/>
  <c r="BM140" i="20"/>
  <c r="BN88" i="20"/>
  <c r="BN32" i="20"/>
  <c r="BL140" i="20"/>
  <c r="BN11" i="20"/>
  <c r="BK140" i="20"/>
  <c r="AX140" i="20"/>
  <c r="AL140" i="20"/>
  <c r="Z140" i="20"/>
  <c r="N140" i="20"/>
  <c r="E148" i="8"/>
  <c r="E147" i="8"/>
  <c r="G147" i="9"/>
  <c r="E5" i="8"/>
  <c r="E6" i="8"/>
  <c r="E7" i="8"/>
  <c r="E8" i="8"/>
  <c r="E9" i="8"/>
  <c r="E10" i="8"/>
  <c r="E11" i="8"/>
  <c r="E12" i="8"/>
  <c r="E13" i="8"/>
  <c r="E14" i="8"/>
  <c r="E15" i="8"/>
  <c r="E16" i="8"/>
  <c r="E17" i="8"/>
  <c r="E18" i="8"/>
  <c r="E19" i="8"/>
  <c r="E20" i="8"/>
  <c r="E21" i="8"/>
  <c r="E22" i="8"/>
  <c r="E23" i="8"/>
  <c r="E24" i="8"/>
  <c r="E25" i="8"/>
  <c r="E26" i="8"/>
  <c r="E27" i="8"/>
  <c r="E28" i="8"/>
  <c r="E29" i="8"/>
  <c r="E30" i="8"/>
  <c r="E31" i="8"/>
  <c r="E32" i="8"/>
  <c r="E33" i="8"/>
  <c r="E34" i="8"/>
  <c r="E35" i="8"/>
  <c r="E36" i="8"/>
  <c r="E37" i="8"/>
  <c r="E38" i="8"/>
  <c r="E39" i="8"/>
  <c r="E40" i="8"/>
  <c r="E41" i="8"/>
  <c r="E42" i="8"/>
  <c r="E43" i="8"/>
  <c r="E44" i="8"/>
  <c r="E45" i="8"/>
  <c r="E46" i="8"/>
  <c r="E47" i="8"/>
  <c r="E48" i="8"/>
  <c r="E49" i="8"/>
  <c r="E50" i="8"/>
  <c r="E51" i="8"/>
  <c r="E52" i="8"/>
  <c r="E53" i="8"/>
  <c r="E54" i="8"/>
  <c r="E55" i="8"/>
  <c r="E56" i="8"/>
  <c r="E57" i="8"/>
  <c r="E58" i="8"/>
  <c r="E59" i="8"/>
  <c r="E60" i="8"/>
  <c r="E61" i="8"/>
  <c r="E62" i="8"/>
  <c r="E63" i="8"/>
  <c r="E64" i="8"/>
  <c r="E65" i="8"/>
  <c r="E66" i="8"/>
  <c r="E67" i="8"/>
  <c r="E68" i="8"/>
  <c r="E69" i="8"/>
  <c r="E70" i="8"/>
  <c r="E71" i="8"/>
  <c r="E72" i="8"/>
  <c r="E73" i="8"/>
  <c r="E74" i="8"/>
  <c r="E75" i="8"/>
  <c r="E76" i="8"/>
  <c r="E78" i="8"/>
  <c r="E79" i="8"/>
  <c r="E80" i="8"/>
  <c r="E81" i="8"/>
  <c r="E82" i="8"/>
  <c r="E83" i="8"/>
  <c r="E84" i="8"/>
  <c r="E85" i="8"/>
  <c r="E86" i="8"/>
  <c r="E87" i="8"/>
  <c r="E88" i="8"/>
  <c r="E89" i="8"/>
  <c r="E90" i="8"/>
  <c r="E91" i="8"/>
  <c r="E92" i="8"/>
  <c r="E93" i="8"/>
  <c r="E94" i="8"/>
  <c r="E95" i="8"/>
  <c r="E96" i="8"/>
  <c r="E97" i="8"/>
  <c r="E98" i="8"/>
  <c r="E99" i="8"/>
  <c r="E100" i="8"/>
  <c r="E101" i="8"/>
  <c r="E102" i="8"/>
  <c r="E103" i="8"/>
  <c r="E104" i="8"/>
  <c r="E105" i="8"/>
  <c r="E106" i="8"/>
  <c r="E107" i="8"/>
  <c r="E108" i="8"/>
  <c r="E109" i="8"/>
  <c r="E110" i="8"/>
  <c r="E111" i="8"/>
  <c r="E112" i="8"/>
  <c r="E113" i="8"/>
  <c r="E114" i="8"/>
  <c r="E115" i="8"/>
  <c r="E116" i="8"/>
  <c r="E117" i="8"/>
  <c r="E118" i="8"/>
  <c r="E119" i="8"/>
  <c r="E120" i="8"/>
  <c r="E121" i="8"/>
  <c r="E122" i="8"/>
  <c r="E123" i="8"/>
  <c r="E124" i="8"/>
  <c r="E125" i="8"/>
  <c r="E126" i="8"/>
  <c r="E127" i="8"/>
  <c r="E128" i="8"/>
  <c r="E129" i="8"/>
  <c r="E130" i="8"/>
  <c r="E131" i="8"/>
  <c r="E132" i="8"/>
  <c r="E133" i="8"/>
  <c r="E134" i="8"/>
  <c r="E135" i="8"/>
  <c r="E136" i="8"/>
  <c r="E137" i="8"/>
  <c r="E138" i="8"/>
  <c r="E139" i="8"/>
  <c r="E140" i="8"/>
  <c r="E141" i="8"/>
  <c r="E142" i="8"/>
  <c r="E143" i="8"/>
  <c r="E144" i="8"/>
  <c r="E145" i="8"/>
  <c r="E146" i="8"/>
  <c r="G4" i="9"/>
  <c r="G5" i="9"/>
  <c r="G6" i="9"/>
  <c r="G7" i="9"/>
  <c r="G8" i="9"/>
  <c r="G9" i="9"/>
  <c r="G10" i="9"/>
  <c r="G11" i="9"/>
  <c r="G12" i="9"/>
  <c r="G13" i="9"/>
  <c r="G14" i="9"/>
  <c r="G15" i="9"/>
  <c r="G16" i="9"/>
  <c r="G17" i="9"/>
  <c r="G18" i="9"/>
  <c r="G19" i="9"/>
  <c r="G20" i="9"/>
  <c r="G21" i="9"/>
  <c r="G22" i="9"/>
  <c r="G23" i="9"/>
  <c r="G24" i="9"/>
  <c r="G25" i="9"/>
  <c r="G26" i="9"/>
  <c r="G27" i="9"/>
  <c r="G28" i="9"/>
  <c r="G29" i="9"/>
  <c r="G30" i="9"/>
  <c r="G31" i="9"/>
  <c r="G32" i="9"/>
  <c r="G33" i="9"/>
  <c r="G34" i="9"/>
  <c r="G35" i="9"/>
  <c r="G36" i="9"/>
  <c r="G37" i="9"/>
  <c r="G38" i="9"/>
  <c r="G39" i="9"/>
  <c r="G40" i="9"/>
  <c r="G41" i="9"/>
  <c r="G42" i="9"/>
  <c r="G43" i="9"/>
  <c r="G44" i="9"/>
  <c r="G45" i="9"/>
  <c r="G46" i="9"/>
  <c r="G47" i="9"/>
  <c r="G48" i="9"/>
  <c r="G49" i="9"/>
  <c r="G50" i="9"/>
  <c r="G51" i="9"/>
  <c r="G52" i="9"/>
  <c r="G53" i="9"/>
  <c r="G54" i="9"/>
  <c r="G55" i="9"/>
  <c r="G56" i="9"/>
  <c r="G57" i="9"/>
  <c r="G58" i="9"/>
  <c r="G59" i="9"/>
  <c r="G60" i="9"/>
  <c r="G61" i="9"/>
  <c r="G62" i="9"/>
  <c r="G63" i="9"/>
  <c r="G64" i="9"/>
  <c r="G65" i="9"/>
  <c r="G66" i="9"/>
  <c r="G67" i="9"/>
  <c r="G68" i="9"/>
  <c r="G69" i="9"/>
  <c r="G70" i="9"/>
  <c r="G71" i="9"/>
  <c r="G72" i="9"/>
  <c r="G73" i="9"/>
  <c r="G74" i="9"/>
  <c r="G75" i="9"/>
  <c r="G76" i="9"/>
  <c r="G77" i="9"/>
  <c r="G78" i="9"/>
  <c r="G79" i="9"/>
  <c r="G80" i="9"/>
  <c r="G81" i="9"/>
  <c r="G82" i="9"/>
  <c r="G83" i="9"/>
  <c r="G84" i="9"/>
  <c r="G85" i="9"/>
  <c r="G86" i="9"/>
  <c r="G87" i="9"/>
  <c r="G88" i="9"/>
  <c r="G89" i="9"/>
  <c r="G90" i="9"/>
  <c r="G91" i="9"/>
  <c r="G92" i="9"/>
  <c r="G93" i="9"/>
  <c r="G94" i="9"/>
  <c r="G95" i="9"/>
  <c r="G96" i="9"/>
  <c r="G97" i="9"/>
  <c r="G98" i="9"/>
  <c r="G99" i="9"/>
  <c r="G100" i="9"/>
  <c r="G101" i="9"/>
  <c r="G102" i="9"/>
  <c r="G103" i="9"/>
  <c r="G104" i="9"/>
  <c r="G105" i="9"/>
  <c r="G106" i="9"/>
  <c r="G107" i="9"/>
  <c r="G108" i="9"/>
  <c r="G109" i="9"/>
  <c r="G110" i="9"/>
  <c r="G111" i="9"/>
  <c r="G112" i="9"/>
  <c r="G113" i="9"/>
  <c r="G114" i="9"/>
  <c r="G115" i="9"/>
  <c r="G116" i="9"/>
  <c r="G117" i="9"/>
  <c r="G118" i="9"/>
  <c r="G119" i="9"/>
  <c r="G120" i="9"/>
  <c r="G121" i="9"/>
  <c r="G122" i="9"/>
  <c r="G123" i="9"/>
  <c r="G124" i="9"/>
  <c r="G125" i="9"/>
  <c r="G126" i="9"/>
  <c r="G127" i="9"/>
  <c r="G128" i="9"/>
  <c r="G129" i="9"/>
  <c r="G130" i="9"/>
  <c r="G131" i="9"/>
  <c r="G132" i="9"/>
  <c r="G133" i="9"/>
  <c r="G134" i="9"/>
  <c r="G135" i="9"/>
  <c r="G136" i="9"/>
  <c r="G137" i="9"/>
  <c r="G138" i="9"/>
  <c r="G139" i="9"/>
  <c r="G140" i="9"/>
  <c r="G141" i="9"/>
  <c r="G142" i="9"/>
  <c r="G143" i="9"/>
  <c r="G144" i="9"/>
  <c r="G145" i="9"/>
  <c r="G146" i="9"/>
  <c r="C2" i="15"/>
  <c r="H2" i="15"/>
  <c r="H18" i="15"/>
  <c r="B92" i="3"/>
  <c r="C92" i="3"/>
  <c r="D92" i="3"/>
  <c r="E92" i="3"/>
  <c r="F92" i="3"/>
  <c r="G92" i="3"/>
  <c r="H92" i="3"/>
  <c r="I92" i="3"/>
  <c r="J92" i="3"/>
  <c r="K92" i="3"/>
  <c r="L92" i="3"/>
  <c r="M92" i="3"/>
  <c r="N92" i="3"/>
  <c r="O92" i="3"/>
  <c r="P92" i="3"/>
  <c r="Q92" i="3"/>
  <c r="R92" i="3"/>
  <c r="S92" i="3"/>
  <c r="T92" i="3"/>
  <c r="U92" i="3"/>
  <c r="V92" i="3"/>
  <c r="W92" i="3"/>
  <c r="X92" i="3"/>
  <c r="Y92" i="3"/>
  <c r="Z92" i="3"/>
  <c r="AA92" i="3"/>
  <c r="AB92" i="3"/>
  <c r="AC92" i="3"/>
  <c r="AD92" i="3"/>
  <c r="AE92" i="3"/>
  <c r="AF92" i="3"/>
  <c r="AG92" i="3"/>
  <c r="AH92" i="3"/>
  <c r="AI92" i="3"/>
  <c r="AJ92" i="3"/>
  <c r="AK92" i="3"/>
  <c r="AL92" i="3"/>
  <c r="AM92" i="3"/>
  <c r="AN92" i="3"/>
  <c r="AO92" i="3"/>
  <c r="AP92" i="3"/>
  <c r="AQ92" i="3"/>
  <c r="AR92" i="3"/>
  <c r="AS92" i="3"/>
  <c r="AT92" i="3"/>
  <c r="AU92" i="3"/>
  <c r="AV92" i="3"/>
  <c r="AW92" i="3"/>
  <c r="AX92" i="3"/>
  <c r="AY92" i="3"/>
  <c r="AZ92" i="3"/>
  <c r="BA92" i="3"/>
  <c r="BB92" i="3"/>
  <c r="BC92" i="3"/>
  <c r="BD92" i="3"/>
  <c r="BE92" i="3"/>
  <c r="BF92" i="3"/>
  <c r="BG92" i="3"/>
  <c r="BH92" i="3"/>
  <c r="BI92" i="3"/>
  <c r="BJ92" i="3"/>
  <c r="BK92" i="3"/>
  <c r="BL92" i="3"/>
  <c r="BM92" i="3"/>
  <c r="BN92" i="3"/>
  <c r="BO92" i="3"/>
  <c r="BP92" i="3"/>
  <c r="BQ92" i="3"/>
  <c r="BR92" i="3"/>
  <c r="BS92" i="3"/>
  <c r="BT92" i="3"/>
  <c r="BU92" i="3"/>
  <c r="BV92" i="3"/>
  <c r="BW92" i="3"/>
  <c r="BX92" i="3"/>
  <c r="BY92" i="3"/>
  <c r="BZ92" i="3"/>
  <c r="CA92" i="3"/>
  <c r="CB92" i="3"/>
  <c r="CC92" i="3"/>
  <c r="CD92" i="3"/>
  <c r="CE92" i="3"/>
  <c r="CF92" i="3"/>
  <c r="CG92" i="3"/>
  <c r="CH92" i="3"/>
  <c r="CI92" i="3"/>
  <c r="CJ92" i="3"/>
  <c r="CK92" i="3"/>
  <c r="CL92" i="3"/>
  <c r="CM92" i="3"/>
  <c r="CN92" i="3"/>
  <c r="CO92" i="3"/>
  <c r="CP92" i="3"/>
  <c r="CQ92" i="3"/>
  <c r="CR92" i="3"/>
  <c r="CS92" i="3"/>
  <c r="CT92" i="3"/>
  <c r="CU92" i="3"/>
  <c r="CV92" i="3"/>
  <c r="CW92" i="3"/>
  <c r="CX92" i="3"/>
  <c r="CY92" i="3"/>
  <c r="CZ92" i="3"/>
  <c r="DA92" i="3"/>
  <c r="DB92" i="3"/>
  <c r="DC92" i="3"/>
  <c r="DD92" i="3"/>
  <c r="DE92" i="3"/>
  <c r="DF92" i="3"/>
  <c r="DG92" i="3"/>
  <c r="DH92" i="3"/>
  <c r="DI92" i="3"/>
  <c r="DJ92" i="3"/>
  <c r="DK92" i="3"/>
  <c r="DL92" i="3"/>
  <c r="DM92" i="3"/>
  <c r="DN92" i="3"/>
  <c r="DO92" i="3"/>
  <c r="DP92" i="3"/>
  <c r="DQ92" i="3"/>
  <c r="DR92" i="3"/>
  <c r="DS92" i="3"/>
  <c r="DT92" i="3"/>
  <c r="DU92" i="3"/>
  <c r="DV92" i="3"/>
  <c r="DW92" i="3"/>
  <c r="DX92" i="3"/>
  <c r="DY92" i="3"/>
  <c r="DZ92" i="3"/>
  <c r="EA92" i="3"/>
  <c r="EB92" i="3"/>
  <c r="EC92" i="3"/>
  <c r="ED92" i="3"/>
  <c r="EE92" i="3"/>
  <c r="EF92" i="3"/>
  <c r="EG92" i="3"/>
  <c r="EH92" i="3"/>
  <c r="EI92" i="3"/>
  <c r="EJ92" i="3"/>
  <c r="EK92" i="3"/>
  <c r="EL92" i="3"/>
  <c r="EM92" i="3"/>
  <c r="EN92" i="3"/>
  <c r="C6" i="15" l="1"/>
  <c r="H6" i="15"/>
  <c r="C26" i="15" s="1"/>
  <c r="H8" i="15" l="1"/>
  <c r="H9" i="15" s="1"/>
  <c r="C8" i="15"/>
  <c r="C9" i="15" s="1"/>
</calcChain>
</file>

<file path=xl/sharedStrings.xml><?xml version="1.0" encoding="utf-8"?>
<sst xmlns="http://schemas.openxmlformats.org/spreadsheetml/2006/main" count="1880" uniqueCount="469">
  <si>
    <t xml:space="preserve">TOTAL PERSONAL </t>
  </si>
  <si>
    <t xml:space="preserve">HORAS NORMALES TEORICAS </t>
  </si>
  <si>
    <t xml:space="preserve">DIAS HABILES </t>
  </si>
  <si>
    <t xml:space="preserve">HORAS NORMALES TRABAJADAS </t>
  </si>
  <si>
    <t xml:space="preserve">ENFERMEDAD </t>
  </si>
  <si>
    <t xml:space="preserve">ACCIDENTES </t>
  </si>
  <si>
    <t xml:space="preserve">LIC VARIAS </t>
  </si>
  <si>
    <t xml:space="preserve">LICENCIA ANUAL </t>
  </si>
  <si>
    <t>COMEDOR</t>
  </si>
  <si>
    <t>ELECTRICIDAD</t>
  </si>
  <si>
    <t>SYNCROLIFT</t>
  </si>
  <si>
    <t>MECANICA</t>
  </si>
  <si>
    <t>TRANSPORTES</t>
  </si>
  <si>
    <t>CARENADO</t>
  </si>
  <si>
    <t>CONSTRUCCIONES</t>
  </si>
  <si>
    <t>MANTENIMIENTO</t>
  </si>
  <si>
    <t>BOMBEROS</t>
  </si>
  <si>
    <t>VACACIONES</t>
  </si>
  <si>
    <t>CONCEPTO</t>
  </si>
  <si>
    <t>HORAS</t>
  </si>
  <si>
    <t>ACCIDENTES</t>
  </si>
  <si>
    <t>COMPENSATORIOS</t>
  </si>
  <si>
    <t>ENFERMEDAD</t>
  </si>
  <si>
    <t>AUSENCIAS JUSTIFICADAS</t>
  </si>
  <si>
    <t>AUSENCIAS INJUSTIFICADAS</t>
  </si>
  <si>
    <t>SUSPENSIONES</t>
  </si>
  <si>
    <t>Nº</t>
  </si>
  <si>
    <t>LEG.</t>
  </si>
  <si>
    <t>APELLIDO Y NOMBRE</t>
  </si>
  <si>
    <t>SECTOR</t>
  </si>
  <si>
    <t>CATEGORIA</t>
  </si>
  <si>
    <t>TOTAL MENSUAL</t>
  </si>
  <si>
    <t>TOTAL</t>
  </si>
  <si>
    <t>AUSENTISMO PERSONAL DE CONVENIO</t>
  </si>
  <si>
    <t xml:space="preserve">SIN DERIVACION </t>
  </si>
  <si>
    <t>MES</t>
  </si>
  <si>
    <t xml:space="preserve">CON DERIVACION ART </t>
  </si>
  <si>
    <t>CANT PERS</t>
  </si>
  <si>
    <t>INDICE ACC DERIVADOS</t>
  </si>
  <si>
    <t>Mes</t>
  </si>
  <si>
    <t>Acc Menores</t>
  </si>
  <si>
    <t>Acc Leves</t>
  </si>
  <si>
    <t>Acc Moderados</t>
  </si>
  <si>
    <t>Acc graves</t>
  </si>
  <si>
    <t>Total</t>
  </si>
  <si>
    <t xml:space="preserve">Clasificacion de Accidentes: </t>
  </si>
  <si>
    <t>FECHA INGRESO</t>
  </si>
  <si>
    <t>COBRERIA</t>
  </si>
  <si>
    <t>ADMINISTRACION</t>
  </si>
  <si>
    <t>IRIZAR</t>
  </si>
  <si>
    <t>CONTROL DE CONTRATISTAS</t>
  </si>
  <si>
    <t>COMPENSATORIOS (Pag/ Impag)</t>
  </si>
  <si>
    <t>COMPENSATORIOS (Pag)</t>
  </si>
  <si>
    <t>HABITABILIDAD</t>
  </si>
  <si>
    <t>PROYECTO BARCAZAS</t>
  </si>
  <si>
    <t>CONTRATACIONES / COMPRAS</t>
  </si>
  <si>
    <t>PRESENTISMO TOTAL  %</t>
  </si>
  <si>
    <t>AUSENTISMO TOTAL %</t>
  </si>
  <si>
    <t>AUSENTISMO CONVENIO (HORAS)</t>
  </si>
  <si>
    <t xml:space="preserve">HORAS NORMALES REALES TRABAJADAS </t>
  </si>
  <si>
    <t>CALDEDERIA</t>
  </si>
  <si>
    <t>AUSENTISMO FUERA DE CONVENIO (HORAS)</t>
  </si>
  <si>
    <t>AUSENTISMO PERSONAL FUERA DE CONVENIO</t>
  </si>
  <si>
    <t>DISTRIBUCION DE HORAS  PERSONAL DE TANDANOR ( CONVENIO Y FUERA DE CONVENIO) - BASE DE CALCULO: HORAS REALES.</t>
  </si>
  <si>
    <t>SERVICIO MEDICO</t>
  </si>
  <si>
    <t>ENE - 2013</t>
  </si>
  <si>
    <t xml:space="preserve">APERTURA DE LAS HORAS DE AUSENTISMO - EN BASE AL PORCENTAJE </t>
  </si>
  <si>
    <t>RANKING DE ACCIDENTES POR CENTRO DE COSTOS  (NOMINA TOTAL)</t>
  </si>
  <si>
    <t>ALTAS Y BAJAS PERSONAL DE TANDANOR (NOMINA TOTAL)</t>
  </si>
  <si>
    <t>CLASIFICACION DE ACCIDENTES (NOMINA TOTAL)</t>
  </si>
  <si>
    <t>FEB - 2013</t>
  </si>
  <si>
    <t>MAR -2013</t>
  </si>
  <si>
    <t>APERTURA DE LAS HORAS DE AUSENTISMO PERSONAL FUERA DE CONVENIO - EN BASE AL PORCENTAJE</t>
  </si>
  <si>
    <t xml:space="preserve">TOTAL AUSENCIA JUSTIFICADAS </t>
  </si>
  <si>
    <t>TOTAL AUSENCIAS INJUSTIFICADAS</t>
  </si>
  <si>
    <t>ABRIL - 2013</t>
  </si>
  <si>
    <t>MAYO - 2013</t>
  </si>
  <si>
    <t>JUNIO - 2013</t>
  </si>
  <si>
    <r>
      <t xml:space="preserve">1) </t>
    </r>
    <r>
      <rPr>
        <b/>
        <u/>
        <sz val="10"/>
        <rFont val="Arial"/>
        <family val="2"/>
      </rPr>
      <t>Accidentes Menores:</t>
    </r>
    <r>
      <rPr>
        <b/>
        <sz val="10"/>
        <rFont val="Arial"/>
        <family val="2"/>
      </rPr>
      <t xml:space="preserve"> </t>
    </r>
    <r>
      <rPr>
        <sz val="10"/>
        <rFont val="Arial"/>
        <family val="2"/>
      </rPr>
      <t>Aquellos en los cuales el trabajador siniestrado luego de recibir asistencia sanitaria en el Serv. Médico de la empresa continuo desarrollando sus funciones laborativas habituales.</t>
    </r>
  </si>
  <si>
    <t>AGOST - 2013</t>
  </si>
  <si>
    <t xml:space="preserve"> </t>
  </si>
  <si>
    <t>SEPT - 2013</t>
  </si>
  <si>
    <t>DISTRIBUCION DE HORAS CONVENIO Y FUERA DE CONVENIO</t>
  </si>
  <si>
    <t>OCT - 2013</t>
  </si>
  <si>
    <t>NOV - 2013</t>
  </si>
  <si>
    <t>DIC - 2013</t>
  </si>
  <si>
    <t>ENE - 2014</t>
  </si>
  <si>
    <r>
      <t xml:space="preserve">3) </t>
    </r>
    <r>
      <rPr>
        <b/>
        <u/>
        <sz val="10"/>
        <rFont val="Arial"/>
        <family val="2"/>
      </rPr>
      <t xml:space="preserve">Accidentes Graves: </t>
    </r>
    <r>
      <rPr>
        <sz val="10"/>
        <rFont val="Arial"/>
        <family val="2"/>
      </rPr>
      <t>Aquellos que, sin importar los días caídos por el siniestro, dejaron como secuela para el trabajador una incapacidad, sin importar el grado de la misma, de tipo permanente. Se incluye en este apartado el óbito.</t>
    </r>
  </si>
  <si>
    <t>JULIO - 2013</t>
  </si>
  <si>
    <t>FEB -2014</t>
  </si>
  <si>
    <t>MAR - 2014</t>
  </si>
  <si>
    <t>ALMACENES</t>
  </si>
  <si>
    <t>ABRIL -2014</t>
  </si>
  <si>
    <t>1 In itinere</t>
  </si>
  <si>
    <t>MAYO - 2014</t>
  </si>
  <si>
    <t>JUNIO - 2014</t>
  </si>
  <si>
    <t>JUL -2014</t>
  </si>
  <si>
    <t>FECHA BAJA</t>
  </si>
  <si>
    <t>2 in itinere</t>
  </si>
  <si>
    <t>5 Reingresos</t>
  </si>
  <si>
    <t>DETALLE DE SUELDOS HISTORICOS POR GERENCIA / SECTOR (SIN CONTRIBUCIONES)</t>
  </si>
  <si>
    <t>GERENCIA/SECTOR</t>
  </si>
  <si>
    <t>OCTUBRE</t>
  </si>
  <si>
    <t>NOVIEMBRE</t>
  </si>
  <si>
    <t>DICIEMBRE</t>
  </si>
  <si>
    <t>ENERO</t>
  </si>
  <si>
    <t>FEBRERO</t>
  </si>
  <si>
    <t>MARZO</t>
  </si>
  <si>
    <t>ABRIL</t>
  </si>
  <si>
    <t>MAYO</t>
  </si>
  <si>
    <t>JUNIO</t>
  </si>
  <si>
    <t>JULIO</t>
  </si>
  <si>
    <t>AGOSTO</t>
  </si>
  <si>
    <t>SEPTIEMBRE</t>
  </si>
  <si>
    <t>CANT</t>
  </si>
  <si>
    <t>S. Bruto (sin extras)</t>
  </si>
  <si>
    <t>Horas Sup.</t>
  </si>
  <si>
    <t>SERV. MEDICO</t>
  </si>
  <si>
    <t>SUB-TOTAL G/S</t>
  </si>
  <si>
    <t>PRODUCCION</t>
  </si>
  <si>
    <t>CALDERERIA</t>
  </si>
  <si>
    <t>ALISTAMIENTO</t>
  </si>
  <si>
    <t>PRESIDENCIA</t>
  </si>
  <si>
    <t>AUDITORIA</t>
  </si>
  <si>
    <t>GERENCIA DE PROYECTOS</t>
  </si>
  <si>
    <t>GERENCIA GENERAL</t>
  </si>
  <si>
    <t xml:space="preserve">CONTROL DE GESTION </t>
  </si>
  <si>
    <t>INGENIERIA DE PROYECTO</t>
  </si>
  <si>
    <t>MODIFICACION DE BARCAZA</t>
  </si>
  <si>
    <t>INFRAESTRUCTURA</t>
  </si>
  <si>
    <t>SERV. GENERALES</t>
  </si>
  <si>
    <t>SEGURIDAD INDUSTRIAL</t>
  </si>
  <si>
    <t>DOMECQ</t>
  </si>
  <si>
    <t>CONTROL DE CALIDAD</t>
  </si>
  <si>
    <t>ABASTECIMIENTO</t>
  </si>
  <si>
    <t>COMERCIAL</t>
  </si>
  <si>
    <t>DESARROLLO DE NEGOCIOS</t>
  </si>
  <si>
    <t>PROYECTOS ARA</t>
  </si>
  <si>
    <t>PROY MANTILLA</t>
  </si>
  <si>
    <t>ALMIRANTE IRIZAR</t>
  </si>
  <si>
    <t>DIVISION FERROVIARIA</t>
  </si>
  <si>
    <t>TOTAL DOTACION</t>
  </si>
  <si>
    <t>AGOS - 2014</t>
  </si>
  <si>
    <t>1 Reingreso</t>
  </si>
  <si>
    <t>SEP - 2014</t>
  </si>
  <si>
    <t>1 Reingreso in itinere</t>
  </si>
  <si>
    <t>OCT - 2014</t>
  </si>
  <si>
    <t>3 In itinere</t>
  </si>
  <si>
    <t>NOV - 2014</t>
  </si>
  <si>
    <t>DIC - 2014</t>
  </si>
  <si>
    <t>2 In itinere</t>
  </si>
  <si>
    <t>ENERO - 2015</t>
  </si>
  <si>
    <t>FEB - 2015</t>
  </si>
  <si>
    <t xml:space="preserve">HORAS SUPLEMENTARIAS 55% </t>
  </si>
  <si>
    <t>HORAS EXTRAS 50%</t>
  </si>
  <si>
    <t>HORAS SUPLEMENTARIAS 100%</t>
  </si>
  <si>
    <t>HORAS EXTRAS 100%</t>
  </si>
  <si>
    <t>4 In itinere</t>
  </si>
  <si>
    <t>2 Reingresos</t>
  </si>
  <si>
    <t>MAR - 2015</t>
  </si>
  <si>
    <t>ABRIL - 2015</t>
  </si>
  <si>
    <t>MAYO - 2015</t>
  </si>
  <si>
    <t>5 In itinere</t>
  </si>
  <si>
    <t>JUNIO - 2015</t>
  </si>
  <si>
    <t>4 Rechazados</t>
  </si>
  <si>
    <t>JULIO - 2015</t>
  </si>
  <si>
    <t>AGOS - 2015</t>
  </si>
  <si>
    <t>SEPT - 2015</t>
  </si>
  <si>
    <t>OCT - 2015</t>
  </si>
  <si>
    <t>NOV - 2015</t>
  </si>
  <si>
    <t>DIC - 2015</t>
  </si>
  <si>
    <t>1 Rechazado</t>
  </si>
  <si>
    <t>ENE - 2016</t>
  </si>
  <si>
    <t>FEB - 2016</t>
  </si>
  <si>
    <t>1 reingreso</t>
  </si>
  <si>
    <t>MAR - 2016</t>
  </si>
  <si>
    <t>ABRIL - 2016</t>
  </si>
  <si>
    <t>MAYO - 2016</t>
  </si>
  <si>
    <t>JUNIO - 2016</t>
  </si>
  <si>
    <t>SISTEMAS</t>
  </si>
  <si>
    <t>JULIO - 2016</t>
  </si>
  <si>
    <t>AGOS - 2016</t>
  </si>
  <si>
    <t>SEPT - 2016</t>
  </si>
  <si>
    <t>OCT - 2016</t>
  </si>
  <si>
    <t>NOV - 2016</t>
  </si>
  <si>
    <t>DIC - 2016</t>
  </si>
  <si>
    <t>HORAS EXTRAS 50% E</t>
  </si>
  <si>
    <t>HORAS SUPLEMENTARIAS 55% E</t>
  </si>
  <si>
    <t>HORAS EXTRAS 100% E</t>
  </si>
  <si>
    <t>HORAS SUPLEMENTARIAS 130% E</t>
  </si>
  <si>
    <t>ENE- 2017</t>
  </si>
  <si>
    <t>2 Rechazos</t>
  </si>
  <si>
    <t>FEB- 2017</t>
  </si>
  <si>
    <t>MAR- 2017</t>
  </si>
  <si>
    <t>ABRIL - 2017</t>
  </si>
  <si>
    <t xml:space="preserve"> 2 In Itinere</t>
  </si>
  <si>
    <t>MAYO - 2017</t>
  </si>
  <si>
    <t>JUN - 2017</t>
  </si>
  <si>
    <t>1 RECHAZO</t>
  </si>
  <si>
    <t>JUL - 2017</t>
  </si>
  <si>
    <t>AGOS - 2017</t>
  </si>
  <si>
    <t>1RECHAZO</t>
  </si>
  <si>
    <t>SEPT - 2017</t>
  </si>
  <si>
    <t>OCT - 2017</t>
  </si>
  <si>
    <t>NOV - 2017</t>
  </si>
  <si>
    <t>DIC - 2017</t>
  </si>
  <si>
    <t>ENE - 2018</t>
  </si>
  <si>
    <t>FEB - 2018</t>
  </si>
  <si>
    <t>MAR - 2018</t>
  </si>
  <si>
    <t>ABRIL - 2018</t>
  </si>
  <si>
    <t>MAYO - 2018</t>
  </si>
  <si>
    <t>JUNIO - 2018</t>
  </si>
  <si>
    <t>JULIO - 2018</t>
  </si>
  <si>
    <t>AGOS- 2018</t>
  </si>
  <si>
    <t>SEPT- 2018</t>
  </si>
  <si>
    <t>OCT- 2018</t>
  </si>
  <si>
    <t>NOV-2018</t>
  </si>
  <si>
    <t>DIC-2018</t>
  </si>
  <si>
    <t>PROYECTOS ESPECIALES</t>
  </si>
  <si>
    <t>ENERO-2019</t>
  </si>
  <si>
    <t>FEB-2019</t>
  </si>
  <si>
    <t>MAR-2019</t>
  </si>
  <si>
    <t>ABR-2019</t>
  </si>
  <si>
    <t>MAY-2019</t>
  </si>
  <si>
    <t>JUN-2019</t>
  </si>
  <si>
    <t>JUL-2019</t>
  </si>
  <si>
    <t>1 RECHAZADO</t>
  </si>
  <si>
    <t>AGOS-2019</t>
  </si>
  <si>
    <t>SEPT-2019</t>
  </si>
  <si>
    <t>OCT-2019</t>
  </si>
  <si>
    <t>NOV-2019</t>
  </si>
  <si>
    <t>DIC-2019</t>
  </si>
  <si>
    <t>-</t>
  </si>
  <si>
    <t>ENE-2020</t>
  </si>
  <si>
    <t>SUBMARINOS</t>
  </si>
  <si>
    <t>FEB-2020</t>
  </si>
  <si>
    <t>MAR-2020</t>
  </si>
  <si>
    <t>ABR-2020</t>
  </si>
  <si>
    <t>MAY-2020</t>
  </si>
  <si>
    <t>JUN-2020</t>
  </si>
  <si>
    <t xml:space="preserve">ADMINISTRACION </t>
  </si>
  <si>
    <t>FINANZAS</t>
  </si>
  <si>
    <t>JUL-2020</t>
  </si>
  <si>
    <t>SECTOR / CANTIDAD</t>
  </si>
  <si>
    <t>Mantenimiento</t>
  </si>
  <si>
    <t>Licencias Varias</t>
  </si>
  <si>
    <t>Ausencias Injustificadas</t>
  </si>
  <si>
    <t>Enfermedad</t>
  </si>
  <si>
    <t>Accidentes</t>
  </si>
  <si>
    <t>Licencia Anual</t>
  </si>
  <si>
    <t>Suspensión</t>
  </si>
  <si>
    <t>Compensatorios</t>
  </si>
  <si>
    <t>Candtidad de Personal</t>
  </si>
  <si>
    <t>Cantidad de Personal</t>
  </si>
  <si>
    <t>Total horas</t>
  </si>
  <si>
    <r>
      <t xml:space="preserve">2) </t>
    </r>
    <r>
      <rPr>
        <b/>
        <u/>
        <sz val="10"/>
        <rFont val="Arial"/>
        <family val="2"/>
      </rPr>
      <t>Accidentes Leves/Moderados:</t>
    </r>
    <r>
      <rPr>
        <sz val="10"/>
        <rFont val="Arial"/>
        <family val="2"/>
      </rPr>
      <t xml:space="preserve"> Baja laboral de 4 días o más.</t>
    </r>
  </si>
  <si>
    <t>ACCIDENTES MENSUALES</t>
  </si>
  <si>
    <t>OBSERVACIONES</t>
  </si>
  <si>
    <t xml:space="preserve">FUERA DE CONVENIO </t>
  </si>
  <si>
    <t>CONVENIO</t>
  </si>
  <si>
    <t>AGOS-2020</t>
  </si>
  <si>
    <t>SEP-2020</t>
  </si>
  <si>
    <t>1  Rechazado</t>
  </si>
  <si>
    <t>OCT-2020</t>
  </si>
  <si>
    <t>NOV-2020</t>
  </si>
  <si>
    <t>JEFATURA DE BUQUES</t>
  </si>
  <si>
    <t>DIRECCION DE ING. Y CONST.</t>
  </si>
  <si>
    <t>D.I.C.</t>
  </si>
  <si>
    <t>GCIA. DE INGENIERIA</t>
  </si>
  <si>
    <t>GCIA. DE OPERACIONES</t>
  </si>
  <si>
    <t>GCIA. DE TÉCNICA</t>
  </si>
  <si>
    <t>DIC-2020</t>
  </si>
  <si>
    <t>ENE-2021</t>
  </si>
  <si>
    <t>FEB -2021</t>
  </si>
  <si>
    <t>SUBMARINOS*</t>
  </si>
  <si>
    <t>CONSTRUCCIONES*</t>
  </si>
  <si>
    <t>GERENCIA DE OPERACIONES *</t>
  </si>
  <si>
    <t>MAR -2021</t>
  </si>
  <si>
    <t>2 Rechazados</t>
  </si>
  <si>
    <t>ABR -2021</t>
  </si>
  <si>
    <t>GERENCIA DE ASUNTOS LEGALES</t>
  </si>
  <si>
    <t>MAY -2021</t>
  </si>
  <si>
    <t>JUN-2021</t>
  </si>
  <si>
    <t>MECANICA - D.I.C.</t>
  </si>
  <si>
    <t>TRANSPORTES - D.I.C.</t>
  </si>
  <si>
    <t>2 Reingresos + 2 Rechazos</t>
  </si>
  <si>
    <t>MECÁNICA - D.I.C.</t>
  </si>
  <si>
    <t>ESTRUCTURAS - D.I.C.</t>
  </si>
  <si>
    <t>HABITABILIDAD - D.I.C.</t>
  </si>
  <si>
    <t>ELECTRICIDAD - D.I.C.</t>
  </si>
  <si>
    <t>JUL-2021</t>
  </si>
  <si>
    <t>1 Reingreso / 2 In Itinere</t>
  </si>
  <si>
    <t>1 reingreso / 1 Rechazo</t>
  </si>
  <si>
    <t>AGOS-2021</t>
  </si>
  <si>
    <t>SEPT-2021</t>
  </si>
  <si>
    <t xml:space="preserve">1 Rechazo </t>
  </si>
  <si>
    <t>OCT - 2021</t>
  </si>
  <si>
    <t>GCIA. DE FACTOR HUMANO</t>
  </si>
  <si>
    <t>FACTOR HUMANO</t>
  </si>
  <si>
    <t>ALISTAMIENTO - D.I.C.</t>
  </si>
  <si>
    <t>NOV - 2021</t>
  </si>
  <si>
    <t>2 Rechazados  / 2 In Itinere</t>
  </si>
  <si>
    <t>DIC - 2021</t>
  </si>
  <si>
    <t>ENE - 2022</t>
  </si>
  <si>
    <t>2 Rechazo / 1 In itinere</t>
  </si>
  <si>
    <t xml:space="preserve">1 Reingreso </t>
  </si>
  <si>
    <t>2 Rechazo / 1 Reingreso / 1 In itinere</t>
  </si>
  <si>
    <t>1 Rechazo / 3 In itinere</t>
  </si>
  <si>
    <t>FEB - 2022</t>
  </si>
  <si>
    <t>MAR - 2022</t>
  </si>
  <si>
    <t>ABR - 2022</t>
  </si>
  <si>
    <t>4 In itinere - 1 Rechazo - 2 Reingresos</t>
  </si>
  <si>
    <t>MAYO-2022</t>
  </si>
  <si>
    <t>JUN-2022</t>
  </si>
  <si>
    <t>2 in itinere - 1 Rechazo</t>
  </si>
  <si>
    <t>JUL-2022</t>
  </si>
  <si>
    <t>2 in itinere - 2 Rechazo</t>
  </si>
  <si>
    <t xml:space="preserve">2 in itinere </t>
  </si>
  <si>
    <t>AGOS-2022</t>
  </si>
  <si>
    <t>GCIA. DE BUQUE POLAR - D.I.C.</t>
  </si>
  <si>
    <t>SEPT-2022</t>
  </si>
  <si>
    <t>Gcia de Ingenieria</t>
  </si>
  <si>
    <t>OCT-2022</t>
  </si>
  <si>
    <t>NOV-2022</t>
  </si>
  <si>
    <t>1 In itinere - 1 Rechazo</t>
  </si>
  <si>
    <t>DIC-2022</t>
  </si>
  <si>
    <t>ENE - 2023</t>
  </si>
  <si>
    <t>SEGURIDAD PATRIMONIAL</t>
  </si>
  <si>
    <t>FEB - 2023</t>
  </si>
  <si>
    <t>MAR - 2023</t>
  </si>
  <si>
    <t xml:space="preserve">2 Rechazados </t>
  </si>
  <si>
    <t>ABR - 2023</t>
  </si>
  <si>
    <t>3 In itinere - 2 Rechazos</t>
  </si>
  <si>
    <t>MAYO-2023</t>
  </si>
  <si>
    <t>JUN-2023</t>
  </si>
  <si>
    <t>JUL-2023</t>
  </si>
  <si>
    <t>1 In itinere - 2 Rechazos</t>
  </si>
  <si>
    <t>AGOS -2023</t>
  </si>
  <si>
    <t>2 In Itinere - 3 rechazados</t>
  </si>
  <si>
    <t>SEPT-2023</t>
  </si>
  <si>
    <t>OCT - 2023</t>
  </si>
  <si>
    <t>1 Rechazo</t>
  </si>
  <si>
    <t>NOV - 2023</t>
  </si>
  <si>
    <t>1 Reingreso rechazado - 2 In itinere</t>
  </si>
  <si>
    <t>DIC-2023</t>
  </si>
  <si>
    <t>INFRAESTRUCTURA Y CONSTRUCCION METALMECANICA</t>
  </si>
  <si>
    <t>GCIA. DE GESTIÓN DE PROYECTOS</t>
  </si>
  <si>
    <t>ENE - 2024</t>
  </si>
  <si>
    <t>GCIA. DE PROYECTOS MILITARES</t>
  </si>
  <si>
    <t>RELACIONES INSTITUCIONALES</t>
  </si>
  <si>
    <t>GCIA. DE COMERCIAL</t>
  </si>
  <si>
    <t xml:space="preserve">                                       DISTRIBUCION DE HORAS POR SECTOR - Convenio</t>
  </si>
  <si>
    <t xml:space="preserve">                                     DISTRIBUCION DE HORAS POR SECTOR - Fuera de convenio</t>
  </si>
  <si>
    <t>FEB - 2024</t>
  </si>
  <si>
    <t>MAR - 2024</t>
  </si>
  <si>
    <t>2 In Itinere</t>
  </si>
  <si>
    <t>ABRIL-2024</t>
  </si>
  <si>
    <t>MAYO-2024</t>
  </si>
  <si>
    <t>1 In Itinere</t>
  </si>
  <si>
    <t>JUN-2024</t>
  </si>
  <si>
    <t>3 In Itinere</t>
  </si>
  <si>
    <t>JUL-2024</t>
  </si>
  <si>
    <t>1 Rechazo - 1 Reingreso</t>
  </si>
  <si>
    <t>AGOS-2024</t>
  </si>
  <si>
    <t>2 Rechazados - 2 Reingresos</t>
  </si>
  <si>
    <t>SEP-2024</t>
  </si>
  <si>
    <t xml:space="preserve">1 Rechazo - </t>
  </si>
  <si>
    <t>OCT-2024</t>
  </si>
  <si>
    <t>NOV-2024</t>
  </si>
  <si>
    <t>GOBIERNO CORPORATIVO Y BUENAS PRÁCTICAS</t>
  </si>
  <si>
    <t>DIC-2024</t>
  </si>
  <si>
    <t>Servicio Médico</t>
  </si>
  <si>
    <t>S.A.C.</t>
  </si>
  <si>
    <t>Premio 2/2</t>
  </si>
  <si>
    <t>Suma Única no rem.</t>
  </si>
  <si>
    <t>Suma No Rem.</t>
  </si>
  <si>
    <t>ENE-2025</t>
  </si>
  <si>
    <t>DPTO. DE CASCO Y ACERO</t>
  </si>
  <si>
    <t>DPTO. ALMACENES</t>
  </si>
  <si>
    <t>DPTO. BOMBEROS</t>
  </si>
  <si>
    <t>DPTO. CAPITAL HUMANO</t>
  </si>
  <si>
    <t>DPTO. CARENADO</t>
  </si>
  <si>
    <t>DPTO. CHAPA FINA</t>
  </si>
  <si>
    <t>DPTO. COBRANZAS Y PAGOS</t>
  </si>
  <si>
    <t>DPTO. COBRERIA</t>
  </si>
  <si>
    <t>DPTO. CONTABILIDAD</t>
  </si>
  <si>
    <t>DPTO. ELECTRICIDAD</t>
  </si>
  <si>
    <t>DPTO. GESTIÓN DE CALIDAD</t>
  </si>
  <si>
    <t>DPTO. MANIOBRAS Y TRANSPORTES</t>
  </si>
  <si>
    <t>DPTO. MECÁNICA</t>
  </si>
  <si>
    <t>DPTO. RELACIONES INSTITUCIONALES</t>
  </si>
  <si>
    <t xml:space="preserve">DPTO. SEGURIDAD INDUSTRIAL </t>
  </si>
  <si>
    <t>DPTO. SERVICIOS GENERALES</t>
  </si>
  <si>
    <t>DPTO. SYNCROLIFT</t>
  </si>
  <si>
    <t>Dirección de Administración</t>
  </si>
  <si>
    <t>Control Patrimonial</t>
  </si>
  <si>
    <t>Depto. Almacenes</t>
  </si>
  <si>
    <t>Dpto. Carenado</t>
  </si>
  <si>
    <t>Depto. Casco y Acero</t>
  </si>
  <si>
    <t>Depto. Cobrería</t>
  </si>
  <si>
    <t>Depto. Control de Gestión</t>
  </si>
  <si>
    <t>Depto. Capital Humano</t>
  </si>
  <si>
    <t>Depto. Electricidad</t>
  </si>
  <si>
    <t>Depto. Maniobras y Transportes</t>
  </si>
  <si>
    <t>Depto. Mecánica</t>
  </si>
  <si>
    <t>Depto. Syncrolift</t>
  </si>
  <si>
    <t>Dirección Comercial</t>
  </si>
  <si>
    <t>Directorio</t>
  </si>
  <si>
    <t>Gcia. Administración y Finanzas</t>
  </si>
  <si>
    <t>Gcia. Asuntos legales</t>
  </si>
  <si>
    <t>Gcia de Compras y Contrataciones</t>
  </si>
  <si>
    <t>Gcia de Producción</t>
  </si>
  <si>
    <t>Intendencia</t>
  </si>
  <si>
    <t>Servicio Comedor</t>
  </si>
  <si>
    <t>Depto. Desarrollo Tecnológico</t>
  </si>
  <si>
    <t>Dirección de Operaciones</t>
  </si>
  <si>
    <t>Unidad de Auditoria Interna</t>
  </si>
  <si>
    <t>FEB-2025</t>
  </si>
  <si>
    <t>MAR-2025</t>
  </si>
  <si>
    <t>GCIA. DE PRODUCCIÓN</t>
  </si>
  <si>
    <t>ABRIL-2025</t>
  </si>
  <si>
    <t>Dirección General</t>
  </si>
  <si>
    <t>MAYO-2025</t>
  </si>
  <si>
    <t>JUN-2025</t>
  </si>
  <si>
    <t>CONTROL PATRIMONIAL</t>
  </si>
  <si>
    <t>JUL-2025</t>
  </si>
  <si>
    <t>2 rechazos</t>
  </si>
  <si>
    <t>AGOS-2025</t>
  </si>
  <si>
    <t>6 Rechazados</t>
  </si>
  <si>
    <t>SEPT-2025</t>
  </si>
  <si>
    <t>JEFATURA DE PROYECTOS - REPARACIONES</t>
  </si>
  <si>
    <t>1 Rechazado - 3 In Itinere</t>
  </si>
  <si>
    <t>Depto. Metalmecánica y Gestión de Materi</t>
  </si>
  <si>
    <t>OCT-2025</t>
  </si>
  <si>
    <t>NOV-2025</t>
  </si>
  <si>
    <t>3 In itineres - 3 Rechazados</t>
  </si>
  <si>
    <t>Depto. Control de Calidad</t>
  </si>
  <si>
    <t>Depto. Habitabilidad</t>
  </si>
  <si>
    <t>Depto. Higiene y Seguridad Industrial</t>
  </si>
  <si>
    <t>Jefatura de Reparaciones</t>
  </si>
  <si>
    <t>Jefatura de Proyectos</t>
  </si>
  <si>
    <t>DIC-2025</t>
  </si>
  <si>
    <t>1 In Itinere - 6 Rechazados</t>
  </si>
  <si>
    <t xml:space="preserve">Jefatura de Proyectos </t>
  </si>
  <si>
    <t>Gestión de Calidad</t>
  </si>
  <si>
    <t>Control de Contratistas</t>
  </si>
  <si>
    <t>Mesa de Entrada</t>
  </si>
  <si>
    <t>Planificación y Mantenimiento</t>
  </si>
  <si>
    <t>ENE-2026</t>
  </si>
  <si>
    <t xml:space="preserve">1 In Itinere </t>
  </si>
  <si>
    <t>FEB-2026</t>
  </si>
  <si>
    <t>1 In Itinere - 3 Rechazados</t>
  </si>
  <si>
    <t>Oficial</t>
  </si>
  <si>
    <t>Administración y Finanzas</t>
  </si>
  <si>
    <t>Asuntos legales</t>
  </si>
  <si>
    <t>Compras y Contrataciones</t>
  </si>
  <si>
    <t>Control de Calidad</t>
  </si>
  <si>
    <t>Depto. Bomberos</t>
  </si>
  <si>
    <t>Higiene y Seguridad Industrial</t>
  </si>
  <si>
    <t>Maniobras y Transportes</t>
  </si>
  <si>
    <t>Relaciones Institucionales</t>
  </si>
  <si>
    <t>ALTAS AL 31/03/2026</t>
  </si>
  <si>
    <t>BAJAS AL 31/03/2026</t>
  </si>
  <si>
    <t>BERNASCONI MARTIN ESTEBAN</t>
  </si>
  <si>
    <t>SUAREZ IVAN EMMANUEL</t>
  </si>
  <si>
    <t>Depto. Servicios Generales</t>
  </si>
  <si>
    <t>Ayudante</t>
  </si>
  <si>
    <t>PALAVECINO TOMAS AGUSTIN</t>
  </si>
  <si>
    <t>MAR-2026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</si>
</sst>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 #,##0_ ;_ * \-#,##0_ ;_ * &quot;-&quot;_ ;_ @_ "/>
    <numFmt numFmtId="165" formatCode="_ * #,##0.00_ ;_ * \-#,##0.00_ ;_ * &quot;-&quot;??_ ;_ @_ "/>
    <numFmt numFmtId="166" formatCode="0.000"/>
    <numFmt numFmtId="167" formatCode="0.0000"/>
    <numFmt numFmtId="168" formatCode="[$-C0A]dd\-mmm\-yy;@"/>
    <numFmt numFmtId="169" formatCode="_ * #,##0_ ;_ * \-#,##0_ ;_ * &quot;-&quot;??_ ;_ @_ "/>
  </numFmts>
  <fonts count="54" x14ac:knownFonts="1">
    <font>
      <sz val="10"/>
      <name val="Arial"/>
    </font>
    <font>
      <sz val="11"/>
      <color indexed="8"/>
      <name val="Calibri"/>
      <family val="2"/>
    </font>
    <font>
      <sz val="10"/>
      <name val="Arial"/>
      <family val="2"/>
    </font>
    <font>
      <b/>
      <sz val="10"/>
      <name val="Arial"/>
      <family val="2"/>
    </font>
    <font>
      <b/>
      <sz val="12"/>
      <color indexed="9"/>
      <name val="Arial"/>
      <family val="2"/>
    </font>
    <font>
      <b/>
      <u/>
      <sz val="10"/>
      <name val="Arial"/>
      <family val="2"/>
    </font>
    <font>
      <sz val="10"/>
      <color indexed="8"/>
      <name val="Arial"/>
      <family val="2"/>
    </font>
    <font>
      <sz val="8"/>
      <name val="Arial"/>
      <family val="2"/>
    </font>
    <font>
      <sz val="11"/>
      <name val="Arial"/>
      <family val="2"/>
    </font>
    <font>
      <sz val="12"/>
      <color indexed="9"/>
      <name val="Arial"/>
      <family val="2"/>
    </font>
    <font>
      <sz val="10"/>
      <name val="Arial"/>
      <family val="2"/>
    </font>
    <font>
      <sz val="10"/>
      <color indexed="9"/>
      <name val="Arial"/>
      <family val="2"/>
    </font>
    <font>
      <b/>
      <sz val="10"/>
      <color indexed="9"/>
      <name val="Arial"/>
      <family val="2"/>
    </font>
    <font>
      <b/>
      <sz val="12"/>
      <color indexed="9"/>
      <name val="Arial"/>
      <family val="2"/>
    </font>
    <font>
      <sz val="10"/>
      <color indexed="8"/>
      <name val="Arial"/>
      <family val="2"/>
    </font>
    <font>
      <sz val="8"/>
      <name val="Arial"/>
      <family val="2"/>
    </font>
    <font>
      <b/>
      <sz val="11"/>
      <color indexed="8"/>
      <name val="Calibri"/>
      <family val="2"/>
    </font>
    <font>
      <b/>
      <sz val="11"/>
      <color indexed="8"/>
      <name val="Calibri"/>
      <family val="2"/>
    </font>
    <font>
      <b/>
      <sz val="10"/>
      <color indexed="8"/>
      <name val="Arial"/>
      <family val="2"/>
    </font>
    <font>
      <sz val="11"/>
      <name val="Calibri"/>
      <family val="2"/>
    </font>
    <font>
      <b/>
      <sz val="11"/>
      <name val="Calibri"/>
      <family val="2"/>
    </font>
    <font>
      <sz val="10"/>
      <name val="Arial"/>
      <family val="2"/>
    </font>
    <font>
      <sz val="14"/>
      <color indexed="9"/>
      <name val="Arial"/>
      <family val="2"/>
    </font>
    <font>
      <sz val="12"/>
      <name val="Arial"/>
      <family val="2"/>
    </font>
    <font>
      <b/>
      <sz val="11"/>
      <color indexed="9"/>
      <name val="Arial"/>
      <family val="2"/>
    </font>
    <font>
      <b/>
      <u/>
      <sz val="10"/>
      <color indexed="9"/>
      <name val="Arial"/>
      <family val="2"/>
    </font>
    <font>
      <b/>
      <u/>
      <sz val="12"/>
      <color indexed="9"/>
      <name val="Arial"/>
      <family val="2"/>
    </font>
    <font>
      <b/>
      <sz val="12"/>
      <color indexed="8"/>
      <name val="Calibri"/>
      <family val="2"/>
    </font>
    <font>
      <b/>
      <sz val="12"/>
      <name val="Arial"/>
      <family val="2"/>
    </font>
    <font>
      <sz val="11"/>
      <color theme="1"/>
      <name val="Calibri"/>
      <family val="2"/>
      <scheme val="minor"/>
    </font>
    <font>
      <sz val="11"/>
      <color theme="0"/>
      <name val="Calibri"/>
      <family val="2"/>
      <scheme val="minor"/>
    </font>
    <font>
      <sz val="11"/>
      <color rgb="FF006100"/>
      <name val="Calibri"/>
      <family val="2"/>
      <scheme val="minor"/>
    </font>
    <font>
      <b/>
      <sz val="11"/>
      <color rgb="FFFA7D00"/>
      <name val="Calibri"/>
      <family val="2"/>
      <scheme val="minor"/>
    </font>
    <font>
      <b/>
      <sz val="11"/>
      <color theme="0"/>
      <name val="Calibri"/>
      <family val="2"/>
      <scheme val="minor"/>
    </font>
    <font>
      <sz val="11"/>
      <color rgb="FFFA7D00"/>
      <name val="Calibri"/>
      <family val="2"/>
      <scheme val="minor"/>
    </font>
    <font>
      <b/>
      <sz val="15"/>
      <color theme="3"/>
      <name val="Calibri"/>
      <family val="2"/>
      <scheme val="minor"/>
    </font>
    <font>
      <b/>
      <sz val="11"/>
      <color theme="3"/>
      <name val="Calibri"/>
      <family val="2"/>
      <scheme val="minor"/>
    </font>
    <font>
      <sz val="11"/>
      <color rgb="FF3F3F76"/>
      <name val="Calibri"/>
      <family val="2"/>
      <scheme val="minor"/>
    </font>
    <font>
      <sz val="11"/>
      <color rgb="FF9C0006"/>
      <name val="Calibri"/>
      <family val="2"/>
      <scheme val="minor"/>
    </font>
    <font>
      <sz val="11"/>
      <color rgb="FF9C6500"/>
      <name val="Calibri"/>
      <family val="2"/>
      <scheme val="minor"/>
    </font>
    <font>
      <b/>
      <sz val="11"/>
      <color rgb="FF3F3F3F"/>
      <name val="Calibri"/>
      <family val="2"/>
      <scheme val="minor"/>
    </font>
    <font>
      <sz val="11"/>
      <color rgb="FFFF0000"/>
      <name val="Calibri"/>
      <family val="2"/>
      <scheme val="minor"/>
    </font>
    <font>
      <i/>
      <sz val="11"/>
      <color rgb="FF7F7F7F"/>
      <name val="Calibri"/>
      <family val="2"/>
      <scheme val="minor"/>
    </font>
    <font>
      <b/>
      <sz val="18"/>
      <color theme="3"/>
      <name val="Cambria"/>
      <family val="2"/>
      <scheme val="major"/>
    </font>
    <font>
      <b/>
      <sz val="13"/>
      <color theme="3"/>
      <name val="Calibri"/>
      <family val="2"/>
      <scheme val="minor"/>
    </font>
    <font>
      <b/>
      <sz val="11"/>
      <color theme="1"/>
      <name val="Calibri"/>
      <family val="2"/>
      <scheme val="minor"/>
    </font>
    <font>
      <sz val="10"/>
      <color theme="1"/>
      <name val="Arial"/>
      <family val="2"/>
    </font>
    <font>
      <sz val="10"/>
      <color rgb="FFFF0000"/>
      <name val="Arial"/>
      <family val="2"/>
    </font>
    <font>
      <b/>
      <sz val="10"/>
      <color theme="1"/>
      <name val="Arial"/>
      <family val="2"/>
    </font>
    <font>
      <b/>
      <sz val="10"/>
      <color theme="0"/>
      <name val="Arial"/>
      <family val="2"/>
    </font>
    <font>
      <sz val="11"/>
      <name val="Calibri"/>
      <family val="2"/>
      <scheme val="minor"/>
    </font>
    <font>
      <b/>
      <sz val="12"/>
      <color theme="0"/>
      <name val="Arial"/>
      <family val="2"/>
    </font>
    <font>
      <b/>
      <u/>
      <sz val="10"/>
      <color theme="0"/>
      <name val="Arial"/>
      <family val="2"/>
    </font>
    <font>
      <sz val="10"/>
      <name val="Arial"/>
      <family val="2"/>
    </font>
  </fonts>
  <fills count="47">
    <fill>
      <patternFill patternType="none"/>
    </fill>
    <fill>
      <patternFill patternType="gray125"/>
    </fill>
    <fill>
      <patternFill patternType="solid">
        <fgColor indexed="9"/>
        <bgColor indexed="64"/>
      </patternFill>
    </fill>
    <fill>
      <patternFill patternType="solid">
        <fgColor indexed="13"/>
        <bgColor indexed="64"/>
      </patternFill>
    </fill>
    <fill>
      <patternFill patternType="solid">
        <fgColor indexed="31"/>
        <bgColor indexed="64"/>
      </patternFill>
    </fill>
    <fill>
      <patternFill patternType="solid">
        <fgColor indexed="45"/>
        <bgColor indexed="64"/>
      </patternFill>
    </fill>
    <fill>
      <patternFill patternType="solid">
        <fgColor indexed="60"/>
        <bgColor indexed="64"/>
      </patternFill>
    </fill>
    <fill>
      <patternFill patternType="solid">
        <fgColor indexed="8"/>
        <bgColor indexed="64"/>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rgb="FFC6EFCE"/>
      </patternFill>
    </fill>
    <fill>
      <patternFill patternType="solid">
        <fgColor rgb="FFF2F2F2"/>
      </patternFill>
    </fill>
    <fill>
      <patternFill patternType="solid">
        <fgColor rgb="FFA5A5A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C99"/>
      </patternFill>
    </fill>
    <fill>
      <patternFill patternType="solid">
        <fgColor rgb="FFFFC7CE"/>
      </patternFill>
    </fill>
    <fill>
      <patternFill patternType="solid">
        <fgColor rgb="FFFFEB9C"/>
      </patternFill>
    </fill>
    <fill>
      <patternFill patternType="solid">
        <fgColor rgb="FFFFFFCC"/>
      </patternFill>
    </fill>
    <fill>
      <patternFill patternType="solid">
        <fgColor rgb="FFFFFF00"/>
        <bgColor indexed="64"/>
      </patternFill>
    </fill>
    <fill>
      <patternFill patternType="solid">
        <fgColor theme="0"/>
        <bgColor indexed="64"/>
      </patternFill>
    </fill>
    <fill>
      <patternFill patternType="solid">
        <fgColor theme="5" tint="-0.249977111117893"/>
        <bgColor indexed="64"/>
      </patternFill>
    </fill>
    <fill>
      <patternFill patternType="solid">
        <fgColor theme="5"/>
        <bgColor indexed="64"/>
      </patternFill>
    </fill>
    <fill>
      <patternFill patternType="solid">
        <fgColor theme="5" tint="0.39997558519241921"/>
        <bgColor indexed="64"/>
      </patternFill>
    </fill>
    <fill>
      <patternFill patternType="solid">
        <fgColor theme="5" tint="0.59999389629810485"/>
        <bgColor indexed="64"/>
      </patternFill>
    </fill>
    <fill>
      <patternFill patternType="solid">
        <fgColor theme="7" tint="0.39997558519241921"/>
        <bgColor indexed="64"/>
      </patternFill>
    </fill>
    <fill>
      <patternFill patternType="solid">
        <fgColor theme="8" tint="0.39997558519241921"/>
        <bgColor indexed="64"/>
      </patternFill>
    </fill>
  </fills>
  <borders count="33">
    <border>
      <left/>
      <right/>
      <top/>
      <bottom/>
      <diagonal/>
    </border>
    <border>
      <left style="thin">
        <color indexed="64"/>
      </left>
      <right style="thin">
        <color indexed="64"/>
      </right>
      <top style="thin">
        <color indexed="64"/>
      </top>
      <bottom style="thin">
        <color indexed="64"/>
      </bottom>
      <diagonal/>
    </border>
    <border>
      <left style="medium">
        <color indexed="64"/>
      </left>
      <right/>
      <top/>
      <bottom/>
      <diagonal/>
    </border>
    <border>
      <left style="medium">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style="thin">
        <color indexed="64"/>
      </left>
      <right/>
      <top/>
      <bottom/>
      <diagonal/>
    </border>
    <border>
      <left/>
      <right style="thin">
        <color indexed="64"/>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style="thin">
        <color indexed="64"/>
      </left>
      <right style="medium">
        <color indexed="64"/>
      </right>
      <top style="medium">
        <color indexed="64"/>
      </top>
      <bottom/>
      <diagonal/>
    </border>
    <border>
      <left style="thin">
        <color indexed="64"/>
      </left>
      <right/>
      <top style="thin">
        <color indexed="64"/>
      </top>
      <bottom/>
      <diagonal/>
    </border>
    <border>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bottom style="thick">
        <color theme="4"/>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bottom style="thick">
        <color theme="4" tint="0.499984740745262"/>
      </bottom>
      <diagonal/>
    </border>
    <border>
      <left/>
      <right/>
      <top/>
      <bottom style="medium">
        <color theme="4" tint="0.39997558519241921"/>
      </bottom>
      <diagonal/>
    </border>
    <border>
      <left/>
      <right/>
      <top style="thin">
        <color theme="4"/>
      </top>
      <bottom style="double">
        <color theme="4"/>
      </bottom>
      <diagonal/>
    </border>
  </borders>
  <cellStyleXfs count="64">
    <xf numFmtId="0" fontId="0" fillId="0" borderId="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8" borderId="0" applyNumberFormat="0" applyBorder="0" applyAlignment="0" applyProtection="0"/>
    <xf numFmtId="0" fontId="29" fillId="19" borderId="0" applyNumberFormat="0" applyBorder="0" applyAlignment="0" applyProtection="0"/>
    <xf numFmtId="0" fontId="30" fillId="20" borderId="0" applyNumberFormat="0" applyBorder="0" applyAlignment="0" applyProtection="0"/>
    <xf numFmtId="0" fontId="30" fillId="21" borderId="0" applyNumberFormat="0" applyBorder="0" applyAlignment="0" applyProtection="0"/>
    <xf numFmtId="0" fontId="30" fillId="22" borderId="0" applyNumberFormat="0" applyBorder="0" applyAlignment="0" applyProtection="0"/>
    <xf numFmtId="0" fontId="30" fillId="23" borderId="0" applyNumberFormat="0" applyBorder="0" applyAlignment="0" applyProtection="0"/>
    <xf numFmtId="0" fontId="30" fillId="24" borderId="0" applyNumberFormat="0" applyBorder="0" applyAlignment="0" applyProtection="0"/>
    <xf numFmtId="0" fontId="30" fillId="25" borderId="0" applyNumberFormat="0" applyBorder="0" applyAlignment="0" applyProtection="0"/>
    <xf numFmtId="0" fontId="31" fillId="26" borderId="0" applyNumberFormat="0" applyBorder="0" applyAlignment="0" applyProtection="0"/>
    <xf numFmtId="0" fontId="32" fillId="27" borderId="24" applyNumberFormat="0" applyAlignment="0" applyProtection="0"/>
    <xf numFmtId="0" fontId="33" fillId="28" borderId="25" applyNumberFormat="0" applyAlignment="0" applyProtection="0"/>
    <xf numFmtId="0" fontId="34" fillId="0" borderId="26" applyNumberFormat="0" applyFill="0" applyAlignment="0" applyProtection="0"/>
    <xf numFmtId="0" fontId="35" fillId="0" borderId="27" applyNumberFormat="0" applyFill="0" applyAlignment="0" applyProtection="0"/>
    <xf numFmtId="0" fontId="36" fillId="0" borderId="0" applyNumberFormat="0" applyFill="0" applyBorder="0" applyAlignment="0" applyProtection="0"/>
    <xf numFmtId="0" fontId="30" fillId="29" borderId="0" applyNumberFormat="0" applyBorder="0" applyAlignment="0" applyProtection="0"/>
    <xf numFmtId="0" fontId="30" fillId="30" borderId="0" applyNumberFormat="0" applyBorder="0" applyAlignment="0" applyProtection="0"/>
    <xf numFmtId="0" fontId="30" fillId="31" borderId="0" applyNumberFormat="0" applyBorder="0" applyAlignment="0" applyProtection="0"/>
    <xf numFmtId="0" fontId="30" fillId="32" borderId="0" applyNumberFormat="0" applyBorder="0" applyAlignment="0" applyProtection="0"/>
    <xf numFmtId="0" fontId="30" fillId="33" borderId="0" applyNumberFormat="0" applyBorder="0" applyAlignment="0" applyProtection="0"/>
    <xf numFmtId="0" fontId="30" fillId="34" borderId="0" applyNumberFormat="0" applyBorder="0" applyAlignment="0" applyProtection="0"/>
    <xf numFmtId="0" fontId="37" fillId="35" borderId="24" applyNumberFormat="0" applyAlignment="0" applyProtection="0"/>
    <xf numFmtId="0" fontId="38" fillId="36" borderId="0" applyNumberFormat="0" applyBorder="0" applyAlignment="0" applyProtection="0"/>
    <xf numFmtId="165" fontId="21" fillId="0" borderId="0" applyFont="0" applyFill="0" applyBorder="0" applyAlignment="0" applyProtection="0"/>
    <xf numFmtId="165" fontId="2" fillId="0" borderId="0" applyFont="0" applyFill="0" applyBorder="0" applyAlignment="0" applyProtection="0"/>
    <xf numFmtId="0" fontId="39" fillId="37"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1" fillId="0" borderId="0"/>
    <xf numFmtId="0" fontId="10" fillId="0" borderId="0"/>
    <xf numFmtId="0" fontId="29" fillId="0" borderId="0"/>
    <xf numFmtId="0" fontId="1" fillId="0" borderId="0"/>
    <xf numFmtId="0" fontId="1"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38" borderId="28" applyNumberFormat="0" applyFont="0" applyAlignment="0" applyProtection="0"/>
    <xf numFmtId="0" fontId="40" fillId="27" borderId="29" applyNumberFormat="0" applyAlignment="0" applyProtection="0"/>
    <xf numFmtId="0" fontId="41" fillId="0" borderId="0" applyNumberFormat="0" applyFill="0" applyBorder="0" applyAlignment="0" applyProtection="0"/>
    <xf numFmtId="0" fontId="42" fillId="0" borderId="0" applyNumberFormat="0" applyFill="0" applyBorder="0" applyAlignment="0" applyProtection="0"/>
    <xf numFmtId="0" fontId="43" fillId="0" borderId="0" applyNumberFormat="0" applyFill="0" applyBorder="0" applyAlignment="0" applyProtection="0"/>
    <xf numFmtId="0" fontId="44" fillId="0" borderId="30" applyNumberFormat="0" applyFill="0" applyAlignment="0" applyProtection="0"/>
    <xf numFmtId="0" fontId="36" fillId="0" borderId="31" applyNumberFormat="0" applyFill="0" applyAlignment="0" applyProtection="0"/>
    <xf numFmtId="0" fontId="45" fillId="0" borderId="32" applyNumberFormat="0" applyFill="0" applyAlignment="0" applyProtection="0"/>
    <xf numFmtId="9" fontId="53" fillId="0" borderId="0" applyFont="0" applyFill="0" applyBorder="0" applyAlignment="0" applyProtection="0"/>
  </cellStyleXfs>
  <cellXfs count="190">
    <xf numFmtId="0" fontId="0" fillId="0" borderId="0" xfId="0"/>
    <xf numFmtId="0" fontId="0" fillId="0" borderId="0" xfId="0" applyAlignment="1">
      <alignment horizontal="center"/>
    </xf>
    <xf numFmtId="3" fontId="0" fillId="0" borderId="0" xfId="0" applyNumberFormat="1" applyAlignment="1">
      <alignment horizontal="center"/>
    </xf>
    <xf numFmtId="4" fontId="0" fillId="0" borderId="1" xfId="0" applyNumberFormat="1" applyBorder="1"/>
    <xf numFmtId="0" fontId="0" fillId="0" borderId="1" xfId="0" applyBorder="1"/>
    <xf numFmtId="0" fontId="0" fillId="0" borderId="1" xfId="0" applyBorder="1" applyAlignment="1">
      <alignment horizontal="center"/>
    </xf>
    <xf numFmtId="0" fontId="0" fillId="0" borderId="2" xfId="0" applyBorder="1"/>
    <xf numFmtId="17" fontId="0" fillId="0" borderId="0" xfId="0" applyNumberFormat="1"/>
    <xf numFmtId="0" fontId="0" fillId="0" borderId="1" xfId="0" applyBorder="1" applyAlignment="1">
      <alignment horizontal="left"/>
    </xf>
    <xf numFmtId="17" fontId="0" fillId="0" borderId="1" xfId="0" applyNumberFormat="1" applyBorder="1" applyAlignment="1">
      <alignment horizontal="center"/>
    </xf>
    <xf numFmtId="0" fontId="2" fillId="0" borderId="0" xfId="0" applyFont="1"/>
    <xf numFmtId="166" fontId="0" fillId="0" borderId="0" xfId="0" applyNumberFormat="1"/>
    <xf numFmtId="167" fontId="0" fillId="0" borderId="0" xfId="0" applyNumberFormat="1"/>
    <xf numFmtId="4" fontId="0" fillId="0" borderId="0" xfId="0" applyNumberFormat="1"/>
    <xf numFmtId="4" fontId="0" fillId="2" borderId="1" xfId="0" applyNumberFormat="1" applyFill="1" applyBorder="1"/>
    <xf numFmtId="0" fontId="2" fillId="0" borderId="3" xfId="0" applyFont="1" applyBorder="1"/>
    <xf numFmtId="0" fontId="2" fillId="0" borderId="1" xfId="0" applyFont="1" applyBorder="1" applyAlignment="1">
      <alignment horizontal="left"/>
    </xf>
    <xf numFmtId="17" fontId="2" fillId="0" borderId="1" xfId="0" applyNumberFormat="1" applyFont="1" applyBorder="1" applyAlignment="1">
      <alignment horizontal="center"/>
    </xf>
    <xf numFmtId="17" fontId="2" fillId="0" borderId="4" xfId="0" applyNumberFormat="1" applyFont="1" applyBorder="1" applyAlignment="1">
      <alignment horizontal="center"/>
    </xf>
    <xf numFmtId="0" fontId="0" fillId="0" borderId="4" xfId="0" applyBorder="1" applyAlignment="1">
      <alignment horizontal="center"/>
    </xf>
    <xf numFmtId="0" fontId="0" fillId="0" borderId="5" xfId="0" applyBorder="1"/>
    <xf numFmtId="10" fontId="0" fillId="0" borderId="1" xfId="0" applyNumberFormat="1" applyBorder="1" applyAlignment="1">
      <alignment horizontal="center"/>
    </xf>
    <xf numFmtId="0" fontId="0" fillId="0" borderId="1" xfId="0" applyBorder="1" applyAlignment="1">
      <alignment horizontal="right"/>
    </xf>
    <xf numFmtId="0" fontId="2" fillId="0" borderId="6" xfId="0" applyFont="1" applyBorder="1"/>
    <xf numFmtId="0" fontId="8" fillId="0" borderId="0" xfId="0" applyFont="1"/>
    <xf numFmtId="0" fontId="0" fillId="3" borderId="0" xfId="0" applyFill="1"/>
    <xf numFmtId="0" fontId="14" fillId="2" borderId="0" xfId="0" applyFont="1" applyFill="1" applyAlignment="1">
      <alignment horizontal="center"/>
    </xf>
    <xf numFmtId="14" fontId="2" fillId="0" borderId="0" xfId="0" applyNumberFormat="1" applyFont="1" applyAlignment="1">
      <alignment horizontal="center" vertical="center"/>
    </xf>
    <xf numFmtId="0" fontId="2" fillId="0" borderId="0" xfId="0" applyFont="1" applyAlignment="1">
      <alignment horizontal="center" vertical="center"/>
    </xf>
    <xf numFmtId="14" fontId="17" fillId="2" borderId="0" xfId="0" applyNumberFormat="1" applyFont="1" applyFill="1" applyAlignment="1">
      <alignment horizontal="center"/>
    </xf>
    <xf numFmtId="0" fontId="17" fillId="2" borderId="0" xfId="0" applyFont="1" applyFill="1" applyAlignment="1">
      <alignment horizontal="center"/>
    </xf>
    <xf numFmtId="0" fontId="5" fillId="4" borderId="7" xfId="0" applyFont="1" applyFill="1" applyBorder="1" applyAlignment="1">
      <alignment vertical="center"/>
    </xf>
    <xf numFmtId="0" fontId="16" fillId="4" borderId="1" xfId="0" applyFont="1" applyFill="1" applyBorder="1" applyAlignment="1">
      <alignment vertical="center"/>
    </xf>
    <xf numFmtId="0" fontId="0" fillId="0" borderId="1" xfId="0" applyBorder="1" applyAlignment="1">
      <alignment vertical="center"/>
    </xf>
    <xf numFmtId="4" fontId="0" fillId="0" borderId="1" xfId="0" applyNumberFormat="1" applyBorder="1" applyAlignment="1">
      <alignment horizontal="center"/>
    </xf>
    <xf numFmtId="4" fontId="0" fillId="2" borderId="1" xfId="0" applyNumberFormat="1" applyFill="1" applyBorder="1" applyAlignment="1">
      <alignment horizontal="center"/>
    </xf>
    <xf numFmtId="4" fontId="16" fillId="5" borderId="1" xfId="0" applyNumberFormat="1" applyFont="1" applyFill="1" applyBorder="1" applyAlignment="1">
      <alignment horizontal="center" vertical="center"/>
    </xf>
    <xf numFmtId="4" fontId="0" fillId="0" borderId="0" xfId="0" applyNumberFormat="1" applyAlignment="1">
      <alignment horizontal="center"/>
    </xf>
    <xf numFmtId="164" fontId="19" fillId="0" borderId="1" xfId="0" applyNumberFormat="1" applyFont="1" applyBorder="1" applyAlignment="1">
      <alignment horizontal="center"/>
    </xf>
    <xf numFmtId="4" fontId="0" fillId="2" borderId="8" xfId="0" applyNumberFormat="1" applyFill="1" applyBorder="1" applyAlignment="1">
      <alignment horizontal="center"/>
    </xf>
    <xf numFmtId="4" fontId="0" fillId="2" borderId="9" xfId="0" applyNumberFormat="1" applyFill="1" applyBorder="1" applyAlignment="1">
      <alignment horizontal="center"/>
    </xf>
    <xf numFmtId="0" fontId="16" fillId="2" borderId="0" xfId="0" applyFont="1" applyFill="1" applyAlignment="1">
      <alignment vertical="center"/>
    </xf>
    <xf numFmtId="4" fontId="16" fillId="2" borderId="0" xfId="0" applyNumberFormat="1" applyFont="1" applyFill="1" applyAlignment="1">
      <alignment horizontal="center" vertical="center"/>
    </xf>
    <xf numFmtId="4" fontId="16" fillId="2" borderId="1" xfId="0" applyNumberFormat="1" applyFont="1" applyFill="1" applyBorder="1" applyAlignment="1">
      <alignment horizontal="center" vertical="center"/>
    </xf>
    <xf numFmtId="4" fontId="3" fillId="3" borderId="4" xfId="0" applyNumberFormat="1" applyFont="1" applyFill="1" applyBorder="1" applyAlignment="1">
      <alignment horizontal="center"/>
    </xf>
    <xf numFmtId="0" fontId="0" fillId="0" borderId="5" xfId="0" applyBorder="1" applyAlignment="1">
      <alignment vertical="center"/>
    </xf>
    <xf numFmtId="0" fontId="16" fillId="0" borderId="1" xfId="0" applyFont="1" applyBorder="1" applyAlignment="1">
      <alignment vertical="center"/>
    </xf>
    <xf numFmtId="4" fontId="2" fillId="0" borderId="0" xfId="0" applyNumberFormat="1" applyFont="1"/>
    <xf numFmtId="0" fontId="18" fillId="2" borderId="1" xfId="0" applyFont="1" applyFill="1" applyBorder="1" applyAlignment="1">
      <alignment horizontal="center"/>
    </xf>
    <xf numFmtId="0" fontId="3" fillId="0" borderId="1" xfId="0" applyFont="1" applyBorder="1" applyAlignment="1">
      <alignment horizontal="center"/>
    </xf>
    <xf numFmtId="0" fontId="3" fillId="0" borderId="0" xfId="0" applyFont="1"/>
    <xf numFmtId="4" fontId="3" fillId="0" borderId="0" xfId="0" applyNumberFormat="1" applyFont="1"/>
    <xf numFmtId="2" fontId="0" fillId="0" borderId="0" xfId="0" applyNumberFormat="1" applyAlignment="1">
      <alignment horizontal="center"/>
    </xf>
    <xf numFmtId="1" fontId="0" fillId="0" borderId="0" xfId="0" applyNumberFormat="1"/>
    <xf numFmtId="0" fontId="2" fillId="0" borderId="1" xfId="0" applyFont="1" applyBorder="1" applyAlignment="1">
      <alignment vertical="center"/>
    </xf>
    <xf numFmtId="0" fontId="2" fillId="0" borderId="0" xfId="0" applyFont="1" applyAlignment="1">
      <alignment vertical="center"/>
    </xf>
    <xf numFmtId="0" fontId="3" fillId="0" borderId="1" xfId="0" applyFont="1" applyBorder="1" applyAlignment="1">
      <alignment horizontal="left"/>
    </xf>
    <xf numFmtId="0" fontId="3" fillId="0" borderId="5" xfId="0" applyFont="1" applyBorder="1"/>
    <xf numFmtId="0" fontId="3" fillId="0" borderId="1" xfId="0" applyFont="1" applyBorder="1"/>
    <xf numFmtId="0" fontId="0" fillId="39" borderId="0" xfId="0" applyFill="1"/>
    <xf numFmtId="4" fontId="2" fillId="0" borderId="1" xfId="0" applyNumberFormat="1" applyFont="1" applyBorder="1"/>
    <xf numFmtId="0" fontId="2" fillId="39" borderId="0" xfId="0" applyFont="1" applyFill="1"/>
    <xf numFmtId="0" fontId="0" fillId="0" borderId="10" xfId="0" applyBorder="1" applyAlignment="1">
      <alignment horizontal="center"/>
    </xf>
    <xf numFmtId="0" fontId="0" fillId="0" borderId="11" xfId="0" applyBorder="1" applyAlignment="1">
      <alignment horizontal="center"/>
    </xf>
    <xf numFmtId="0" fontId="18" fillId="0" borderId="0" xfId="0" applyFont="1"/>
    <xf numFmtId="4" fontId="46" fillId="0" borderId="0" xfId="0" applyNumberFormat="1" applyFont="1"/>
    <xf numFmtId="0" fontId="45" fillId="0" borderId="0" xfId="0" applyFont="1"/>
    <xf numFmtId="0" fontId="2" fillId="40" borderId="0" xfId="0" applyFont="1" applyFill="1" applyAlignment="1">
      <alignment horizontal="center" vertical="center"/>
    </xf>
    <xf numFmtId="4" fontId="47" fillId="0" borderId="0" xfId="0" applyNumberFormat="1" applyFont="1"/>
    <xf numFmtId="0" fontId="2" fillId="0" borderId="1" xfId="0" applyFont="1" applyBorder="1" applyAlignment="1">
      <alignment horizontal="center"/>
    </xf>
    <xf numFmtId="0" fontId="2" fillId="0" borderId="0" xfId="0" applyFont="1" applyAlignment="1">
      <alignment horizontal="center"/>
    </xf>
    <xf numFmtId="168" fontId="2" fillId="0" borderId="1" xfId="0" applyNumberFormat="1" applyFont="1" applyBorder="1" applyAlignment="1">
      <alignment horizontal="center" vertical="center"/>
    </xf>
    <xf numFmtId="0" fontId="9" fillId="6" borderId="1" xfId="0" applyFont="1" applyFill="1" applyBorder="1"/>
    <xf numFmtId="49" fontId="9" fillId="6" borderId="7" xfId="0" applyNumberFormat="1" applyFont="1" applyFill="1" applyBorder="1" applyAlignment="1">
      <alignment horizontal="center"/>
    </xf>
    <xf numFmtId="49" fontId="9" fillId="6" borderId="1" xfId="0" applyNumberFormat="1" applyFont="1" applyFill="1" applyBorder="1" applyAlignment="1">
      <alignment horizontal="center"/>
    </xf>
    <xf numFmtId="0" fontId="23" fillId="0" borderId="1" xfId="0" applyFont="1" applyBorder="1"/>
    <xf numFmtId="1" fontId="23" fillId="0" borderId="5" xfId="0" applyNumberFormat="1" applyFont="1" applyBorder="1" applyAlignment="1">
      <alignment horizontal="center"/>
    </xf>
    <xf numFmtId="1" fontId="9" fillId="6" borderId="5" xfId="0" applyNumberFormat="1" applyFont="1" applyFill="1" applyBorder="1" applyAlignment="1">
      <alignment horizontal="center"/>
    </xf>
    <xf numFmtId="0" fontId="4" fillId="6" borderId="1" xfId="0" applyFont="1" applyFill="1" applyBorder="1"/>
    <xf numFmtId="1" fontId="4" fillId="6" borderId="1" xfId="0" applyNumberFormat="1" applyFont="1" applyFill="1" applyBorder="1" applyAlignment="1">
      <alignment horizontal="center"/>
    </xf>
    <xf numFmtId="0" fontId="11" fillId="41" borderId="1" xfId="0" applyFont="1" applyFill="1" applyBorder="1" applyAlignment="1">
      <alignment horizontal="left"/>
    </xf>
    <xf numFmtId="0" fontId="12" fillId="41" borderId="1" xfId="0" applyFont="1" applyFill="1" applyBorder="1" applyAlignment="1">
      <alignment horizontal="left"/>
    </xf>
    <xf numFmtId="4" fontId="12" fillId="41" borderId="1" xfId="0" applyNumberFormat="1" applyFont="1" applyFill="1" applyBorder="1" applyAlignment="1">
      <alignment horizontal="right"/>
    </xf>
    <xf numFmtId="0" fontId="12" fillId="41" borderId="12" xfId="0" applyFont="1" applyFill="1" applyBorder="1" applyAlignment="1">
      <alignment horizontal="center"/>
    </xf>
    <xf numFmtId="0" fontId="12" fillId="41" borderId="1" xfId="0" applyFont="1" applyFill="1" applyBorder="1" applyAlignment="1">
      <alignment horizontal="center"/>
    </xf>
    <xf numFmtId="0" fontId="11" fillId="41" borderId="1" xfId="0" applyFont="1" applyFill="1" applyBorder="1"/>
    <xf numFmtId="0" fontId="11" fillId="42" borderId="1" xfId="0" applyFont="1" applyFill="1" applyBorder="1" applyAlignment="1">
      <alignment horizontal="center" vertical="center"/>
    </xf>
    <xf numFmtId="0" fontId="48" fillId="0" borderId="1" xfId="0" applyFont="1" applyBorder="1" applyAlignment="1">
      <alignment horizontal="center" vertical="center"/>
    </xf>
    <xf numFmtId="0" fontId="3" fillId="0" borderId="1" xfId="0" applyFont="1" applyBorder="1" applyAlignment="1">
      <alignment horizontal="center" vertical="center"/>
    </xf>
    <xf numFmtId="0" fontId="0" fillId="0" borderId="13" xfId="0" applyBorder="1"/>
    <xf numFmtId="0" fontId="2" fillId="40" borderId="13" xfId="0" applyFont="1" applyFill="1" applyBorder="1" applyAlignment="1">
      <alignment horizontal="left" vertical="center" wrapText="1"/>
    </xf>
    <xf numFmtId="0" fontId="2" fillId="40" borderId="0" xfId="0" applyFont="1" applyFill="1" applyAlignment="1">
      <alignment horizontal="left" vertical="center" wrapText="1"/>
    </xf>
    <xf numFmtId="0" fontId="2" fillId="40" borderId="14" xfId="0" applyFont="1" applyFill="1" applyBorder="1" applyAlignment="1">
      <alignment horizontal="left" vertical="center" wrapText="1"/>
    </xf>
    <xf numFmtId="0" fontId="0" fillId="0" borderId="6" xfId="0" applyBorder="1"/>
    <xf numFmtId="0" fontId="0" fillId="0" borderId="14" xfId="0" applyBorder="1"/>
    <xf numFmtId="0" fontId="24" fillId="42" borderId="1" xfId="0" applyFont="1" applyFill="1" applyBorder="1" applyAlignment="1">
      <alignment horizontal="center"/>
    </xf>
    <xf numFmtId="0" fontId="12" fillId="42" borderId="4" xfId="0" applyFont="1" applyFill="1" applyBorder="1" applyAlignment="1">
      <alignment horizontal="center"/>
    </xf>
    <xf numFmtId="0" fontId="2" fillId="0" borderId="1" xfId="0" applyFont="1" applyBorder="1"/>
    <xf numFmtId="0" fontId="2" fillId="2" borderId="1" xfId="0" applyFont="1" applyFill="1" applyBorder="1"/>
    <xf numFmtId="0" fontId="2" fillId="3" borderId="1" xfId="0" applyFont="1" applyFill="1" applyBorder="1"/>
    <xf numFmtId="0" fontId="0" fillId="3" borderId="1" xfId="0" applyFill="1" applyBorder="1"/>
    <xf numFmtId="0" fontId="2" fillId="39" borderId="1" xfId="0" applyFont="1" applyFill="1" applyBorder="1"/>
    <xf numFmtId="17" fontId="49" fillId="42" borderId="1" xfId="0" applyNumberFormat="1" applyFont="1" applyFill="1" applyBorder="1" applyAlignment="1">
      <alignment horizontal="center"/>
    </xf>
    <xf numFmtId="0" fontId="49" fillId="42" borderId="1" xfId="0" applyFont="1" applyFill="1" applyBorder="1" applyAlignment="1">
      <alignment horizontal="center"/>
    </xf>
    <xf numFmtId="0" fontId="49" fillId="42" borderId="1" xfId="0" applyFont="1" applyFill="1" applyBorder="1"/>
    <xf numFmtId="0" fontId="25" fillId="42" borderId="1" xfId="0" applyFont="1" applyFill="1" applyBorder="1" applyAlignment="1">
      <alignment horizontal="center" vertical="center"/>
    </xf>
    <xf numFmtId="0" fontId="49" fillId="42" borderId="1" xfId="0" applyFont="1" applyFill="1" applyBorder="1" applyAlignment="1">
      <alignment horizontal="center" vertical="center"/>
    </xf>
    <xf numFmtId="164" fontId="19" fillId="0" borderId="9" xfId="0" applyNumberFormat="1" applyFont="1" applyBorder="1" applyAlignment="1">
      <alignment horizontal="center"/>
    </xf>
    <xf numFmtId="3" fontId="0" fillId="0" borderId="1" xfId="0" applyNumberFormat="1" applyBorder="1"/>
    <xf numFmtId="3" fontId="46" fillId="0" borderId="1" xfId="0" applyNumberFormat="1" applyFont="1" applyBorder="1"/>
    <xf numFmtId="3" fontId="12" fillId="41" borderId="1" xfId="0" applyNumberFormat="1" applyFont="1" applyFill="1" applyBorder="1" applyAlignment="1">
      <alignment horizontal="right"/>
    </xf>
    <xf numFmtId="0" fontId="18" fillId="43" borderId="15" xfId="0" applyFont="1" applyFill="1" applyBorder="1" applyAlignment="1">
      <alignment horizontal="center" vertical="center"/>
    </xf>
    <xf numFmtId="0" fontId="18" fillId="43" borderId="16" xfId="0" applyFont="1" applyFill="1" applyBorder="1" applyAlignment="1">
      <alignment horizontal="center" vertical="center"/>
    </xf>
    <xf numFmtId="0" fontId="18" fillId="43" borderId="17" xfId="0" applyFont="1" applyFill="1" applyBorder="1" applyAlignment="1">
      <alignment horizontal="center" vertical="center"/>
    </xf>
    <xf numFmtId="0" fontId="18" fillId="43" borderId="18" xfId="0" applyFont="1" applyFill="1" applyBorder="1" applyAlignment="1">
      <alignment horizontal="center" vertical="center"/>
    </xf>
    <xf numFmtId="0" fontId="6" fillId="43" borderId="1" xfId="0" applyFont="1" applyFill="1" applyBorder="1" applyAlignment="1">
      <alignment horizontal="center"/>
    </xf>
    <xf numFmtId="0" fontId="18" fillId="43" borderId="4" xfId="0" applyFont="1" applyFill="1" applyBorder="1" applyAlignment="1">
      <alignment horizontal="center" vertical="center"/>
    </xf>
    <xf numFmtId="164" fontId="20" fillId="5" borderId="9" xfId="0" applyNumberFormat="1" applyFont="1" applyFill="1" applyBorder="1" applyAlignment="1">
      <alignment horizontal="center" vertical="center"/>
    </xf>
    <xf numFmtId="0" fontId="2" fillId="0" borderId="5" xfId="0" applyFont="1" applyBorder="1" applyAlignment="1">
      <alignment vertical="center"/>
    </xf>
    <xf numFmtId="3" fontId="49" fillId="41" borderId="1" xfId="0" applyNumberFormat="1" applyFont="1" applyFill="1" applyBorder="1"/>
    <xf numFmtId="0" fontId="50" fillId="0" borderId="1" xfId="0" applyFont="1" applyBorder="1" applyAlignment="1">
      <alignment horizontal="center" vertical="center"/>
    </xf>
    <xf numFmtId="169" fontId="3" fillId="0" borderId="1" xfId="33" applyNumberFormat="1" applyFont="1" applyBorder="1" applyAlignment="1">
      <alignment horizontal="center" vertical="center"/>
    </xf>
    <xf numFmtId="169" fontId="48" fillId="0" borderId="1" xfId="33" applyNumberFormat="1" applyFont="1" applyBorder="1" applyAlignment="1">
      <alignment horizontal="center" vertical="center"/>
    </xf>
    <xf numFmtId="169" fontId="2" fillId="0" borderId="1" xfId="33" applyNumberFormat="1" applyFont="1" applyBorder="1" applyAlignment="1">
      <alignment horizontal="center" vertical="center"/>
    </xf>
    <xf numFmtId="169" fontId="0" fillId="0" borderId="1" xfId="33" applyNumberFormat="1" applyFont="1" applyBorder="1"/>
    <xf numFmtId="3" fontId="3" fillId="0" borderId="0" xfId="0" applyNumberFormat="1" applyFont="1"/>
    <xf numFmtId="2" fontId="49" fillId="42" borderId="1" xfId="0" applyNumberFormat="1" applyFont="1" applyFill="1" applyBorder="1" applyAlignment="1">
      <alignment horizontal="center"/>
    </xf>
    <xf numFmtId="3" fontId="3" fillId="44" borderId="1" xfId="0" applyNumberFormat="1" applyFont="1" applyFill="1" applyBorder="1"/>
    <xf numFmtId="3" fontId="48" fillId="44" borderId="1" xfId="0" applyNumberFormat="1" applyFont="1" applyFill="1" applyBorder="1"/>
    <xf numFmtId="4" fontId="12" fillId="41" borderId="1" xfId="0" applyNumberFormat="1" applyFont="1" applyFill="1" applyBorder="1"/>
    <xf numFmtId="2" fontId="11" fillId="42" borderId="1" xfId="0" applyNumberFormat="1" applyFont="1" applyFill="1" applyBorder="1" applyAlignment="1">
      <alignment horizontal="center" vertical="center"/>
    </xf>
    <xf numFmtId="169" fontId="2" fillId="0" borderId="0" xfId="0" applyNumberFormat="1" applyFont="1" applyAlignment="1">
      <alignment horizontal="center"/>
    </xf>
    <xf numFmtId="4" fontId="20" fillId="3" borderId="11" xfId="0" applyNumberFormat="1" applyFont="1" applyFill="1" applyBorder="1" applyAlignment="1">
      <alignment horizontal="center" vertical="center"/>
    </xf>
    <xf numFmtId="4" fontId="3" fillId="3" borderId="1" xfId="0" applyNumberFormat="1" applyFont="1" applyFill="1" applyBorder="1" applyAlignment="1">
      <alignment horizontal="center"/>
    </xf>
    <xf numFmtId="4" fontId="20" fillId="0" borderId="11" xfId="0" applyNumberFormat="1" applyFont="1" applyBorder="1" applyAlignment="1">
      <alignment horizontal="center" vertical="center"/>
    </xf>
    <xf numFmtId="4" fontId="3" fillId="0" borderId="4" xfId="0" applyNumberFormat="1" applyFont="1" applyBorder="1" applyAlignment="1">
      <alignment horizontal="center"/>
    </xf>
    <xf numFmtId="3" fontId="16" fillId="5" borderId="1" xfId="0" applyNumberFormat="1" applyFont="1" applyFill="1" applyBorder="1" applyAlignment="1">
      <alignment horizontal="center" vertical="center"/>
    </xf>
    <xf numFmtId="4" fontId="2" fillId="0" borderId="0" xfId="0" applyNumberFormat="1" applyFont="1" applyAlignment="1">
      <alignment horizontal="center"/>
    </xf>
    <xf numFmtId="4" fontId="20" fillId="3" borderId="9" xfId="0" applyNumberFormat="1" applyFont="1" applyFill="1" applyBorder="1" applyAlignment="1">
      <alignment horizontal="center" vertical="center"/>
    </xf>
    <xf numFmtId="4" fontId="2" fillId="2" borderId="9" xfId="0" applyNumberFormat="1" applyFont="1" applyFill="1" applyBorder="1" applyAlignment="1">
      <alignment horizontal="center"/>
    </xf>
    <xf numFmtId="0" fontId="20" fillId="5" borderId="9" xfId="0" applyFont="1" applyFill="1" applyBorder="1" applyAlignment="1">
      <alignment horizontal="center" vertical="center"/>
    </xf>
    <xf numFmtId="4" fontId="2" fillId="2" borderId="8" xfId="0" applyNumberFormat="1" applyFont="1" applyFill="1" applyBorder="1" applyAlignment="1">
      <alignment horizontal="center"/>
    </xf>
    <xf numFmtId="0" fontId="2" fillId="2" borderId="9" xfId="0" applyFont="1" applyFill="1" applyBorder="1" applyAlignment="1">
      <alignment horizontal="center"/>
    </xf>
    <xf numFmtId="0" fontId="2" fillId="0" borderId="9" xfId="0" applyFont="1" applyBorder="1" applyAlignment="1">
      <alignment horizontal="center"/>
    </xf>
    <xf numFmtId="4" fontId="20" fillId="2" borderId="0" xfId="0" applyNumberFormat="1" applyFont="1" applyFill="1" applyAlignment="1">
      <alignment horizontal="center" vertical="center"/>
    </xf>
    <xf numFmtId="164" fontId="19" fillId="0" borderId="8" xfId="0" applyNumberFormat="1" applyFont="1" applyBorder="1" applyAlignment="1">
      <alignment horizontal="center"/>
    </xf>
    <xf numFmtId="164" fontId="19" fillId="2" borderId="9" xfId="0" applyNumberFormat="1" applyFont="1" applyFill="1" applyBorder="1" applyAlignment="1">
      <alignment horizontal="center"/>
    </xf>
    <xf numFmtId="0" fontId="16" fillId="5" borderId="1" xfId="0" applyFont="1" applyFill="1" applyBorder="1" applyAlignment="1">
      <alignment horizontal="center" vertical="center"/>
    </xf>
    <xf numFmtId="4" fontId="3" fillId="3" borderId="11" xfId="0" applyNumberFormat="1" applyFont="1" applyFill="1" applyBorder="1" applyAlignment="1">
      <alignment horizontal="center"/>
    </xf>
    <xf numFmtId="4" fontId="20" fillId="2" borderId="9" xfId="0" applyNumberFormat="1" applyFont="1" applyFill="1" applyBorder="1" applyAlignment="1">
      <alignment horizontal="center" vertical="center"/>
    </xf>
    <xf numFmtId="164" fontId="20" fillId="0" borderId="9" xfId="0" applyNumberFormat="1" applyFont="1" applyBorder="1" applyAlignment="1">
      <alignment horizontal="center" vertical="center"/>
    </xf>
    <xf numFmtId="164" fontId="19" fillId="0" borderId="14" xfId="0" applyNumberFormat="1" applyFont="1" applyBorder="1" applyAlignment="1">
      <alignment horizontal="center"/>
    </xf>
    <xf numFmtId="0" fontId="3" fillId="46" borderId="0" xfId="0" applyFont="1" applyFill="1" applyAlignment="1">
      <alignment horizontal="center"/>
    </xf>
    <xf numFmtId="0" fontId="28" fillId="0" borderId="1" xfId="0" applyFont="1" applyBorder="1"/>
    <xf numFmtId="0" fontId="51" fillId="42" borderId="0" xfId="0" applyFont="1" applyFill="1" applyAlignment="1">
      <alignment vertical="center"/>
    </xf>
    <xf numFmtId="0" fontId="28" fillId="0" borderId="1" xfId="0" applyFont="1" applyBorder="1" applyAlignment="1">
      <alignment vertical="center" wrapText="1"/>
    </xf>
    <xf numFmtId="10" fontId="2" fillId="0" borderId="0" xfId="63" applyNumberFormat="1" applyFont="1"/>
    <xf numFmtId="0" fontId="51" fillId="42" borderId="0" xfId="0" applyFont="1" applyFill="1" applyAlignment="1">
      <alignment horizontal="left" vertical="center"/>
    </xf>
    <xf numFmtId="0" fontId="12" fillId="42" borderId="12" xfId="0" applyFont="1" applyFill="1" applyBorder="1" applyAlignment="1">
      <alignment horizontal="center" vertical="center"/>
    </xf>
    <xf numFmtId="0" fontId="12" fillId="42" borderId="6" xfId="0" applyFont="1" applyFill="1" applyBorder="1" applyAlignment="1">
      <alignment horizontal="center" vertical="center"/>
    </xf>
    <xf numFmtId="0" fontId="4" fillId="7" borderId="0" xfId="0" applyFont="1" applyFill="1" applyAlignment="1">
      <alignment horizontal="center"/>
    </xf>
    <xf numFmtId="0" fontId="13" fillId="7" borderId="0" xfId="0" applyFont="1" applyFill="1" applyAlignment="1">
      <alignment horizontal="center"/>
    </xf>
    <xf numFmtId="0" fontId="13" fillId="7" borderId="2" xfId="0" applyFont="1" applyFill="1" applyBorder="1" applyAlignment="1">
      <alignment horizontal="center"/>
    </xf>
    <xf numFmtId="0" fontId="22" fillId="7" borderId="0" xfId="0" applyFont="1" applyFill="1" applyAlignment="1">
      <alignment horizontal="center"/>
    </xf>
    <xf numFmtId="0" fontId="12" fillId="41" borderId="1" xfId="0" applyFont="1" applyFill="1" applyBorder="1" applyAlignment="1">
      <alignment horizontal="center"/>
    </xf>
    <xf numFmtId="0" fontId="3" fillId="0" borderId="19" xfId="0" applyFont="1" applyBorder="1" applyAlignment="1">
      <alignment horizontal="center" vertical="center" wrapText="1"/>
    </xf>
    <xf numFmtId="0" fontId="3" fillId="0" borderId="10" xfId="0" applyFont="1" applyBorder="1" applyAlignment="1">
      <alignment horizontal="center" vertical="center" wrapText="1"/>
    </xf>
    <xf numFmtId="0" fontId="3" fillId="0" borderId="11" xfId="0" applyFont="1" applyBorder="1" applyAlignment="1">
      <alignment horizontal="center" vertical="center" wrapText="1"/>
    </xf>
    <xf numFmtId="0" fontId="3" fillId="0" borderId="12" xfId="0" applyFont="1" applyBorder="1" applyAlignment="1">
      <alignment horizontal="center" vertical="center" wrapText="1"/>
    </xf>
    <xf numFmtId="0" fontId="3" fillId="0" borderId="6" xfId="0" applyFont="1" applyBorder="1" applyAlignment="1">
      <alignment horizontal="center" vertical="center" wrapText="1"/>
    </xf>
    <xf numFmtId="0" fontId="3" fillId="0" borderId="20" xfId="0" applyFont="1" applyBorder="1" applyAlignment="1">
      <alignment horizontal="center" vertical="center" wrapText="1"/>
    </xf>
    <xf numFmtId="0" fontId="2" fillId="40" borderId="13" xfId="0" applyFont="1" applyFill="1" applyBorder="1" applyAlignment="1">
      <alignment horizontal="left" vertical="center" wrapText="1"/>
    </xf>
    <xf numFmtId="0" fontId="2" fillId="40" borderId="0" xfId="0" applyFont="1" applyFill="1" applyAlignment="1">
      <alignment horizontal="left" vertical="center" wrapText="1"/>
    </xf>
    <xf numFmtId="0" fontId="2" fillId="40" borderId="14" xfId="0" applyFont="1" applyFill="1" applyBorder="1" applyAlignment="1">
      <alignment horizontal="left" vertical="center" wrapText="1"/>
    </xf>
    <xf numFmtId="0" fontId="2" fillId="40" borderId="12" xfId="0" applyFont="1" applyFill="1" applyBorder="1" applyAlignment="1">
      <alignment horizontal="left" vertical="center" wrapText="1"/>
    </xf>
    <xf numFmtId="0" fontId="2" fillId="40" borderId="6" xfId="0" applyFont="1" applyFill="1" applyBorder="1" applyAlignment="1">
      <alignment horizontal="left" vertical="center" wrapText="1"/>
    </xf>
    <xf numFmtId="0" fontId="2" fillId="40" borderId="20" xfId="0" applyFont="1" applyFill="1" applyBorder="1" applyAlignment="1">
      <alignment horizontal="left" vertical="center" wrapText="1"/>
    </xf>
    <xf numFmtId="0" fontId="52" fillId="42" borderId="0" xfId="0" applyFont="1" applyFill="1" applyAlignment="1">
      <alignment horizontal="center"/>
    </xf>
    <xf numFmtId="0" fontId="26" fillId="42" borderId="13" xfId="0" applyFont="1" applyFill="1" applyBorder="1" applyAlignment="1">
      <alignment horizontal="center" vertical="center"/>
    </xf>
    <xf numFmtId="0" fontId="26" fillId="42" borderId="0" xfId="0" applyFont="1" applyFill="1" applyAlignment="1">
      <alignment horizontal="center" vertical="center"/>
    </xf>
    <xf numFmtId="0" fontId="16" fillId="43" borderId="21" xfId="0" applyFont="1" applyFill="1" applyBorder="1" applyAlignment="1">
      <alignment horizontal="center"/>
    </xf>
    <xf numFmtId="0" fontId="17" fillId="43" borderId="22" xfId="0" applyFont="1" applyFill="1" applyBorder="1" applyAlignment="1">
      <alignment horizontal="center"/>
    </xf>
    <xf numFmtId="0" fontId="17" fillId="43" borderId="23" xfId="0" applyFont="1" applyFill="1" applyBorder="1" applyAlignment="1">
      <alignment horizontal="center"/>
    </xf>
    <xf numFmtId="0" fontId="27" fillId="43" borderId="0" xfId="0" applyFont="1" applyFill="1" applyAlignment="1">
      <alignment horizontal="center" vertical="center"/>
    </xf>
    <xf numFmtId="0" fontId="16" fillId="43" borderId="22" xfId="0" applyFont="1" applyFill="1" applyBorder="1" applyAlignment="1">
      <alignment horizontal="center"/>
    </xf>
    <xf numFmtId="0" fontId="16" fillId="43" borderId="23" xfId="0" applyFont="1" applyFill="1" applyBorder="1" applyAlignment="1">
      <alignment horizontal="center"/>
    </xf>
    <xf numFmtId="0" fontId="3" fillId="0" borderId="0" xfId="0" applyFont="1" applyAlignment="1">
      <alignment horizontal="center"/>
    </xf>
    <xf numFmtId="4" fontId="27" fillId="3" borderId="7" xfId="0" applyNumberFormat="1" applyFont="1" applyFill="1" applyBorder="1" applyAlignment="1">
      <alignment horizontal="center" vertical="center"/>
    </xf>
    <xf numFmtId="4" fontId="27" fillId="3" borderId="8" xfId="0" applyNumberFormat="1" applyFont="1" applyFill="1" applyBorder="1" applyAlignment="1">
      <alignment horizontal="center" vertical="center"/>
    </xf>
    <xf numFmtId="0" fontId="3" fillId="45" borderId="6" xfId="0" applyFont="1" applyFill="1" applyBorder="1" applyAlignment="1">
      <alignment horizontal="center"/>
    </xf>
  </cellXfs>
  <cellStyles count="64">
    <cellStyle name="20% - Énfasis1" xfId="1" builtinId="30" customBuiltin="1"/>
    <cellStyle name="20% - Énfasis2" xfId="2" builtinId="34" customBuiltin="1"/>
    <cellStyle name="20% - Énfasis3" xfId="3" builtinId="38" customBuiltin="1"/>
    <cellStyle name="20% - Énfasis4" xfId="4" builtinId="42" customBuiltin="1"/>
    <cellStyle name="20% - Énfasis5" xfId="5" builtinId="46" customBuiltin="1"/>
    <cellStyle name="20% - Énfasis6" xfId="6" builtinId="50" customBuiltin="1"/>
    <cellStyle name="40% - Énfasis1" xfId="7" builtinId="31" customBuiltin="1"/>
    <cellStyle name="40% - Énfasis2" xfId="8" builtinId="35" customBuiltin="1"/>
    <cellStyle name="40% - Énfasis3" xfId="9" builtinId="39" customBuiltin="1"/>
    <cellStyle name="40% - Énfasis4" xfId="10" builtinId="43" customBuiltin="1"/>
    <cellStyle name="40% - Énfasis5" xfId="11" builtinId="47" customBuiltin="1"/>
    <cellStyle name="40% - Énfasis6" xfId="12" builtinId="51" customBuiltin="1"/>
    <cellStyle name="60% - Énfasis1" xfId="13" builtinId="32" customBuiltin="1"/>
    <cellStyle name="60% - Énfasis2" xfId="14" builtinId="36" customBuiltin="1"/>
    <cellStyle name="60% - Énfasis3" xfId="15" builtinId="40" customBuiltin="1"/>
    <cellStyle name="60% - Énfasis4" xfId="16" builtinId="44" customBuiltin="1"/>
    <cellStyle name="60% - Énfasis5" xfId="17" builtinId="48" customBuiltin="1"/>
    <cellStyle name="60% - Énfasis6" xfId="18" builtinId="52" customBuiltin="1"/>
    <cellStyle name="Bueno" xfId="19" builtinId="26" customBuiltin="1"/>
    <cellStyle name="Cálculo" xfId="20" builtinId="22" customBuiltin="1"/>
    <cellStyle name="Celda de comprobación" xfId="21" builtinId="23" customBuiltin="1"/>
    <cellStyle name="Celda vinculada" xfId="22" builtinId="24" customBuiltin="1"/>
    <cellStyle name="Encabezado 1" xfId="23" builtinId="16" customBuiltin="1"/>
    <cellStyle name="Encabezado 4" xfId="24" builtinId="19" customBuiltin="1"/>
    <cellStyle name="Énfasis1" xfId="25" builtinId="29" customBuiltin="1"/>
    <cellStyle name="Énfasis2" xfId="26" builtinId="33" customBuiltin="1"/>
    <cellStyle name="Énfasis3" xfId="27" builtinId="37" customBuiltin="1"/>
    <cellStyle name="Énfasis4" xfId="28" builtinId="41" customBuiltin="1"/>
    <cellStyle name="Énfasis5" xfId="29" builtinId="45" customBuiltin="1"/>
    <cellStyle name="Énfasis6" xfId="30" builtinId="49" customBuiltin="1"/>
    <cellStyle name="Entrada" xfId="31" builtinId="20" customBuiltin="1"/>
    <cellStyle name="Incorrecto" xfId="32" builtinId="27" customBuiltin="1"/>
    <cellStyle name="Millares" xfId="33" builtinId="3"/>
    <cellStyle name="Millares 2" xfId="34" xr:uid="{00000000-0005-0000-0000-000021000000}"/>
    <cellStyle name="Neutral" xfId="35" builtinId="28" customBuiltin="1"/>
    <cellStyle name="Normal" xfId="0" builtinId="0"/>
    <cellStyle name="Normal 10" xfId="36" xr:uid="{00000000-0005-0000-0000-000024000000}"/>
    <cellStyle name="Normal 11" xfId="37" xr:uid="{00000000-0005-0000-0000-000025000000}"/>
    <cellStyle name="Normal 11 2" xfId="38" xr:uid="{00000000-0005-0000-0000-000026000000}"/>
    <cellStyle name="Normal 12" xfId="39" xr:uid="{00000000-0005-0000-0000-000027000000}"/>
    <cellStyle name="Normal 13" xfId="40" xr:uid="{00000000-0005-0000-0000-000028000000}"/>
    <cellStyle name="Normal 14" xfId="41" xr:uid="{00000000-0005-0000-0000-000029000000}"/>
    <cellStyle name="Normal 14 2" xfId="42" xr:uid="{00000000-0005-0000-0000-00002A000000}"/>
    <cellStyle name="Normal 15" xfId="43" xr:uid="{00000000-0005-0000-0000-00002B000000}"/>
    <cellStyle name="Normal 2" xfId="44" xr:uid="{00000000-0005-0000-0000-00002C000000}"/>
    <cellStyle name="Normal 2 2" xfId="45" xr:uid="{00000000-0005-0000-0000-00002D000000}"/>
    <cellStyle name="Normal 2 2 2" xfId="46" xr:uid="{00000000-0005-0000-0000-00002E000000}"/>
    <cellStyle name="Normal 3" xfId="47" xr:uid="{00000000-0005-0000-0000-00002F000000}"/>
    <cellStyle name="Normal 4" xfId="48" xr:uid="{00000000-0005-0000-0000-000030000000}"/>
    <cellStyle name="Normal 5" xfId="49" xr:uid="{00000000-0005-0000-0000-000031000000}"/>
    <cellStyle name="Normal 6" xfId="50" xr:uid="{00000000-0005-0000-0000-000032000000}"/>
    <cellStyle name="Normal 7" xfId="51" xr:uid="{00000000-0005-0000-0000-000033000000}"/>
    <cellStyle name="Normal 8" xfId="52" xr:uid="{00000000-0005-0000-0000-000034000000}"/>
    <cellStyle name="Normal 8 2" xfId="53" xr:uid="{00000000-0005-0000-0000-000035000000}"/>
    <cellStyle name="Normal 9" xfId="54" xr:uid="{00000000-0005-0000-0000-000036000000}"/>
    <cellStyle name="Notas 2" xfId="55" xr:uid="{00000000-0005-0000-0000-000037000000}"/>
    <cellStyle name="Porcentaje" xfId="63" builtinId="5"/>
    <cellStyle name="Salida" xfId="56" builtinId="21" customBuiltin="1"/>
    <cellStyle name="Texto de advertencia" xfId="57" builtinId="11" customBuiltin="1"/>
    <cellStyle name="Texto explicativo" xfId="58" builtinId="53" customBuiltin="1"/>
    <cellStyle name="Título" xfId="59" builtinId="15" customBuiltin="1"/>
    <cellStyle name="Título 2" xfId="60" builtinId="17" customBuiltin="1"/>
    <cellStyle name="Título 3" xfId="61" builtinId="18" customBuiltin="1"/>
    <cellStyle name="Total" xfId="62" builtinId="25"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34"/>
    </mc:Choice>
    <mc:Fallback>
      <c:style val="34"/>
    </mc:Fallback>
  </mc:AlternateContent>
  <c:chart>
    <c:autoTitleDeleted val="0"/>
    <c:view3D>
      <c:rotX val="30"/>
      <c:rotY val="0"/>
      <c:rAngAx val="0"/>
      <c:perspective val="0"/>
    </c:view3D>
    <c:floor>
      <c:thickness val="0"/>
    </c:floor>
    <c:sideWall>
      <c:thickness val="0"/>
    </c:sideWall>
    <c:backWall>
      <c:thickness val="0"/>
    </c:backWall>
    <c:plotArea>
      <c:layout>
        <c:manualLayout>
          <c:layoutTarget val="inner"/>
          <c:xMode val="edge"/>
          <c:yMode val="edge"/>
          <c:x val="5.0632911392405132E-2"/>
          <c:y val="9.7560975609756226E-2"/>
          <c:w val="0.62182973963697763"/>
          <c:h val="0.88075880758807856"/>
        </c:manualLayout>
      </c:layout>
      <c:pie3DChart>
        <c:varyColors val="1"/>
        <c:ser>
          <c:idx val="0"/>
          <c:order val="0"/>
          <c:explosion val="29"/>
          <c:dPt>
            <c:idx val="0"/>
            <c:bubble3D val="0"/>
            <c:extLst>
              <c:ext xmlns:c16="http://schemas.microsoft.com/office/drawing/2014/chart" uri="{C3380CC4-5D6E-409C-BE32-E72D297353CC}">
                <c16:uniqueId val="{00000000-A4A5-47FB-AA3C-AADA491DD466}"/>
              </c:ext>
            </c:extLst>
          </c:dPt>
          <c:dPt>
            <c:idx val="1"/>
            <c:bubble3D val="0"/>
            <c:extLst>
              <c:ext xmlns:c16="http://schemas.microsoft.com/office/drawing/2014/chart" uri="{C3380CC4-5D6E-409C-BE32-E72D297353CC}">
                <c16:uniqueId val="{00000001-A4A5-47FB-AA3C-AADA491DD466}"/>
              </c:ext>
            </c:extLst>
          </c:dPt>
          <c:dLbls>
            <c:dLbl>
              <c:idx val="0"/>
              <c:layout>
                <c:manualLayout>
                  <c:x val="9.430631354176762E-2"/>
                  <c:y val="-0.17856379939889216"/>
                </c:manualLayout>
              </c:layout>
              <c:numFmt formatCode="0.00%" sourceLinked="0"/>
              <c:spPr>
                <a:noFill/>
                <a:ln w="25400">
                  <a:noFill/>
                </a:ln>
              </c:spPr>
              <c:txPr>
                <a:bodyPr/>
                <a:lstStyle/>
                <a:p>
                  <a:pPr>
                    <a:defRPr sz="1500" b="0" i="0" u="none" strike="noStrike" baseline="0">
                      <a:solidFill>
                        <a:srgbClr val="000000"/>
                      </a:solidFill>
                      <a:latin typeface="Calibri"/>
                      <a:ea typeface="Calibri"/>
                      <a:cs typeface="Calibri"/>
                    </a:defRPr>
                  </a:pPr>
                  <a:endParaRPr lang="es-AR"/>
                </a:p>
              </c:txPr>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0-A4A5-47FB-AA3C-AADA491DD466}"/>
                </c:ext>
              </c:extLst>
            </c:dLbl>
            <c:dLbl>
              <c:idx val="1"/>
              <c:layout>
                <c:manualLayout>
                  <c:x val="-2.6306531052682186E-2"/>
                  <c:y val="-4.0811140645635856E-3"/>
                </c:manualLayout>
              </c:layout>
              <c:numFmt formatCode="0.00%" sourceLinked="0"/>
              <c:spPr>
                <a:noFill/>
                <a:ln w="25400">
                  <a:noFill/>
                </a:ln>
              </c:spPr>
              <c:txPr>
                <a:bodyPr/>
                <a:lstStyle/>
                <a:p>
                  <a:pPr>
                    <a:defRPr sz="1500" b="0" i="0" u="none" strike="noStrike" baseline="0">
                      <a:solidFill>
                        <a:srgbClr val="000000"/>
                      </a:solidFill>
                      <a:latin typeface="Calibri"/>
                      <a:ea typeface="Calibri"/>
                      <a:cs typeface="Calibri"/>
                    </a:defRPr>
                  </a:pPr>
                  <a:endParaRPr lang="es-AR"/>
                </a:p>
              </c:txPr>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A4A5-47FB-AA3C-AADA491DD466}"/>
                </c:ext>
              </c:extLst>
            </c:dLbl>
            <c:numFmt formatCode="0.00%" sourceLinked="0"/>
            <c:spPr>
              <a:noFill/>
              <a:ln w="25400">
                <a:noFill/>
              </a:ln>
            </c:spPr>
            <c:txPr>
              <a:bodyPr wrap="square" lIns="38100" tIns="19050" rIns="38100" bIns="19050" anchor="ctr">
                <a:spAutoFit/>
              </a:bodyPr>
              <a:lstStyle/>
              <a:p>
                <a:pPr>
                  <a:defRPr sz="1500" b="0" i="0" u="none" strike="noStrike" baseline="0">
                    <a:solidFill>
                      <a:srgbClr val="000000"/>
                    </a:solidFill>
                    <a:latin typeface="Calibri"/>
                    <a:ea typeface="Calibri"/>
                    <a:cs typeface="Calibri"/>
                  </a:defRPr>
                </a:pPr>
                <a:endParaRPr lang="es-AR"/>
              </a:p>
            </c:txPr>
            <c:showLegendKey val="0"/>
            <c:showVal val="0"/>
            <c:showCatName val="0"/>
            <c:showSerName val="0"/>
            <c:showPercent val="1"/>
            <c:showBubbleSize val="0"/>
            <c:showLeaderLines val="1"/>
            <c:extLst>
              <c:ext xmlns:c15="http://schemas.microsoft.com/office/drawing/2012/chart" uri="{CE6537A1-D6FC-4f65-9D91-7224C49458BB}"/>
            </c:extLst>
          </c:dLbls>
          <c:cat>
            <c:strRef>
              <c:f>DATOS!$A$8:$A$9</c:f>
              <c:strCache>
                <c:ptCount val="2"/>
                <c:pt idx="0">
                  <c:v>PRESENTISMO TOTAL  %</c:v>
                </c:pt>
                <c:pt idx="1">
                  <c:v>AUSENTISMO TOTAL %</c:v>
                </c:pt>
              </c:strCache>
            </c:strRef>
          </c:cat>
          <c:val>
            <c:numRef>
              <c:f>DATOS!$C$8:$C$9</c:f>
              <c:numCache>
                <c:formatCode>#,##0.00</c:formatCode>
                <c:ptCount val="2"/>
                <c:pt idx="0">
                  <c:v>0.74463458994708998</c:v>
                </c:pt>
                <c:pt idx="1">
                  <c:v>0.25536541005291002</c:v>
                </c:pt>
              </c:numCache>
            </c:numRef>
          </c:val>
          <c:extLst>
            <c:ext xmlns:c16="http://schemas.microsoft.com/office/drawing/2014/chart" uri="{C3380CC4-5D6E-409C-BE32-E72D297353CC}">
              <c16:uniqueId val="{00000002-A4A5-47FB-AA3C-AADA491DD466}"/>
            </c:ext>
          </c:extLst>
        </c:ser>
        <c:dLbls>
          <c:showLegendKey val="0"/>
          <c:showVal val="0"/>
          <c:showCatName val="0"/>
          <c:showSerName val="0"/>
          <c:showPercent val="0"/>
          <c:showBubbleSize val="0"/>
          <c:showLeaderLines val="1"/>
        </c:dLbls>
      </c:pie3DChart>
      <c:spPr>
        <a:noFill/>
        <a:ln w="25400">
          <a:noFill/>
        </a:ln>
      </c:spPr>
    </c:plotArea>
    <c:legend>
      <c:legendPos val="r"/>
      <c:legendEntry>
        <c:idx val="0"/>
        <c:txPr>
          <a:bodyPr/>
          <a:lstStyle/>
          <a:p>
            <a:pPr>
              <a:defRPr sz="1100" b="0" i="0" u="none" strike="noStrike" baseline="0">
                <a:solidFill>
                  <a:srgbClr val="000000"/>
                </a:solidFill>
                <a:latin typeface="Calibri"/>
                <a:ea typeface="Calibri"/>
                <a:cs typeface="Calibri"/>
              </a:defRPr>
            </a:pPr>
            <a:endParaRPr lang="es-AR"/>
          </a:p>
        </c:txPr>
      </c:legendEntry>
      <c:legendEntry>
        <c:idx val="1"/>
        <c:txPr>
          <a:bodyPr/>
          <a:lstStyle/>
          <a:p>
            <a:pPr>
              <a:defRPr sz="1100" b="0" i="0" u="none" strike="noStrike" baseline="0">
                <a:solidFill>
                  <a:srgbClr val="000000"/>
                </a:solidFill>
                <a:latin typeface="Calibri"/>
                <a:ea typeface="Calibri"/>
                <a:cs typeface="Calibri"/>
              </a:defRPr>
            </a:pPr>
            <a:endParaRPr lang="es-AR"/>
          </a:p>
        </c:txPr>
      </c:legendEntry>
      <c:layout>
        <c:manualLayout>
          <c:xMode val="edge"/>
          <c:yMode val="edge"/>
          <c:x val="0.79485997785020068"/>
          <c:y val="7.1380520369736397E-2"/>
          <c:w val="0.16785350471674421"/>
          <c:h val="0.16278129635969418"/>
        </c:manualLayout>
      </c:layout>
      <c:overlay val="0"/>
      <c:txPr>
        <a:bodyPr/>
        <a:lstStyle/>
        <a:p>
          <a:pPr>
            <a:defRPr sz="1100" b="0" i="0" u="none" strike="noStrike" baseline="0">
              <a:solidFill>
                <a:srgbClr val="000000"/>
              </a:solidFill>
              <a:latin typeface="Calibri"/>
              <a:ea typeface="Calibri"/>
              <a:cs typeface="Calibri"/>
            </a:defRPr>
          </a:pPr>
          <a:endParaRPr lang="es-AR"/>
        </a:p>
      </c:txPr>
    </c:legend>
    <c:plotVisOnly val="1"/>
    <c:dispBlanksAs val="zero"/>
    <c:showDLblsOverMax val="0"/>
  </c:chart>
  <c:txPr>
    <a:bodyPr/>
    <a:lstStyle/>
    <a:p>
      <a:pPr>
        <a:defRPr sz="1000" b="0" i="0" u="none" strike="noStrike" baseline="0">
          <a:solidFill>
            <a:srgbClr val="000000"/>
          </a:solidFill>
          <a:latin typeface="Calibri"/>
          <a:ea typeface="Calibri"/>
          <a:cs typeface="Calibri"/>
        </a:defRPr>
      </a:pPr>
      <a:endParaRPr lang="es-AR"/>
    </a:p>
  </c:txPr>
  <c:printSettings>
    <c:headerFooter/>
    <c:pageMargins b="0.75000000000000133" l="0.70000000000000062" r="0.70000000000000062" t="0.75000000000000133" header="0.30000000000000032" footer="0.30000000000000032"/>
    <c:pageSetup paperSize="9" orientation="landscape"/>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10"/>
    </mc:Choice>
    <mc:Fallback>
      <c:style val="10"/>
    </mc:Fallback>
  </mc:AlternateContent>
  <c:chart>
    <c:autoTitleDeleted val="0"/>
    <c:view3D>
      <c:rotX val="30"/>
      <c:rotY val="0"/>
      <c:rAngAx val="0"/>
      <c:perspective val="0"/>
    </c:view3D>
    <c:floor>
      <c:thickness val="0"/>
    </c:floor>
    <c:sideWall>
      <c:thickness val="0"/>
    </c:sideWall>
    <c:backWall>
      <c:thickness val="0"/>
    </c:backWall>
    <c:plotArea>
      <c:layout>
        <c:manualLayout>
          <c:layoutTarget val="inner"/>
          <c:xMode val="edge"/>
          <c:yMode val="edge"/>
          <c:x val="0.10885045778229908"/>
          <c:y val="0.2035013115227019"/>
          <c:w val="0.44964394710071209"/>
          <c:h val="0.60393937613188953"/>
        </c:manualLayout>
      </c:layout>
      <c:pie3DChart>
        <c:varyColors val="1"/>
        <c:ser>
          <c:idx val="0"/>
          <c:order val="0"/>
          <c:explosion val="13"/>
          <c:dPt>
            <c:idx val="0"/>
            <c:bubble3D val="0"/>
            <c:extLst>
              <c:ext xmlns:c16="http://schemas.microsoft.com/office/drawing/2014/chart" uri="{C3380CC4-5D6E-409C-BE32-E72D297353CC}">
                <c16:uniqueId val="{00000000-4372-4942-9560-2EFA63124170}"/>
              </c:ext>
            </c:extLst>
          </c:dPt>
          <c:dPt>
            <c:idx val="1"/>
            <c:bubble3D val="0"/>
            <c:extLst>
              <c:ext xmlns:c16="http://schemas.microsoft.com/office/drawing/2014/chart" uri="{C3380CC4-5D6E-409C-BE32-E72D297353CC}">
                <c16:uniqueId val="{00000001-4372-4942-9560-2EFA63124170}"/>
              </c:ext>
            </c:extLst>
          </c:dPt>
          <c:dPt>
            <c:idx val="2"/>
            <c:bubble3D val="0"/>
            <c:extLst>
              <c:ext xmlns:c16="http://schemas.microsoft.com/office/drawing/2014/chart" uri="{C3380CC4-5D6E-409C-BE32-E72D297353CC}">
                <c16:uniqueId val="{00000002-4372-4942-9560-2EFA63124170}"/>
              </c:ext>
            </c:extLst>
          </c:dPt>
          <c:dPt>
            <c:idx val="3"/>
            <c:bubble3D val="0"/>
            <c:extLst>
              <c:ext xmlns:c16="http://schemas.microsoft.com/office/drawing/2014/chart" uri="{C3380CC4-5D6E-409C-BE32-E72D297353CC}">
                <c16:uniqueId val="{00000003-4372-4942-9560-2EFA63124170}"/>
              </c:ext>
            </c:extLst>
          </c:dPt>
          <c:dPt>
            <c:idx val="4"/>
            <c:bubble3D val="0"/>
            <c:extLst>
              <c:ext xmlns:c16="http://schemas.microsoft.com/office/drawing/2014/chart" uri="{C3380CC4-5D6E-409C-BE32-E72D297353CC}">
                <c16:uniqueId val="{00000004-4372-4942-9560-2EFA63124170}"/>
              </c:ext>
            </c:extLst>
          </c:dPt>
          <c:dPt>
            <c:idx val="5"/>
            <c:bubble3D val="0"/>
            <c:extLst>
              <c:ext xmlns:c16="http://schemas.microsoft.com/office/drawing/2014/chart" uri="{C3380CC4-5D6E-409C-BE32-E72D297353CC}">
                <c16:uniqueId val="{00000005-4372-4942-9560-2EFA63124170}"/>
              </c:ext>
            </c:extLst>
          </c:dPt>
          <c:dPt>
            <c:idx val="6"/>
            <c:bubble3D val="0"/>
            <c:extLst>
              <c:ext xmlns:c16="http://schemas.microsoft.com/office/drawing/2014/chart" uri="{C3380CC4-5D6E-409C-BE32-E72D297353CC}">
                <c16:uniqueId val="{00000006-4372-4942-9560-2EFA63124170}"/>
              </c:ext>
            </c:extLst>
          </c:dPt>
          <c:dLbls>
            <c:dLbl>
              <c:idx val="0"/>
              <c:layout>
                <c:manualLayout>
                  <c:x val="9.7634263782371888E-2"/>
                  <c:y val="-0.14590340360498788"/>
                </c:manualLayout>
              </c:layout>
              <c:numFmt formatCode="0.00%" sourceLinked="0"/>
              <c:spPr>
                <a:noFill/>
                <a:ln w="25400">
                  <a:noFill/>
                </a:ln>
              </c:spPr>
              <c:txPr>
                <a:bodyPr/>
                <a:lstStyle/>
                <a:p>
                  <a:pPr>
                    <a:defRPr sz="1000" b="0" i="0" u="none" strike="noStrike" baseline="0">
                      <a:solidFill>
                        <a:srgbClr val="000000"/>
                      </a:solidFill>
                      <a:latin typeface="Calibri"/>
                      <a:ea typeface="Calibri"/>
                      <a:cs typeface="Calibri"/>
                    </a:defRPr>
                  </a:pPr>
                  <a:endParaRPr lang="es-AR"/>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0-4372-4942-9560-2EFA63124170}"/>
                </c:ext>
              </c:extLst>
            </c:dLbl>
            <c:dLbl>
              <c:idx val="1"/>
              <c:layout>
                <c:manualLayout>
                  <c:x val="4.544419112761821E-2"/>
                  <c:y val="-8.6426912117815571E-2"/>
                </c:manualLayout>
              </c:layout>
              <c:numFmt formatCode="0.00%" sourceLinked="0"/>
              <c:spPr>
                <a:noFill/>
                <a:ln w="25400">
                  <a:noFill/>
                </a:ln>
              </c:spPr>
              <c:txPr>
                <a:bodyPr/>
                <a:lstStyle/>
                <a:p>
                  <a:pPr>
                    <a:defRPr sz="1000" b="0" i="0" u="none" strike="noStrike" baseline="0">
                      <a:solidFill>
                        <a:srgbClr val="000000"/>
                      </a:solidFill>
                      <a:latin typeface="Calibri"/>
                      <a:ea typeface="Calibri"/>
                      <a:cs typeface="Calibri"/>
                    </a:defRPr>
                  </a:pPr>
                  <a:endParaRPr lang="es-AR"/>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4372-4942-9560-2EFA63124170}"/>
                </c:ext>
              </c:extLst>
            </c:dLbl>
            <c:dLbl>
              <c:idx val="2"/>
              <c:layout>
                <c:manualLayout>
                  <c:x val="6.1631514141491102E-2"/>
                  <c:y val="3.0680263562774448E-2"/>
                </c:manualLayout>
              </c:layout>
              <c:numFmt formatCode="0.00%" sourceLinked="0"/>
              <c:spPr>
                <a:noFill/>
                <a:ln w="25400">
                  <a:noFill/>
                </a:ln>
              </c:spPr>
              <c:txPr>
                <a:bodyPr/>
                <a:lstStyle/>
                <a:p>
                  <a:pPr>
                    <a:defRPr sz="1000" b="0" i="0" u="none" strike="noStrike" baseline="0">
                      <a:solidFill>
                        <a:srgbClr val="000000"/>
                      </a:solidFill>
                      <a:latin typeface="Calibri"/>
                      <a:ea typeface="Calibri"/>
                      <a:cs typeface="Calibri"/>
                    </a:defRPr>
                  </a:pPr>
                  <a:endParaRPr lang="es-AR"/>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4372-4942-9560-2EFA63124170}"/>
                </c:ext>
              </c:extLst>
            </c:dLbl>
            <c:dLbl>
              <c:idx val="3"/>
              <c:layout>
                <c:manualLayout>
                  <c:x val="5.2656634034529796E-3"/>
                  <c:y val="3.4619584129888581E-2"/>
                </c:manualLayout>
              </c:layout>
              <c:numFmt formatCode="0.00%" sourceLinked="0"/>
              <c:spPr>
                <a:noFill/>
                <a:ln w="25400">
                  <a:noFill/>
                </a:ln>
              </c:spPr>
              <c:txPr>
                <a:bodyPr/>
                <a:lstStyle/>
                <a:p>
                  <a:pPr>
                    <a:defRPr sz="1000" b="0" i="0" u="none" strike="noStrike" baseline="0">
                      <a:solidFill>
                        <a:srgbClr val="000000"/>
                      </a:solidFill>
                      <a:latin typeface="Calibri"/>
                      <a:ea typeface="Calibri"/>
                      <a:cs typeface="Calibri"/>
                    </a:defRPr>
                  </a:pPr>
                  <a:endParaRPr lang="es-AR"/>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4372-4942-9560-2EFA63124170}"/>
                </c:ext>
              </c:extLst>
            </c:dLbl>
            <c:dLbl>
              <c:idx val="4"/>
              <c:layout>
                <c:manualLayout>
                  <c:x val="-3.7934766996494819E-2"/>
                  <c:y val="-1.9497201053215001E-2"/>
                </c:manualLayout>
              </c:layout>
              <c:numFmt formatCode="0.00%" sourceLinked="0"/>
              <c:spPr>
                <a:noFill/>
                <a:ln w="25400">
                  <a:noFill/>
                </a:ln>
              </c:spPr>
              <c:txPr>
                <a:bodyPr/>
                <a:lstStyle/>
                <a:p>
                  <a:pPr>
                    <a:defRPr sz="1000" b="0" i="0" u="none" strike="noStrike" baseline="0">
                      <a:solidFill>
                        <a:srgbClr val="000000"/>
                      </a:solidFill>
                      <a:latin typeface="Calibri"/>
                      <a:ea typeface="Calibri"/>
                      <a:cs typeface="Calibri"/>
                    </a:defRPr>
                  </a:pPr>
                  <a:endParaRPr lang="es-AR"/>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4372-4942-9560-2EFA63124170}"/>
                </c:ext>
              </c:extLst>
            </c:dLbl>
            <c:dLbl>
              <c:idx val="5"/>
              <c:layout>
                <c:manualLayout>
                  <c:x val="-2.8561776551180786E-2"/>
                  <c:y val="-4.0857315424589709E-2"/>
                </c:manualLayout>
              </c:layout>
              <c:numFmt formatCode="0.00%" sourceLinked="0"/>
              <c:spPr>
                <a:noFill/>
                <a:ln w="25400">
                  <a:noFill/>
                </a:ln>
              </c:spPr>
              <c:txPr>
                <a:bodyPr/>
                <a:lstStyle/>
                <a:p>
                  <a:pPr>
                    <a:defRPr sz="1000" b="0" i="0" u="none" strike="noStrike" baseline="0">
                      <a:solidFill>
                        <a:srgbClr val="000000"/>
                      </a:solidFill>
                      <a:latin typeface="Calibri"/>
                      <a:ea typeface="Calibri"/>
                      <a:cs typeface="Calibri"/>
                    </a:defRPr>
                  </a:pPr>
                  <a:endParaRPr lang="es-AR"/>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4372-4942-9560-2EFA63124170}"/>
                </c:ext>
              </c:extLst>
            </c:dLbl>
            <c:dLbl>
              <c:idx val="6"/>
              <c:layout>
                <c:manualLayout>
                  <c:x val="6.7865871735964409E-2"/>
                  <c:y val="-0.11771686860305303"/>
                </c:manualLayout>
              </c:layout>
              <c:numFmt formatCode="0.00%" sourceLinked="0"/>
              <c:spPr>
                <a:noFill/>
                <a:ln w="25400">
                  <a:noFill/>
                </a:ln>
              </c:spPr>
              <c:txPr>
                <a:bodyPr/>
                <a:lstStyle/>
                <a:p>
                  <a:pPr>
                    <a:defRPr sz="1000" b="0" i="0" u="none" strike="noStrike" baseline="0">
                      <a:solidFill>
                        <a:srgbClr val="000000"/>
                      </a:solidFill>
                      <a:latin typeface="Calibri"/>
                      <a:ea typeface="Calibri"/>
                      <a:cs typeface="Calibri"/>
                    </a:defRPr>
                  </a:pPr>
                  <a:endParaRPr lang="es-AR"/>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6-4372-4942-9560-2EFA63124170}"/>
                </c:ext>
              </c:extLst>
            </c:dLbl>
            <c:numFmt formatCode="0.00%" sourceLinked="0"/>
            <c:spPr>
              <a:noFill/>
              <a:ln w="25400">
                <a:noFill/>
              </a:ln>
            </c:spPr>
            <c:txPr>
              <a:bodyPr wrap="square" lIns="38100" tIns="19050" rIns="38100" bIns="19050" anchor="ctr">
                <a:spAutoFit/>
              </a:bodyPr>
              <a:lstStyle/>
              <a:p>
                <a:pPr>
                  <a:defRPr sz="1000" b="0" i="0" u="none" strike="noStrike" baseline="0">
                    <a:solidFill>
                      <a:srgbClr val="000000"/>
                    </a:solidFill>
                    <a:latin typeface="Calibri"/>
                    <a:ea typeface="Calibri"/>
                    <a:cs typeface="Calibri"/>
                  </a:defRPr>
                </a:pPr>
                <a:endParaRPr lang="es-AR"/>
              </a:p>
            </c:txPr>
            <c:dLblPos val="bestFit"/>
            <c:showLegendKey val="0"/>
            <c:showVal val="0"/>
            <c:showCatName val="1"/>
            <c:showSerName val="0"/>
            <c:showPercent val="1"/>
            <c:showBubbleSize val="0"/>
            <c:showLeaderLines val="1"/>
            <c:extLst>
              <c:ext xmlns:c15="http://schemas.microsoft.com/office/drawing/2012/chart" uri="{CE6537A1-D6FC-4f65-9D91-7224C49458BB}"/>
            </c:extLst>
          </c:dLbls>
          <c:cat>
            <c:strRef>
              <c:f>DATOS!$A$11:$A$17</c:f>
              <c:strCache>
                <c:ptCount val="7"/>
                <c:pt idx="0">
                  <c:v>ENFERMEDAD </c:v>
                </c:pt>
                <c:pt idx="1">
                  <c:v>ACCIDENTES </c:v>
                </c:pt>
                <c:pt idx="2">
                  <c:v>LIC VARIAS </c:v>
                </c:pt>
                <c:pt idx="3">
                  <c:v>COMPENSATORIOS (Pag/ Impag)</c:v>
                </c:pt>
                <c:pt idx="4">
                  <c:v>LICENCIA ANUAL </c:v>
                </c:pt>
                <c:pt idx="5">
                  <c:v>SUSPENSIONES</c:v>
                </c:pt>
                <c:pt idx="6">
                  <c:v>TOTAL AUSENCIAS INJUSTIFICADAS</c:v>
                </c:pt>
              </c:strCache>
            </c:strRef>
          </c:cat>
          <c:val>
            <c:numRef>
              <c:f>DATOS!$C$11:$C$17</c:f>
              <c:numCache>
                <c:formatCode>#,##0</c:formatCode>
                <c:ptCount val="7"/>
                <c:pt idx="0">
                  <c:v>2005</c:v>
                </c:pt>
                <c:pt idx="1">
                  <c:v>880</c:v>
                </c:pt>
                <c:pt idx="2">
                  <c:v>2477</c:v>
                </c:pt>
                <c:pt idx="3">
                  <c:v>4396</c:v>
                </c:pt>
                <c:pt idx="4">
                  <c:v>5328</c:v>
                </c:pt>
                <c:pt idx="5">
                  <c:v>16</c:v>
                </c:pt>
                <c:pt idx="6">
                  <c:v>342.5</c:v>
                </c:pt>
              </c:numCache>
            </c:numRef>
          </c:val>
          <c:extLst>
            <c:ext xmlns:c16="http://schemas.microsoft.com/office/drawing/2014/chart" uri="{C3380CC4-5D6E-409C-BE32-E72D297353CC}">
              <c16:uniqueId val="{00000007-4372-4942-9560-2EFA63124170}"/>
            </c:ext>
          </c:extLst>
        </c:ser>
        <c:dLbls>
          <c:showLegendKey val="0"/>
          <c:showVal val="0"/>
          <c:showCatName val="0"/>
          <c:showSerName val="0"/>
          <c:showPercent val="0"/>
          <c:showBubbleSize val="0"/>
          <c:showLeaderLines val="1"/>
        </c:dLbls>
      </c:pie3DChart>
      <c:spPr>
        <a:noFill/>
        <a:ln w="25400">
          <a:noFill/>
        </a:ln>
      </c:spPr>
    </c:plotArea>
    <c:legend>
      <c:legendPos val="r"/>
      <c:layout>
        <c:manualLayout>
          <c:xMode val="edge"/>
          <c:yMode val="edge"/>
          <c:x val="0.74160844716957353"/>
          <c:y val="2.9307490409852616E-2"/>
          <c:w val="0.25330505920580382"/>
          <c:h val="0.67118963540297671"/>
        </c:manualLayout>
      </c:layout>
      <c:overlay val="0"/>
      <c:txPr>
        <a:bodyPr/>
        <a:lstStyle/>
        <a:p>
          <a:pPr>
            <a:defRPr sz="1600" b="0" i="0" u="none" strike="noStrike" baseline="0">
              <a:solidFill>
                <a:srgbClr val="000000"/>
              </a:solidFill>
              <a:latin typeface="Calibri"/>
              <a:ea typeface="Calibri"/>
              <a:cs typeface="Calibri"/>
            </a:defRPr>
          </a:pPr>
          <a:endParaRPr lang="es-AR"/>
        </a:p>
      </c:txPr>
    </c:legend>
    <c:plotVisOnly val="1"/>
    <c:dispBlanksAs val="zero"/>
    <c:showDLblsOverMax val="0"/>
  </c:chart>
  <c:txPr>
    <a:bodyPr/>
    <a:lstStyle/>
    <a:p>
      <a:pPr>
        <a:defRPr sz="1000" b="0" i="0" u="none" strike="noStrike" baseline="0">
          <a:solidFill>
            <a:srgbClr val="000000"/>
          </a:solidFill>
          <a:latin typeface="Calibri"/>
          <a:ea typeface="Calibri"/>
          <a:cs typeface="Calibri"/>
        </a:defRPr>
      </a:pPr>
      <a:endParaRPr lang="es-AR"/>
    </a:p>
  </c:txPr>
  <c:printSettings>
    <c:headerFooter/>
    <c:pageMargins b="0.75000000000000133" l="0.70000000000000062" r="0.70000000000000062" t="0.75000000000000133" header="0.30000000000000032" footer="0.30000000000000032"/>
    <c:pageSetup paperSize="9" orientation="landscape"/>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10"/>
    </mc:Choice>
    <mc:Fallback>
      <c:style val="10"/>
    </mc:Fallback>
  </mc:AlternateContent>
  <c:chart>
    <c:autoTitleDeleted val="0"/>
    <c:view3D>
      <c:rotX val="30"/>
      <c:rotY val="0"/>
      <c:rAngAx val="0"/>
      <c:perspective val="0"/>
    </c:view3D>
    <c:floor>
      <c:thickness val="0"/>
    </c:floor>
    <c:sideWall>
      <c:thickness val="0"/>
    </c:sideWall>
    <c:backWall>
      <c:thickness val="0"/>
    </c:backWall>
    <c:plotArea>
      <c:layout>
        <c:manualLayout>
          <c:layoutTarget val="inner"/>
          <c:xMode val="edge"/>
          <c:yMode val="edge"/>
          <c:x val="3.9726261211213629E-2"/>
          <c:y val="8.8903091658997166E-2"/>
          <c:w val="0.62182973963697785"/>
          <c:h val="0.88075880758807912"/>
        </c:manualLayout>
      </c:layout>
      <c:pie3DChart>
        <c:varyColors val="1"/>
        <c:ser>
          <c:idx val="0"/>
          <c:order val="0"/>
          <c:explosion val="29"/>
          <c:dPt>
            <c:idx val="0"/>
            <c:bubble3D val="0"/>
            <c:extLst>
              <c:ext xmlns:c16="http://schemas.microsoft.com/office/drawing/2014/chart" uri="{C3380CC4-5D6E-409C-BE32-E72D297353CC}">
                <c16:uniqueId val="{00000000-6BB9-41E8-A21C-166FF23C497A}"/>
              </c:ext>
            </c:extLst>
          </c:dPt>
          <c:dPt>
            <c:idx val="1"/>
            <c:bubble3D val="0"/>
            <c:extLst>
              <c:ext xmlns:c16="http://schemas.microsoft.com/office/drawing/2014/chart" uri="{C3380CC4-5D6E-409C-BE32-E72D297353CC}">
                <c16:uniqueId val="{00000001-6BB9-41E8-A21C-166FF23C497A}"/>
              </c:ext>
            </c:extLst>
          </c:dPt>
          <c:dLbls>
            <c:dLbl>
              <c:idx val="0"/>
              <c:layout>
                <c:manualLayout>
                  <c:x val="0.14851026677798332"/>
                  <c:y val="-0.13768526388376606"/>
                </c:manualLayout>
              </c:layout>
              <c:numFmt formatCode="0.00%" sourceLinked="0"/>
              <c:spPr>
                <a:noFill/>
                <a:ln w="25400">
                  <a:noFill/>
                </a:ln>
              </c:spPr>
              <c:txPr>
                <a:bodyPr/>
                <a:lstStyle/>
                <a:p>
                  <a:pPr>
                    <a:defRPr sz="1300" b="0" i="0" u="none" strike="noStrike" baseline="0">
                      <a:solidFill>
                        <a:srgbClr val="000000"/>
                      </a:solidFill>
                      <a:latin typeface="Calibri"/>
                      <a:ea typeface="Calibri"/>
                      <a:cs typeface="Calibri"/>
                    </a:defRPr>
                  </a:pPr>
                  <a:endParaRPr lang="es-AR"/>
                </a:p>
              </c:txPr>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0-6BB9-41E8-A21C-166FF23C497A}"/>
                </c:ext>
              </c:extLst>
            </c:dLbl>
            <c:dLbl>
              <c:idx val="1"/>
              <c:layout>
                <c:manualLayout>
                  <c:x val="-4.7086941575130549E-3"/>
                  <c:y val="-3.77792388986E-2"/>
                </c:manualLayout>
              </c:layout>
              <c:numFmt formatCode="0.00%" sourceLinked="0"/>
              <c:spPr>
                <a:noFill/>
                <a:ln w="25400">
                  <a:noFill/>
                </a:ln>
              </c:spPr>
              <c:txPr>
                <a:bodyPr/>
                <a:lstStyle/>
                <a:p>
                  <a:pPr>
                    <a:defRPr sz="1300" b="0" i="0" u="none" strike="noStrike" baseline="0">
                      <a:solidFill>
                        <a:srgbClr val="000000"/>
                      </a:solidFill>
                      <a:latin typeface="Calibri"/>
                      <a:ea typeface="Calibri"/>
                      <a:cs typeface="Calibri"/>
                    </a:defRPr>
                  </a:pPr>
                  <a:endParaRPr lang="es-AR"/>
                </a:p>
              </c:txPr>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6BB9-41E8-A21C-166FF23C497A}"/>
                </c:ext>
              </c:extLst>
            </c:dLbl>
            <c:numFmt formatCode="0.00%" sourceLinked="0"/>
            <c:spPr>
              <a:noFill/>
              <a:ln w="25400">
                <a:noFill/>
              </a:ln>
            </c:spPr>
            <c:txPr>
              <a:bodyPr wrap="square" lIns="38100" tIns="19050" rIns="38100" bIns="19050" anchor="ctr">
                <a:spAutoFit/>
              </a:bodyPr>
              <a:lstStyle/>
              <a:p>
                <a:pPr>
                  <a:defRPr sz="1300" b="0" i="0" u="none" strike="noStrike" baseline="0">
                    <a:solidFill>
                      <a:srgbClr val="000000"/>
                    </a:solidFill>
                    <a:latin typeface="Calibri"/>
                    <a:ea typeface="Calibri"/>
                    <a:cs typeface="Calibri"/>
                  </a:defRPr>
                </a:pPr>
                <a:endParaRPr lang="es-AR"/>
              </a:p>
            </c:txPr>
            <c:showLegendKey val="0"/>
            <c:showVal val="0"/>
            <c:showCatName val="0"/>
            <c:showSerName val="0"/>
            <c:showPercent val="1"/>
            <c:showBubbleSize val="0"/>
            <c:showLeaderLines val="1"/>
            <c:extLst>
              <c:ext xmlns:c15="http://schemas.microsoft.com/office/drawing/2012/chart" uri="{CE6537A1-D6FC-4f65-9D91-7224C49458BB}"/>
            </c:extLst>
          </c:dLbls>
          <c:cat>
            <c:strRef>
              <c:f>DATOS!$F$8:$F$9</c:f>
              <c:strCache>
                <c:ptCount val="2"/>
                <c:pt idx="0">
                  <c:v>PRESENTISMO TOTAL  %</c:v>
                </c:pt>
                <c:pt idx="1">
                  <c:v>AUSENTISMO TOTAL %</c:v>
                </c:pt>
              </c:strCache>
            </c:strRef>
          </c:cat>
          <c:val>
            <c:numRef>
              <c:f>DATOS!$H$8:$H$9</c:f>
              <c:numCache>
                <c:formatCode>#,##0.00</c:formatCode>
                <c:ptCount val="2"/>
                <c:pt idx="0">
                  <c:v>0.86570121951219514</c:v>
                </c:pt>
                <c:pt idx="1">
                  <c:v>0.13429878048780486</c:v>
                </c:pt>
              </c:numCache>
            </c:numRef>
          </c:val>
          <c:extLst>
            <c:ext xmlns:c16="http://schemas.microsoft.com/office/drawing/2014/chart" uri="{C3380CC4-5D6E-409C-BE32-E72D297353CC}">
              <c16:uniqueId val="{00000002-6BB9-41E8-A21C-166FF23C497A}"/>
            </c:ext>
          </c:extLst>
        </c:ser>
        <c:dLbls>
          <c:showLegendKey val="0"/>
          <c:showVal val="0"/>
          <c:showCatName val="0"/>
          <c:showSerName val="0"/>
          <c:showPercent val="0"/>
          <c:showBubbleSize val="0"/>
          <c:showLeaderLines val="1"/>
        </c:dLbls>
      </c:pie3DChart>
      <c:spPr>
        <a:noFill/>
        <a:ln w="25400">
          <a:noFill/>
        </a:ln>
      </c:spPr>
    </c:plotArea>
    <c:legend>
      <c:legendPos val="r"/>
      <c:legendEntry>
        <c:idx val="0"/>
        <c:txPr>
          <a:bodyPr/>
          <a:lstStyle/>
          <a:p>
            <a:pPr>
              <a:defRPr sz="1400" b="0" i="0" u="none" strike="noStrike" baseline="0">
                <a:solidFill>
                  <a:srgbClr val="000000"/>
                </a:solidFill>
                <a:latin typeface="Calibri"/>
                <a:ea typeface="Calibri"/>
                <a:cs typeface="Calibri"/>
              </a:defRPr>
            </a:pPr>
            <a:endParaRPr lang="es-AR"/>
          </a:p>
        </c:txPr>
      </c:legendEntry>
      <c:legendEntry>
        <c:idx val="1"/>
        <c:txPr>
          <a:bodyPr/>
          <a:lstStyle/>
          <a:p>
            <a:pPr>
              <a:defRPr sz="1400" b="0" i="0" u="none" strike="noStrike" baseline="0">
                <a:solidFill>
                  <a:srgbClr val="000000"/>
                </a:solidFill>
                <a:latin typeface="Calibri"/>
                <a:ea typeface="Calibri"/>
                <a:cs typeface="Calibri"/>
              </a:defRPr>
            </a:pPr>
            <a:endParaRPr lang="es-AR"/>
          </a:p>
        </c:txPr>
      </c:legendEntry>
      <c:layout>
        <c:manualLayout>
          <c:xMode val="edge"/>
          <c:yMode val="edge"/>
          <c:x val="0.76264726264726268"/>
          <c:y val="7.3801797502584907E-2"/>
          <c:w val="0.21101871101871106"/>
          <c:h val="0.30694901773641931"/>
        </c:manualLayout>
      </c:layout>
      <c:overlay val="0"/>
      <c:txPr>
        <a:bodyPr/>
        <a:lstStyle/>
        <a:p>
          <a:pPr>
            <a:defRPr sz="1400" b="0" i="0" u="none" strike="noStrike" baseline="0">
              <a:solidFill>
                <a:srgbClr val="000000"/>
              </a:solidFill>
              <a:latin typeface="Calibri"/>
              <a:ea typeface="Calibri"/>
              <a:cs typeface="Calibri"/>
            </a:defRPr>
          </a:pPr>
          <a:endParaRPr lang="es-AR"/>
        </a:p>
      </c:txPr>
    </c:legend>
    <c:plotVisOnly val="1"/>
    <c:dispBlanksAs val="zero"/>
    <c:showDLblsOverMax val="0"/>
  </c:chart>
  <c:txPr>
    <a:bodyPr/>
    <a:lstStyle/>
    <a:p>
      <a:pPr>
        <a:defRPr sz="1000" b="0" i="0" u="none" strike="noStrike" baseline="0">
          <a:solidFill>
            <a:srgbClr val="000000"/>
          </a:solidFill>
          <a:latin typeface="Calibri"/>
          <a:ea typeface="Calibri"/>
          <a:cs typeface="Calibri"/>
        </a:defRPr>
      </a:pPr>
      <a:endParaRPr lang="es-AR"/>
    </a:p>
  </c:txPr>
  <c:printSettings>
    <c:headerFooter/>
    <c:pageMargins b="0.75000000000000155" l="0.70000000000000062" r="0.70000000000000062" t="0.75000000000000155" header="0.30000000000000032" footer="0.30000000000000032"/>
    <c:pageSetup paperSize="9" orientation="landscape"/>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10"/>
    </mc:Choice>
    <mc:Fallback>
      <c:style val="10"/>
    </mc:Fallback>
  </mc:AlternateContent>
  <c:chart>
    <c:autoTitleDeleted val="0"/>
    <c:view3D>
      <c:rotX val="20"/>
      <c:rotY val="0"/>
      <c:rAngAx val="0"/>
      <c:perspective val="10"/>
    </c:view3D>
    <c:floor>
      <c:thickness val="0"/>
    </c:floor>
    <c:sideWall>
      <c:thickness val="0"/>
    </c:sideWall>
    <c:backWall>
      <c:thickness val="0"/>
    </c:backWall>
    <c:plotArea>
      <c:layout>
        <c:manualLayout>
          <c:layoutTarget val="inner"/>
          <c:xMode val="edge"/>
          <c:yMode val="edge"/>
          <c:x val="7.5000076294022916E-2"/>
          <c:y val="0.2528476616418503"/>
          <c:w val="0.56979224628931302"/>
          <c:h val="0.59225578402595569"/>
        </c:manualLayout>
      </c:layout>
      <c:pie3DChart>
        <c:varyColors val="1"/>
        <c:ser>
          <c:idx val="0"/>
          <c:order val="0"/>
          <c:explosion val="25"/>
          <c:dPt>
            <c:idx val="0"/>
            <c:bubble3D val="0"/>
            <c:explosion val="5"/>
            <c:extLst>
              <c:ext xmlns:c16="http://schemas.microsoft.com/office/drawing/2014/chart" uri="{C3380CC4-5D6E-409C-BE32-E72D297353CC}">
                <c16:uniqueId val="{00000000-B5DD-48D4-8D3E-0A70944A6D33}"/>
              </c:ext>
            </c:extLst>
          </c:dPt>
          <c:dPt>
            <c:idx val="1"/>
            <c:bubble3D val="0"/>
            <c:extLst>
              <c:ext xmlns:c16="http://schemas.microsoft.com/office/drawing/2014/chart" uri="{C3380CC4-5D6E-409C-BE32-E72D297353CC}">
                <c16:uniqueId val="{00000001-B5DD-48D4-8D3E-0A70944A6D33}"/>
              </c:ext>
            </c:extLst>
          </c:dPt>
          <c:dPt>
            <c:idx val="2"/>
            <c:bubble3D val="0"/>
            <c:extLst>
              <c:ext xmlns:c16="http://schemas.microsoft.com/office/drawing/2014/chart" uri="{C3380CC4-5D6E-409C-BE32-E72D297353CC}">
                <c16:uniqueId val="{00000002-B5DD-48D4-8D3E-0A70944A6D33}"/>
              </c:ext>
            </c:extLst>
          </c:dPt>
          <c:dPt>
            <c:idx val="3"/>
            <c:bubble3D val="0"/>
            <c:extLst>
              <c:ext xmlns:c16="http://schemas.microsoft.com/office/drawing/2014/chart" uri="{C3380CC4-5D6E-409C-BE32-E72D297353CC}">
                <c16:uniqueId val="{00000003-B5DD-48D4-8D3E-0A70944A6D33}"/>
              </c:ext>
            </c:extLst>
          </c:dPt>
          <c:dPt>
            <c:idx val="4"/>
            <c:bubble3D val="0"/>
            <c:extLst>
              <c:ext xmlns:c16="http://schemas.microsoft.com/office/drawing/2014/chart" uri="{C3380CC4-5D6E-409C-BE32-E72D297353CC}">
                <c16:uniqueId val="{00000004-B5DD-48D4-8D3E-0A70944A6D33}"/>
              </c:ext>
            </c:extLst>
          </c:dPt>
          <c:dPt>
            <c:idx val="5"/>
            <c:bubble3D val="0"/>
            <c:explosion val="7"/>
            <c:extLst>
              <c:ext xmlns:c16="http://schemas.microsoft.com/office/drawing/2014/chart" uri="{C3380CC4-5D6E-409C-BE32-E72D297353CC}">
                <c16:uniqueId val="{00000005-B5DD-48D4-8D3E-0A70944A6D33}"/>
              </c:ext>
            </c:extLst>
          </c:dPt>
          <c:dPt>
            <c:idx val="6"/>
            <c:bubble3D val="0"/>
            <c:explosion val="3"/>
            <c:extLst>
              <c:ext xmlns:c16="http://schemas.microsoft.com/office/drawing/2014/chart" uri="{C3380CC4-5D6E-409C-BE32-E72D297353CC}">
                <c16:uniqueId val="{00000006-B5DD-48D4-8D3E-0A70944A6D33}"/>
              </c:ext>
            </c:extLst>
          </c:dPt>
          <c:dLbls>
            <c:dLbl>
              <c:idx val="0"/>
              <c:layout>
                <c:manualLayout>
                  <c:x val="1.7155633011232935E-2"/>
                  <c:y val="-7.5697475734996217E-2"/>
                </c:manualLayout>
              </c:layout>
              <c:tx>
                <c:rich>
                  <a:bodyPr/>
                  <a:lstStyle/>
                  <a:p>
                    <a:pPr>
                      <a:defRPr sz="1000" b="0" i="0" u="none" strike="noStrike" baseline="0">
                        <a:solidFill>
                          <a:srgbClr val="000000"/>
                        </a:solidFill>
                        <a:latin typeface="Calibri"/>
                        <a:ea typeface="Calibri"/>
                        <a:cs typeface="Calibri"/>
                      </a:defRPr>
                    </a:pPr>
                    <a:r>
                      <a:rPr lang="en-US"/>
                      <a:t>ENFERMEDAD 
4,73 %</a:t>
                    </a:r>
                  </a:p>
                </c:rich>
              </c:tx>
              <c:numFmt formatCode="0.00%" sourceLinked="0"/>
              <c:spPr>
                <a:noFill/>
                <a:ln w="25400">
                  <a:noFill/>
                </a:ln>
              </c:spPr>
              <c:dLblPos val="bestFit"/>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B5DD-48D4-8D3E-0A70944A6D33}"/>
                </c:ext>
              </c:extLst>
            </c:dLbl>
            <c:dLbl>
              <c:idx val="1"/>
              <c:layout>
                <c:manualLayout>
                  <c:x val="3.0304150439253205E-2"/>
                  <c:y val="3.5387271221969737E-3"/>
                </c:manualLayout>
              </c:layout>
              <c:tx>
                <c:rich>
                  <a:bodyPr/>
                  <a:lstStyle/>
                  <a:p>
                    <a:pPr>
                      <a:defRPr sz="1000" b="0" i="0" u="none" strike="noStrike" baseline="0">
                        <a:solidFill>
                          <a:srgbClr val="000000"/>
                        </a:solidFill>
                        <a:latin typeface="Calibri"/>
                        <a:ea typeface="Calibri"/>
                        <a:cs typeface="Calibri"/>
                      </a:defRPr>
                    </a:pPr>
                    <a:r>
                      <a:rPr lang="en-US"/>
                      <a:t>ACCIDENTES 
0,00 %</a:t>
                    </a:r>
                  </a:p>
                </c:rich>
              </c:tx>
              <c:numFmt formatCode="0.00%" sourceLinked="0"/>
              <c:spPr>
                <a:noFill/>
                <a:ln w="25400">
                  <a:noFill/>
                </a:ln>
              </c:spPr>
              <c:dLblPos val="bestFit"/>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B5DD-48D4-8D3E-0A70944A6D33}"/>
                </c:ext>
              </c:extLst>
            </c:dLbl>
            <c:dLbl>
              <c:idx val="2"/>
              <c:layout>
                <c:manualLayout>
                  <c:x val="3.3944444444444444E-2"/>
                  <c:y val="3.4038965531393461E-2"/>
                </c:manualLayout>
              </c:layout>
              <c:tx>
                <c:rich>
                  <a:bodyPr/>
                  <a:lstStyle/>
                  <a:p>
                    <a:pPr>
                      <a:defRPr sz="1000" b="0" i="0" u="none" strike="noStrike" baseline="0">
                        <a:solidFill>
                          <a:srgbClr val="000000"/>
                        </a:solidFill>
                        <a:latin typeface="Calibri"/>
                        <a:ea typeface="Calibri"/>
                        <a:cs typeface="Calibri"/>
                      </a:defRPr>
                    </a:pPr>
                    <a:r>
                      <a:rPr lang="en-US"/>
                      <a:t>LIC VARIAS 
7,36 %</a:t>
                    </a:r>
                  </a:p>
                </c:rich>
              </c:tx>
              <c:numFmt formatCode="0.00%" sourceLinked="0"/>
              <c:spPr>
                <a:noFill/>
                <a:ln w="25400">
                  <a:noFill/>
                </a:ln>
              </c:spPr>
              <c:dLblPos val="bestFit"/>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B5DD-48D4-8D3E-0A70944A6D33}"/>
                </c:ext>
              </c:extLst>
            </c:dLbl>
            <c:dLbl>
              <c:idx val="3"/>
              <c:layout>
                <c:manualLayout>
                  <c:x val="8.3457616181051766E-3"/>
                  <c:y val="8.8943085134492256E-2"/>
                </c:manualLayout>
              </c:layout>
              <c:numFmt formatCode="0.00%" sourceLinked="0"/>
              <c:spPr>
                <a:noFill/>
                <a:ln w="25400">
                  <a:noFill/>
                </a:ln>
              </c:spPr>
              <c:txPr>
                <a:bodyPr/>
                <a:lstStyle/>
                <a:p>
                  <a:pPr>
                    <a:defRPr sz="1000" b="0" i="0" u="none" strike="noStrike" baseline="0">
                      <a:solidFill>
                        <a:srgbClr val="000000"/>
                      </a:solidFill>
                      <a:latin typeface="Calibri"/>
                      <a:ea typeface="Calibri"/>
                      <a:cs typeface="Calibri"/>
                    </a:defRPr>
                  </a:pPr>
                  <a:endParaRPr lang="es-AR"/>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B5DD-48D4-8D3E-0A70944A6D33}"/>
                </c:ext>
              </c:extLst>
            </c:dLbl>
            <c:dLbl>
              <c:idx val="4"/>
              <c:layout>
                <c:manualLayout>
                  <c:x val="-1.3631684453982024E-3"/>
                  <c:y val="2.6139618453733551E-2"/>
                </c:manualLayout>
              </c:layout>
              <c:numFmt formatCode="0.00%" sourceLinked="0"/>
              <c:spPr>
                <a:noFill/>
                <a:ln w="25400">
                  <a:noFill/>
                </a:ln>
              </c:spPr>
              <c:txPr>
                <a:bodyPr/>
                <a:lstStyle/>
                <a:p>
                  <a:pPr>
                    <a:defRPr sz="1000" b="0" i="0" u="none" strike="noStrike" baseline="0">
                      <a:solidFill>
                        <a:srgbClr val="000000"/>
                      </a:solidFill>
                      <a:latin typeface="Calibri"/>
                      <a:ea typeface="Calibri"/>
                      <a:cs typeface="Calibri"/>
                    </a:defRPr>
                  </a:pPr>
                  <a:endParaRPr lang="es-AR"/>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B5DD-48D4-8D3E-0A70944A6D33}"/>
                </c:ext>
              </c:extLst>
            </c:dLbl>
            <c:dLbl>
              <c:idx val="5"/>
              <c:layout>
                <c:manualLayout>
                  <c:x val="-4.4539752604025484E-2"/>
                  <c:y val="-0.11369092286283007"/>
                </c:manualLayout>
              </c:layout>
              <c:numFmt formatCode="0.00%" sourceLinked="0"/>
              <c:spPr>
                <a:noFill/>
                <a:ln w="25400">
                  <a:noFill/>
                </a:ln>
              </c:spPr>
              <c:txPr>
                <a:bodyPr/>
                <a:lstStyle/>
                <a:p>
                  <a:pPr>
                    <a:defRPr sz="1000" b="0" i="0" u="none" strike="noStrike" baseline="0">
                      <a:solidFill>
                        <a:srgbClr val="000000"/>
                      </a:solidFill>
                      <a:latin typeface="Calibri"/>
                      <a:ea typeface="Calibri"/>
                      <a:cs typeface="Calibri"/>
                    </a:defRPr>
                  </a:pPr>
                  <a:endParaRPr lang="es-AR"/>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B5DD-48D4-8D3E-0A70944A6D33}"/>
                </c:ext>
              </c:extLst>
            </c:dLbl>
            <c:dLbl>
              <c:idx val="6"/>
              <c:layout>
                <c:manualLayout>
                  <c:x val="2.7357998016074463E-2"/>
                  <c:y val="-0.14922475294615017"/>
                </c:manualLayout>
              </c:layout>
              <c:tx>
                <c:rich>
                  <a:bodyPr/>
                  <a:lstStyle/>
                  <a:p>
                    <a:pPr>
                      <a:defRPr sz="1000" b="0" i="0" u="none" strike="noStrike" baseline="0">
                        <a:solidFill>
                          <a:srgbClr val="000000"/>
                        </a:solidFill>
                        <a:latin typeface="Calibri"/>
                        <a:ea typeface="Calibri"/>
                        <a:cs typeface="Calibri"/>
                      </a:defRPr>
                    </a:pPr>
                    <a:r>
                      <a:rPr lang="en-US"/>
                      <a:t>TOTAL AUSENCIAS INJUSTIFICADAS
0,87 %</a:t>
                    </a:r>
                  </a:p>
                </c:rich>
              </c:tx>
              <c:numFmt formatCode="0.00%" sourceLinked="0"/>
              <c:spPr>
                <a:noFill/>
                <a:ln w="25400">
                  <a:noFill/>
                </a:ln>
              </c:spPr>
              <c:dLblPos val="bestFit"/>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B5DD-48D4-8D3E-0A70944A6D33}"/>
                </c:ext>
              </c:extLst>
            </c:dLbl>
            <c:numFmt formatCode="0.00%" sourceLinked="0"/>
            <c:spPr>
              <a:noFill/>
              <a:ln w="25400">
                <a:noFill/>
              </a:ln>
            </c:spPr>
            <c:txPr>
              <a:bodyPr wrap="square" lIns="38100" tIns="19050" rIns="38100" bIns="19050" anchor="ctr">
                <a:spAutoFit/>
              </a:bodyPr>
              <a:lstStyle/>
              <a:p>
                <a:pPr>
                  <a:defRPr sz="1000" b="0" i="0" u="none" strike="noStrike" baseline="0">
                    <a:solidFill>
                      <a:srgbClr val="000000"/>
                    </a:solidFill>
                    <a:latin typeface="Calibri"/>
                    <a:ea typeface="Calibri"/>
                    <a:cs typeface="Calibri"/>
                  </a:defRPr>
                </a:pPr>
                <a:endParaRPr lang="es-AR"/>
              </a:p>
            </c:txPr>
            <c:showLegendKey val="0"/>
            <c:showVal val="0"/>
            <c:showCatName val="1"/>
            <c:showSerName val="0"/>
            <c:showPercent val="1"/>
            <c:showBubbleSize val="0"/>
            <c:showLeaderLines val="1"/>
            <c:extLst>
              <c:ext xmlns:c15="http://schemas.microsoft.com/office/drawing/2012/chart" uri="{CE6537A1-D6FC-4f65-9D91-7224C49458BB}"/>
            </c:extLst>
          </c:dLbls>
          <c:cat>
            <c:strRef>
              <c:f>DATOS!$F$11:$F$17</c:f>
              <c:strCache>
                <c:ptCount val="7"/>
                <c:pt idx="0">
                  <c:v>ENFERMEDAD </c:v>
                </c:pt>
                <c:pt idx="1">
                  <c:v>ACCIDENTES </c:v>
                </c:pt>
                <c:pt idx="2">
                  <c:v>LIC VARIAS </c:v>
                </c:pt>
                <c:pt idx="3">
                  <c:v>COMPENSATORIOS (Pag)</c:v>
                </c:pt>
                <c:pt idx="4">
                  <c:v>LICENCIA ANUAL </c:v>
                </c:pt>
                <c:pt idx="5">
                  <c:v>SUSPENSIONES</c:v>
                </c:pt>
                <c:pt idx="6">
                  <c:v>TOTAL AUSENCIAS INJUSTIFICADAS</c:v>
                </c:pt>
              </c:strCache>
            </c:strRef>
          </c:cat>
          <c:val>
            <c:numRef>
              <c:f>DATOS!$H$11:$H$17</c:f>
              <c:numCache>
                <c:formatCode>#,##0.00</c:formatCode>
                <c:ptCount val="7"/>
                <c:pt idx="0">
                  <c:v>90</c:v>
                </c:pt>
                <c:pt idx="1">
                  <c:v>0</c:v>
                </c:pt>
                <c:pt idx="2">
                  <c:v>209</c:v>
                </c:pt>
                <c:pt idx="3">
                  <c:v>2</c:v>
                </c:pt>
                <c:pt idx="4">
                  <c:v>520</c:v>
                </c:pt>
                <c:pt idx="5">
                  <c:v>0</c:v>
                </c:pt>
                <c:pt idx="6" formatCode="#,##0">
                  <c:v>60</c:v>
                </c:pt>
              </c:numCache>
            </c:numRef>
          </c:val>
          <c:extLst>
            <c:ext xmlns:c16="http://schemas.microsoft.com/office/drawing/2014/chart" uri="{C3380CC4-5D6E-409C-BE32-E72D297353CC}">
              <c16:uniqueId val="{00000007-B5DD-48D4-8D3E-0A70944A6D33}"/>
            </c:ext>
          </c:extLst>
        </c:ser>
        <c:dLbls>
          <c:showLegendKey val="0"/>
          <c:showVal val="0"/>
          <c:showCatName val="0"/>
          <c:showSerName val="0"/>
          <c:showPercent val="0"/>
          <c:showBubbleSize val="0"/>
          <c:showLeaderLines val="1"/>
        </c:dLbls>
      </c:pie3DChart>
      <c:spPr>
        <a:noFill/>
        <a:ln w="25400">
          <a:noFill/>
        </a:ln>
      </c:spPr>
    </c:plotArea>
    <c:legend>
      <c:legendPos val="r"/>
      <c:layout>
        <c:manualLayout>
          <c:xMode val="edge"/>
          <c:yMode val="edge"/>
          <c:x val="0.74965345294279528"/>
          <c:y val="3.1586605365604467E-2"/>
          <c:w val="0.24548642687269728"/>
          <c:h val="0.65039229156758094"/>
        </c:manualLayout>
      </c:layout>
      <c:overlay val="0"/>
      <c:txPr>
        <a:bodyPr/>
        <a:lstStyle/>
        <a:p>
          <a:pPr>
            <a:defRPr sz="1400" b="0" i="0" u="none" strike="noStrike" baseline="0">
              <a:solidFill>
                <a:srgbClr val="000000"/>
              </a:solidFill>
              <a:latin typeface="Calibri"/>
              <a:ea typeface="Calibri"/>
              <a:cs typeface="Calibri"/>
            </a:defRPr>
          </a:pPr>
          <a:endParaRPr lang="es-AR"/>
        </a:p>
      </c:txPr>
    </c:legend>
    <c:plotVisOnly val="1"/>
    <c:dispBlanksAs val="zero"/>
    <c:showDLblsOverMax val="0"/>
  </c:chart>
  <c:txPr>
    <a:bodyPr/>
    <a:lstStyle/>
    <a:p>
      <a:pPr>
        <a:defRPr sz="1000" b="0" i="0" u="none" strike="noStrike" baseline="0">
          <a:solidFill>
            <a:srgbClr val="000000"/>
          </a:solidFill>
          <a:latin typeface="Calibri"/>
          <a:ea typeface="Calibri"/>
          <a:cs typeface="Calibri"/>
        </a:defRPr>
      </a:pPr>
      <a:endParaRPr lang="es-AR"/>
    </a:p>
  </c:txPr>
  <c:printSettings>
    <c:headerFooter/>
    <c:pageMargins b="0.75000000000000011" l="0.70000000000000007" r="0.70000000000000007" t="0.75000000000000011" header="0.30000000000000004" footer="0.30000000000000004"/>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10"/>
    </mc:Choice>
    <mc:Fallback>
      <c:style val="10"/>
    </mc:Fallback>
  </mc:AlternateContent>
  <c:chart>
    <c:autoTitleDeleted val="0"/>
    <c:plotArea>
      <c:layout>
        <c:manualLayout>
          <c:layoutTarget val="inner"/>
          <c:xMode val="edge"/>
          <c:yMode val="edge"/>
          <c:x val="7.3623149910441527E-2"/>
          <c:y val="0.14311645838151196"/>
          <c:w val="0.852753700179117"/>
          <c:h val="0.84022429726008541"/>
        </c:manualLayout>
      </c:layout>
      <c:ofPieChart>
        <c:ofPieType val="pie"/>
        <c:varyColors val="1"/>
        <c:ser>
          <c:idx val="0"/>
          <c:order val="0"/>
          <c:explosion val="15"/>
          <c:dPt>
            <c:idx val="0"/>
            <c:bubble3D val="0"/>
            <c:explosion val="35"/>
            <c:extLst>
              <c:ext xmlns:c16="http://schemas.microsoft.com/office/drawing/2014/chart" uri="{C3380CC4-5D6E-409C-BE32-E72D297353CC}">
                <c16:uniqueId val="{00000000-92E9-4043-90D3-FA7EC7602E0A}"/>
              </c:ext>
            </c:extLst>
          </c:dPt>
          <c:dPt>
            <c:idx val="1"/>
            <c:bubble3D val="0"/>
            <c:extLst>
              <c:ext xmlns:c16="http://schemas.microsoft.com/office/drawing/2014/chart" uri="{C3380CC4-5D6E-409C-BE32-E72D297353CC}">
                <c16:uniqueId val="{00000001-92E9-4043-90D3-FA7EC7602E0A}"/>
              </c:ext>
            </c:extLst>
          </c:dPt>
          <c:dPt>
            <c:idx val="2"/>
            <c:bubble3D val="0"/>
            <c:extLst>
              <c:ext xmlns:c16="http://schemas.microsoft.com/office/drawing/2014/chart" uri="{C3380CC4-5D6E-409C-BE32-E72D297353CC}">
                <c16:uniqueId val="{00000002-92E9-4043-90D3-FA7EC7602E0A}"/>
              </c:ext>
            </c:extLst>
          </c:dPt>
          <c:dPt>
            <c:idx val="3"/>
            <c:bubble3D val="0"/>
            <c:spPr>
              <a:solidFill>
                <a:srgbClr val="71588F"/>
              </a:solidFill>
              <a:ln w="3175">
                <a:pattFill prst="pct75">
                  <a:fgClr>
                    <a:srgbClr val="FFFFFF"/>
                  </a:fgClr>
                  <a:bgClr>
                    <a:srgbClr val="FFFFFF"/>
                  </a:bgClr>
                </a:pattFill>
                <a:prstDash val="solid"/>
              </a:ln>
              <a:effectLst>
                <a:outerShdw dist="35921" dir="2700000" algn="br">
                  <a:srgbClr val="000000"/>
                </a:outerShdw>
              </a:effectLst>
            </c:spPr>
            <c:extLst>
              <c:ext xmlns:c16="http://schemas.microsoft.com/office/drawing/2014/chart" uri="{C3380CC4-5D6E-409C-BE32-E72D297353CC}">
                <c16:uniqueId val="{00000003-92E9-4043-90D3-FA7EC7602E0A}"/>
              </c:ext>
            </c:extLst>
          </c:dPt>
          <c:dPt>
            <c:idx val="4"/>
            <c:bubble3D val="0"/>
            <c:extLst>
              <c:ext xmlns:c16="http://schemas.microsoft.com/office/drawing/2014/chart" uri="{C3380CC4-5D6E-409C-BE32-E72D297353CC}">
                <c16:uniqueId val="{00000004-92E9-4043-90D3-FA7EC7602E0A}"/>
              </c:ext>
            </c:extLst>
          </c:dPt>
          <c:dPt>
            <c:idx val="5"/>
            <c:bubble3D val="0"/>
            <c:extLst>
              <c:ext xmlns:c16="http://schemas.microsoft.com/office/drawing/2014/chart" uri="{C3380CC4-5D6E-409C-BE32-E72D297353CC}">
                <c16:uniqueId val="{00000005-92E9-4043-90D3-FA7EC7602E0A}"/>
              </c:ext>
            </c:extLst>
          </c:dPt>
          <c:dPt>
            <c:idx val="6"/>
            <c:bubble3D val="0"/>
            <c:extLst>
              <c:ext xmlns:c16="http://schemas.microsoft.com/office/drawing/2014/chart" uri="{C3380CC4-5D6E-409C-BE32-E72D297353CC}">
                <c16:uniqueId val="{00000006-92E9-4043-90D3-FA7EC7602E0A}"/>
              </c:ext>
            </c:extLst>
          </c:dPt>
          <c:dPt>
            <c:idx val="7"/>
            <c:bubble3D val="0"/>
            <c:extLst>
              <c:ext xmlns:c16="http://schemas.microsoft.com/office/drawing/2014/chart" uri="{C3380CC4-5D6E-409C-BE32-E72D297353CC}">
                <c16:uniqueId val="{00000007-92E9-4043-90D3-FA7EC7602E0A}"/>
              </c:ext>
            </c:extLst>
          </c:dPt>
          <c:dPt>
            <c:idx val="8"/>
            <c:bubble3D val="0"/>
            <c:extLst>
              <c:ext xmlns:c16="http://schemas.microsoft.com/office/drawing/2014/chart" uri="{C3380CC4-5D6E-409C-BE32-E72D297353CC}">
                <c16:uniqueId val="{00000008-92E9-4043-90D3-FA7EC7602E0A}"/>
              </c:ext>
            </c:extLst>
          </c:dPt>
          <c:dPt>
            <c:idx val="9"/>
            <c:bubble3D val="0"/>
            <c:extLst>
              <c:ext xmlns:c16="http://schemas.microsoft.com/office/drawing/2014/chart" uri="{C3380CC4-5D6E-409C-BE32-E72D297353CC}">
                <c16:uniqueId val="{00000009-92E9-4043-90D3-FA7EC7602E0A}"/>
              </c:ext>
            </c:extLst>
          </c:dPt>
          <c:dPt>
            <c:idx val="10"/>
            <c:bubble3D val="0"/>
            <c:spPr>
              <a:solidFill>
                <a:srgbClr val="99CC00"/>
              </a:solidFill>
              <a:ln w="3175">
                <a:solidFill>
                  <a:srgbClr val="FFFFFF"/>
                </a:solidFill>
                <a:prstDash val="solid"/>
              </a:ln>
              <a:effectLst>
                <a:outerShdw dist="35921" dir="2700000" algn="br">
                  <a:srgbClr val="000000"/>
                </a:outerShdw>
              </a:effectLst>
            </c:spPr>
            <c:extLst>
              <c:ext xmlns:c16="http://schemas.microsoft.com/office/drawing/2014/chart" uri="{C3380CC4-5D6E-409C-BE32-E72D297353CC}">
                <c16:uniqueId val="{0000000A-92E9-4043-90D3-FA7EC7602E0A}"/>
              </c:ext>
            </c:extLst>
          </c:dPt>
          <c:dPt>
            <c:idx val="11"/>
            <c:bubble3D val="0"/>
            <c:extLst>
              <c:ext xmlns:c16="http://schemas.microsoft.com/office/drawing/2014/chart" uri="{C3380CC4-5D6E-409C-BE32-E72D297353CC}">
                <c16:uniqueId val="{0000000B-92E9-4043-90D3-FA7EC7602E0A}"/>
              </c:ext>
            </c:extLst>
          </c:dPt>
          <c:dPt>
            <c:idx val="12"/>
            <c:bubble3D val="0"/>
            <c:extLst>
              <c:ext xmlns:c16="http://schemas.microsoft.com/office/drawing/2014/chart" uri="{C3380CC4-5D6E-409C-BE32-E72D297353CC}">
                <c16:uniqueId val="{0000000C-92E9-4043-90D3-FA7EC7602E0A}"/>
              </c:ext>
            </c:extLst>
          </c:dPt>
          <c:dPt>
            <c:idx val="13"/>
            <c:bubble3D val="0"/>
            <c:extLst>
              <c:ext xmlns:c16="http://schemas.microsoft.com/office/drawing/2014/chart" uri="{C3380CC4-5D6E-409C-BE32-E72D297353CC}">
                <c16:uniqueId val="{0000000D-92E9-4043-90D3-FA7EC7602E0A}"/>
              </c:ext>
            </c:extLst>
          </c:dPt>
          <c:dPt>
            <c:idx val="14"/>
            <c:bubble3D val="0"/>
            <c:extLst>
              <c:ext xmlns:c16="http://schemas.microsoft.com/office/drawing/2014/chart" uri="{C3380CC4-5D6E-409C-BE32-E72D297353CC}">
                <c16:uniqueId val="{0000000E-92E9-4043-90D3-FA7EC7602E0A}"/>
              </c:ext>
            </c:extLst>
          </c:dPt>
          <c:dPt>
            <c:idx val="15"/>
            <c:bubble3D val="0"/>
            <c:extLst>
              <c:ext xmlns:c16="http://schemas.microsoft.com/office/drawing/2014/chart" uri="{C3380CC4-5D6E-409C-BE32-E72D297353CC}">
                <c16:uniqueId val="{0000000F-92E9-4043-90D3-FA7EC7602E0A}"/>
              </c:ext>
            </c:extLst>
          </c:dPt>
          <c:dPt>
            <c:idx val="16"/>
            <c:bubble3D val="0"/>
            <c:extLst>
              <c:ext xmlns:c16="http://schemas.microsoft.com/office/drawing/2014/chart" uri="{C3380CC4-5D6E-409C-BE32-E72D297353CC}">
                <c16:uniqueId val="{00000010-92E9-4043-90D3-FA7EC7602E0A}"/>
              </c:ext>
            </c:extLst>
          </c:dPt>
          <c:dLbls>
            <c:dLbl>
              <c:idx val="0"/>
              <c:layout>
                <c:manualLayout>
                  <c:x val="0.11741449835399076"/>
                  <c:y val="0.19743502558852036"/>
                </c:manualLayout>
              </c:layout>
              <c:numFmt formatCode="0.00%" sourceLinked="0"/>
              <c:spPr>
                <a:noFill/>
                <a:ln w="25400">
                  <a:noFill/>
                </a:ln>
              </c:spPr>
              <c:txPr>
                <a:bodyPr/>
                <a:lstStyle/>
                <a:p>
                  <a:pPr>
                    <a:defRPr sz="1200" b="0" i="0" u="none" strike="noStrike" baseline="0">
                      <a:solidFill>
                        <a:srgbClr val="000000"/>
                      </a:solidFill>
                      <a:latin typeface="Calibri"/>
                      <a:ea typeface="Calibri"/>
                      <a:cs typeface="Calibri"/>
                    </a:defRPr>
                  </a:pPr>
                  <a:endParaRPr lang="es-AR"/>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0-92E9-4043-90D3-FA7EC7602E0A}"/>
                </c:ext>
              </c:extLst>
            </c:dLbl>
            <c:dLbl>
              <c:idx val="1"/>
              <c:layout>
                <c:manualLayout>
                  <c:x val="-0.10901923433376867"/>
                  <c:y val="-3.074154659012095E-2"/>
                </c:manualLayout>
              </c:layout>
              <c:tx>
                <c:rich>
                  <a:bodyPr/>
                  <a:lstStyle/>
                  <a:p>
                    <a:pPr>
                      <a:defRPr sz="1200" b="0" i="0" u="none" strike="noStrike" baseline="0">
                        <a:solidFill>
                          <a:srgbClr val="000000"/>
                        </a:solidFill>
                        <a:latin typeface="Calibri"/>
                        <a:ea typeface="Calibri"/>
                        <a:cs typeface="Calibri"/>
                      </a:defRPr>
                    </a:pPr>
                    <a:r>
                      <a:rPr lang="en-US"/>
                      <a:t>HS SUPL.</a:t>
                    </a:r>
                    <a:r>
                      <a:rPr lang="en-US" baseline="0"/>
                      <a:t> AL</a:t>
                    </a:r>
                    <a:r>
                      <a:rPr lang="en-US"/>
                      <a:t> 55% 
3,10%</a:t>
                    </a:r>
                  </a:p>
                </c:rich>
              </c:tx>
              <c:numFmt formatCode="0.00%" sourceLinked="0"/>
              <c:spPr>
                <a:noFill/>
                <a:ln w="25400">
                  <a:noFill/>
                </a:ln>
              </c:spPr>
              <c:dLblPos val="bestFit"/>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92E9-4043-90D3-FA7EC7602E0A}"/>
                </c:ext>
              </c:extLst>
            </c:dLbl>
            <c:dLbl>
              <c:idx val="2"/>
              <c:layout>
                <c:manualLayout>
                  <c:x val="-0.11537383983753741"/>
                  <c:y val="-8.796547615199321E-2"/>
                </c:manualLayout>
              </c:layout>
              <c:tx>
                <c:rich>
                  <a:bodyPr/>
                  <a:lstStyle/>
                  <a:p>
                    <a:pPr>
                      <a:defRPr sz="1200" b="0" i="0" u="none" strike="noStrike" baseline="0">
                        <a:solidFill>
                          <a:srgbClr val="000000"/>
                        </a:solidFill>
                        <a:latin typeface="Calibri"/>
                        <a:ea typeface="Calibri"/>
                        <a:cs typeface="Calibri"/>
                      </a:defRPr>
                    </a:pPr>
                    <a:r>
                      <a:rPr lang="en-US"/>
                      <a:t>HS SUPL.</a:t>
                    </a:r>
                    <a:r>
                      <a:rPr lang="en-US" baseline="0"/>
                      <a:t> AL</a:t>
                    </a:r>
                    <a:r>
                      <a:rPr lang="en-US"/>
                      <a:t> 55% E
0,67%</a:t>
                    </a:r>
                  </a:p>
                </c:rich>
              </c:tx>
              <c:numFmt formatCode="0.00%" sourceLinked="0"/>
              <c:spPr>
                <a:noFill/>
                <a:ln w="25400">
                  <a:noFill/>
                </a:ln>
              </c:spPr>
              <c:dLblPos val="bestFit"/>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92E9-4043-90D3-FA7EC7602E0A}"/>
                </c:ext>
              </c:extLst>
            </c:dLbl>
            <c:dLbl>
              <c:idx val="3"/>
              <c:layout>
                <c:manualLayout>
                  <c:x val="-8.3020542178268764E-2"/>
                  <c:y val="-0.18568631930457083"/>
                </c:manualLayout>
              </c:layout>
              <c:tx>
                <c:rich>
                  <a:bodyPr/>
                  <a:lstStyle/>
                  <a:p>
                    <a:pPr>
                      <a:defRPr sz="1200" b="0" i="0" u="none" strike="noStrike" baseline="0">
                        <a:solidFill>
                          <a:srgbClr val="000000"/>
                        </a:solidFill>
                        <a:latin typeface="Calibri"/>
                        <a:ea typeface="Calibri"/>
                        <a:cs typeface="Calibri"/>
                      </a:defRPr>
                    </a:pPr>
                    <a:r>
                      <a:rPr lang="en-US"/>
                      <a:t>HS EXTRAS AL 50%
0,30%</a:t>
                    </a:r>
                  </a:p>
                </c:rich>
              </c:tx>
              <c:numFmt formatCode="0.00%" sourceLinked="0"/>
              <c:spPr>
                <a:noFill/>
                <a:ln w="25400">
                  <a:noFill/>
                </a:ln>
              </c:spPr>
              <c:dLblPos val="bestFit"/>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92E9-4043-90D3-FA7EC7602E0A}"/>
                </c:ext>
              </c:extLst>
            </c:dLbl>
            <c:dLbl>
              <c:idx val="4"/>
              <c:layout>
                <c:manualLayout>
                  <c:x val="7.6176765777983824E-3"/>
                  <c:y val="-0.17975928048624085"/>
                </c:manualLayout>
              </c:layout>
              <c:tx>
                <c:rich>
                  <a:bodyPr/>
                  <a:lstStyle/>
                  <a:p>
                    <a:pPr>
                      <a:defRPr sz="1000" b="0" i="0" u="none" strike="noStrike" baseline="0">
                        <a:solidFill>
                          <a:srgbClr val="000000"/>
                        </a:solidFill>
                        <a:latin typeface="Calibri"/>
                        <a:ea typeface="Calibri"/>
                        <a:cs typeface="Calibri"/>
                      </a:defRPr>
                    </a:pPr>
                    <a:r>
                      <a:rPr lang="en-US" sz="1200" b="0" i="0" u="none" strike="noStrike" baseline="0">
                        <a:solidFill>
                          <a:srgbClr val="000000"/>
                        </a:solidFill>
                        <a:latin typeface="Calibri"/>
                        <a:cs typeface="Calibri"/>
                      </a:rPr>
                      <a:t>HS EXTRAS </a:t>
                    </a:r>
                  </a:p>
                  <a:p>
                    <a:pPr>
                      <a:defRPr sz="1000" b="0" i="0" u="none" strike="noStrike" baseline="0">
                        <a:solidFill>
                          <a:srgbClr val="000000"/>
                        </a:solidFill>
                        <a:latin typeface="Calibri"/>
                        <a:ea typeface="Calibri"/>
                        <a:cs typeface="Calibri"/>
                      </a:defRPr>
                    </a:pPr>
                    <a:r>
                      <a:rPr lang="en-US" sz="1200" b="0" i="0" u="none" strike="noStrike" baseline="0">
                        <a:solidFill>
                          <a:srgbClr val="000000"/>
                        </a:solidFill>
                        <a:latin typeface="Calibri"/>
                        <a:cs typeface="Calibri"/>
                      </a:rPr>
                      <a:t>AL 50% E</a:t>
                    </a:r>
                  </a:p>
                  <a:p>
                    <a:pPr>
                      <a:defRPr sz="1000" b="0" i="0" u="none" strike="noStrike" baseline="0">
                        <a:solidFill>
                          <a:srgbClr val="000000"/>
                        </a:solidFill>
                        <a:latin typeface="Calibri"/>
                        <a:ea typeface="Calibri"/>
                        <a:cs typeface="Calibri"/>
                      </a:defRPr>
                    </a:pPr>
                    <a:r>
                      <a:rPr lang="en-US" sz="1200" b="0" i="0" u="none" strike="noStrike" baseline="0">
                        <a:solidFill>
                          <a:srgbClr val="000000"/>
                        </a:solidFill>
                        <a:latin typeface="Calibri"/>
                        <a:cs typeface="Calibri"/>
                      </a:rPr>
                      <a:t>0,12%</a:t>
                    </a:r>
                  </a:p>
                </c:rich>
              </c:tx>
              <c:numFmt formatCode="0.00%" sourceLinked="0"/>
              <c:spPr>
                <a:noFill/>
                <a:ln w="25400">
                  <a:noFill/>
                </a:ln>
              </c:spPr>
              <c:dLblPos val="bestFit"/>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92E9-4043-90D3-FA7EC7602E0A}"/>
                </c:ext>
              </c:extLst>
            </c:dLbl>
            <c:dLbl>
              <c:idx val="5"/>
              <c:layout>
                <c:manualLayout>
                  <c:x val="8.4688745914404118E-2"/>
                  <c:y val="-0.22555857167132384"/>
                </c:manualLayout>
              </c:layout>
              <c:tx>
                <c:rich>
                  <a:bodyPr/>
                  <a:lstStyle/>
                  <a:p>
                    <a:pPr>
                      <a:defRPr sz="1200" b="0" i="0" u="none" strike="noStrike" baseline="0">
                        <a:solidFill>
                          <a:srgbClr val="000000"/>
                        </a:solidFill>
                        <a:latin typeface="Calibri"/>
                        <a:ea typeface="Calibri"/>
                        <a:cs typeface="Calibri"/>
                      </a:defRPr>
                    </a:pPr>
                    <a:r>
                      <a:rPr lang="en-US" sz="1200"/>
                      <a:t>HS SUP AL. 100%
0,05%</a:t>
                    </a:r>
                    <a:endParaRPr lang="en-US"/>
                  </a:p>
                </c:rich>
              </c:tx>
              <c:numFmt formatCode="0.00%" sourceLinked="0"/>
              <c:spPr>
                <a:noFill/>
                <a:ln w="25400">
                  <a:noFill/>
                </a:ln>
              </c:spPr>
              <c:dLblPos val="bestFit"/>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92E9-4043-90D3-FA7EC7602E0A}"/>
                </c:ext>
              </c:extLst>
            </c:dLbl>
            <c:dLbl>
              <c:idx val="6"/>
              <c:layout>
                <c:manualLayout>
                  <c:x val="9.0150010700159128E-2"/>
                  <c:y val="-0.17206447194086771"/>
                </c:manualLayout>
              </c:layout>
              <c:tx>
                <c:rich>
                  <a:bodyPr/>
                  <a:lstStyle/>
                  <a:p>
                    <a:pPr>
                      <a:defRPr sz="1200" b="0" i="0" u="none" strike="noStrike" baseline="0">
                        <a:solidFill>
                          <a:srgbClr val="000000"/>
                        </a:solidFill>
                        <a:latin typeface="Calibri"/>
                        <a:ea typeface="Calibri"/>
                        <a:cs typeface="Calibri"/>
                      </a:defRPr>
                    </a:pPr>
                    <a:r>
                      <a:rPr lang="en-US"/>
                      <a:t>HS SUPL.</a:t>
                    </a:r>
                    <a:r>
                      <a:rPr lang="en-US" baseline="0"/>
                      <a:t> AL</a:t>
                    </a:r>
                    <a:r>
                      <a:rPr lang="en-US"/>
                      <a:t> 130% E
3,42%</a:t>
                    </a:r>
                  </a:p>
                </c:rich>
              </c:tx>
              <c:numFmt formatCode="0.00%" sourceLinked="0"/>
              <c:spPr>
                <a:noFill/>
                <a:ln w="25400">
                  <a:noFill/>
                </a:ln>
              </c:spPr>
              <c:dLblPos val="bestFit"/>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92E9-4043-90D3-FA7EC7602E0A}"/>
                </c:ext>
              </c:extLst>
            </c:dLbl>
            <c:dLbl>
              <c:idx val="7"/>
              <c:layout>
                <c:manualLayout>
                  <c:x val="0.16010423330629811"/>
                  <c:y val="-0.13749796736409772"/>
                </c:manualLayout>
              </c:layout>
              <c:tx>
                <c:rich>
                  <a:bodyPr/>
                  <a:lstStyle/>
                  <a:p>
                    <a:pPr>
                      <a:defRPr sz="1200" b="0" i="0" u="none" strike="noStrike" baseline="0">
                        <a:solidFill>
                          <a:srgbClr val="000000"/>
                        </a:solidFill>
                        <a:latin typeface="Calibri"/>
                        <a:ea typeface="Calibri"/>
                        <a:cs typeface="Calibri"/>
                      </a:defRPr>
                    </a:pPr>
                    <a:r>
                      <a:rPr lang="en-US"/>
                      <a:t>HS EXTRAS AL 100%
0,00%</a:t>
                    </a:r>
                  </a:p>
                </c:rich>
              </c:tx>
              <c:numFmt formatCode="0.00%" sourceLinked="0"/>
              <c:spPr>
                <a:noFill/>
                <a:ln w="25400">
                  <a:noFill/>
                </a:ln>
              </c:spPr>
              <c:dLblPos val="bestFit"/>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92E9-4043-90D3-FA7EC7602E0A}"/>
                </c:ext>
              </c:extLst>
            </c:dLbl>
            <c:dLbl>
              <c:idx val="8"/>
              <c:layout>
                <c:manualLayout>
                  <c:x val="0.19523386974055978"/>
                  <c:y val="-8.1257439835362863E-2"/>
                </c:manualLayout>
              </c:layout>
              <c:tx>
                <c:rich>
                  <a:bodyPr/>
                  <a:lstStyle/>
                  <a:p>
                    <a:pPr>
                      <a:defRPr sz="1200" b="0" i="0" u="none" strike="noStrike" baseline="0">
                        <a:solidFill>
                          <a:srgbClr val="000000"/>
                        </a:solidFill>
                        <a:latin typeface="Calibri"/>
                        <a:ea typeface="Calibri"/>
                        <a:cs typeface="Calibri"/>
                      </a:defRPr>
                    </a:pPr>
                    <a:r>
                      <a:rPr lang="en-US"/>
                      <a:t>HS EXTRAS AL 100% E
0,42%</a:t>
                    </a:r>
                  </a:p>
                </c:rich>
              </c:tx>
              <c:numFmt formatCode="0.00%" sourceLinked="0"/>
              <c:spPr>
                <a:noFill/>
                <a:ln w="25400">
                  <a:noFill/>
                </a:ln>
              </c:spPr>
              <c:dLblPos val="bestFit"/>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92E9-4043-90D3-FA7EC7602E0A}"/>
                </c:ext>
              </c:extLst>
            </c:dLbl>
            <c:dLbl>
              <c:idx val="9"/>
              <c:layout>
                <c:manualLayout>
                  <c:x val="7.7152330982512868E-2"/>
                  <c:y val="-2.9298524039023957E-2"/>
                </c:manualLayout>
              </c:layout>
              <c:numFmt formatCode="0.00%" sourceLinked="0"/>
              <c:spPr>
                <a:noFill/>
                <a:ln w="25400">
                  <a:noFill/>
                </a:ln>
              </c:spPr>
              <c:txPr>
                <a:bodyPr/>
                <a:lstStyle/>
                <a:p>
                  <a:pPr>
                    <a:defRPr sz="1200" b="0" i="0" u="none" strike="noStrike" baseline="0">
                      <a:solidFill>
                        <a:srgbClr val="000000"/>
                      </a:solidFill>
                      <a:latin typeface="Calibri"/>
                      <a:ea typeface="Calibri"/>
                      <a:cs typeface="Calibri"/>
                    </a:defRPr>
                  </a:pPr>
                  <a:endParaRPr lang="es-AR"/>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92E9-4043-90D3-FA7EC7602E0A}"/>
                </c:ext>
              </c:extLst>
            </c:dLbl>
            <c:dLbl>
              <c:idx val="10"/>
              <c:layout>
                <c:manualLayout>
                  <c:x val="-1.1639974291749155E-2"/>
                  <c:y val="7.9191216500973702E-2"/>
                </c:manualLayout>
              </c:layout>
              <c:numFmt formatCode="0.00%" sourceLinked="0"/>
              <c:spPr>
                <a:noFill/>
                <a:ln w="25400">
                  <a:noFill/>
                </a:ln>
              </c:spPr>
              <c:txPr>
                <a:bodyPr/>
                <a:lstStyle/>
                <a:p>
                  <a:pPr>
                    <a:defRPr sz="1200" b="0" i="0" u="none" strike="noStrike" baseline="0">
                      <a:solidFill>
                        <a:srgbClr val="000000"/>
                      </a:solidFill>
                      <a:latin typeface="Calibri"/>
                      <a:ea typeface="Calibri"/>
                      <a:cs typeface="Calibri"/>
                    </a:defRPr>
                  </a:pPr>
                  <a:endParaRPr lang="es-AR"/>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A-92E9-4043-90D3-FA7EC7602E0A}"/>
                </c:ext>
              </c:extLst>
            </c:dLbl>
            <c:dLbl>
              <c:idx val="11"/>
              <c:layout>
                <c:manualLayout>
                  <c:x val="-6.8008764912340684E-4"/>
                  <c:y val="3.0731204612591226E-2"/>
                </c:manualLayout>
              </c:layout>
              <c:numFmt formatCode="0.00%" sourceLinked="0"/>
              <c:spPr>
                <a:noFill/>
                <a:ln w="25400">
                  <a:noFill/>
                </a:ln>
              </c:spPr>
              <c:txPr>
                <a:bodyPr/>
                <a:lstStyle/>
                <a:p>
                  <a:pPr>
                    <a:defRPr sz="1200" b="0" i="0" u="none" strike="noStrike" baseline="0">
                      <a:solidFill>
                        <a:srgbClr val="000000"/>
                      </a:solidFill>
                      <a:latin typeface="Calibri"/>
                      <a:ea typeface="Calibri"/>
                      <a:cs typeface="Calibri"/>
                    </a:defRPr>
                  </a:pPr>
                  <a:endParaRPr lang="es-AR"/>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B-92E9-4043-90D3-FA7EC7602E0A}"/>
                </c:ext>
              </c:extLst>
            </c:dLbl>
            <c:dLbl>
              <c:idx val="12"/>
              <c:layout>
                <c:manualLayout>
                  <c:x val="-2.898835490832409E-2"/>
                  <c:y val="9.0118251070272673E-2"/>
                </c:manualLayout>
              </c:layout>
              <c:numFmt formatCode="0.00%" sourceLinked="0"/>
              <c:spPr>
                <a:noFill/>
                <a:ln w="25400">
                  <a:noFill/>
                </a:ln>
              </c:spPr>
              <c:txPr>
                <a:bodyPr/>
                <a:lstStyle/>
                <a:p>
                  <a:pPr>
                    <a:defRPr sz="1200" b="0" i="0" u="none" strike="noStrike" baseline="0">
                      <a:solidFill>
                        <a:srgbClr val="000000"/>
                      </a:solidFill>
                      <a:latin typeface="Calibri"/>
                      <a:ea typeface="Calibri"/>
                      <a:cs typeface="Calibri"/>
                    </a:defRPr>
                  </a:pPr>
                  <a:endParaRPr lang="es-AR"/>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C-92E9-4043-90D3-FA7EC7602E0A}"/>
                </c:ext>
              </c:extLst>
            </c:dLbl>
            <c:dLbl>
              <c:idx val="14"/>
              <c:layout>
                <c:manualLayout>
                  <c:x val="0"/>
                  <c:y val="-3.8378710101262314E-2"/>
                </c:manualLayout>
              </c:layout>
              <c:tx>
                <c:rich>
                  <a:bodyPr/>
                  <a:lstStyle/>
                  <a:p>
                    <a:pPr>
                      <a:defRPr sz="1200" b="0" i="0" u="none" strike="noStrike" baseline="0">
                        <a:solidFill>
                          <a:srgbClr val="000000"/>
                        </a:solidFill>
                        <a:latin typeface="Calibri"/>
                        <a:ea typeface="Calibri"/>
                        <a:cs typeface="Calibri"/>
                      </a:defRPr>
                    </a:pPr>
                    <a:r>
                      <a:rPr lang="en-US"/>
                      <a:t>AU. INJUSTIFICADAS
0,45%</a:t>
                    </a:r>
                  </a:p>
                </c:rich>
              </c:tx>
              <c:numFmt formatCode="0.00%" sourceLinked="0"/>
              <c:spPr>
                <a:noFill/>
                <a:ln w="25400">
                  <a:noFill/>
                </a:ln>
              </c:spPr>
              <c:dLblPos val="bestFit"/>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92E9-4043-90D3-FA7EC7602E0A}"/>
                </c:ext>
              </c:extLst>
            </c:dLbl>
            <c:dLbl>
              <c:idx val="15"/>
              <c:layout>
                <c:manualLayout>
                  <c:x val="6.0842707377096725E-2"/>
                  <c:y val="0.11352178680861154"/>
                </c:manualLayout>
              </c:layout>
              <c:numFmt formatCode="0.00%" sourceLinked="0"/>
              <c:spPr>
                <a:noFill/>
                <a:ln w="25400">
                  <a:noFill/>
                </a:ln>
              </c:spPr>
              <c:txPr>
                <a:bodyPr/>
                <a:lstStyle/>
                <a:p>
                  <a:pPr>
                    <a:defRPr sz="1200" b="0" i="0" u="none" strike="noStrike" baseline="0">
                      <a:solidFill>
                        <a:srgbClr val="000000"/>
                      </a:solidFill>
                      <a:latin typeface="Calibri"/>
                      <a:ea typeface="Calibri"/>
                      <a:cs typeface="Calibri"/>
                    </a:defRPr>
                  </a:pPr>
                  <a:endParaRPr lang="es-AR"/>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F-92E9-4043-90D3-FA7EC7602E0A}"/>
                </c:ext>
              </c:extLst>
            </c:dLbl>
            <c:numFmt formatCode="0.00%" sourceLinked="0"/>
            <c:spPr>
              <a:noFill/>
              <a:ln w="25400">
                <a:noFill/>
              </a:ln>
            </c:spPr>
            <c:txPr>
              <a:bodyPr wrap="square" lIns="38100" tIns="19050" rIns="38100" bIns="19050" anchor="ctr">
                <a:spAutoFit/>
              </a:bodyPr>
              <a:lstStyle/>
              <a:p>
                <a:pPr>
                  <a:defRPr sz="1200" b="0" i="0" u="none" strike="noStrike" baseline="0">
                    <a:solidFill>
                      <a:srgbClr val="000000"/>
                    </a:solidFill>
                    <a:latin typeface="Calibri"/>
                    <a:ea typeface="Calibri"/>
                    <a:cs typeface="Calibri"/>
                  </a:defRPr>
                </a:pPr>
                <a:endParaRPr lang="es-AR"/>
              </a:p>
            </c:txPr>
            <c:dLblPos val="bestFit"/>
            <c:showLegendKey val="0"/>
            <c:showVal val="0"/>
            <c:showCatName val="1"/>
            <c:showSerName val="0"/>
            <c:showPercent val="1"/>
            <c:showBubbleSize val="0"/>
            <c:showLeaderLines val="1"/>
            <c:extLst>
              <c:ext xmlns:c15="http://schemas.microsoft.com/office/drawing/2012/chart" uri="{CE6537A1-D6FC-4f65-9D91-7224C49458BB}"/>
            </c:extLst>
          </c:dLbls>
          <c:cat>
            <c:strRef>
              <c:f>DATOS!$A$26:$A$41</c:f>
              <c:strCache>
                <c:ptCount val="16"/>
                <c:pt idx="0">
                  <c:v>HORAS NORMALES TRABAJADAS </c:v>
                </c:pt>
                <c:pt idx="1">
                  <c:v>HORAS SUPLEMENTARIAS 55% </c:v>
                </c:pt>
                <c:pt idx="2">
                  <c:v>HORAS SUPLEMENTARIAS 55% E</c:v>
                </c:pt>
                <c:pt idx="3">
                  <c:v>HORAS EXTRAS 50%</c:v>
                </c:pt>
                <c:pt idx="4">
                  <c:v>HORAS EXTRAS 50% E</c:v>
                </c:pt>
                <c:pt idx="5">
                  <c:v>HORAS SUPLEMENTARIAS 100%</c:v>
                </c:pt>
                <c:pt idx="6">
                  <c:v>HORAS SUPLEMENTARIAS 130% E</c:v>
                </c:pt>
                <c:pt idx="7">
                  <c:v>HORAS EXTRAS 100%</c:v>
                </c:pt>
                <c:pt idx="8">
                  <c:v>HORAS EXTRAS 100% E</c:v>
                </c:pt>
                <c:pt idx="9">
                  <c:v>VACACIONES</c:v>
                </c:pt>
                <c:pt idx="10">
                  <c:v>ENFERMEDAD</c:v>
                </c:pt>
                <c:pt idx="11">
                  <c:v>ACCIDENTES</c:v>
                </c:pt>
                <c:pt idx="12">
                  <c:v>COMPENSATORIOS</c:v>
                </c:pt>
                <c:pt idx="13">
                  <c:v>AUSENCIAS JUSTIFICADAS</c:v>
                </c:pt>
                <c:pt idx="14">
                  <c:v>AUSENCIAS INJUSTIFICADAS</c:v>
                </c:pt>
                <c:pt idx="15">
                  <c:v>SUSPENSIONES</c:v>
                </c:pt>
              </c:strCache>
            </c:strRef>
          </c:cat>
          <c:val>
            <c:numRef>
              <c:f>DATOS!$C$26:$C$41</c:f>
              <c:numCache>
                <c:formatCode>#,##0</c:formatCode>
                <c:ptCount val="16"/>
                <c:pt idx="0">
                  <c:v>50714.5</c:v>
                </c:pt>
                <c:pt idx="1">
                  <c:v>2536</c:v>
                </c:pt>
                <c:pt idx="2">
                  <c:v>1228</c:v>
                </c:pt>
                <c:pt idx="3">
                  <c:v>3</c:v>
                </c:pt>
                <c:pt idx="4">
                  <c:v>0</c:v>
                </c:pt>
                <c:pt idx="5">
                  <c:v>285</c:v>
                </c:pt>
                <c:pt idx="6">
                  <c:v>3451</c:v>
                </c:pt>
                <c:pt idx="7">
                  <c:v>0</c:v>
                </c:pt>
                <c:pt idx="8">
                  <c:v>0</c:v>
                </c:pt>
                <c:pt idx="9">
                  <c:v>5848</c:v>
                </c:pt>
                <c:pt idx="10">
                  <c:v>2095</c:v>
                </c:pt>
                <c:pt idx="11">
                  <c:v>880</c:v>
                </c:pt>
                <c:pt idx="12">
                  <c:v>4398</c:v>
                </c:pt>
                <c:pt idx="13">
                  <c:v>2686</c:v>
                </c:pt>
                <c:pt idx="14">
                  <c:v>402.5</c:v>
                </c:pt>
                <c:pt idx="15">
                  <c:v>16</c:v>
                </c:pt>
              </c:numCache>
            </c:numRef>
          </c:val>
          <c:extLst>
            <c:ext xmlns:c16="http://schemas.microsoft.com/office/drawing/2014/chart" uri="{C3380CC4-5D6E-409C-BE32-E72D297353CC}">
              <c16:uniqueId val="{00000011-92E9-4043-90D3-FA7EC7602E0A}"/>
            </c:ext>
          </c:extLst>
        </c:ser>
        <c:dLbls>
          <c:showLegendKey val="0"/>
          <c:showVal val="0"/>
          <c:showCatName val="0"/>
          <c:showSerName val="0"/>
          <c:showPercent val="0"/>
          <c:showBubbleSize val="0"/>
          <c:showLeaderLines val="1"/>
        </c:dLbls>
        <c:gapWidth val="100"/>
        <c:secondPieSize val="75"/>
        <c:serLines/>
      </c:ofPieChart>
      <c:spPr>
        <a:noFill/>
        <a:ln w="25400">
          <a:noFill/>
        </a:ln>
      </c:spPr>
    </c:plotArea>
    <c:plotVisOnly val="1"/>
    <c:dispBlanksAs val="zero"/>
    <c:showDLblsOverMax val="0"/>
  </c:chart>
  <c:txPr>
    <a:bodyPr/>
    <a:lstStyle/>
    <a:p>
      <a:pPr>
        <a:defRPr sz="1000" b="0" i="0" u="none" strike="noStrike" baseline="0">
          <a:solidFill>
            <a:srgbClr val="000000"/>
          </a:solidFill>
          <a:latin typeface="Calibri"/>
          <a:ea typeface="Calibri"/>
          <a:cs typeface="Calibri"/>
        </a:defRPr>
      </a:pPr>
      <a:endParaRPr lang="es-AR"/>
    </a:p>
  </c:txPr>
  <c:printSettings>
    <c:headerFooter/>
    <c:pageMargins b="0.74803149606299346" l="0.70866141732283616" r="0.70866141732283616" t="0.74803149606299346" header="0.31496062992126111" footer="0.31496062992126111"/>
    <c:pageSetup paperSize="5" orientation="landscape"/>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28"/>
    </mc:Choice>
    <mc:Fallback>
      <c:style val="28"/>
    </mc:Fallback>
  </mc:AlternateContent>
  <c:chart>
    <c:title>
      <c:tx>
        <c:rich>
          <a:bodyPr/>
          <a:lstStyle/>
          <a:p>
            <a:pPr>
              <a:defRPr/>
            </a:pPr>
            <a:r>
              <a:rPr lang="es-AR"/>
              <a:t>TOTAL DE ACCIDENTES POR SECTOR ENERO 2013 -</a:t>
            </a:r>
            <a:r>
              <a:rPr lang="es-AR" baseline="0"/>
              <a:t> MARZO 2026 </a:t>
            </a:r>
            <a:r>
              <a:rPr lang="es-AR"/>
              <a:t>(NOMINA TOTAL)</a:t>
            </a:r>
          </a:p>
        </c:rich>
      </c:tx>
      <c:layout>
        <c:manualLayout>
          <c:xMode val="edge"/>
          <c:yMode val="edge"/>
          <c:x val="0.27400417778084563"/>
          <c:y val="2.1031385161361871E-2"/>
        </c:manualLayout>
      </c:layout>
      <c:overlay val="0"/>
    </c:title>
    <c:autoTitleDeleted val="0"/>
    <c:plotArea>
      <c:layout>
        <c:manualLayout>
          <c:layoutTarget val="inner"/>
          <c:xMode val="edge"/>
          <c:yMode val="edge"/>
          <c:x val="9.4835767711788171E-2"/>
          <c:y val="9.9099273471413063E-2"/>
          <c:w val="0.82910874148028668"/>
          <c:h val="0.56036134635653567"/>
        </c:manualLayout>
      </c:layout>
      <c:barChart>
        <c:barDir val="col"/>
        <c:grouping val="clustered"/>
        <c:varyColors val="0"/>
        <c:ser>
          <c:idx val="0"/>
          <c:order val="0"/>
          <c:invertIfNegative val="0"/>
          <c:dLbls>
            <c:spPr>
              <a:noFill/>
              <a:ln w="25400">
                <a:noFill/>
              </a:ln>
            </c:spPr>
            <c:txPr>
              <a:bodyPr/>
              <a:lstStyle/>
              <a:p>
                <a:pPr>
                  <a:defRPr sz="1100" b="1"/>
                </a:pPr>
                <a:endParaRPr lang="es-A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'INDICE ACCIDENTES'!$A$50:$A$91</c:f>
              <c:strCache>
                <c:ptCount val="42"/>
                <c:pt idx="0">
                  <c:v>CONSTRUCCIONES*</c:v>
                </c:pt>
                <c:pt idx="1">
                  <c:v>ESTRUCTURAS - D.I.C.</c:v>
                </c:pt>
                <c:pt idx="2">
                  <c:v>ALISTAMIENTO - D.I.C.</c:v>
                </c:pt>
                <c:pt idx="3">
                  <c:v>CALDEDERIA</c:v>
                </c:pt>
                <c:pt idx="4">
                  <c:v>DPTO. DE CASCO Y ACERO</c:v>
                </c:pt>
                <c:pt idx="5">
                  <c:v>DPTO. MANIOBRAS Y TRANSPORTES</c:v>
                </c:pt>
                <c:pt idx="6">
                  <c:v>TRANSPORTES - D.I.C.</c:v>
                </c:pt>
                <c:pt idx="7">
                  <c:v>DPTO. BOMBEROS</c:v>
                </c:pt>
                <c:pt idx="8">
                  <c:v>COMEDOR</c:v>
                </c:pt>
                <c:pt idx="9">
                  <c:v>DPTO. SEGURIDAD INDUSTRIAL </c:v>
                </c:pt>
                <c:pt idx="10">
                  <c:v>DPTO. CARENADO</c:v>
                </c:pt>
                <c:pt idx="11">
                  <c:v>DPTO. MECÁNICA</c:v>
                </c:pt>
                <c:pt idx="12">
                  <c:v>MECANICA - D.I.C.</c:v>
                </c:pt>
                <c:pt idx="13">
                  <c:v>MANTENIMIENTO</c:v>
                </c:pt>
                <c:pt idx="14">
                  <c:v>DPTO. ELECTRICIDAD</c:v>
                </c:pt>
                <c:pt idx="15">
                  <c:v>ELECTRICIDAD - D.I.C.</c:v>
                </c:pt>
                <c:pt idx="16">
                  <c:v>SUBMARINOS*</c:v>
                </c:pt>
                <c:pt idx="17">
                  <c:v>INFRAESTRUCTURA Y CONSTRUCCION METALMECANICA</c:v>
                </c:pt>
                <c:pt idx="18">
                  <c:v>DPTO. SERVICIOS GENERALES</c:v>
                </c:pt>
                <c:pt idx="19">
                  <c:v>DPTO. SYNCROLIFT</c:v>
                </c:pt>
                <c:pt idx="20">
                  <c:v>CONTRATACIONES / COMPRAS</c:v>
                </c:pt>
                <c:pt idx="21">
                  <c:v>JEFATURA DE PROYECTOS - REPARACIONES</c:v>
                </c:pt>
                <c:pt idx="22">
                  <c:v>CONTROL DE CONTRATISTAS</c:v>
                </c:pt>
                <c:pt idx="23">
                  <c:v>DPTO. CHAPA FINA</c:v>
                </c:pt>
                <c:pt idx="24">
                  <c:v>DPTO. COBRERIA</c:v>
                </c:pt>
                <c:pt idx="25">
                  <c:v>DPTO. CONTABILIDAD</c:v>
                </c:pt>
                <c:pt idx="26">
                  <c:v>DPTO. COBRANZAS Y PAGOS</c:v>
                </c:pt>
                <c:pt idx="27">
                  <c:v>IRIZAR</c:v>
                </c:pt>
                <c:pt idx="28">
                  <c:v>SERVICIO MEDICO</c:v>
                </c:pt>
                <c:pt idx="29">
                  <c:v>PROYECTO BARCAZAS</c:v>
                </c:pt>
                <c:pt idx="30">
                  <c:v>DPTO. CAPITAL HUMANO</c:v>
                </c:pt>
                <c:pt idx="31">
                  <c:v>DPTO. RELACIONES INSTITUCIONALES</c:v>
                </c:pt>
                <c:pt idx="32">
                  <c:v>DPTO. ALMACENES</c:v>
                </c:pt>
                <c:pt idx="33">
                  <c:v>ABASTECIMIENTO</c:v>
                </c:pt>
                <c:pt idx="34">
                  <c:v>CONTROL PATRIMONIAL</c:v>
                </c:pt>
                <c:pt idx="35">
                  <c:v>DPTO. GESTIÓN DE CALIDAD</c:v>
                </c:pt>
                <c:pt idx="36">
                  <c:v>PRESIDENCIA</c:v>
                </c:pt>
                <c:pt idx="37">
                  <c:v>GCIA. DE PRODUCCIÓN</c:v>
                </c:pt>
                <c:pt idx="38">
                  <c:v>GERENCIA DE PROYECTOS</c:v>
                </c:pt>
                <c:pt idx="39">
                  <c:v>GERENCIA DE OPERACIONES *</c:v>
                </c:pt>
                <c:pt idx="40">
                  <c:v>DESARROLLO DE NEGOCIOS</c:v>
                </c:pt>
                <c:pt idx="41">
                  <c:v>COMERCIAL</c:v>
                </c:pt>
              </c:strCache>
            </c:strRef>
          </c:cat>
          <c:val>
            <c:numRef>
              <c:f>'INDICE ACCIDENTES'!$FE$50:$FE$91</c:f>
              <c:numCache>
                <c:formatCode>0</c:formatCode>
                <c:ptCount val="42"/>
                <c:pt idx="0">
                  <c:v>134</c:v>
                </c:pt>
                <c:pt idx="1">
                  <c:v>17</c:v>
                </c:pt>
                <c:pt idx="2">
                  <c:v>9</c:v>
                </c:pt>
                <c:pt idx="3">
                  <c:v>162</c:v>
                </c:pt>
                <c:pt idx="4">
                  <c:v>30</c:v>
                </c:pt>
                <c:pt idx="5">
                  <c:v>30</c:v>
                </c:pt>
                <c:pt idx="6">
                  <c:v>11</c:v>
                </c:pt>
                <c:pt idx="7">
                  <c:v>47</c:v>
                </c:pt>
                <c:pt idx="8">
                  <c:v>22</c:v>
                </c:pt>
                <c:pt idx="9">
                  <c:v>26</c:v>
                </c:pt>
                <c:pt idx="10">
                  <c:v>161</c:v>
                </c:pt>
                <c:pt idx="11">
                  <c:v>209</c:v>
                </c:pt>
                <c:pt idx="12">
                  <c:v>10</c:v>
                </c:pt>
                <c:pt idx="13">
                  <c:v>65</c:v>
                </c:pt>
                <c:pt idx="14">
                  <c:v>49</c:v>
                </c:pt>
                <c:pt idx="15">
                  <c:v>5</c:v>
                </c:pt>
                <c:pt idx="16">
                  <c:v>117</c:v>
                </c:pt>
                <c:pt idx="17">
                  <c:v>23</c:v>
                </c:pt>
                <c:pt idx="18">
                  <c:v>27</c:v>
                </c:pt>
                <c:pt idx="19">
                  <c:v>82</c:v>
                </c:pt>
                <c:pt idx="20">
                  <c:v>4</c:v>
                </c:pt>
                <c:pt idx="21">
                  <c:v>7</c:v>
                </c:pt>
                <c:pt idx="22">
                  <c:v>0</c:v>
                </c:pt>
                <c:pt idx="23">
                  <c:v>48</c:v>
                </c:pt>
                <c:pt idx="24">
                  <c:v>110</c:v>
                </c:pt>
                <c:pt idx="25">
                  <c:v>7</c:v>
                </c:pt>
                <c:pt idx="26">
                  <c:v>1</c:v>
                </c:pt>
                <c:pt idx="27">
                  <c:v>76</c:v>
                </c:pt>
                <c:pt idx="28">
                  <c:v>3</c:v>
                </c:pt>
                <c:pt idx="29">
                  <c:v>13</c:v>
                </c:pt>
                <c:pt idx="30">
                  <c:v>4</c:v>
                </c:pt>
                <c:pt idx="31">
                  <c:v>1</c:v>
                </c:pt>
                <c:pt idx="32">
                  <c:v>6</c:v>
                </c:pt>
                <c:pt idx="33">
                  <c:v>1</c:v>
                </c:pt>
                <c:pt idx="34">
                  <c:v>12</c:v>
                </c:pt>
                <c:pt idx="35">
                  <c:v>15</c:v>
                </c:pt>
                <c:pt idx="36">
                  <c:v>5</c:v>
                </c:pt>
                <c:pt idx="37">
                  <c:v>3</c:v>
                </c:pt>
                <c:pt idx="38">
                  <c:v>3</c:v>
                </c:pt>
                <c:pt idx="39">
                  <c:v>9</c:v>
                </c:pt>
                <c:pt idx="40">
                  <c:v>3</c:v>
                </c:pt>
                <c:pt idx="41">
                  <c:v>1</c:v>
                </c:pt>
              </c:numCache>
            </c:numRef>
          </c:val>
          <c:extLst>
            <c:ext xmlns:c16="http://schemas.microsoft.com/office/drawing/2014/chart" uri="{C3380CC4-5D6E-409C-BE32-E72D297353CC}">
              <c16:uniqueId val="{00000000-F7A0-44E0-A267-960C79981DE9}"/>
            </c:ext>
          </c:extLst>
        </c:ser>
        <c:dLbls>
          <c:showLegendKey val="0"/>
          <c:showVal val="0"/>
          <c:showCatName val="0"/>
          <c:showSerName val="0"/>
          <c:showPercent val="0"/>
          <c:showBubbleSize val="0"/>
        </c:dLbls>
        <c:gapWidth val="75"/>
        <c:axId val="1344379727"/>
        <c:axId val="1"/>
      </c:barChart>
      <c:catAx>
        <c:axId val="1344379727"/>
        <c:scaling>
          <c:orientation val="minMax"/>
        </c:scaling>
        <c:delete val="0"/>
        <c:axPos val="b"/>
        <c:numFmt formatCode="General" sourceLinked="1"/>
        <c:majorTickMark val="none"/>
        <c:minorTickMark val="none"/>
        <c:tickLblPos val="nextTo"/>
        <c:txPr>
          <a:bodyPr rot="-2700000" vert="horz"/>
          <a:lstStyle/>
          <a:p>
            <a:pPr>
              <a:defRPr sz="1100"/>
            </a:pPr>
            <a:endParaRPr lang="es-AR"/>
          </a:p>
        </c:txPr>
        <c:crossAx val="1"/>
        <c:crosses val="autoZero"/>
        <c:auto val="1"/>
        <c:lblAlgn val="ctr"/>
        <c:lblOffset val="100"/>
        <c:noMultiLvlLbl val="0"/>
      </c:catAx>
      <c:valAx>
        <c:axId val="1"/>
        <c:scaling>
          <c:orientation val="minMax"/>
        </c:scaling>
        <c:delete val="0"/>
        <c:axPos val="l"/>
        <c:majorGridlines/>
        <c:numFmt formatCode="0" sourceLinked="1"/>
        <c:majorTickMark val="none"/>
        <c:minorTickMark val="none"/>
        <c:tickLblPos val="nextTo"/>
        <c:txPr>
          <a:bodyPr rot="0" vert="horz"/>
          <a:lstStyle/>
          <a:p>
            <a:pPr>
              <a:defRPr/>
            </a:pPr>
            <a:endParaRPr lang="es-AR"/>
          </a:p>
        </c:txPr>
        <c:crossAx val="1344379727"/>
        <c:crosses val="autoZero"/>
        <c:crossBetween val="between"/>
      </c:valAx>
    </c:plotArea>
    <c:plotVisOnly val="1"/>
    <c:dispBlanksAs val="gap"/>
    <c:showDLblsOverMax val="0"/>
  </c:chart>
  <c:printSettings>
    <c:headerFooter alignWithMargins="0"/>
    <c:pageMargins b="0.74803149606299346" l="0.70866141732283616" r="0.70866141732283616" t="0.74803149606299346" header="0.31496062992126111" footer="0.31496062992126111"/>
    <c:pageSetup paperSize="5" orientation="landscape"/>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36"/>
    </mc:Choice>
    <mc:Fallback>
      <c:style val="36"/>
    </mc:Fallback>
  </mc:AlternateContent>
  <c:chart>
    <c:title>
      <c:tx>
        <c:rich>
          <a:bodyPr/>
          <a:lstStyle/>
          <a:p>
            <a:pPr>
              <a:defRPr/>
            </a:pPr>
            <a:r>
              <a:rPr lang="es-AR"/>
              <a:t>TOTAL ACCIDENTES POR MES (DERIVADOS Y NO DERIVADOS).</a:t>
            </a:r>
          </a:p>
        </c:rich>
      </c:tx>
      <c:layout>
        <c:manualLayout>
          <c:xMode val="edge"/>
          <c:yMode val="edge"/>
          <c:x val="0.3808317390983062"/>
          <c:y val="1.8244528377042303E-2"/>
        </c:manualLayout>
      </c:layout>
      <c:overlay val="0"/>
    </c:title>
    <c:autoTitleDeleted val="0"/>
    <c:view3D>
      <c:rotX val="15"/>
      <c:rotY val="20"/>
      <c:depthPercent val="100"/>
      <c:rAngAx val="0"/>
    </c:view3D>
    <c:floor>
      <c:thickness val="0"/>
    </c:floor>
    <c:sideWall>
      <c:thickness val="0"/>
    </c:sideWall>
    <c:backWall>
      <c:thickness val="0"/>
    </c:backWall>
    <c:plotArea>
      <c:layout>
        <c:manualLayout>
          <c:layoutTarget val="inner"/>
          <c:xMode val="edge"/>
          <c:yMode val="edge"/>
          <c:x val="1.0234043680319776E-2"/>
          <c:y val="9.6980726379454277E-3"/>
          <c:w val="0.98976595631968023"/>
          <c:h val="0.95952219179418996"/>
        </c:manualLayout>
      </c:layout>
      <c:bar3DChart>
        <c:barDir val="col"/>
        <c:grouping val="stacked"/>
        <c:varyColors val="0"/>
        <c:ser>
          <c:idx val="0"/>
          <c:order val="0"/>
          <c:invertIfNegative val="0"/>
          <c:dLbls>
            <c:spPr>
              <a:noFill/>
              <a:ln w="25400">
                <a:noFill/>
              </a:ln>
            </c:spPr>
            <c:txPr>
              <a:bodyPr/>
              <a:lstStyle/>
              <a:p>
                <a:pPr>
                  <a:defRPr sz="1800" b="1"/>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'INDICE ACCIDENTES'!$ER$49:$FD$49</c:f>
              <c:strCache>
                <c:ptCount val="13"/>
                <c:pt idx="0">
                  <c:v>MAR-2025</c:v>
                </c:pt>
                <c:pt idx="1">
                  <c:v>ABRIL-2025</c:v>
                </c:pt>
                <c:pt idx="2">
                  <c:v>MAYO-2025</c:v>
                </c:pt>
                <c:pt idx="3">
                  <c:v>JUN-2025</c:v>
                </c:pt>
                <c:pt idx="4">
                  <c:v>JUL-2025</c:v>
                </c:pt>
                <c:pt idx="5">
                  <c:v>AGOS-2025</c:v>
                </c:pt>
                <c:pt idx="6">
                  <c:v>SEPT-2025</c:v>
                </c:pt>
                <c:pt idx="7">
                  <c:v>OCT-2025</c:v>
                </c:pt>
                <c:pt idx="8">
                  <c:v>NOV-2025</c:v>
                </c:pt>
                <c:pt idx="9">
                  <c:v>DIC-2025</c:v>
                </c:pt>
                <c:pt idx="10">
                  <c:v>ENE-2026</c:v>
                </c:pt>
                <c:pt idx="11">
                  <c:v>FEB-2026</c:v>
                </c:pt>
                <c:pt idx="12">
                  <c:v>MAR-2026</c:v>
                </c:pt>
              </c:strCache>
            </c:strRef>
          </c:cat>
          <c:val>
            <c:numRef>
              <c:f>'INDICE ACCIDENTES'!$ER$92:$FD$92</c:f>
              <c:numCache>
                <c:formatCode>0</c:formatCode>
                <c:ptCount val="13"/>
                <c:pt idx="0">
                  <c:v>5</c:v>
                </c:pt>
                <c:pt idx="1">
                  <c:v>3</c:v>
                </c:pt>
                <c:pt idx="2">
                  <c:v>4</c:v>
                </c:pt>
                <c:pt idx="3">
                  <c:v>7</c:v>
                </c:pt>
                <c:pt idx="4">
                  <c:v>12</c:v>
                </c:pt>
                <c:pt idx="5">
                  <c:v>16</c:v>
                </c:pt>
                <c:pt idx="6">
                  <c:v>8</c:v>
                </c:pt>
                <c:pt idx="7">
                  <c:v>5</c:v>
                </c:pt>
                <c:pt idx="8">
                  <c:v>8</c:v>
                </c:pt>
                <c:pt idx="9">
                  <c:v>15</c:v>
                </c:pt>
                <c:pt idx="10">
                  <c:v>2</c:v>
                </c:pt>
                <c:pt idx="11">
                  <c:v>7</c:v>
                </c:pt>
                <c:pt idx="12">
                  <c:v>7</c:v>
                </c:pt>
              </c:numCache>
            </c:numRef>
          </c:val>
          <c:extLst>
            <c:ext xmlns:c16="http://schemas.microsoft.com/office/drawing/2014/chart" uri="{C3380CC4-5D6E-409C-BE32-E72D297353CC}">
              <c16:uniqueId val="{00000000-AEC6-4942-948C-EB95824ED172}"/>
            </c:ext>
          </c:extLst>
        </c:ser>
        <c:dLbls>
          <c:showLegendKey val="0"/>
          <c:showVal val="0"/>
          <c:showCatName val="0"/>
          <c:showSerName val="0"/>
          <c:showPercent val="0"/>
          <c:showBubbleSize val="0"/>
        </c:dLbls>
        <c:gapWidth val="75"/>
        <c:shape val="box"/>
        <c:axId val="1344398031"/>
        <c:axId val="1"/>
        <c:axId val="0"/>
      </c:bar3DChart>
      <c:catAx>
        <c:axId val="1344398031"/>
        <c:scaling>
          <c:orientation val="minMax"/>
        </c:scaling>
        <c:delete val="0"/>
        <c:axPos val="b"/>
        <c:numFmt formatCode="mmm\-yy" sourceLinked="0"/>
        <c:majorTickMark val="none"/>
        <c:minorTickMark val="none"/>
        <c:tickLblPos val="nextTo"/>
        <c:txPr>
          <a:bodyPr rot="0" vert="horz"/>
          <a:lstStyle/>
          <a:p>
            <a:pPr>
              <a:defRPr sz="1400"/>
            </a:pPr>
            <a:endParaRPr lang="es-AR"/>
          </a:p>
        </c:txPr>
        <c:crossAx val="1"/>
        <c:crosses val="autoZero"/>
        <c:auto val="1"/>
        <c:lblAlgn val="ctr"/>
        <c:lblOffset val="100"/>
        <c:tickLblSkip val="1"/>
        <c:noMultiLvlLbl val="0"/>
      </c:catAx>
      <c:valAx>
        <c:axId val="1"/>
        <c:scaling>
          <c:orientation val="minMax"/>
        </c:scaling>
        <c:delete val="0"/>
        <c:axPos val="l"/>
        <c:majorGridlines/>
        <c:numFmt formatCode="0" sourceLinked="1"/>
        <c:majorTickMark val="none"/>
        <c:minorTickMark val="none"/>
        <c:tickLblPos val="nextTo"/>
        <c:txPr>
          <a:bodyPr rot="0" vert="horz"/>
          <a:lstStyle/>
          <a:p>
            <a:pPr>
              <a:defRPr/>
            </a:pPr>
            <a:endParaRPr lang="es-AR"/>
          </a:p>
        </c:txPr>
        <c:crossAx val="1344398031"/>
        <c:crosses val="autoZero"/>
        <c:crossBetween val="between"/>
      </c:valAx>
      <c:spPr>
        <a:noFill/>
        <a:ln w="25400">
          <a:noFill/>
        </a:ln>
      </c:spPr>
    </c:plotArea>
    <c:plotVisOnly val="0"/>
    <c:dispBlanksAs val="gap"/>
    <c:showDLblsOverMax val="0"/>
  </c:chart>
  <c:printSettings>
    <c:headerFooter/>
    <c:pageMargins b="0.75000000000000155" l="0.70000000000000062" r="0.70000000000000062" t="0.75000000000000155" header="0.30000000000000032" footer="0.30000000000000032"/>
    <c:pageSetup paperSize="5" orientation="landscape"/>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a:lstStyle/>
          <a:p>
            <a:pPr>
              <a:defRPr sz="1800" b="1" i="0" u="sng" strike="noStrike" baseline="0">
                <a:solidFill>
                  <a:srgbClr val="000000"/>
                </a:solidFill>
                <a:latin typeface="Calibri"/>
                <a:ea typeface="Calibri"/>
                <a:cs typeface="Calibri"/>
              </a:defRPr>
            </a:pPr>
            <a:r>
              <a:rPr lang="es-AR"/>
              <a:t>Tipo de Accidente</a:t>
            </a:r>
          </a:p>
        </c:rich>
      </c:tx>
      <c:layout>
        <c:manualLayout>
          <c:xMode val="edge"/>
          <c:yMode val="edge"/>
          <c:x val="0.38656719711837823"/>
          <c:y val="1.9774085830894173E-2"/>
        </c:manualLayout>
      </c:layout>
      <c:overlay val="0"/>
      <c:spPr>
        <a:noFill/>
        <a:ln w="25400">
          <a:noFill/>
        </a:ln>
      </c:spPr>
    </c:title>
    <c:autoTitleDeleted val="0"/>
    <c:view3D>
      <c:rotX val="15"/>
      <c:rotY val="20"/>
      <c:depthPercent val="100"/>
      <c:rAngAx val="1"/>
    </c:view3D>
    <c:floor>
      <c:thickness val="0"/>
    </c:floor>
    <c:sideWall>
      <c:thickness val="0"/>
    </c:sideWall>
    <c:backWall>
      <c:thickness val="0"/>
    </c:backWall>
    <c:plotArea>
      <c:layout>
        <c:manualLayout>
          <c:layoutTarget val="inner"/>
          <c:xMode val="edge"/>
          <c:yMode val="edge"/>
          <c:x val="5.3651266766020785E-2"/>
          <c:y val="0.15686317419241938"/>
          <c:w val="0.85245901639344535"/>
          <c:h val="0.72549218063993737"/>
        </c:manualLayout>
      </c:layout>
      <c:bar3DChart>
        <c:barDir val="col"/>
        <c:grouping val="clustered"/>
        <c:varyColors val="0"/>
        <c:ser>
          <c:idx val="0"/>
          <c:order val="0"/>
          <c:invertIfNegative val="0"/>
          <c:dLbls>
            <c:dLbl>
              <c:idx val="0"/>
              <c:layout>
                <c:manualLayout>
                  <c:x val="-6.9960434050221126E-3"/>
                  <c:y val="-5.3844921927131986E-2"/>
                </c:manualLayout>
              </c:layout>
              <c:spPr>
                <a:noFill/>
                <a:ln w="25400">
                  <a:noFill/>
                </a:ln>
              </c:spPr>
              <c:txPr>
                <a:bodyPr/>
                <a:lstStyle/>
                <a:p>
                  <a:pPr>
                    <a:defRPr sz="1100" b="1" i="0" u="none" strike="noStrike" baseline="0">
                      <a:solidFill>
                        <a:srgbClr val="000000"/>
                      </a:solidFill>
                      <a:latin typeface="Calibri"/>
                      <a:ea typeface="Calibri"/>
                      <a:cs typeface="Calibri"/>
                    </a:defRPr>
                  </a:pPr>
                  <a:endParaRPr lang="es-AR"/>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F380-41F6-8FA6-788E3FE2C059}"/>
                </c:ext>
              </c:extLst>
            </c:dLbl>
            <c:dLbl>
              <c:idx val="1"/>
              <c:layout>
                <c:manualLayout>
                  <c:x val="5.1300975437771753E-3"/>
                  <c:y val="-5.6669780684194135E-2"/>
                </c:manualLayout>
              </c:layout>
              <c:spPr>
                <a:noFill/>
                <a:ln w="25400">
                  <a:noFill/>
                </a:ln>
              </c:spPr>
              <c:txPr>
                <a:bodyPr/>
                <a:lstStyle/>
                <a:p>
                  <a:pPr>
                    <a:defRPr sz="1100" b="1" i="0" u="none" strike="noStrike" baseline="0">
                      <a:solidFill>
                        <a:srgbClr val="000000"/>
                      </a:solidFill>
                      <a:latin typeface="Calibri"/>
                      <a:ea typeface="Calibri"/>
                      <a:cs typeface="Calibri"/>
                    </a:defRPr>
                  </a:pPr>
                  <a:endParaRPr lang="es-AR"/>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380-41F6-8FA6-788E3FE2C059}"/>
                </c:ext>
              </c:extLst>
            </c:dLbl>
            <c:dLbl>
              <c:idx val="2"/>
              <c:layout>
                <c:manualLayout>
                  <c:x val="2.5644376542484373E-2"/>
                  <c:y val="-2.9242404021531179E-2"/>
                </c:manualLayout>
              </c:layout>
              <c:spPr>
                <a:noFill/>
                <a:ln w="25400">
                  <a:noFill/>
                </a:ln>
              </c:spPr>
              <c:txPr>
                <a:bodyPr/>
                <a:lstStyle/>
                <a:p>
                  <a:pPr>
                    <a:defRPr sz="1100" b="1" i="0" u="none" strike="noStrike" baseline="0">
                      <a:solidFill>
                        <a:srgbClr val="000000"/>
                      </a:solidFill>
                      <a:latin typeface="Calibri"/>
                      <a:ea typeface="Calibri"/>
                      <a:cs typeface="Calibri"/>
                    </a:defRPr>
                  </a:pPr>
                  <a:endParaRPr lang="es-AR"/>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380-41F6-8FA6-788E3FE2C059}"/>
                </c:ext>
              </c:extLst>
            </c:dLbl>
            <c:dLbl>
              <c:idx val="3"/>
              <c:layout>
                <c:manualLayout>
                  <c:x val="4.0755592118149393E-2"/>
                  <c:y val="-1.7720242596794028E-2"/>
                </c:manualLayout>
              </c:layout>
              <c:spPr>
                <a:noFill/>
                <a:ln w="25400">
                  <a:noFill/>
                </a:ln>
              </c:spPr>
              <c:txPr>
                <a:bodyPr/>
                <a:lstStyle/>
                <a:p>
                  <a:pPr>
                    <a:defRPr sz="1100" b="1" i="0" u="none" strike="noStrike" baseline="0">
                      <a:solidFill>
                        <a:srgbClr val="000000"/>
                      </a:solidFill>
                      <a:latin typeface="Calibri"/>
                      <a:ea typeface="Calibri"/>
                      <a:cs typeface="Calibri"/>
                    </a:defRPr>
                  </a:pPr>
                  <a:endParaRPr lang="es-AR"/>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380-41F6-8FA6-788E3FE2C059}"/>
                </c:ext>
              </c:extLst>
            </c:dLbl>
            <c:spPr>
              <a:noFill/>
              <a:ln w="25400">
                <a:noFill/>
              </a:ln>
            </c:spPr>
            <c:txPr>
              <a:bodyPr wrap="square" lIns="38100" tIns="19050" rIns="38100" bIns="19050" anchor="ctr">
                <a:spAutoFit/>
              </a:bodyPr>
              <a:lstStyle/>
              <a:p>
                <a:pPr>
                  <a:defRPr sz="1100" b="1" i="0" u="none" strike="noStrike" baseline="0">
                    <a:solidFill>
                      <a:srgbClr val="000000"/>
                    </a:solidFill>
                    <a:latin typeface="Calibri"/>
                    <a:ea typeface="Calibri"/>
                    <a:cs typeface="Calibri"/>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'Apertura de Acc '!$C$3:$F$3</c:f>
              <c:strCache>
                <c:ptCount val="4"/>
                <c:pt idx="0">
                  <c:v>Acc Menores</c:v>
                </c:pt>
                <c:pt idx="1">
                  <c:v>Acc Leves</c:v>
                </c:pt>
                <c:pt idx="2">
                  <c:v>Acc Moderados</c:v>
                </c:pt>
                <c:pt idx="3">
                  <c:v>Acc graves</c:v>
                </c:pt>
              </c:strCache>
            </c:strRef>
          </c:cat>
          <c:val>
            <c:numRef>
              <c:f>'Apertura de Acc '!$C$162:$F$162</c:f>
              <c:numCache>
                <c:formatCode>General</c:formatCode>
                <c:ptCount val="4"/>
                <c:pt idx="0">
                  <c:v>1</c:v>
                </c:pt>
                <c:pt idx="1">
                  <c:v>5</c:v>
                </c:pt>
                <c:pt idx="2">
                  <c:v>1</c:v>
                </c:pt>
                <c:pt idx="3">
                  <c:v>0</c:v>
                </c:pt>
              </c:numCache>
            </c:numRef>
          </c:val>
          <c:extLst>
            <c:ext xmlns:c16="http://schemas.microsoft.com/office/drawing/2014/chart" uri="{C3380CC4-5D6E-409C-BE32-E72D297353CC}">
              <c16:uniqueId val="{00000004-F380-41F6-8FA6-788E3FE2C059}"/>
            </c:ext>
          </c:extLst>
        </c:ser>
        <c:dLbls>
          <c:showLegendKey val="0"/>
          <c:showVal val="0"/>
          <c:showCatName val="0"/>
          <c:showSerName val="0"/>
          <c:showPercent val="0"/>
          <c:showBubbleSize val="0"/>
        </c:dLbls>
        <c:gapWidth val="150"/>
        <c:shape val="cylinder"/>
        <c:axId val="1344413423"/>
        <c:axId val="1"/>
        <c:axId val="0"/>
      </c:bar3DChart>
      <c:catAx>
        <c:axId val="1344413423"/>
        <c:scaling>
          <c:orientation val="minMax"/>
        </c:scaling>
        <c:delete val="0"/>
        <c:axPos val="b"/>
        <c:numFmt formatCode="General" sourceLinked="1"/>
        <c:majorTickMark val="out"/>
        <c:minorTickMark val="none"/>
        <c:tickLblPos val="nextTo"/>
        <c:txPr>
          <a:bodyPr rot="0" vert="horz"/>
          <a:lstStyle/>
          <a:p>
            <a:pPr>
              <a:defRPr sz="1200" b="0" i="0" u="none" strike="noStrike" baseline="0">
                <a:solidFill>
                  <a:srgbClr val="000000"/>
                </a:solidFill>
                <a:latin typeface="Calibri"/>
                <a:ea typeface="Calibri"/>
                <a:cs typeface="Calibri"/>
              </a:defRPr>
            </a:pPr>
            <a:endParaRPr lang="es-AR"/>
          </a:p>
        </c:txPr>
        <c:crossAx val="1"/>
        <c:crosses val="autoZero"/>
        <c:auto val="1"/>
        <c:lblAlgn val="ctr"/>
        <c:lblOffset val="100"/>
        <c:noMultiLvlLbl val="0"/>
      </c:catAx>
      <c:valAx>
        <c:axId val="1"/>
        <c:scaling>
          <c:orientation val="minMax"/>
        </c:scaling>
        <c:delete val="0"/>
        <c:axPos val="l"/>
        <c:majorGridlines/>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s-AR"/>
          </a:p>
        </c:txPr>
        <c:crossAx val="1344413423"/>
        <c:crosses val="autoZero"/>
        <c:crossBetween val="between"/>
      </c:valAx>
      <c:spPr>
        <a:noFill/>
        <a:ln w="25400">
          <a:noFill/>
        </a:ln>
      </c:spPr>
    </c:plotArea>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s-AR"/>
    </a:p>
  </c:txPr>
  <c:printSettings>
    <c:headerFooter/>
    <c:pageMargins b="0.75000000000000133" l="0.70000000000000062" r="0.70000000000000062" t="0.75000000000000133" header="0.30000000000000032" footer="0.30000000000000032"/>
    <c:pageSetup paperSize="9" orientation="landscape"/>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a:lstStyle/>
          <a:p>
            <a:pPr>
              <a:defRPr sz="1800" b="1" i="0" u="sng" strike="noStrike" baseline="0">
                <a:solidFill>
                  <a:srgbClr val="000000"/>
                </a:solidFill>
                <a:latin typeface="Calibri"/>
                <a:ea typeface="Calibri"/>
                <a:cs typeface="Calibri"/>
              </a:defRPr>
            </a:pPr>
            <a:r>
              <a:rPr lang="es-AR"/>
              <a:t>INDICE ACCIDENTES DERIVADOS</a:t>
            </a:r>
          </a:p>
        </c:rich>
      </c:tx>
      <c:layout>
        <c:manualLayout>
          <c:xMode val="edge"/>
          <c:yMode val="edge"/>
          <c:x val="0.33366834602700585"/>
          <c:y val="1.2953334877257991E-2"/>
        </c:manualLayout>
      </c:layout>
      <c:overlay val="0"/>
      <c:spPr>
        <a:noFill/>
        <a:ln w="25400">
          <a:noFill/>
        </a:ln>
      </c:spPr>
    </c:title>
    <c:autoTitleDeleted val="0"/>
    <c:plotArea>
      <c:layout>
        <c:manualLayout>
          <c:layoutTarget val="inner"/>
          <c:xMode val="edge"/>
          <c:yMode val="edge"/>
          <c:x val="5.0251256281407038E-2"/>
          <c:y val="9.3264248704663211E-2"/>
          <c:w val="0.92361809045226129"/>
          <c:h val="0.81606217616580312"/>
        </c:manualLayout>
      </c:layout>
      <c:lineChart>
        <c:grouping val="standard"/>
        <c:varyColors val="0"/>
        <c:ser>
          <c:idx val="0"/>
          <c:order val="0"/>
          <c:dLbls>
            <c:spPr>
              <a:noFill/>
              <a:ln w="25400">
                <a:noFill/>
              </a:ln>
            </c:spPr>
            <c:txPr>
              <a:bodyPr/>
              <a:lstStyle/>
              <a:p>
                <a:pPr>
                  <a:defRPr b="1"/>
                </a:pPr>
                <a:endParaRPr lang="es-AR"/>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'APERTURA ACCIDENTES'!$A$135:$A$163</c:f>
              <c:numCache>
                <c:formatCode>mmm\-yy</c:formatCode>
                <c:ptCount val="13"/>
                <c:pt idx="0">
                  <c:v>45717</c:v>
                </c:pt>
                <c:pt idx="1">
                  <c:v>45748</c:v>
                </c:pt>
                <c:pt idx="2">
                  <c:v>45778</c:v>
                </c:pt>
                <c:pt idx="3">
                  <c:v>45809</c:v>
                </c:pt>
                <c:pt idx="4">
                  <c:v>45839</c:v>
                </c:pt>
                <c:pt idx="5">
                  <c:v>45870</c:v>
                </c:pt>
                <c:pt idx="6">
                  <c:v>45901</c:v>
                </c:pt>
                <c:pt idx="7">
                  <c:v>45931</c:v>
                </c:pt>
                <c:pt idx="8">
                  <c:v>45962</c:v>
                </c:pt>
                <c:pt idx="9">
                  <c:v>45992</c:v>
                </c:pt>
                <c:pt idx="10">
                  <c:v>46023</c:v>
                </c:pt>
                <c:pt idx="11">
                  <c:v>46054</c:v>
                </c:pt>
                <c:pt idx="12">
                  <c:v>46082</c:v>
                </c:pt>
              </c:numCache>
            </c:numRef>
          </c:cat>
          <c:val>
            <c:numRef>
              <c:f>'APERTURA ACCIDENTES'!$E$135:$E$163</c:f>
              <c:numCache>
                <c:formatCode>0.00%</c:formatCode>
                <c:ptCount val="13"/>
                <c:pt idx="0">
                  <c:v>1.1904761904761904E-2</c:v>
                </c:pt>
                <c:pt idx="1">
                  <c:v>7.1090047393364926E-3</c:v>
                </c:pt>
                <c:pt idx="2">
                  <c:v>9.4562647754137114E-3</c:v>
                </c:pt>
                <c:pt idx="3">
                  <c:v>1.4184397163120567E-2</c:v>
                </c:pt>
                <c:pt idx="4">
                  <c:v>2.3696682464454975E-2</c:v>
                </c:pt>
                <c:pt idx="5">
                  <c:v>3.8095238095238099E-2</c:v>
                </c:pt>
                <c:pt idx="6">
                  <c:v>1.8912529550827423E-2</c:v>
                </c:pt>
                <c:pt idx="7">
                  <c:v>1.1764705882352941E-2</c:v>
                </c:pt>
                <c:pt idx="8">
                  <c:v>1.6587677725118485E-2</c:v>
                </c:pt>
                <c:pt idx="9">
                  <c:v>2.8169014084507043E-2</c:v>
                </c:pt>
                <c:pt idx="10">
                  <c:v>4.6838407494145199E-3</c:v>
                </c:pt>
                <c:pt idx="11">
                  <c:v>9.4562647754137114E-3</c:v>
                </c:pt>
                <c:pt idx="12">
                  <c:v>1.4319809069212411E-2</c:v>
                </c:pt>
              </c:numCache>
            </c:numRef>
          </c:val>
          <c:smooth val="0"/>
          <c:extLst>
            <c:ext xmlns:c16="http://schemas.microsoft.com/office/drawing/2014/chart" uri="{C3380CC4-5D6E-409C-BE32-E72D297353CC}">
              <c16:uniqueId val="{00000000-9483-4650-934C-2102C054BAE0}"/>
            </c:ext>
          </c:extLst>
        </c:ser>
        <c:dLbls>
          <c:showLegendKey val="0"/>
          <c:showVal val="0"/>
          <c:showCatName val="0"/>
          <c:showSerName val="0"/>
          <c:showPercent val="0"/>
          <c:showBubbleSize val="0"/>
        </c:dLbls>
        <c:marker val="1"/>
        <c:smooth val="0"/>
        <c:axId val="1344422159"/>
        <c:axId val="1"/>
      </c:lineChart>
      <c:dateAx>
        <c:axId val="1344422159"/>
        <c:scaling>
          <c:orientation val="minMax"/>
        </c:scaling>
        <c:delete val="0"/>
        <c:axPos val="b"/>
        <c:numFmt formatCode="mmm\-yy" sourceLinked="0"/>
        <c:majorTickMark val="none"/>
        <c:minorTickMark val="none"/>
        <c:tickLblPos val="nextTo"/>
        <c:txPr>
          <a:bodyPr rot="0" vert="horz"/>
          <a:lstStyle/>
          <a:p>
            <a:pPr>
              <a:defRPr sz="1000" b="0" i="0" u="none" strike="noStrike" baseline="0">
                <a:solidFill>
                  <a:srgbClr val="000000"/>
                </a:solidFill>
                <a:latin typeface="Calibri"/>
                <a:ea typeface="Calibri"/>
                <a:cs typeface="Calibri"/>
              </a:defRPr>
            </a:pPr>
            <a:endParaRPr lang="es-AR"/>
          </a:p>
        </c:txPr>
        <c:crossAx val="1"/>
        <c:crosses val="autoZero"/>
        <c:auto val="1"/>
        <c:lblOffset val="100"/>
        <c:baseTimeUnit val="months"/>
      </c:dateAx>
      <c:valAx>
        <c:axId val="1"/>
        <c:scaling>
          <c:orientation val="minMax"/>
        </c:scaling>
        <c:delete val="0"/>
        <c:axPos val="l"/>
        <c:majorGridlines/>
        <c:numFmt formatCode="0.00%" sourceLinked="1"/>
        <c:majorTickMark val="none"/>
        <c:minorTickMark val="none"/>
        <c:tickLblPos val="nextTo"/>
        <c:txPr>
          <a:bodyPr rot="0" vert="horz"/>
          <a:lstStyle/>
          <a:p>
            <a:pPr>
              <a:defRPr sz="1000" b="0" i="0" u="none" strike="noStrike" baseline="0">
                <a:solidFill>
                  <a:srgbClr val="000000"/>
                </a:solidFill>
                <a:latin typeface="Calibri"/>
                <a:ea typeface="Calibri"/>
                <a:cs typeface="Calibri"/>
              </a:defRPr>
            </a:pPr>
            <a:endParaRPr lang="es-AR"/>
          </a:p>
        </c:txPr>
        <c:crossAx val="1344422159"/>
        <c:crosses val="autoZero"/>
        <c:crossBetween val="between"/>
      </c:valAx>
    </c:plotArea>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s-AR"/>
    </a:p>
  </c:txPr>
  <c:printSettings>
    <c:headerFooter/>
    <c:pageMargins b="0.74803149606299346" l="0.70866141732283616" r="0.70866141732283616" t="0.74803149606299346" header="0.31496062992126111" footer="0.31496062992126111"/>
    <c:pageSetup paperSize="5" orientation="landscape"/>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_rels/drawing5.xml.rels><?xml version="1.0" encoding="UTF-8" standalone="yes"?>
<Relationships xmlns="http://schemas.openxmlformats.org/package/2006/relationships"><Relationship Id="rId1" Type="http://schemas.openxmlformats.org/officeDocument/2006/relationships/chart" Target="../charts/chart7.xml"/></Relationships>
</file>

<file path=xl/drawings/_rels/drawing6.xml.rels><?xml version="1.0" encoding="UTF-8" standalone="yes"?>
<Relationships xmlns="http://schemas.openxmlformats.org/package/2006/relationships"><Relationship Id="rId1" Type="http://schemas.openxmlformats.org/officeDocument/2006/relationships/chart" Target="../charts/chart8.xml"/></Relationships>
</file>

<file path=xl/drawings/_rels/drawing7.xml.rels><?xml version="1.0" encoding="UTF-8" standalone="yes"?>
<Relationships xmlns="http://schemas.openxmlformats.org/package/2006/relationships"><Relationship Id="rId1"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0</xdr:colOff>
      <xdr:row>1</xdr:row>
      <xdr:rowOff>9525</xdr:rowOff>
    </xdr:from>
    <xdr:to>
      <xdr:col>10</xdr:col>
      <xdr:colOff>104775</xdr:colOff>
      <xdr:row>25</xdr:row>
      <xdr:rowOff>19050</xdr:rowOff>
    </xdr:to>
    <xdr:graphicFrame macro="">
      <xdr:nvGraphicFramePr>
        <xdr:cNvPr id="1091" name="2 Gráfico">
          <a:extLst>
            <a:ext uri="{FF2B5EF4-FFF2-40B4-BE49-F238E27FC236}">
              <a16:creationId xmlns:a16="http://schemas.microsoft.com/office/drawing/2014/main" id="{CDD38E24-F78C-0BEF-B10D-D41012C566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27</xdr:row>
      <xdr:rowOff>85725</xdr:rowOff>
    </xdr:from>
    <xdr:to>
      <xdr:col>15</xdr:col>
      <xdr:colOff>523875</xdr:colOff>
      <xdr:row>66</xdr:row>
      <xdr:rowOff>142875</xdr:rowOff>
    </xdr:to>
    <xdr:graphicFrame macro="">
      <xdr:nvGraphicFramePr>
        <xdr:cNvPr id="1092" name="3 Gráfico">
          <a:extLst>
            <a:ext uri="{FF2B5EF4-FFF2-40B4-BE49-F238E27FC236}">
              <a16:creationId xmlns:a16="http://schemas.microsoft.com/office/drawing/2014/main" id="{AEC3CE39-663C-5260-6090-8CFA5D7E5A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xdr:row>
      <xdr:rowOff>66675</xdr:rowOff>
    </xdr:from>
    <xdr:to>
      <xdr:col>12</xdr:col>
      <xdr:colOff>19050</xdr:colOff>
      <xdr:row>24</xdr:row>
      <xdr:rowOff>47625</xdr:rowOff>
    </xdr:to>
    <xdr:graphicFrame macro="">
      <xdr:nvGraphicFramePr>
        <xdr:cNvPr id="2115" name="2 Gráfico">
          <a:extLst>
            <a:ext uri="{FF2B5EF4-FFF2-40B4-BE49-F238E27FC236}">
              <a16:creationId xmlns:a16="http://schemas.microsoft.com/office/drawing/2014/main" id="{C1387DED-5446-C9CB-F08B-62F301994A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9525</xdr:colOff>
      <xdr:row>26</xdr:row>
      <xdr:rowOff>85725</xdr:rowOff>
    </xdr:from>
    <xdr:to>
      <xdr:col>15</xdr:col>
      <xdr:colOff>752475</xdr:colOff>
      <xdr:row>60</xdr:row>
      <xdr:rowOff>152400</xdr:rowOff>
    </xdr:to>
    <xdr:graphicFrame macro="">
      <xdr:nvGraphicFramePr>
        <xdr:cNvPr id="2116" name="3 Gráfico">
          <a:extLst>
            <a:ext uri="{FF2B5EF4-FFF2-40B4-BE49-F238E27FC236}">
              <a16:creationId xmlns:a16="http://schemas.microsoft.com/office/drawing/2014/main" id="{A6096161-EF23-F2A1-7439-8AC17E60B9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1</xdr:row>
      <xdr:rowOff>9525</xdr:rowOff>
    </xdr:from>
    <xdr:to>
      <xdr:col>17</xdr:col>
      <xdr:colOff>19050</xdr:colOff>
      <xdr:row>56</xdr:row>
      <xdr:rowOff>0</xdr:rowOff>
    </xdr:to>
    <xdr:graphicFrame macro="">
      <xdr:nvGraphicFramePr>
        <xdr:cNvPr id="3106" name="1 Gráfico">
          <a:extLst>
            <a:ext uri="{FF2B5EF4-FFF2-40B4-BE49-F238E27FC236}">
              <a16:creationId xmlns:a16="http://schemas.microsoft.com/office/drawing/2014/main" id="{107027B9-1F53-F8E4-43CD-63C47BB96D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114300</xdr:colOff>
      <xdr:row>1</xdr:row>
      <xdr:rowOff>0</xdr:rowOff>
    </xdr:from>
    <xdr:to>
      <xdr:col>20</xdr:col>
      <xdr:colOff>85725</xdr:colOff>
      <xdr:row>50</xdr:row>
      <xdr:rowOff>28575</xdr:rowOff>
    </xdr:to>
    <xdr:graphicFrame macro="">
      <xdr:nvGraphicFramePr>
        <xdr:cNvPr id="4130" name="7 Gráfico">
          <a:extLst>
            <a:ext uri="{FF2B5EF4-FFF2-40B4-BE49-F238E27FC236}">
              <a16:creationId xmlns:a16="http://schemas.microsoft.com/office/drawing/2014/main" id="{8B4061D2-CEFE-7B0C-6300-553848CC72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1</xdr:row>
      <xdr:rowOff>9525</xdr:rowOff>
    </xdr:from>
    <xdr:to>
      <xdr:col>160</xdr:col>
      <xdr:colOff>257175</xdr:colOff>
      <xdr:row>43</xdr:row>
      <xdr:rowOff>142875</xdr:rowOff>
    </xdr:to>
    <xdr:graphicFrame macro="">
      <xdr:nvGraphicFramePr>
        <xdr:cNvPr id="5306" name="19 Gráfico">
          <a:extLst>
            <a:ext uri="{FF2B5EF4-FFF2-40B4-BE49-F238E27FC236}">
              <a16:creationId xmlns:a16="http://schemas.microsoft.com/office/drawing/2014/main" id="{794EC8C8-507A-CFDE-F05C-6F87C5F021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xdr:col>
      <xdr:colOff>19050</xdr:colOff>
      <xdr:row>164</xdr:row>
      <xdr:rowOff>161925</xdr:rowOff>
    </xdr:from>
    <xdr:to>
      <xdr:col>9</xdr:col>
      <xdr:colOff>552450</xdr:colOff>
      <xdr:row>187</xdr:row>
      <xdr:rowOff>104775</xdr:rowOff>
    </xdr:to>
    <xdr:graphicFrame macro="">
      <xdr:nvGraphicFramePr>
        <xdr:cNvPr id="6178" name="3 Gráfico">
          <a:extLst>
            <a:ext uri="{FF2B5EF4-FFF2-40B4-BE49-F238E27FC236}">
              <a16:creationId xmlns:a16="http://schemas.microsoft.com/office/drawing/2014/main" id="{7F77A6A4-A5EA-A722-7988-5553803080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166</xdr:row>
      <xdr:rowOff>95250</xdr:rowOff>
    </xdr:from>
    <xdr:to>
      <xdr:col>12</xdr:col>
      <xdr:colOff>38100</xdr:colOff>
      <xdr:row>198</xdr:row>
      <xdr:rowOff>0</xdr:rowOff>
    </xdr:to>
    <xdr:graphicFrame macro="">
      <xdr:nvGraphicFramePr>
        <xdr:cNvPr id="7202" name="1 Gráfico">
          <a:extLst>
            <a:ext uri="{FF2B5EF4-FFF2-40B4-BE49-F238E27FC236}">
              <a16:creationId xmlns:a16="http://schemas.microsoft.com/office/drawing/2014/main" id="{CA716A6D-CA83-2E63-5D56-D5B574F659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P30"/>
  <sheetViews>
    <sheetView zoomScale="80" zoomScaleNormal="80" workbookViewId="0">
      <selection activeCell="O20" sqref="O20"/>
    </sheetView>
  </sheetViews>
  <sheetFormatPr baseColWidth="10" defaultRowHeight="12.75" x14ac:dyDescent="0.2"/>
  <cols>
    <col min="1" max="1" width="37.5703125" bestFit="1" customWidth="1"/>
  </cols>
  <sheetData>
    <row r="1" spans="1:10" ht="15.75" x14ac:dyDescent="0.25">
      <c r="A1" s="160" t="s">
        <v>33</v>
      </c>
      <c r="B1" s="160"/>
      <c r="C1" s="160"/>
      <c r="D1" s="160"/>
      <c r="E1" s="160"/>
      <c r="F1" s="160"/>
      <c r="G1" s="160"/>
      <c r="H1" s="160"/>
      <c r="I1" s="160"/>
      <c r="J1" s="160"/>
    </row>
    <row r="3" spans="1:10" hidden="1" x14ac:dyDescent="0.2">
      <c r="A3" s="8" t="s">
        <v>0</v>
      </c>
      <c r="B3" s="3">
        <v>361</v>
      </c>
    </row>
    <row r="5" spans="1:10" hidden="1" x14ac:dyDescent="0.2"/>
    <row r="6" spans="1:10" hidden="1" x14ac:dyDescent="0.2"/>
    <row r="17" spans="1:16" x14ac:dyDescent="0.2">
      <c r="I17" s="10"/>
    </row>
    <row r="27" spans="1:16" ht="15.75" x14ac:dyDescent="0.25">
      <c r="A27" s="160" t="s">
        <v>66</v>
      </c>
      <c r="B27" s="160"/>
      <c r="C27" s="160"/>
      <c r="D27" s="160"/>
      <c r="E27" s="160"/>
      <c r="F27" s="160"/>
      <c r="G27" s="160"/>
      <c r="H27" s="160"/>
      <c r="I27" s="160"/>
      <c r="J27" s="160"/>
      <c r="K27" s="160"/>
      <c r="L27" s="160"/>
      <c r="M27" s="160"/>
      <c r="N27" s="160"/>
      <c r="O27" s="160"/>
      <c r="P27" s="160"/>
    </row>
    <row r="30" spans="1:16" x14ac:dyDescent="0.2">
      <c r="L30" t="s">
        <v>80</v>
      </c>
    </row>
  </sheetData>
  <mergeCells count="2">
    <mergeCell ref="A1:J1"/>
    <mergeCell ref="A27:P27"/>
  </mergeCells>
  <phoneticPr fontId="0" type="noConversion"/>
  <pageMargins left="1.5748031496062993" right="0.74803149606299213" top="0.39370078740157483" bottom="0.39370078740157483" header="0" footer="0"/>
  <pageSetup paperSize="5" orientation="landscape"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P26"/>
  <sheetViews>
    <sheetView zoomScale="75" workbookViewId="0">
      <selection activeCell="O20" sqref="O20"/>
    </sheetView>
  </sheetViews>
  <sheetFormatPr baseColWidth="10" defaultRowHeight="12.75" x14ac:dyDescent="0.2"/>
  <sheetData>
    <row r="1" spans="1:12" ht="24" customHeight="1" x14ac:dyDescent="0.25">
      <c r="A1" s="161" t="s">
        <v>62</v>
      </c>
      <c r="B1" s="161"/>
      <c r="C1" s="161"/>
      <c r="D1" s="161"/>
      <c r="E1" s="161"/>
      <c r="F1" s="161"/>
      <c r="G1" s="161"/>
      <c r="H1" s="161"/>
      <c r="I1" s="161"/>
      <c r="J1" s="161"/>
      <c r="K1" s="161"/>
      <c r="L1" s="161"/>
    </row>
    <row r="26" spans="1:16" ht="21.75" customHeight="1" x14ac:dyDescent="0.25">
      <c r="A26" s="162" t="s">
        <v>72</v>
      </c>
      <c r="B26" s="161"/>
      <c r="C26" s="161"/>
      <c r="D26" s="161"/>
      <c r="E26" s="161"/>
      <c r="F26" s="161"/>
      <c r="G26" s="161"/>
      <c r="H26" s="161"/>
      <c r="I26" s="161"/>
      <c r="J26" s="161"/>
      <c r="K26" s="161"/>
      <c r="L26" s="161"/>
      <c r="M26" s="161"/>
      <c r="N26" s="161"/>
      <c r="O26" s="161"/>
      <c r="P26" s="161"/>
    </row>
  </sheetData>
  <mergeCells count="2">
    <mergeCell ref="A1:L1"/>
    <mergeCell ref="A26:P26"/>
  </mergeCells>
  <phoneticPr fontId="15" type="noConversion"/>
  <pageMargins left="0.70866141732283472" right="0.70866141732283472" top="0.15748031496062992" bottom="0.15748031496062992" header="0.31496062992125984" footer="0.31496062992125984"/>
  <pageSetup paperSize="5"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dimension ref="A1:Q1"/>
  <sheetViews>
    <sheetView zoomScale="70" zoomScaleNormal="70" workbookViewId="0">
      <selection activeCell="R24" sqref="R24"/>
    </sheetView>
  </sheetViews>
  <sheetFormatPr baseColWidth="10" defaultRowHeight="12.75" x14ac:dyDescent="0.2"/>
  <cols>
    <col min="1" max="1" width="32.42578125" bestFit="1" customWidth="1"/>
    <col min="11" max="11" width="7.28515625" customWidth="1"/>
  </cols>
  <sheetData>
    <row r="1" spans="1:17" ht="18" x14ac:dyDescent="0.25">
      <c r="A1" s="163" t="s">
        <v>63</v>
      </c>
      <c r="B1" s="163"/>
      <c r="C1" s="163"/>
      <c r="D1" s="163"/>
      <c r="E1" s="163"/>
      <c r="F1" s="163"/>
      <c r="G1" s="163"/>
      <c r="H1" s="163"/>
      <c r="I1" s="163"/>
      <c r="J1" s="163"/>
      <c r="K1" s="163"/>
      <c r="L1" s="163"/>
      <c r="M1" s="163"/>
      <c r="N1" s="163"/>
      <c r="O1" s="163"/>
      <c r="P1" s="163"/>
      <c r="Q1" s="163"/>
    </row>
  </sheetData>
  <mergeCells count="1">
    <mergeCell ref="A1:Q1"/>
  </mergeCells>
  <phoneticPr fontId="0" type="noConversion"/>
  <pageMargins left="0.78740157480314965" right="0" top="0.98425196850393704" bottom="0.98425196850393704" header="0" footer="0"/>
  <pageSetup paperSize="5" orientation="landscape"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4"/>
  <dimension ref="A1"/>
  <sheetViews>
    <sheetView zoomScale="75" workbookViewId="0">
      <selection activeCell="V10" sqref="V10"/>
    </sheetView>
  </sheetViews>
  <sheetFormatPr baseColWidth="10" defaultRowHeight="12.75" x14ac:dyDescent="0.2"/>
  <sheetData/>
  <phoneticPr fontId="7" type="noConversion"/>
  <pageMargins left="0.75" right="0.75" top="1" bottom="1" header="0" footer="0"/>
  <pageSetup paperSize="5" orientation="landscape"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5"/>
  <dimension ref="A3:FE96"/>
  <sheetViews>
    <sheetView topLeftCell="A50" zoomScale="60" zoomScaleNormal="60" workbookViewId="0">
      <selection activeCell="EQ70" sqref="EQ1:EQ1048576"/>
    </sheetView>
  </sheetViews>
  <sheetFormatPr baseColWidth="10" defaultColWidth="22.5703125" defaultRowHeight="12.75" x14ac:dyDescent="0.2"/>
  <cols>
    <col min="1" max="1" width="70.140625" bestFit="1" customWidth="1"/>
    <col min="2" max="3" width="13.42578125" hidden="1" customWidth="1"/>
    <col min="4" max="4" width="13.7109375" hidden="1" customWidth="1"/>
    <col min="5" max="5" width="15.85546875" hidden="1" customWidth="1"/>
    <col min="6" max="6" width="16.140625" hidden="1" customWidth="1"/>
    <col min="7" max="7" width="15.85546875" hidden="1" customWidth="1"/>
    <col min="8" max="8" width="15.5703125" hidden="1" customWidth="1"/>
    <col min="9" max="9" width="17.5703125" hidden="1" customWidth="1"/>
    <col min="10" max="10" width="15.140625" hidden="1" customWidth="1"/>
    <col min="11" max="11" width="14" hidden="1" customWidth="1"/>
    <col min="12" max="12" width="14.140625" hidden="1" customWidth="1"/>
    <col min="13" max="13" width="12.7109375" hidden="1" customWidth="1"/>
    <col min="14" max="14" width="13.42578125" hidden="1" customWidth="1"/>
    <col min="15" max="15" width="13" hidden="1" customWidth="1"/>
    <col min="16" max="16" width="14.140625" hidden="1" customWidth="1"/>
    <col min="17" max="17" width="15.42578125" hidden="1" customWidth="1"/>
    <col min="18" max="18" width="16.140625" hidden="1" customWidth="1"/>
    <col min="19" max="19" width="15.85546875" hidden="1" customWidth="1"/>
    <col min="20" max="20" width="12.7109375" hidden="1" customWidth="1"/>
    <col min="21" max="21" width="16.140625" hidden="1" customWidth="1"/>
    <col min="22" max="22" width="13.7109375" hidden="1" customWidth="1"/>
    <col min="23" max="23" width="14" hidden="1" customWidth="1"/>
    <col min="24" max="24" width="14.140625" hidden="1" customWidth="1"/>
    <col min="25" max="25" width="12.7109375" hidden="1" customWidth="1"/>
    <col min="26" max="26" width="17" hidden="1" customWidth="1"/>
    <col min="27" max="27" width="13.42578125" hidden="1" customWidth="1"/>
    <col min="28" max="28" width="14.140625" hidden="1" customWidth="1"/>
    <col min="29" max="29" width="15.85546875" hidden="1" customWidth="1"/>
    <col min="30" max="30" width="16.140625" hidden="1" customWidth="1"/>
    <col min="31" max="31" width="15.85546875" hidden="1" customWidth="1"/>
    <col min="32" max="32" width="15.5703125" hidden="1" customWidth="1"/>
    <col min="33" max="33" width="16.140625" hidden="1" customWidth="1"/>
    <col min="34" max="34" width="15.140625" hidden="1" customWidth="1"/>
    <col min="35" max="35" width="14" hidden="1" customWidth="1"/>
    <col min="36" max="36" width="14.140625" hidden="1" customWidth="1"/>
    <col min="37" max="37" width="12.7109375" hidden="1" customWidth="1"/>
    <col min="38" max="39" width="13.42578125" hidden="1" customWidth="1"/>
    <col min="40" max="40" width="14.140625" hidden="1" customWidth="1"/>
    <col min="41" max="41" width="15.85546875" hidden="1" customWidth="1"/>
    <col min="42" max="42" width="16.140625" hidden="1" customWidth="1"/>
    <col min="43" max="43" width="15.85546875" hidden="1" customWidth="1"/>
    <col min="44" max="44" width="15.5703125" hidden="1" customWidth="1"/>
    <col min="45" max="45" width="16.140625" hidden="1" customWidth="1"/>
    <col min="46" max="46" width="15.140625" hidden="1" customWidth="1"/>
    <col min="47" max="47" width="14" hidden="1" customWidth="1"/>
    <col min="48" max="48" width="14.140625" hidden="1" customWidth="1"/>
    <col min="49" max="49" width="12.7109375" hidden="1" customWidth="1"/>
    <col min="50" max="51" width="13" hidden="1" customWidth="1"/>
    <col min="52" max="52" width="13.7109375" hidden="1" customWidth="1"/>
    <col min="53" max="53" width="15.85546875" hidden="1" customWidth="1"/>
    <col min="54" max="54" width="16.140625" hidden="1" customWidth="1"/>
    <col min="55" max="55" width="13.42578125" hidden="1" customWidth="1"/>
    <col min="56" max="56" width="13.28515625" hidden="1" customWidth="1"/>
    <col min="57" max="57" width="16.140625" hidden="1" customWidth="1"/>
    <col min="58" max="58" width="15.140625" hidden="1" customWidth="1"/>
    <col min="59" max="59" width="14" hidden="1" customWidth="1"/>
    <col min="60" max="60" width="14.140625" hidden="1" customWidth="1"/>
    <col min="61" max="61" width="12.7109375" hidden="1" customWidth="1"/>
    <col min="62" max="63" width="13.42578125" hidden="1" customWidth="1"/>
    <col min="64" max="64" width="14.140625" hidden="1" customWidth="1"/>
    <col min="65" max="65" width="15.85546875" hidden="1" customWidth="1"/>
    <col min="66" max="66" width="16.140625" hidden="1" customWidth="1"/>
    <col min="67" max="67" width="15.85546875" hidden="1" customWidth="1"/>
    <col min="68" max="69" width="15.5703125" hidden="1" customWidth="1"/>
    <col min="70" max="70" width="14.7109375" hidden="1" customWidth="1"/>
    <col min="71" max="71" width="13.42578125" hidden="1" customWidth="1"/>
    <col min="72" max="72" width="13.28515625" hidden="1" customWidth="1"/>
    <col min="73" max="73" width="11.85546875" hidden="1" customWidth="1"/>
    <col min="74" max="74" width="16.140625" hidden="1" customWidth="1"/>
    <col min="75" max="75" width="12.5703125" hidden="1" customWidth="1"/>
    <col min="76" max="76" width="13.28515625" hidden="1" customWidth="1"/>
    <col min="77" max="77" width="13" hidden="1" customWidth="1"/>
    <col min="78" max="78" width="13.28515625" hidden="1" customWidth="1"/>
    <col min="79" max="79" width="12.5703125" hidden="1" customWidth="1"/>
    <col min="80" max="80" width="12.28515625" hidden="1" customWidth="1"/>
    <col min="81" max="81" width="15.140625" hidden="1" customWidth="1"/>
    <col min="82" max="82" width="14.140625" hidden="1" customWidth="1"/>
    <col min="83" max="83" width="13" hidden="1" customWidth="1"/>
    <col min="84" max="84" width="13.28515625" hidden="1" customWidth="1"/>
    <col min="85" max="85" width="11.85546875" hidden="1" customWidth="1"/>
    <col min="86" max="87" width="13" hidden="1" customWidth="1"/>
    <col min="88" max="88" width="13.7109375" hidden="1" customWidth="1"/>
    <col min="89" max="89" width="13.42578125" hidden="1" customWidth="1"/>
    <col min="90" max="90" width="13.7109375" hidden="1" customWidth="1"/>
    <col min="91" max="91" width="13" hidden="1" customWidth="1"/>
    <col min="92" max="92" width="12.7109375" hidden="1" customWidth="1"/>
    <col min="93" max="93" width="15.5703125" hidden="1" customWidth="1"/>
    <col min="94" max="94" width="13.28515625" hidden="1" customWidth="1"/>
    <col min="95" max="95" width="13.42578125" hidden="1" customWidth="1"/>
    <col min="96" max="96" width="13.7109375" hidden="1" customWidth="1"/>
    <col min="97" max="97" width="12.28515625" hidden="1" customWidth="1"/>
    <col min="98" max="98" width="12.5703125" hidden="1" customWidth="1"/>
    <col min="99" max="99" width="13" hidden="1" customWidth="1"/>
    <col min="100" max="100" width="13.7109375" hidden="1" customWidth="1"/>
    <col min="101" max="104" width="13.42578125" hidden="1" customWidth="1"/>
    <col min="105" max="135" width="15.140625" hidden="1" customWidth="1"/>
    <col min="136" max="136" width="14.7109375" hidden="1" customWidth="1"/>
    <col min="137" max="137" width="15.42578125" hidden="1" customWidth="1"/>
    <col min="138" max="147" width="15.5703125" hidden="1" customWidth="1"/>
    <col min="148" max="150" width="15.5703125" customWidth="1"/>
    <col min="151" max="152" width="12.28515625" customWidth="1"/>
    <col min="153" max="160" width="14.42578125" customWidth="1"/>
    <col min="161" max="161" width="9.42578125" bestFit="1" customWidth="1"/>
  </cols>
  <sheetData>
    <row r="3" ht="25.5" customHeight="1" x14ac:dyDescent="0.2"/>
    <row r="4" ht="17.25" customHeight="1" x14ac:dyDescent="0.2"/>
    <row r="47" spans="1:1" x14ac:dyDescent="0.2">
      <c r="A47" s="15" t="s">
        <v>67</v>
      </c>
    </row>
    <row r="48" spans="1:1" x14ac:dyDescent="0.2">
      <c r="A48" s="23"/>
    </row>
    <row r="49" spans="1:161" s="24" customFormat="1" ht="15" x14ac:dyDescent="0.2">
      <c r="A49" s="72" t="s">
        <v>243</v>
      </c>
      <c r="B49" s="73" t="s">
        <v>65</v>
      </c>
      <c r="C49" s="73" t="s">
        <v>70</v>
      </c>
      <c r="D49" s="73" t="s">
        <v>71</v>
      </c>
      <c r="E49" s="73" t="s">
        <v>75</v>
      </c>
      <c r="F49" s="73" t="s">
        <v>76</v>
      </c>
      <c r="G49" s="73" t="s">
        <v>77</v>
      </c>
      <c r="H49" s="73" t="s">
        <v>88</v>
      </c>
      <c r="I49" s="73" t="s">
        <v>79</v>
      </c>
      <c r="J49" s="73" t="s">
        <v>81</v>
      </c>
      <c r="K49" s="73" t="s">
        <v>83</v>
      </c>
      <c r="L49" s="73" t="s">
        <v>84</v>
      </c>
      <c r="M49" s="73" t="s">
        <v>85</v>
      </c>
      <c r="N49" s="73" t="s">
        <v>86</v>
      </c>
      <c r="O49" s="73" t="s">
        <v>89</v>
      </c>
      <c r="P49" s="73" t="s">
        <v>90</v>
      </c>
      <c r="Q49" s="73" t="s">
        <v>92</v>
      </c>
      <c r="R49" s="73" t="s">
        <v>94</v>
      </c>
      <c r="S49" s="73" t="s">
        <v>95</v>
      </c>
      <c r="T49" s="73" t="s">
        <v>96</v>
      </c>
      <c r="U49" s="73" t="s">
        <v>142</v>
      </c>
      <c r="V49" s="73" t="s">
        <v>144</v>
      </c>
      <c r="W49" s="73" t="s">
        <v>146</v>
      </c>
      <c r="X49" s="73" t="s">
        <v>148</v>
      </c>
      <c r="Y49" s="73" t="s">
        <v>149</v>
      </c>
      <c r="Z49" s="73" t="s">
        <v>151</v>
      </c>
      <c r="AA49" s="73" t="s">
        <v>152</v>
      </c>
      <c r="AB49" s="73" t="s">
        <v>159</v>
      </c>
      <c r="AC49" s="73" t="s">
        <v>160</v>
      </c>
      <c r="AD49" s="73" t="s">
        <v>161</v>
      </c>
      <c r="AE49" s="73" t="s">
        <v>163</v>
      </c>
      <c r="AF49" s="73" t="s">
        <v>165</v>
      </c>
      <c r="AG49" s="73" t="s">
        <v>166</v>
      </c>
      <c r="AH49" s="73" t="s">
        <v>167</v>
      </c>
      <c r="AI49" s="73" t="s">
        <v>168</v>
      </c>
      <c r="AJ49" s="73" t="s">
        <v>169</v>
      </c>
      <c r="AK49" s="73" t="s">
        <v>170</v>
      </c>
      <c r="AL49" s="73" t="s">
        <v>172</v>
      </c>
      <c r="AM49" s="73" t="s">
        <v>173</v>
      </c>
      <c r="AN49" s="73" t="s">
        <v>175</v>
      </c>
      <c r="AO49" s="73" t="s">
        <v>176</v>
      </c>
      <c r="AP49" s="73" t="s">
        <v>177</v>
      </c>
      <c r="AQ49" s="73" t="s">
        <v>178</v>
      </c>
      <c r="AR49" s="73" t="s">
        <v>180</v>
      </c>
      <c r="AS49" s="73" t="s">
        <v>181</v>
      </c>
      <c r="AT49" s="73" t="s">
        <v>182</v>
      </c>
      <c r="AU49" s="73" t="s">
        <v>183</v>
      </c>
      <c r="AV49" s="73" t="s">
        <v>184</v>
      </c>
      <c r="AW49" s="73" t="s">
        <v>185</v>
      </c>
      <c r="AX49" s="73" t="s">
        <v>190</v>
      </c>
      <c r="AY49" s="73" t="s">
        <v>192</v>
      </c>
      <c r="AZ49" s="73" t="s">
        <v>193</v>
      </c>
      <c r="BA49" s="73" t="s">
        <v>194</v>
      </c>
      <c r="BB49" s="73" t="s">
        <v>196</v>
      </c>
      <c r="BC49" s="73" t="s">
        <v>197</v>
      </c>
      <c r="BD49" s="73" t="s">
        <v>199</v>
      </c>
      <c r="BE49" s="73" t="s">
        <v>200</v>
      </c>
      <c r="BF49" s="73" t="s">
        <v>202</v>
      </c>
      <c r="BG49" s="73" t="s">
        <v>203</v>
      </c>
      <c r="BH49" s="73" t="s">
        <v>204</v>
      </c>
      <c r="BI49" s="73" t="s">
        <v>205</v>
      </c>
      <c r="BJ49" s="73" t="s">
        <v>206</v>
      </c>
      <c r="BK49" s="73" t="s">
        <v>207</v>
      </c>
      <c r="BL49" s="73" t="s">
        <v>208</v>
      </c>
      <c r="BM49" s="73" t="s">
        <v>209</v>
      </c>
      <c r="BN49" s="73" t="s">
        <v>210</v>
      </c>
      <c r="BO49" s="73" t="s">
        <v>211</v>
      </c>
      <c r="BP49" s="73" t="s">
        <v>212</v>
      </c>
      <c r="BQ49" s="73" t="s">
        <v>213</v>
      </c>
      <c r="BR49" s="73" t="s">
        <v>214</v>
      </c>
      <c r="BS49" s="73" t="s">
        <v>215</v>
      </c>
      <c r="BT49" s="73" t="s">
        <v>216</v>
      </c>
      <c r="BU49" s="73" t="s">
        <v>217</v>
      </c>
      <c r="BV49" s="73" t="s">
        <v>219</v>
      </c>
      <c r="BW49" s="73" t="s">
        <v>220</v>
      </c>
      <c r="BX49" s="73" t="s">
        <v>221</v>
      </c>
      <c r="BY49" s="73" t="s">
        <v>222</v>
      </c>
      <c r="BZ49" s="73" t="s">
        <v>223</v>
      </c>
      <c r="CA49" s="73" t="s">
        <v>224</v>
      </c>
      <c r="CB49" s="73" t="s">
        <v>225</v>
      </c>
      <c r="CC49" s="73" t="s">
        <v>227</v>
      </c>
      <c r="CD49" s="73" t="s">
        <v>228</v>
      </c>
      <c r="CE49" s="73" t="s">
        <v>229</v>
      </c>
      <c r="CF49" s="73" t="s">
        <v>230</v>
      </c>
      <c r="CG49" s="73" t="s">
        <v>231</v>
      </c>
      <c r="CH49" s="73" t="s">
        <v>233</v>
      </c>
      <c r="CI49" s="73" t="s">
        <v>235</v>
      </c>
      <c r="CJ49" s="73" t="s">
        <v>236</v>
      </c>
      <c r="CK49" s="73" t="s">
        <v>237</v>
      </c>
      <c r="CL49" s="73" t="s">
        <v>238</v>
      </c>
      <c r="CM49" s="73" t="s">
        <v>239</v>
      </c>
      <c r="CN49" s="73" t="s">
        <v>242</v>
      </c>
      <c r="CO49" s="73" t="s">
        <v>260</v>
      </c>
      <c r="CP49" s="73" t="s">
        <v>261</v>
      </c>
      <c r="CQ49" s="73" t="s">
        <v>263</v>
      </c>
      <c r="CR49" s="73" t="s">
        <v>264</v>
      </c>
      <c r="CS49" s="73" t="s">
        <v>271</v>
      </c>
      <c r="CT49" s="73" t="s">
        <v>272</v>
      </c>
      <c r="CU49" s="73" t="s">
        <v>273</v>
      </c>
      <c r="CV49" s="73" t="s">
        <v>277</v>
      </c>
      <c r="CW49" s="73" t="s">
        <v>279</v>
      </c>
      <c r="CX49" s="73" t="s">
        <v>281</v>
      </c>
      <c r="CY49" s="73" t="s">
        <v>282</v>
      </c>
      <c r="CZ49" s="73" t="s">
        <v>290</v>
      </c>
      <c r="DA49" s="73" t="s">
        <v>293</v>
      </c>
      <c r="DB49" s="73" t="s">
        <v>294</v>
      </c>
      <c r="DC49" s="73" t="s">
        <v>296</v>
      </c>
      <c r="DD49" s="73" t="s">
        <v>300</v>
      </c>
      <c r="DE49" s="73" t="s">
        <v>302</v>
      </c>
      <c r="DF49" s="73" t="s">
        <v>303</v>
      </c>
      <c r="DG49" s="73" t="s">
        <v>308</v>
      </c>
      <c r="DH49" s="73" t="s">
        <v>309</v>
      </c>
      <c r="DI49" s="73" t="s">
        <v>310</v>
      </c>
      <c r="DJ49" s="73" t="s">
        <v>312</v>
      </c>
      <c r="DK49" s="73" t="s">
        <v>313</v>
      </c>
      <c r="DL49" s="73" t="s">
        <v>315</v>
      </c>
      <c r="DM49" s="73" t="s">
        <v>318</v>
      </c>
      <c r="DN49" s="73" t="s">
        <v>320</v>
      </c>
      <c r="DO49" s="73" t="s">
        <v>322</v>
      </c>
      <c r="DP49" s="73" t="s">
        <v>323</v>
      </c>
      <c r="DQ49" s="73" t="s">
        <v>325</v>
      </c>
      <c r="DR49" s="73" t="s">
        <v>326</v>
      </c>
      <c r="DS49" s="73" t="s">
        <v>328</v>
      </c>
      <c r="DT49" s="73" t="s">
        <v>329</v>
      </c>
      <c r="DU49" s="73" t="s">
        <v>331</v>
      </c>
      <c r="DV49" s="73" t="s">
        <v>333</v>
      </c>
      <c r="DW49" s="73" t="s">
        <v>334</v>
      </c>
      <c r="DX49" s="73" t="s">
        <v>335</v>
      </c>
      <c r="DY49" s="73" t="s">
        <v>337</v>
      </c>
      <c r="DZ49" s="73" t="s">
        <v>339</v>
      </c>
      <c r="EA49" s="73" t="s">
        <v>340</v>
      </c>
      <c r="EB49" s="73" t="s">
        <v>342</v>
      </c>
      <c r="EC49" s="73" t="s">
        <v>344</v>
      </c>
      <c r="ED49" s="73" t="s">
        <v>347</v>
      </c>
      <c r="EE49" s="73" t="s">
        <v>353</v>
      </c>
      <c r="EF49" s="73" t="s">
        <v>354</v>
      </c>
      <c r="EG49" s="73" t="s">
        <v>356</v>
      </c>
      <c r="EH49" s="73" t="s">
        <v>357</v>
      </c>
      <c r="EI49" s="73" t="s">
        <v>359</v>
      </c>
      <c r="EJ49" s="73" t="s">
        <v>361</v>
      </c>
      <c r="EK49" s="73" t="s">
        <v>363</v>
      </c>
      <c r="EL49" s="73" t="s">
        <v>365</v>
      </c>
      <c r="EM49" s="73" t="s">
        <v>367</v>
      </c>
      <c r="EN49" s="73" t="s">
        <v>368</v>
      </c>
      <c r="EO49" s="73" t="s">
        <v>370</v>
      </c>
      <c r="EP49" s="73" t="s">
        <v>376</v>
      </c>
      <c r="EQ49" s="73" t="s">
        <v>417</v>
      </c>
      <c r="ER49" s="73" t="s">
        <v>418</v>
      </c>
      <c r="ES49" s="73" t="s">
        <v>420</v>
      </c>
      <c r="ET49" s="73" t="s">
        <v>422</v>
      </c>
      <c r="EU49" s="73" t="s">
        <v>423</v>
      </c>
      <c r="EV49" s="73" t="s">
        <v>425</v>
      </c>
      <c r="EW49" s="73" t="s">
        <v>427</v>
      </c>
      <c r="EX49" s="73" t="s">
        <v>429</v>
      </c>
      <c r="EY49" s="73" t="s">
        <v>433</v>
      </c>
      <c r="EZ49" s="73" t="s">
        <v>434</v>
      </c>
      <c r="FA49" s="73" t="s">
        <v>441</v>
      </c>
      <c r="FB49" s="73" t="s">
        <v>448</v>
      </c>
      <c r="FC49" s="73" t="s">
        <v>450</v>
      </c>
      <c r="FD49" s="73" t="s">
        <v>468</v>
      </c>
      <c r="FE49" s="74" t="s">
        <v>32</v>
      </c>
    </row>
    <row r="50" spans="1:161" s="24" customFormat="1" ht="20.100000000000001" customHeight="1" x14ac:dyDescent="0.2">
      <c r="A50" s="75" t="s">
        <v>275</v>
      </c>
      <c r="B50" s="76">
        <v>6</v>
      </c>
      <c r="C50" s="76">
        <v>2</v>
      </c>
      <c r="D50" s="76">
        <v>5</v>
      </c>
      <c r="E50" s="76">
        <v>3</v>
      </c>
      <c r="F50" s="76">
        <v>3</v>
      </c>
      <c r="G50" s="76">
        <v>0</v>
      </c>
      <c r="H50" s="76">
        <v>3</v>
      </c>
      <c r="I50" s="76">
        <v>1</v>
      </c>
      <c r="J50" s="76">
        <v>1</v>
      </c>
      <c r="K50" s="76">
        <v>1</v>
      </c>
      <c r="L50" s="76">
        <v>1</v>
      </c>
      <c r="M50" s="76">
        <v>3</v>
      </c>
      <c r="N50" s="76">
        <v>4</v>
      </c>
      <c r="O50" s="76">
        <v>3</v>
      </c>
      <c r="P50" s="76">
        <v>3</v>
      </c>
      <c r="Q50" s="76">
        <v>3</v>
      </c>
      <c r="R50" s="76">
        <v>1</v>
      </c>
      <c r="S50" s="76">
        <v>3</v>
      </c>
      <c r="T50" s="76">
        <v>7</v>
      </c>
      <c r="U50" s="76">
        <v>1</v>
      </c>
      <c r="V50" s="76">
        <v>2</v>
      </c>
      <c r="W50" s="76">
        <v>2</v>
      </c>
      <c r="X50" s="76">
        <v>1</v>
      </c>
      <c r="Y50" s="76">
        <v>4</v>
      </c>
      <c r="Z50" s="76">
        <v>3</v>
      </c>
      <c r="AA50" s="76">
        <v>1</v>
      </c>
      <c r="AB50" s="76">
        <v>3</v>
      </c>
      <c r="AC50" s="76">
        <v>1</v>
      </c>
      <c r="AD50" s="76">
        <v>1</v>
      </c>
      <c r="AE50" s="76">
        <v>1</v>
      </c>
      <c r="AF50" s="76">
        <v>0</v>
      </c>
      <c r="AG50" s="76">
        <v>3</v>
      </c>
      <c r="AH50" s="76">
        <v>1</v>
      </c>
      <c r="AI50" s="76">
        <v>2</v>
      </c>
      <c r="AJ50" s="76">
        <v>0</v>
      </c>
      <c r="AK50" s="76">
        <v>1</v>
      </c>
      <c r="AL50" s="76">
        <v>0</v>
      </c>
      <c r="AM50" s="76">
        <v>0</v>
      </c>
      <c r="AN50" s="76">
        <v>0</v>
      </c>
      <c r="AO50" s="76">
        <v>1</v>
      </c>
      <c r="AP50" s="76">
        <v>7</v>
      </c>
      <c r="AQ50" s="76">
        <v>2</v>
      </c>
      <c r="AR50" s="76">
        <v>0</v>
      </c>
      <c r="AS50" s="76">
        <v>0</v>
      </c>
      <c r="AT50" s="76">
        <v>1</v>
      </c>
      <c r="AU50" s="76">
        <v>2</v>
      </c>
      <c r="AV50" s="76">
        <v>3</v>
      </c>
      <c r="AW50" s="76">
        <v>4</v>
      </c>
      <c r="AX50" s="76">
        <v>2</v>
      </c>
      <c r="AY50" s="76">
        <v>1</v>
      </c>
      <c r="AZ50" s="76">
        <v>1</v>
      </c>
      <c r="BA50" s="76">
        <v>0</v>
      </c>
      <c r="BB50" s="76">
        <v>0</v>
      </c>
      <c r="BC50" s="76">
        <v>1</v>
      </c>
      <c r="BD50" s="76">
        <v>1</v>
      </c>
      <c r="BE50" s="76">
        <v>1</v>
      </c>
      <c r="BF50" s="76">
        <v>1</v>
      </c>
      <c r="BG50" s="76">
        <v>1</v>
      </c>
      <c r="BH50" s="76">
        <v>1</v>
      </c>
      <c r="BI50" s="76">
        <v>1</v>
      </c>
      <c r="BJ50" s="76">
        <v>1</v>
      </c>
      <c r="BK50" s="76">
        <v>2</v>
      </c>
      <c r="BL50" s="76">
        <v>3</v>
      </c>
      <c r="BM50" s="76">
        <v>0</v>
      </c>
      <c r="BN50" s="76">
        <v>1</v>
      </c>
      <c r="BO50" s="76">
        <v>0</v>
      </c>
      <c r="BP50" s="76">
        <v>1</v>
      </c>
      <c r="BQ50" s="76">
        <v>1</v>
      </c>
      <c r="BR50" s="76">
        <v>0</v>
      </c>
      <c r="BS50" s="76">
        <v>1</v>
      </c>
      <c r="BT50" s="76">
        <v>2</v>
      </c>
      <c r="BU50" s="76">
        <v>1</v>
      </c>
      <c r="BV50" s="76">
        <v>0</v>
      </c>
      <c r="BW50" s="76">
        <v>0</v>
      </c>
      <c r="BX50" s="76">
        <v>3</v>
      </c>
      <c r="BY50" s="76">
        <v>1</v>
      </c>
      <c r="BZ50" s="76">
        <v>1</v>
      </c>
      <c r="CA50" s="76">
        <v>1</v>
      </c>
      <c r="CB50" s="76">
        <v>0</v>
      </c>
      <c r="CC50" s="76">
        <v>0</v>
      </c>
      <c r="CD50" s="76">
        <v>0</v>
      </c>
      <c r="CE50" s="76">
        <v>1</v>
      </c>
      <c r="CF50" s="76">
        <v>1</v>
      </c>
      <c r="CG50" s="76">
        <v>0</v>
      </c>
      <c r="CH50" s="76">
        <v>1</v>
      </c>
      <c r="CI50" s="76">
        <v>0</v>
      </c>
      <c r="CJ50" s="76">
        <v>1</v>
      </c>
      <c r="CK50" s="76">
        <v>0</v>
      </c>
      <c r="CL50" s="76">
        <v>0</v>
      </c>
      <c r="CM50" s="76">
        <v>0</v>
      </c>
      <c r="CN50" s="76">
        <v>0</v>
      </c>
      <c r="CO50" s="76">
        <v>0</v>
      </c>
      <c r="CP50" s="76">
        <v>0</v>
      </c>
      <c r="CQ50" s="76">
        <v>0</v>
      </c>
      <c r="CR50" s="76">
        <v>0</v>
      </c>
      <c r="CS50" s="76">
        <v>0</v>
      </c>
      <c r="CT50" s="76">
        <v>0</v>
      </c>
      <c r="CU50" s="76">
        <v>0</v>
      </c>
      <c r="CV50" s="76">
        <v>0</v>
      </c>
      <c r="CW50" s="76">
        <v>0</v>
      </c>
      <c r="CX50" s="76">
        <v>0</v>
      </c>
      <c r="CY50" s="76">
        <v>0</v>
      </c>
      <c r="CZ50" s="76">
        <v>0</v>
      </c>
      <c r="DA50" s="76">
        <v>0</v>
      </c>
      <c r="DB50" s="76">
        <v>0</v>
      </c>
      <c r="DC50" s="76">
        <v>0</v>
      </c>
      <c r="DD50" s="76">
        <v>0</v>
      </c>
      <c r="DE50" s="76">
        <v>0</v>
      </c>
      <c r="DF50" s="76">
        <v>0</v>
      </c>
      <c r="DG50" s="76">
        <v>0</v>
      </c>
      <c r="DH50" s="76">
        <v>0</v>
      </c>
      <c r="DI50" s="76">
        <v>0</v>
      </c>
      <c r="DJ50" s="76">
        <v>0</v>
      </c>
      <c r="DK50" s="76">
        <v>0</v>
      </c>
      <c r="DL50" s="76">
        <v>0</v>
      </c>
      <c r="DM50" s="76">
        <v>0</v>
      </c>
      <c r="DN50" s="76">
        <v>0</v>
      </c>
      <c r="DO50" s="76">
        <v>0</v>
      </c>
      <c r="DP50" s="76">
        <v>0</v>
      </c>
      <c r="DQ50" s="76">
        <v>0</v>
      </c>
      <c r="DR50" s="76">
        <v>0</v>
      </c>
      <c r="DS50" s="76">
        <v>0</v>
      </c>
      <c r="DT50" s="76">
        <v>0</v>
      </c>
      <c r="DU50" s="76">
        <v>0</v>
      </c>
      <c r="DV50" s="76">
        <v>0</v>
      </c>
      <c r="DW50" s="76">
        <v>0</v>
      </c>
      <c r="DX50" s="76">
        <v>0</v>
      </c>
      <c r="DY50" s="76">
        <v>0</v>
      </c>
      <c r="DZ50" s="76">
        <v>0</v>
      </c>
      <c r="EA50" s="76">
        <v>0</v>
      </c>
      <c r="EB50" s="76">
        <v>0</v>
      </c>
      <c r="EC50" s="76">
        <v>0</v>
      </c>
      <c r="ED50" s="76">
        <v>0</v>
      </c>
      <c r="EE50" s="76">
        <v>0</v>
      </c>
      <c r="EF50" s="76">
        <v>0</v>
      </c>
      <c r="EG50" s="76">
        <v>0</v>
      </c>
      <c r="EH50" s="76">
        <v>0</v>
      </c>
      <c r="EI50" s="76">
        <v>0</v>
      </c>
      <c r="EJ50" s="76">
        <v>0</v>
      </c>
      <c r="EK50" s="76">
        <v>0</v>
      </c>
      <c r="EL50" s="76">
        <v>0</v>
      </c>
      <c r="EM50" s="76">
        <v>0</v>
      </c>
      <c r="EN50" s="76">
        <v>0</v>
      </c>
      <c r="EO50" s="76">
        <v>0</v>
      </c>
      <c r="EP50" s="76">
        <v>0</v>
      </c>
      <c r="EQ50" s="76">
        <v>0</v>
      </c>
      <c r="ER50" s="76">
        <v>0</v>
      </c>
      <c r="ES50" s="76">
        <v>0</v>
      </c>
      <c r="ET50" s="76">
        <v>0</v>
      </c>
      <c r="EU50" s="76">
        <v>0</v>
      </c>
      <c r="EV50" s="76">
        <v>0</v>
      </c>
      <c r="EW50" s="76">
        <v>0</v>
      </c>
      <c r="EX50" s="76">
        <v>0</v>
      </c>
      <c r="EY50" s="76">
        <v>0</v>
      </c>
      <c r="EZ50" s="76">
        <v>0</v>
      </c>
      <c r="FA50" s="76">
        <v>0</v>
      </c>
      <c r="FB50" s="76">
        <v>0</v>
      </c>
      <c r="FC50" s="76">
        <v>0</v>
      </c>
      <c r="FD50" s="76">
        <v>0</v>
      </c>
      <c r="FE50" s="77">
        <f>SUM(B50:FD50)</f>
        <v>134</v>
      </c>
    </row>
    <row r="51" spans="1:161" s="24" customFormat="1" ht="19.5" customHeight="1" x14ac:dyDescent="0.2">
      <c r="A51" s="75" t="s">
        <v>287</v>
      </c>
      <c r="B51" s="76"/>
      <c r="C51" s="76"/>
      <c r="D51" s="76"/>
      <c r="E51" s="76"/>
      <c r="F51" s="76"/>
      <c r="G51" s="76"/>
      <c r="H51" s="76"/>
      <c r="I51" s="76"/>
      <c r="J51" s="76"/>
      <c r="K51" s="76"/>
      <c r="L51" s="76"/>
      <c r="M51" s="76"/>
      <c r="N51" s="76"/>
      <c r="O51" s="76"/>
      <c r="P51" s="76"/>
      <c r="Q51" s="76"/>
      <c r="R51" s="76"/>
      <c r="S51" s="76"/>
      <c r="T51" s="76"/>
      <c r="U51" s="76"/>
      <c r="V51" s="76"/>
      <c r="W51" s="76"/>
      <c r="X51" s="76"/>
      <c r="Y51" s="76"/>
      <c r="Z51" s="76"/>
      <c r="AA51" s="76"/>
      <c r="AB51" s="76"/>
      <c r="AC51" s="76"/>
      <c r="AD51" s="76"/>
      <c r="AE51" s="76"/>
      <c r="AF51" s="76"/>
      <c r="AG51" s="76"/>
      <c r="AH51" s="76"/>
      <c r="AI51" s="76"/>
      <c r="AJ51" s="76"/>
      <c r="AK51" s="76"/>
      <c r="AL51" s="76"/>
      <c r="AM51" s="76"/>
      <c r="AN51" s="76"/>
      <c r="AO51" s="76"/>
      <c r="AP51" s="76"/>
      <c r="AQ51" s="76"/>
      <c r="AR51" s="76"/>
      <c r="AS51" s="76"/>
      <c r="AT51" s="76"/>
      <c r="AU51" s="76"/>
      <c r="AV51" s="76"/>
      <c r="AW51" s="76"/>
      <c r="AX51" s="76"/>
      <c r="AY51" s="76"/>
      <c r="AZ51" s="76"/>
      <c r="BA51" s="76"/>
      <c r="BB51" s="76"/>
      <c r="BC51" s="76"/>
      <c r="BD51" s="76"/>
      <c r="BE51" s="76"/>
      <c r="BF51" s="76"/>
      <c r="BG51" s="76"/>
      <c r="BH51" s="76"/>
      <c r="BI51" s="76"/>
      <c r="BJ51" s="76"/>
      <c r="BK51" s="76"/>
      <c r="BL51" s="76"/>
      <c r="BM51" s="76"/>
      <c r="BN51" s="76"/>
      <c r="BO51" s="76"/>
      <c r="BP51" s="76"/>
      <c r="BQ51" s="76"/>
      <c r="BR51" s="76"/>
      <c r="BS51" s="76"/>
      <c r="BT51" s="76"/>
      <c r="BU51" s="76"/>
      <c r="BV51" s="76"/>
      <c r="BW51" s="76"/>
      <c r="BX51" s="76"/>
      <c r="BY51" s="76"/>
      <c r="BZ51" s="76"/>
      <c r="CA51" s="76"/>
      <c r="CB51" s="76"/>
      <c r="CC51" s="76"/>
      <c r="CD51" s="76"/>
      <c r="CE51" s="76"/>
      <c r="CF51" s="76"/>
      <c r="CG51" s="76"/>
      <c r="CH51" s="76"/>
      <c r="CI51" s="76"/>
      <c r="CJ51" s="76"/>
      <c r="CK51" s="76"/>
      <c r="CL51" s="76"/>
      <c r="CM51" s="76">
        <v>0</v>
      </c>
      <c r="CN51" s="76">
        <v>0</v>
      </c>
      <c r="CO51" s="76">
        <v>0</v>
      </c>
      <c r="CP51" s="76">
        <v>0</v>
      </c>
      <c r="CQ51" s="76">
        <v>0</v>
      </c>
      <c r="CR51" s="76">
        <v>0</v>
      </c>
      <c r="CS51" s="76">
        <v>0</v>
      </c>
      <c r="CT51" s="76">
        <v>0</v>
      </c>
      <c r="CU51" s="76">
        <v>0</v>
      </c>
      <c r="CV51" s="76">
        <v>0</v>
      </c>
      <c r="CW51" s="76">
        <v>0</v>
      </c>
      <c r="CX51" s="76">
        <v>0</v>
      </c>
      <c r="CY51" s="76">
        <v>0</v>
      </c>
      <c r="CZ51" s="76">
        <v>0</v>
      </c>
      <c r="DA51" s="76">
        <v>1</v>
      </c>
      <c r="DB51" s="76">
        <v>0</v>
      </c>
      <c r="DC51" s="76">
        <v>0</v>
      </c>
      <c r="DD51" s="76">
        <v>0</v>
      </c>
      <c r="DE51" s="76">
        <v>0</v>
      </c>
      <c r="DF51" s="76">
        <v>1</v>
      </c>
      <c r="DG51" s="76">
        <v>1</v>
      </c>
      <c r="DH51" s="76">
        <v>1</v>
      </c>
      <c r="DI51" s="76">
        <v>1</v>
      </c>
      <c r="DJ51" s="76">
        <v>0</v>
      </c>
      <c r="DK51" s="76">
        <v>0</v>
      </c>
      <c r="DL51" s="76">
        <v>1</v>
      </c>
      <c r="DM51" s="76">
        <v>1</v>
      </c>
      <c r="DN51" s="76">
        <v>0</v>
      </c>
      <c r="DO51" s="76">
        <v>0</v>
      </c>
      <c r="DP51" s="76">
        <v>0</v>
      </c>
      <c r="DQ51" s="76">
        <v>0</v>
      </c>
      <c r="DR51" s="76">
        <v>2</v>
      </c>
      <c r="DS51" s="76">
        <v>0</v>
      </c>
      <c r="DT51" s="76">
        <v>1</v>
      </c>
      <c r="DU51" s="76">
        <v>0</v>
      </c>
      <c r="DV51" s="76">
        <v>0</v>
      </c>
      <c r="DW51" s="76">
        <v>0</v>
      </c>
      <c r="DX51" s="76">
        <v>1</v>
      </c>
      <c r="DY51" s="76">
        <v>2</v>
      </c>
      <c r="DZ51" s="76">
        <v>0</v>
      </c>
      <c r="EA51" s="76">
        <v>1</v>
      </c>
      <c r="EB51" s="76">
        <v>0</v>
      </c>
      <c r="EC51" s="76">
        <v>0</v>
      </c>
      <c r="ED51" s="76">
        <v>0</v>
      </c>
      <c r="EE51" s="76">
        <v>0</v>
      </c>
      <c r="EF51" s="76">
        <v>1</v>
      </c>
      <c r="EG51" s="76">
        <v>0</v>
      </c>
      <c r="EH51" s="76">
        <v>0</v>
      </c>
      <c r="EI51" s="76">
        <v>0</v>
      </c>
      <c r="EJ51" s="76">
        <v>0</v>
      </c>
      <c r="EK51" s="76">
        <v>1</v>
      </c>
      <c r="EL51" s="76">
        <v>1</v>
      </c>
      <c r="EM51" s="76">
        <v>0</v>
      </c>
      <c r="EN51" s="76">
        <v>0</v>
      </c>
      <c r="EO51" s="76">
        <v>0</v>
      </c>
      <c r="EP51" s="76">
        <v>0</v>
      </c>
      <c r="EQ51" s="76">
        <v>0</v>
      </c>
      <c r="ER51" s="76">
        <v>0</v>
      </c>
      <c r="ES51" s="76">
        <v>0</v>
      </c>
      <c r="ET51" s="76">
        <v>0</v>
      </c>
      <c r="EU51" s="76">
        <v>0</v>
      </c>
      <c r="EV51" s="76">
        <v>0</v>
      </c>
      <c r="EW51" s="76">
        <v>0</v>
      </c>
      <c r="EX51" s="76">
        <v>0</v>
      </c>
      <c r="EY51" s="76">
        <v>0</v>
      </c>
      <c r="EZ51" s="76">
        <v>0</v>
      </c>
      <c r="FA51" s="76">
        <v>0</v>
      </c>
      <c r="FB51" s="76">
        <v>0</v>
      </c>
      <c r="FC51" s="76">
        <v>0</v>
      </c>
      <c r="FD51" s="76">
        <v>0</v>
      </c>
      <c r="FE51" s="77">
        <f t="shared" ref="FE51:FE91" si="0">SUM(B51:FD51)</f>
        <v>17</v>
      </c>
    </row>
    <row r="52" spans="1:161" s="24" customFormat="1" ht="19.5" customHeight="1" x14ac:dyDescent="0.2">
      <c r="A52" s="75" t="s">
        <v>299</v>
      </c>
      <c r="B52" s="76"/>
      <c r="C52" s="76"/>
      <c r="D52" s="76"/>
      <c r="E52" s="76"/>
      <c r="F52" s="76"/>
      <c r="G52" s="76"/>
      <c r="H52" s="76"/>
      <c r="I52" s="76"/>
      <c r="J52" s="76"/>
      <c r="K52" s="76"/>
      <c r="L52" s="76"/>
      <c r="M52" s="76"/>
      <c r="N52" s="76"/>
      <c r="O52" s="76"/>
      <c r="P52" s="76"/>
      <c r="Q52" s="76"/>
      <c r="R52" s="76"/>
      <c r="S52" s="76"/>
      <c r="T52" s="76"/>
      <c r="U52" s="76"/>
      <c r="V52" s="76"/>
      <c r="W52" s="76"/>
      <c r="X52" s="76"/>
      <c r="Y52" s="76"/>
      <c r="Z52" s="76"/>
      <c r="AA52" s="76"/>
      <c r="AB52" s="76"/>
      <c r="AC52" s="76"/>
      <c r="AD52" s="76"/>
      <c r="AE52" s="76"/>
      <c r="AF52" s="76"/>
      <c r="AG52" s="76"/>
      <c r="AH52" s="76"/>
      <c r="AI52" s="76"/>
      <c r="AJ52" s="76"/>
      <c r="AK52" s="76"/>
      <c r="AL52" s="76"/>
      <c r="AM52" s="76"/>
      <c r="AN52" s="76"/>
      <c r="AO52" s="76"/>
      <c r="AP52" s="76"/>
      <c r="AQ52" s="76"/>
      <c r="AR52" s="76"/>
      <c r="AS52" s="76"/>
      <c r="AT52" s="76"/>
      <c r="AU52" s="76"/>
      <c r="AV52" s="76"/>
      <c r="AW52" s="76"/>
      <c r="AX52" s="76"/>
      <c r="AY52" s="76"/>
      <c r="AZ52" s="76"/>
      <c r="BA52" s="76"/>
      <c r="BB52" s="76"/>
      <c r="BC52" s="76"/>
      <c r="BD52" s="76"/>
      <c r="BE52" s="76"/>
      <c r="BF52" s="76"/>
      <c r="BG52" s="76"/>
      <c r="BH52" s="76"/>
      <c r="BI52" s="76"/>
      <c r="BJ52" s="76"/>
      <c r="BK52" s="76"/>
      <c r="BL52" s="76"/>
      <c r="BM52" s="76"/>
      <c r="BN52" s="76"/>
      <c r="BO52" s="76"/>
      <c r="BP52" s="76"/>
      <c r="BQ52" s="76"/>
      <c r="BR52" s="76"/>
      <c r="BS52" s="76"/>
      <c r="BT52" s="76"/>
      <c r="BU52" s="76"/>
      <c r="BV52" s="76"/>
      <c r="BW52" s="76"/>
      <c r="BX52" s="76"/>
      <c r="BY52" s="76"/>
      <c r="BZ52" s="76"/>
      <c r="CA52" s="76"/>
      <c r="CB52" s="76"/>
      <c r="CC52" s="76"/>
      <c r="CD52" s="76"/>
      <c r="CE52" s="76"/>
      <c r="CF52" s="76"/>
      <c r="CG52" s="76"/>
      <c r="CH52" s="76"/>
      <c r="CI52" s="76"/>
      <c r="CJ52" s="76"/>
      <c r="CK52" s="76"/>
      <c r="CL52" s="76"/>
      <c r="CM52" s="76"/>
      <c r="CN52" s="76"/>
      <c r="CO52" s="76"/>
      <c r="CP52" s="76"/>
      <c r="CQ52" s="76"/>
      <c r="CR52" s="76"/>
      <c r="CS52" s="76"/>
      <c r="CT52" s="76"/>
      <c r="CU52" s="76"/>
      <c r="CV52" s="76"/>
      <c r="CW52" s="76"/>
      <c r="CX52" s="76"/>
      <c r="CY52" s="76"/>
      <c r="CZ52" s="76"/>
      <c r="DA52" s="76"/>
      <c r="DB52" s="76"/>
      <c r="DC52" s="76"/>
      <c r="DD52" s="76"/>
      <c r="DE52" s="76">
        <v>0</v>
      </c>
      <c r="DF52" s="76">
        <v>0</v>
      </c>
      <c r="DG52" s="76">
        <v>0</v>
      </c>
      <c r="DH52" s="76">
        <v>0</v>
      </c>
      <c r="DI52" s="76">
        <v>0</v>
      </c>
      <c r="DJ52" s="76">
        <v>0</v>
      </c>
      <c r="DK52" s="76">
        <v>0</v>
      </c>
      <c r="DL52" s="76">
        <v>0</v>
      </c>
      <c r="DM52" s="76">
        <v>0</v>
      </c>
      <c r="DN52" s="76">
        <v>0</v>
      </c>
      <c r="DO52" s="76">
        <v>0</v>
      </c>
      <c r="DP52" s="76">
        <v>0</v>
      </c>
      <c r="DQ52" s="76">
        <v>1</v>
      </c>
      <c r="DR52" s="76">
        <v>1</v>
      </c>
      <c r="DS52" s="76">
        <v>0</v>
      </c>
      <c r="DT52" s="76">
        <v>0</v>
      </c>
      <c r="DU52" s="76">
        <v>1</v>
      </c>
      <c r="DV52" s="76">
        <v>0</v>
      </c>
      <c r="DW52" s="76">
        <v>1</v>
      </c>
      <c r="DX52" s="76">
        <v>1</v>
      </c>
      <c r="DY52" s="76">
        <v>0</v>
      </c>
      <c r="DZ52" s="76">
        <v>1</v>
      </c>
      <c r="EA52" s="76">
        <v>3</v>
      </c>
      <c r="EB52" s="76">
        <v>0</v>
      </c>
      <c r="EC52" s="76">
        <v>0</v>
      </c>
      <c r="ED52" s="76">
        <v>0</v>
      </c>
      <c r="EE52" s="76">
        <v>0</v>
      </c>
      <c r="EF52" s="76">
        <v>0</v>
      </c>
      <c r="EG52" s="76">
        <v>0</v>
      </c>
      <c r="EH52" s="76">
        <v>0</v>
      </c>
      <c r="EI52" s="76">
        <v>0</v>
      </c>
      <c r="EJ52" s="76">
        <v>0</v>
      </c>
      <c r="EK52" s="76">
        <v>0</v>
      </c>
      <c r="EL52" s="76">
        <v>0</v>
      </c>
      <c r="EM52" s="76">
        <v>0</v>
      </c>
      <c r="EN52" s="76">
        <v>0</v>
      </c>
      <c r="EO52" s="76">
        <v>0</v>
      </c>
      <c r="EP52" s="76">
        <v>0</v>
      </c>
      <c r="EQ52" s="76">
        <v>0</v>
      </c>
      <c r="ER52" s="76">
        <v>0</v>
      </c>
      <c r="ES52" s="76">
        <v>0</v>
      </c>
      <c r="ET52" s="76">
        <v>0</v>
      </c>
      <c r="EU52" s="76">
        <v>0</v>
      </c>
      <c r="EV52" s="76">
        <v>0</v>
      </c>
      <c r="EW52" s="76">
        <v>0</v>
      </c>
      <c r="EX52" s="76">
        <v>0</v>
      </c>
      <c r="EY52" s="76">
        <v>0</v>
      </c>
      <c r="EZ52" s="76">
        <v>0</v>
      </c>
      <c r="FA52" s="76">
        <v>0</v>
      </c>
      <c r="FB52" s="76">
        <v>0</v>
      </c>
      <c r="FC52" s="76">
        <v>0</v>
      </c>
      <c r="FD52" s="76">
        <v>0</v>
      </c>
      <c r="FE52" s="77">
        <f t="shared" si="0"/>
        <v>9</v>
      </c>
    </row>
    <row r="53" spans="1:161" s="24" customFormat="1" ht="19.5" customHeight="1" x14ac:dyDescent="0.2">
      <c r="A53" s="75" t="s">
        <v>60</v>
      </c>
      <c r="B53" s="76">
        <v>2</v>
      </c>
      <c r="C53" s="76">
        <v>2</v>
      </c>
      <c r="D53" s="76">
        <v>1</v>
      </c>
      <c r="E53" s="76">
        <v>2</v>
      </c>
      <c r="F53" s="76">
        <v>5</v>
      </c>
      <c r="G53" s="76">
        <v>1</v>
      </c>
      <c r="H53" s="76">
        <v>3</v>
      </c>
      <c r="I53" s="76">
        <v>1</v>
      </c>
      <c r="J53" s="76">
        <v>2</v>
      </c>
      <c r="K53" s="76">
        <v>2</v>
      </c>
      <c r="L53" s="76">
        <v>5</v>
      </c>
      <c r="M53" s="76">
        <v>5</v>
      </c>
      <c r="N53" s="76">
        <v>6</v>
      </c>
      <c r="O53" s="76">
        <v>2</v>
      </c>
      <c r="P53" s="76">
        <v>0</v>
      </c>
      <c r="Q53" s="76">
        <v>0</v>
      </c>
      <c r="R53" s="76">
        <v>0</v>
      </c>
      <c r="S53" s="76">
        <v>1</v>
      </c>
      <c r="T53" s="76">
        <v>1</v>
      </c>
      <c r="U53" s="76">
        <v>1</v>
      </c>
      <c r="V53" s="76">
        <v>1</v>
      </c>
      <c r="W53" s="76">
        <v>0</v>
      </c>
      <c r="X53" s="76">
        <v>4</v>
      </c>
      <c r="Y53" s="76">
        <v>0</v>
      </c>
      <c r="Z53" s="76">
        <v>1</v>
      </c>
      <c r="AA53" s="76">
        <v>0</v>
      </c>
      <c r="AB53" s="76">
        <v>2</v>
      </c>
      <c r="AC53" s="76">
        <v>0</v>
      </c>
      <c r="AD53" s="76">
        <v>2</v>
      </c>
      <c r="AE53" s="76">
        <v>1</v>
      </c>
      <c r="AF53" s="76">
        <v>0</v>
      </c>
      <c r="AG53" s="76">
        <v>2</v>
      </c>
      <c r="AH53" s="76">
        <v>2</v>
      </c>
      <c r="AI53" s="76">
        <v>1</v>
      </c>
      <c r="AJ53" s="76">
        <v>0</v>
      </c>
      <c r="AK53" s="76">
        <v>0</v>
      </c>
      <c r="AL53" s="76">
        <v>2</v>
      </c>
      <c r="AM53" s="76">
        <v>1</v>
      </c>
      <c r="AN53" s="76">
        <v>0</v>
      </c>
      <c r="AO53" s="76">
        <v>2</v>
      </c>
      <c r="AP53" s="76">
        <v>2</v>
      </c>
      <c r="AQ53" s="76">
        <v>1</v>
      </c>
      <c r="AR53" s="76">
        <v>1</v>
      </c>
      <c r="AS53" s="76">
        <v>1</v>
      </c>
      <c r="AT53" s="76">
        <v>4</v>
      </c>
      <c r="AU53" s="76">
        <v>2</v>
      </c>
      <c r="AV53" s="76">
        <v>3</v>
      </c>
      <c r="AW53" s="76">
        <v>0</v>
      </c>
      <c r="AX53" s="76">
        <v>5</v>
      </c>
      <c r="AY53" s="76">
        <v>0</v>
      </c>
      <c r="AZ53" s="76">
        <v>2</v>
      </c>
      <c r="BA53" s="76">
        <v>1</v>
      </c>
      <c r="BB53" s="76">
        <v>2</v>
      </c>
      <c r="BC53" s="76">
        <v>1</v>
      </c>
      <c r="BD53" s="76">
        <v>0</v>
      </c>
      <c r="BE53" s="76">
        <v>1</v>
      </c>
      <c r="BF53" s="76">
        <v>6</v>
      </c>
      <c r="BG53" s="76">
        <v>0</v>
      </c>
      <c r="BH53" s="76">
        <v>2</v>
      </c>
      <c r="BI53" s="76">
        <v>1</v>
      </c>
      <c r="BJ53" s="76">
        <v>0</v>
      </c>
      <c r="BK53" s="76">
        <v>0</v>
      </c>
      <c r="BL53" s="76">
        <v>0</v>
      </c>
      <c r="BM53" s="76">
        <v>1</v>
      </c>
      <c r="BN53" s="76">
        <v>1</v>
      </c>
      <c r="BO53" s="76">
        <v>0</v>
      </c>
      <c r="BP53" s="76">
        <v>2</v>
      </c>
      <c r="BQ53" s="76">
        <v>0</v>
      </c>
      <c r="BR53" s="76">
        <v>0</v>
      </c>
      <c r="BS53" s="76">
        <v>1</v>
      </c>
      <c r="BT53" s="76">
        <v>0</v>
      </c>
      <c r="BU53" s="76">
        <v>0</v>
      </c>
      <c r="BV53" s="76">
        <v>0</v>
      </c>
      <c r="BW53" s="76">
        <v>0</v>
      </c>
      <c r="BX53" s="76">
        <v>1</v>
      </c>
      <c r="BY53" s="76">
        <v>1</v>
      </c>
      <c r="BZ53" s="76">
        <v>3</v>
      </c>
      <c r="CA53" s="76">
        <v>1</v>
      </c>
      <c r="CB53" s="76">
        <v>3</v>
      </c>
      <c r="CC53" s="76">
        <v>1</v>
      </c>
      <c r="CD53" s="76">
        <v>1</v>
      </c>
      <c r="CE53" s="76">
        <v>0</v>
      </c>
      <c r="CF53" s="76">
        <v>1</v>
      </c>
      <c r="CG53" s="76">
        <v>0</v>
      </c>
      <c r="CH53" s="76">
        <v>0</v>
      </c>
      <c r="CI53" s="76">
        <v>0</v>
      </c>
      <c r="CJ53" s="76">
        <v>0</v>
      </c>
      <c r="CK53" s="76">
        <v>0</v>
      </c>
      <c r="CL53" s="76">
        <v>0</v>
      </c>
      <c r="CM53" s="76">
        <v>0</v>
      </c>
      <c r="CN53" s="76">
        <v>0</v>
      </c>
      <c r="CO53" s="76">
        <v>0</v>
      </c>
      <c r="CP53" s="76">
        <v>0</v>
      </c>
      <c r="CQ53" s="76">
        <v>1</v>
      </c>
      <c r="CR53" s="76">
        <v>0</v>
      </c>
      <c r="CS53" s="76">
        <v>0</v>
      </c>
      <c r="CT53" s="76">
        <v>1</v>
      </c>
      <c r="CU53" s="76">
        <v>0</v>
      </c>
      <c r="CV53" s="76">
        <v>1</v>
      </c>
      <c r="CW53" s="76">
        <v>8</v>
      </c>
      <c r="CX53" s="76">
        <v>4</v>
      </c>
      <c r="CY53" s="76">
        <v>2</v>
      </c>
      <c r="CZ53" s="76">
        <v>0</v>
      </c>
      <c r="DA53" s="76">
        <v>1</v>
      </c>
      <c r="DB53" s="76">
        <v>0</v>
      </c>
      <c r="DC53" s="76">
        <v>1</v>
      </c>
      <c r="DD53" s="76">
        <v>0</v>
      </c>
      <c r="DE53" s="76">
        <v>1</v>
      </c>
      <c r="DF53" s="76">
        <v>0</v>
      </c>
      <c r="DG53" s="76">
        <v>2</v>
      </c>
      <c r="DH53" s="76">
        <v>2</v>
      </c>
      <c r="DI53" s="76">
        <v>2</v>
      </c>
      <c r="DJ53" s="76">
        <v>0</v>
      </c>
      <c r="DK53" s="76">
        <v>2</v>
      </c>
      <c r="DL53" s="76">
        <v>0</v>
      </c>
      <c r="DM53" s="76">
        <v>1</v>
      </c>
      <c r="DN53" s="76">
        <v>1</v>
      </c>
      <c r="DO53" s="76">
        <v>0</v>
      </c>
      <c r="DP53" s="76">
        <v>0</v>
      </c>
      <c r="DQ53" s="76">
        <v>0</v>
      </c>
      <c r="DR53" s="76">
        <v>1</v>
      </c>
      <c r="DS53" s="76">
        <v>0</v>
      </c>
      <c r="DT53" s="76">
        <v>1</v>
      </c>
      <c r="DU53" s="76">
        <v>1</v>
      </c>
      <c r="DV53" s="76">
        <v>0</v>
      </c>
      <c r="DW53" s="76">
        <v>0</v>
      </c>
      <c r="DX53" s="76">
        <v>2</v>
      </c>
      <c r="DY53" s="76">
        <v>2</v>
      </c>
      <c r="DZ53" s="76">
        <v>0</v>
      </c>
      <c r="EA53" s="76">
        <v>0</v>
      </c>
      <c r="EB53" s="76">
        <v>1</v>
      </c>
      <c r="EC53" s="76">
        <v>0</v>
      </c>
      <c r="ED53" s="76">
        <v>0</v>
      </c>
      <c r="EE53" s="76">
        <v>0</v>
      </c>
      <c r="EF53" s="76">
        <v>1</v>
      </c>
      <c r="EG53" s="76">
        <v>0</v>
      </c>
      <c r="EH53" s="76">
        <v>0</v>
      </c>
      <c r="EI53" s="76">
        <v>1</v>
      </c>
      <c r="EJ53" s="76">
        <v>0</v>
      </c>
      <c r="EK53" s="76">
        <v>3</v>
      </c>
      <c r="EL53" s="76">
        <v>0</v>
      </c>
      <c r="EM53" s="76">
        <v>1</v>
      </c>
      <c r="EN53" s="76">
        <v>2</v>
      </c>
      <c r="EO53" s="76">
        <v>1</v>
      </c>
      <c r="EP53" s="76">
        <v>0</v>
      </c>
      <c r="EQ53" s="76">
        <v>0</v>
      </c>
      <c r="ER53" s="76">
        <v>0</v>
      </c>
      <c r="ES53" s="76">
        <v>0</v>
      </c>
      <c r="ET53" s="76">
        <v>0</v>
      </c>
      <c r="EU53" s="76">
        <v>0</v>
      </c>
      <c r="EV53" s="76">
        <v>0</v>
      </c>
      <c r="EW53" s="76">
        <v>0</v>
      </c>
      <c r="EX53" s="76">
        <v>0</v>
      </c>
      <c r="EY53" s="76">
        <v>0</v>
      </c>
      <c r="EZ53" s="76">
        <v>0</v>
      </c>
      <c r="FA53" s="76">
        <v>0</v>
      </c>
      <c r="FB53" s="76">
        <v>0</v>
      </c>
      <c r="FC53" s="76">
        <v>0</v>
      </c>
      <c r="FD53" s="76">
        <v>0</v>
      </c>
      <c r="FE53" s="77">
        <f t="shared" si="0"/>
        <v>162</v>
      </c>
    </row>
    <row r="54" spans="1:161" s="24" customFormat="1" ht="19.5" customHeight="1" x14ac:dyDescent="0.25">
      <c r="A54" s="153" t="s">
        <v>377</v>
      </c>
      <c r="B54" s="76"/>
      <c r="C54" s="76"/>
      <c r="D54" s="76"/>
      <c r="E54" s="76"/>
      <c r="F54" s="76"/>
      <c r="G54" s="76"/>
      <c r="H54" s="76"/>
      <c r="I54" s="76"/>
      <c r="J54" s="76"/>
      <c r="K54" s="76"/>
      <c r="L54" s="76"/>
      <c r="M54" s="76"/>
      <c r="N54" s="76"/>
      <c r="O54" s="76"/>
      <c r="P54" s="76"/>
      <c r="Q54" s="76"/>
      <c r="R54" s="76"/>
      <c r="S54" s="76"/>
      <c r="T54" s="76"/>
      <c r="U54" s="76"/>
      <c r="V54" s="76"/>
      <c r="W54" s="76"/>
      <c r="X54" s="76"/>
      <c r="Y54" s="76"/>
      <c r="Z54" s="76"/>
      <c r="AA54" s="76"/>
      <c r="AB54" s="76"/>
      <c r="AC54" s="76"/>
      <c r="AD54" s="76"/>
      <c r="AE54" s="76"/>
      <c r="AF54" s="76"/>
      <c r="AG54" s="76"/>
      <c r="AH54" s="76"/>
      <c r="AI54" s="76"/>
      <c r="AJ54" s="76"/>
      <c r="AK54" s="76"/>
      <c r="AL54" s="76"/>
      <c r="AM54" s="76"/>
      <c r="AN54" s="76"/>
      <c r="AO54" s="76"/>
      <c r="AP54" s="76"/>
      <c r="AQ54" s="76"/>
      <c r="AR54" s="76"/>
      <c r="AS54" s="76"/>
      <c r="AT54" s="76"/>
      <c r="AU54" s="76"/>
      <c r="AV54" s="76"/>
      <c r="AW54" s="76"/>
      <c r="AX54" s="76"/>
      <c r="AY54" s="76"/>
      <c r="AZ54" s="76"/>
      <c r="BA54" s="76"/>
      <c r="BB54" s="76"/>
      <c r="BC54" s="76"/>
      <c r="BD54" s="76"/>
      <c r="BE54" s="76"/>
      <c r="BF54" s="76"/>
      <c r="BG54" s="76"/>
      <c r="BH54" s="76"/>
      <c r="BI54" s="76"/>
      <c r="BJ54" s="76"/>
      <c r="BK54" s="76"/>
      <c r="BL54" s="76"/>
      <c r="BM54" s="76"/>
      <c r="BN54" s="76"/>
      <c r="BO54" s="76"/>
      <c r="BP54" s="76"/>
      <c r="BQ54" s="76"/>
      <c r="BR54" s="76"/>
      <c r="BS54" s="76"/>
      <c r="BT54" s="76"/>
      <c r="BU54" s="76"/>
      <c r="BV54" s="76"/>
      <c r="BW54" s="76"/>
      <c r="BX54" s="76"/>
      <c r="BY54" s="76"/>
      <c r="BZ54" s="76"/>
      <c r="CA54" s="76"/>
      <c r="CB54" s="76"/>
      <c r="CC54" s="76"/>
      <c r="CD54" s="76"/>
      <c r="CE54" s="76"/>
      <c r="CF54" s="76"/>
      <c r="CG54" s="76"/>
      <c r="CH54" s="76"/>
      <c r="CI54" s="76"/>
      <c r="CJ54" s="76"/>
      <c r="CK54" s="76"/>
      <c r="CL54" s="76"/>
      <c r="CM54" s="76"/>
      <c r="CN54" s="76"/>
      <c r="CO54" s="76"/>
      <c r="CP54" s="76"/>
      <c r="CQ54" s="76"/>
      <c r="CR54" s="76"/>
      <c r="CS54" s="76"/>
      <c r="CT54" s="76"/>
      <c r="CU54" s="76"/>
      <c r="CV54" s="76"/>
      <c r="CW54" s="76"/>
      <c r="CX54" s="76"/>
      <c r="CY54" s="76"/>
      <c r="CZ54" s="76"/>
      <c r="DA54" s="76"/>
      <c r="DB54" s="76"/>
      <c r="DC54" s="76"/>
      <c r="DD54" s="76"/>
      <c r="DE54" s="76"/>
      <c r="DF54" s="76"/>
      <c r="DG54" s="76"/>
      <c r="DH54" s="76"/>
      <c r="DI54" s="76"/>
      <c r="DJ54" s="76"/>
      <c r="DK54" s="76"/>
      <c r="DL54" s="76"/>
      <c r="DM54" s="76"/>
      <c r="DN54" s="76"/>
      <c r="DO54" s="76"/>
      <c r="DP54" s="76"/>
      <c r="DQ54" s="76"/>
      <c r="DR54" s="76"/>
      <c r="DS54" s="76"/>
      <c r="DT54" s="76"/>
      <c r="DU54" s="76"/>
      <c r="DV54" s="76"/>
      <c r="DW54" s="76"/>
      <c r="DX54" s="76"/>
      <c r="DY54" s="76"/>
      <c r="DZ54" s="76"/>
      <c r="EA54" s="76"/>
      <c r="EB54" s="76"/>
      <c r="EC54" s="76"/>
      <c r="ED54" s="76">
        <v>0</v>
      </c>
      <c r="EE54" s="76">
        <v>0</v>
      </c>
      <c r="EF54" s="76">
        <v>0</v>
      </c>
      <c r="EG54" s="76">
        <v>0</v>
      </c>
      <c r="EH54" s="76">
        <v>0</v>
      </c>
      <c r="EI54" s="76">
        <v>0</v>
      </c>
      <c r="EJ54" s="76">
        <v>0</v>
      </c>
      <c r="EK54" s="76">
        <v>0</v>
      </c>
      <c r="EL54" s="76">
        <v>0</v>
      </c>
      <c r="EM54" s="76">
        <v>0</v>
      </c>
      <c r="EN54" s="76">
        <v>0</v>
      </c>
      <c r="EO54" s="76">
        <v>0</v>
      </c>
      <c r="EP54" s="76">
        <v>1</v>
      </c>
      <c r="EQ54" s="76">
        <v>1</v>
      </c>
      <c r="ER54" s="76">
        <v>1</v>
      </c>
      <c r="ES54" s="76">
        <v>0</v>
      </c>
      <c r="ET54" s="76">
        <v>1</v>
      </c>
      <c r="EU54" s="76">
        <v>5</v>
      </c>
      <c r="EV54" s="76">
        <v>5</v>
      </c>
      <c r="EW54" s="76">
        <v>8</v>
      </c>
      <c r="EX54" s="76">
        <v>1</v>
      </c>
      <c r="EY54" s="76">
        <v>1</v>
      </c>
      <c r="EZ54" s="76">
        <v>1</v>
      </c>
      <c r="FA54" s="76">
        <v>3</v>
      </c>
      <c r="FB54" s="76">
        <v>0</v>
      </c>
      <c r="FC54" s="76">
        <v>0</v>
      </c>
      <c r="FD54" s="76">
        <v>2</v>
      </c>
      <c r="FE54" s="77">
        <f t="shared" si="0"/>
        <v>30</v>
      </c>
    </row>
    <row r="55" spans="1:161" s="24" customFormat="1" ht="20.100000000000001" customHeight="1" x14ac:dyDescent="0.25">
      <c r="A55" s="153" t="s">
        <v>388</v>
      </c>
      <c r="B55" s="76">
        <v>0</v>
      </c>
      <c r="C55" s="76">
        <v>0</v>
      </c>
      <c r="D55" s="76">
        <v>0</v>
      </c>
      <c r="E55" s="76">
        <v>0</v>
      </c>
      <c r="F55" s="76">
        <v>0</v>
      </c>
      <c r="G55" s="76">
        <v>1</v>
      </c>
      <c r="H55" s="76">
        <v>0</v>
      </c>
      <c r="I55" s="76">
        <v>0</v>
      </c>
      <c r="J55" s="76">
        <v>0</v>
      </c>
      <c r="K55" s="76">
        <v>0</v>
      </c>
      <c r="L55" s="76">
        <v>0</v>
      </c>
      <c r="M55" s="76">
        <v>0</v>
      </c>
      <c r="N55" s="76">
        <v>0</v>
      </c>
      <c r="O55" s="76">
        <v>0</v>
      </c>
      <c r="P55" s="76">
        <v>0</v>
      </c>
      <c r="Q55" s="76">
        <v>0</v>
      </c>
      <c r="R55" s="76">
        <v>0</v>
      </c>
      <c r="S55" s="76">
        <v>1</v>
      </c>
      <c r="T55" s="76">
        <v>0</v>
      </c>
      <c r="U55" s="76">
        <v>0</v>
      </c>
      <c r="V55" s="76">
        <v>0</v>
      </c>
      <c r="W55" s="76">
        <v>0</v>
      </c>
      <c r="X55" s="76">
        <v>2</v>
      </c>
      <c r="Y55" s="76">
        <v>0</v>
      </c>
      <c r="Z55" s="76">
        <v>0</v>
      </c>
      <c r="AA55" s="76">
        <v>0</v>
      </c>
      <c r="AB55" s="76">
        <v>1</v>
      </c>
      <c r="AC55" s="76">
        <v>1</v>
      </c>
      <c r="AD55" s="76">
        <v>0</v>
      </c>
      <c r="AE55" s="76">
        <v>2</v>
      </c>
      <c r="AF55" s="76">
        <v>0</v>
      </c>
      <c r="AG55" s="76">
        <v>0</v>
      </c>
      <c r="AH55" s="76">
        <v>0</v>
      </c>
      <c r="AI55" s="76">
        <v>0</v>
      </c>
      <c r="AJ55" s="76">
        <v>0</v>
      </c>
      <c r="AK55" s="76">
        <v>0</v>
      </c>
      <c r="AL55" s="76">
        <v>0</v>
      </c>
      <c r="AM55" s="76">
        <v>0</v>
      </c>
      <c r="AN55" s="76">
        <v>0</v>
      </c>
      <c r="AO55" s="76">
        <v>0</v>
      </c>
      <c r="AP55" s="76">
        <v>0</v>
      </c>
      <c r="AQ55" s="76">
        <v>0</v>
      </c>
      <c r="AR55" s="76">
        <v>0</v>
      </c>
      <c r="AS55" s="76">
        <v>0</v>
      </c>
      <c r="AT55" s="76">
        <v>0</v>
      </c>
      <c r="AU55" s="76">
        <v>0</v>
      </c>
      <c r="AV55" s="76">
        <v>0</v>
      </c>
      <c r="AW55" s="76">
        <v>0</v>
      </c>
      <c r="AX55" s="76">
        <v>0</v>
      </c>
      <c r="AY55" s="76">
        <v>0</v>
      </c>
      <c r="AZ55" s="76">
        <v>0</v>
      </c>
      <c r="BA55" s="76">
        <v>0</v>
      </c>
      <c r="BB55" s="76">
        <v>0</v>
      </c>
      <c r="BC55" s="76">
        <v>1</v>
      </c>
      <c r="BD55" s="76">
        <v>0</v>
      </c>
      <c r="BE55" s="76">
        <v>0</v>
      </c>
      <c r="BF55" s="76">
        <v>0</v>
      </c>
      <c r="BG55" s="76">
        <v>0</v>
      </c>
      <c r="BH55" s="76">
        <v>1</v>
      </c>
      <c r="BI55" s="76">
        <v>0</v>
      </c>
      <c r="BJ55" s="76">
        <v>0</v>
      </c>
      <c r="BK55" s="76">
        <v>0</v>
      </c>
      <c r="BL55" s="76">
        <v>1</v>
      </c>
      <c r="BM55" s="76">
        <v>0</v>
      </c>
      <c r="BN55" s="76">
        <v>1</v>
      </c>
      <c r="BO55" s="76">
        <v>0</v>
      </c>
      <c r="BP55" s="76">
        <v>0</v>
      </c>
      <c r="BQ55" s="76">
        <v>0</v>
      </c>
      <c r="BR55" s="76">
        <v>0</v>
      </c>
      <c r="BS55" s="76">
        <v>0</v>
      </c>
      <c r="BT55" s="76">
        <v>1</v>
      </c>
      <c r="BU55" s="76">
        <v>0</v>
      </c>
      <c r="BV55" s="76">
        <v>0</v>
      </c>
      <c r="BW55" s="76">
        <v>0</v>
      </c>
      <c r="BX55" s="76">
        <v>0</v>
      </c>
      <c r="BY55" s="76">
        <v>0</v>
      </c>
      <c r="BZ55" s="76">
        <v>0</v>
      </c>
      <c r="CA55" s="76">
        <v>0</v>
      </c>
      <c r="CB55" s="76">
        <v>0</v>
      </c>
      <c r="CC55" s="76">
        <v>0</v>
      </c>
      <c r="CD55" s="76">
        <v>0</v>
      </c>
      <c r="CE55" s="76">
        <v>1</v>
      </c>
      <c r="CF55" s="76">
        <v>0</v>
      </c>
      <c r="CG55" s="76">
        <v>0</v>
      </c>
      <c r="CH55" s="76">
        <v>0</v>
      </c>
      <c r="CI55" s="76">
        <v>0</v>
      </c>
      <c r="CJ55" s="76">
        <v>0</v>
      </c>
      <c r="CK55" s="76">
        <v>0</v>
      </c>
      <c r="CL55" s="76">
        <v>0</v>
      </c>
      <c r="CM55" s="76">
        <v>0</v>
      </c>
      <c r="CN55" s="76">
        <v>0</v>
      </c>
      <c r="CO55" s="76">
        <v>0</v>
      </c>
      <c r="CP55" s="76">
        <v>0</v>
      </c>
      <c r="CQ55" s="76">
        <v>0</v>
      </c>
      <c r="CR55" s="76">
        <v>0</v>
      </c>
      <c r="CS55" s="76">
        <v>0</v>
      </c>
      <c r="CT55" s="76">
        <v>0</v>
      </c>
      <c r="CU55" s="76">
        <v>0</v>
      </c>
      <c r="CV55" s="76">
        <v>2</v>
      </c>
      <c r="CW55" s="76">
        <v>1</v>
      </c>
      <c r="CX55" s="76">
        <v>1</v>
      </c>
      <c r="CY55" s="76">
        <v>0</v>
      </c>
      <c r="CZ55" s="76">
        <v>0</v>
      </c>
      <c r="DA55" s="76">
        <v>0</v>
      </c>
      <c r="DB55" s="76">
        <v>0</v>
      </c>
      <c r="DC55" s="76">
        <v>0</v>
      </c>
      <c r="DD55" s="76">
        <v>0</v>
      </c>
      <c r="DE55" s="76">
        <v>0</v>
      </c>
      <c r="DF55" s="76">
        <v>0</v>
      </c>
      <c r="DG55" s="76">
        <v>0</v>
      </c>
      <c r="DH55" s="76">
        <v>2</v>
      </c>
      <c r="DI55" s="76">
        <v>0</v>
      </c>
      <c r="DJ55" s="76">
        <v>0</v>
      </c>
      <c r="DK55" s="76">
        <v>0</v>
      </c>
      <c r="DL55" s="76">
        <v>0</v>
      </c>
      <c r="DM55" s="76">
        <v>0</v>
      </c>
      <c r="DN55" s="76">
        <v>0</v>
      </c>
      <c r="DO55" s="76">
        <v>0</v>
      </c>
      <c r="DP55" s="76">
        <v>0</v>
      </c>
      <c r="DQ55" s="76">
        <v>0</v>
      </c>
      <c r="DR55" s="76">
        <v>1</v>
      </c>
      <c r="DS55" s="76">
        <v>0</v>
      </c>
      <c r="DT55" s="76">
        <v>0</v>
      </c>
      <c r="DU55" s="76">
        <v>0</v>
      </c>
      <c r="DV55" s="76">
        <v>0</v>
      </c>
      <c r="DW55" s="76">
        <v>0</v>
      </c>
      <c r="DX55" s="76">
        <v>0</v>
      </c>
      <c r="DY55" s="76">
        <v>0</v>
      </c>
      <c r="DZ55" s="76">
        <v>0</v>
      </c>
      <c r="EA55" s="76">
        <v>0</v>
      </c>
      <c r="EB55" s="76">
        <v>0</v>
      </c>
      <c r="EC55" s="76">
        <v>0</v>
      </c>
      <c r="ED55" s="76">
        <v>0</v>
      </c>
      <c r="EE55" s="76">
        <v>0</v>
      </c>
      <c r="EF55" s="76">
        <v>0</v>
      </c>
      <c r="EG55" s="76">
        <v>0</v>
      </c>
      <c r="EH55" s="76">
        <v>0</v>
      </c>
      <c r="EI55" s="76">
        <v>0</v>
      </c>
      <c r="EJ55" s="76">
        <v>0</v>
      </c>
      <c r="EK55" s="76">
        <v>1</v>
      </c>
      <c r="EL55" s="76">
        <v>0</v>
      </c>
      <c r="EM55" s="76">
        <v>0</v>
      </c>
      <c r="EN55" s="76">
        <v>0</v>
      </c>
      <c r="EO55" s="76">
        <v>0</v>
      </c>
      <c r="EP55" s="76">
        <v>0</v>
      </c>
      <c r="EQ55" s="76">
        <v>2</v>
      </c>
      <c r="ER55" s="76">
        <v>1</v>
      </c>
      <c r="ES55" s="76">
        <v>0</v>
      </c>
      <c r="ET55" s="76">
        <v>0</v>
      </c>
      <c r="EU55" s="76">
        <v>0</v>
      </c>
      <c r="EV55" s="76">
        <v>0</v>
      </c>
      <c r="EW55" s="76">
        <v>1</v>
      </c>
      <c r="EX55" s="76">
        <v>0</v>
      </c>
      <c r="EY55" s="76">
        <v>0</v>
      </c>
      <c r="EZ55" s="76">
        <v>1</v>
      </c>
      <c r="FA55" s="76">
        <v>0</v>
      </c>
      <c r="FB55" s="76">
        <v>1</v>
      </c>
      <c r="FC55" s="76">
        <v>1</v>
      </c>
      <c r="FD55" s="76">
        <v>1</v>
      </c>
      <c r="FE55" s="77">
        <f t="shared" si="0"/>
        <v>30</v>
      </c>
    </row>
    <row r="56" spans="1:161" s="24" customFormat="1" ht="19.5" customHeight="1" x14ac:dyDescent="0.2">
      <c r="A56" s="75" t="s">
        <v>284</v>
      </c>
      <c r="B56" s="76"/>
      <c r="C56" s="76"/>
      <c r="D56" s="76"/>
      <c r="E56" s="76"/>
      <c r="F56" s="76"/>
      <c r="G56" s="76"/>
      <c r="H56" s="76"/>
      <c r="I56" s="76"/>
      <c r="J56" s="76"/>
      <c r="K56" s="76"/>
      <c r="L56" s="76"/>
      <c r="M56" s="76"/>
      <c r="N56" s="76"/>
      <c r="O56" s="76"/>
      <c r="P56" s="76"/>
      <c r="Q56" s="76"/>
      <c r="R56" s="76"/>
      <c r="S56" s="76"/>
      <c r="T56" s="76"/>
      <c r="U56" s="76"/>
      <c r="V56" s="76"/>
      <c r="W56" s="76"/>
      <c r="X56" s="76"/>
      <c r="Y56" s="76"/>
      <c r="Z56" s="76"/>
      <c r="AA56" s="76"/>
      <c r="AB56" s="76"/>
      <c r="AC56" s="76"/>
      <c r="AD56" s="76"/>
      <c r="AE56" s="76"/>
      <c r="AF56" s="76"/>
      <c r="AG56" s="76"/>
      <c r="AH56" s="76"/>
      <c r="AI56" s="76"/>
      <c r="AJ56" s="76"/>
      <c r="AK56" s="76"/>
      <c r="AL56" s="76"/>
      <c r="AM56" s="76"/>
      <c r="AN56" s="76"/>
      <c r="AO56" s="76"/>
      <c r="AP56" s="76"/>
      <c r="AQ56" s="76"/>
      <c r="AR56" s="76"/>
      <c r="AS56" s="76"/>
      <c r="AT56" s="76"/>
      <c r="AU56" s="76"/>
      <c r="AV56" s="76"/>
      <c r="AW56" s="76"/>
      <c r="AX56" s="76"/>
      <c r="AY56" s="76"/>
      <c r="AZ56" s="76"/>
      <c r="BA56" s="76"/>
      <c r="BB56" s="76"/>
      <c r="BC56" s="76"/>
      <c r="BD56" s="76"/>
      <c r="BE56" s="76"/>
      <c r="BF56" s="76"/>
      <c r="BG56" s="76"/>
      <c r="BH56" s="76"/>
      <c r="BI56" s="76"/>
      <c r="BJ56" s="76"/>
      <c r="BK56" s="76"/>
      <c r="BL56" s="76"/>
      <c r="BM56" s="76"/>
      <c r="BN56" s="76"/>
      <c r="BO56" s="76"/>
      <c r="BP56" s="76"/>
      <c r="BQ56" s="76"/>
      <c r="BR56" s="76"/>
      <c r="BS56" s="76"/>
      <c r="BT56" s="76"/>
      <c r="BU56" s="76"/>
      <c r="BV56" s="76"/>
      <c r="BW56" s="76"/>
      <c r="BX56" s="76"/>
      <c r="BY56" s="76"/>
      <c r="BZ56" s="76"/>
      <c r="CA56" s="76"/>
      <c r="CB56" s="76"/>
      <c r="CC56" s="76"/>
      <c r="CD56" s="76"/>
      <c r="CE56" s="76"/>
      <c r="CF56" s="76"/>
      <c r="CG56" s="76"/>
      <c r="CH56" s="76"/>
      <c r="CI56" s="76"/>
      <c r="CJ56" s="76"/>
      <c r="CK56" s="76"/>
      <c r="CL56" s="76"/>
      <c r="CM56" s="76">
        <v>0</v>
      </c>
      <c r="CN56" s="76">
        <v>0</v>
      </c>
      <c r="CO56" s="76">
        <v>0</v>
      </c>
      <c r="CP56" s="76">
        <v>0</v>
      </c>
      <c r="CQ56" s="76">
        <v>0</v>
      </c>
      <c r="CR56" s="76">
        <v>0</v>
      </c>
      <c r="CS56" s="76">
        <v>0</v>
      </c>
      <c r="CT56" s="76">
        <v>0</v>
      </c>
      <c r="CU56" s="76">
        <v>0</v>
      </c>
      <c r="CV56" s="76">
        <v>0</v>
      </c>
      <c r="CW56" s="76">
        <v>0</v>
      </c>
      <c r="CX56" s="76">
        <v>0</v>
      </c>
      <c r="CY56" s="76">
        <v>1</v>
      </c>
      <c r="CZ56" s="76">
        <v>0</v>
      </c>
      <c r="DA56" s="76">
        <v>0</v>
      </c>
      <c r="DB56" s="76">
        <v>0</v>
      </c>
      <c r="DC56" s="76">
        <v>1</v>
      </c>
      <c r="DD56" s="76">
        <v>0</v>
      </c>
      <c r="DE56" s="76">
        <v>1</v>
      </c>
      <c r="DF56" s="76">
        <v>0</v>
      </c>
      <c r="DG56" s="76">
        <v>1</v>
      </c>
      <c r="DH56" s="76">
        <v>2</v>
      </c>
      <c r="DI56" s="76">
        <v>1</v>
      </c>
      <c r="DJ56" s="76">
        <v>0</v>
      </c>
      <c r="DK56" s="76">
        <v>0</v>
      </c>
      <c r="DL56" s="76">
        <v>0</v>
      </c>
      <c r="DM56" s="76">
        <v>0</v>
      </c>
      <c r="DN56" s="76">
        <v>1</v>
      </c>
      <c r="DO56" s="76">
        <v>1</v>
      </c>
      <c r="DP56" s="76">
        <v>1</v>
      </c>
      <c r="DQ56" s="76">
        <v>0</v>
      </c>
      <c r="DR56" s="76">
        <v>0</v>
      </c>
      <c r="DS56" s="76">
        <v>0</v>
      </c>
      <c r="DT56" s="76">
        <v>0</v>
      </c>
      <c r="DU56" s="76">
        <v>0</v>
      </c>
      <c r="DV56" s="76">
        <v>0</v>
      </c>
      <c r="DW56" s="76">
        <v>0</v>
      </c>
      <c r="DX56" s="76">
        <v>0</v>
      </c>
      <c r="DY56" s="76">
        <v>0</v>
      </c>
      <c r="DZ56" s="76">
        <v>0</v>
      </c>
      <c r="EA56" s="76">
        <v>1</v>
      </c>
      <c r="EB56" s="76">
        <v>0</v>
      </c>
      <c r="EC56" s="76">
        <v>0</v>
      </c>
      <c r="ED56" s="76">
        <v>0</v>
      </c>
      <c r="EE56" s="76">
        <v>0</v>
      </c>
      <c r="EF56" s="76">
        <v>0</v>
      </c>
      <c r="EG56" s="76">
        <v>0</v>
      </c>
      <c r="EH56" s="76">
        <v>0</v>
      </c>
      <c r="EI56" s="76">
        <v>0</v>
      </c>
      <c r="EJ56" s="76">
        <v>0</v>
      </c>
      <c r="EK56" s="76">
        <v>0</v>
      </c>
      <c r="EL56" s="76">
        <v>0</v>
      </c>
      <c r="EM56" s="76">
        <v>0</v>
      </c>
      <c r="EN56" s="76">
        <v>0</v>
      </c>
      <c r="EO56" s="76">
        <v>0</v>
      </c>
      <c r="EP56" s="76">
        <v>0</v>
      </c>
      <c r="EQ56" s="76">
        <v>0</v>
      </c>
      <c r="ER56" s="76">
        <v>0</v>
      </c>
      <c r="ES56" s="76">
        <v>0</v>
      </c>
      <c r="ET56" s="76">
        <v>0</v>
      </c>
      <c r="EU56" s="76">
        <v>0</v>
      </c>
      <c r="EV56" s="76">
        <v>0</v>
      </c>
      <c r="EW56" s="76">
        <v>0</v>
      </c>
      <c r="EX56" s="76">
        <v>0</v>
      </c>
      <c r="EY56" s="76">
        <v>0</v>
      </c>
      <c r="EZ56" s="76">
        <v>0</v>
      </c>
      <c r="FA56" s="76">
        <v>0</v>
      </c>
      <c r="FB56" s="76">
        <v>0</v>
      </c>
      <c r="FC56" s="76">
        <v>0</v>
      </c>
      <c r="FD56" s="76">
        <v>0</v>
      </c>
      <c r="FE56" s="77">
        <f t="shared" si="0"/>
        <v>11</v>
      </c>
    </row>
    <row r="57" spans="1:161" s="24" customFormat="1" ht="20.100000000000001" customHeight="1" x14ac:dyDescent="0.25">
      <c r="A57" s="153" t="s">
        <v>379</v>
      </c>
      <c r="B57" s="76">
        <v>0</v>
      </c>
      <c r="C57" s="76">
        <v>1</v>
      </c>
      <c r="D57" s="76">
        <v>2</v>
      </c>
      <c r="E57" s="76">
        <v>0</v>
      </c>
      <c r="F57" s="76">
        <v>1</v>
      </c>
      <c r="G57" s="76">
        <v>3</v>
      </c>
      <c r="H57" s="76">
        <v>0</v>
      </c>
      <c r="I57" s="76">
        <v>1</v>
      </c>
      <c r="J57" s="76">
        <v>0</v>
      </c>
      <c r="K57" s="76">
        <v>0</v>
      </c>
      <c r="L57" s="76">
        <v>0</v>
      </c>
      <c r="M57" s="76">
        <v>0</v>
      </c>
      <c r="N57" s="76">
        <v>1</v>
      </c>
      <c r="O57" s="76">
        <v>0</v>
      </c>
      <c r="P57" s="76">
        <v>0</v>
      </c>
      <c r="Q57" s="76">
        <v>0</v>
      </c>
      <c r="R57" s="76">
        <v>0</v>
      </c>
      <c r="S57" s="76">
        <v>0</v>
      </c>
      <c r="T57" s="76">
        <v>0</v>
      </c>
      <c r="U57" s="76">
        <v>0</v>
      </c>
      <c r="V57" s="76">
        <v>0</v>
      </c>
      <c r="W57" s="76">
        <v>0</v>
      </c>
      <c r="X57" s="76">
        <v>0</v>
      </c>
      <c r="Y57" s="76">
        <v>0</v>
      </c>
      <c r="Z57" s="76">
        <v>2</v>
      </c>
      <c r="AA57" s="76">
        <v>0</v>
      </c>
      <c r="AB57" s="76">
        <v>1</v>
      </c>
      <c r="AC57" s="76">
        <v>0</v>
      </c>
      <c r="AD57" s="76">
        <v>0</v>
      </c>
      <c r="AE57" s="76">
        <v>0</v>
      </c>
      <c r="AF57" s="76">
        <v>0</v>
      </c>
      <c r="AG57" s="76">
        <v>1</v>
      </c>
      <c r="AH57" s="76">
        <v>1</v>
      </c>
      <c r="AI57" s="76">
        <v>0</v>
      </c>
      <c r="AJ57" s="76">
        <v>0</v>
      </c>
      <c r="AK57" s="76">
        <v>0</v>
      </c>
      <c r="AL57" s="76">
        <v>1</v>
      </c>
      <c r="AM57" s="76">
        <v>1</v>
      </c>
      <c r="AN57" s="76">
        <v>0</v>
      </c>
      <c r="AO57" s="76">
        <v>0</v>
      </c>
      <c r="AP57" s="76">
        <v>0</v>
      </c>
      <c r="AQ57" s="76">
        <v>0</v>
      </c>
      <c r="AR57" s="76">
        <v>0</v>
      </c>
      <c r="AS57" s="76">
        <v>1</v>
      </c>
      <c r="AT57" s="76">
        <v>0</v>
      </c>
      <c r="AU57" s="76">
        <v>1</v>
      </c>
      <c r="AV57" s="76">
        <v>1</v>
      </c>
      <c r="AW57" s="76">
        <v>0</v>
      </c>
      <c r="AX57" s="76">
        <v>0</v>
      </c>
      <c r="AY57" s="76">
        <v>0</v>
      </c>
      <c r="AZ57" s="76">
        <v>0</v>
      </c>
      <c r="BA57" s="76">
        <v>0</v>
      </c>
      <c r="BB57" s="76">
        <v>0</v>
      </c>
      <c r="BC57" s="76">
        <v>2</v>
      </c>
      <c r="BD57" s="76">
        <v>0</v>
      </c>
      <c r="BE57" s="76">
        <v>0</v>
      </c>
      <c r="BF57" s="76">
        <v>0</v>
      </c>
      <c r="BG57" s="76">
        <v>0</v>
      </c>
      <c r="BH57" s="76">
        <v>2</v>
      </c>
      <c r="BI57" s="76">
        <v>0</v>
      </c>
      <c r="BJ57" s="76">
        <v>0</v>
      </c>
      <c r="BK57" s="76">
        <v>0</v>
      </c>
      <c r="BL57" s="76">
        <v>0</v>
      </c>
      <c r="BM57" s="76">
        <v>0</v>
      </c>
      <c r="BN57" s="76">
        <v>0</v>
      </c>
      <c r="BO57" s="76">
        <v>0</v>
      </c>
      <c r="BP57" s="76">
        <v>0</v>
      </c>
      <c r="BQ57" s="76">
        <v>1</v>
      </c>
      <c r="BR57" s="76">
        <v>0</v>
      </c>
      <c r="BS57" s="76">
        <v>1</v>
      </c>
      <c r="BT57" s="76">
        <v>0</v>
      </c>
      <c r="BU57" s="76">
        <v>0</v>
      </c>
      <c r="BV57" s="76">
        <v>0</v>
      </c>
      <c r="BW57" s="76">
        <v>1</v>
      </c>
      <c r="BX57" s="76">
        <v>0</v>
      </c>
      <c r="BY57" s="76">
        <v>0</v>
      </c>
      <c r="BZ57" s="76">
        <v>0</v>
      </c>
      <c r="CA57" s="76">
        <v>0</v>
      </c>
      <c r="CB57" s="76">
        <v>1</v>
      </c>
      <c r="CC57" s="76">
        <v>0</v>
      </c>
      <c r="CD57" s="76">
        <v>0</v>
      </c>
      <c r="CE57" s="76">
        <v>1</v>
      </c>
      <c r="CF57" s="76">
        <v>1</v>
      </c>
      <c r="CG57" s="76">
        <v>0</v>
      </c>
      <c r="CH57" s="76">
        <v>0</v>
      </c>
      <c r="CI57" s="76">
        <v>0</v>
      </c>
      <c r="CJ57" s="76">
        <v>0</v>
      </c>
      <c r="CK57" s="76">
        <v>0</v>
      </c>
      <c r="CL57" s="76">
        <v>0</v>
      </c>
      <c r="CM57" s="76">
        <v>1</v>
      </c>
      <c r="CN57" s="76">
        <v>1</v>
      </c>
      <c r="CO57" s="76">
        <v>0</v>
      </c>
      <c r="CP57" s="76">
        <v>1</v>
      </c>
      <c r="CQ57" s="76">
        <v>1</v>
      </c>
      <c r="CR57" s="76">
        <v>0</v>
      </c>
      <c r="CS57" s="76">
        <v>0</v>
      </c>
      <c r="CT57" s="76">
        <v>0</v>
      </c>
      <c r="CU57" s="76">
        <v>0</v>
      </c>
      <c r="CV57" s="76">
        <v>0</v>
      </c>
      <c r="CW57" s="76">
        <v>5</v>
      </c>
      <c r="CX57" s="76">
        <v>0</v>
      </c>
      <c r="CY57" s="76">
        <v>0</v>
      </c>
      <c r="CZ57" s="76">
        <v>1</v>
      </c>
      <c r="DA57" s="76">
        <v>0</v>
      </c>
      <c r="DB57" s="76">
        <v>0</v>
      </c>
      <c r="DC57" s="76">
        <v>0</v>
      </c>
      <c r="DD57" s="76">
        <v>0</v>
      </c>
      <c r="DE57" s="76">
        <v>0</v>
      </c>
      <c r="DF57" s="76">
        <v>0</v>
      </c>
      <c r="DG57" s="76">
        <v>0</v>
      </c>
      <c r="DH57" s="76">
        <v>0</v>
      </c>
      <c r="DI57" s="76">
        <v>0</v>
      </c>
      <c r="DJ57" s="76">
        <v>0</v>
      </c>
      <c r="DK57" s="76">
        <v>0</v>
      </c>
      <c r="DL57" s="76">
        <v>0</v>
      </c>
      <c r="DM57" s="76">
        <v>0</v>
      </c>
      <c r="DN57" s="76">
        <v>0</v>
      </c>
      <c r="DO57" s="76">
        <v>1</v>
      </c>
      <c r="DP57" s="76">
        <v>0</v>
      </c>
      <c r="DQ57" s="76">
        <v>1</v>
      </c>
      <c r="DR57" s="76">
        <v>0</v>
      </c>
      <c r="DS57" s="76">
        <v>0</v>
      </c>
      <c r="DT57" s="76">
        <v>1</v>
      </c>
      <c r="DU57" s="76">
        <v>1</v>
      </c>
      <c r="DV57" s="76">
        <v>0</v>
      </c>
      <c r="DW57" s="76">
        <v>0</v>
      </c>
      <c r="DX57" s="76">
        <v>0</v>
      </c>
      <c r="DY57" s="76">
        <v>0</v>
      </c>
      <c r="DZ57" s="76">
        <v>0</v>
      </c>
      <c r="EA57" s="76">
        <v>0</v>
      </c>
      <c r="EB57" s="76">
        <v>0</v>
      </c>
      <c r="EC57" s="76">
        <v>1</v>
      </c>
      <c r="ED57" s="76">
        <v>2</v>
      </c>
      <c r="EE57" s="76">
        <v>0</v>
      </c>
      <c r="EF57" s="76">
        <v>0</v>
      </c>
      <c r="EG57" s="76">
        <v>0</v>
      </c>
      <c r="EH57" s="76">
        <v>0</v>
      </c>
      <c r="EI57" s="76">
        <v>0</v>
      </c>
      <c r="EJ57" s="76">
        <v>0</v>
      </c>
      <c r="EK57" s="76">
        <v>0</v>
      </c>
      <c r="EL57" s="76">
        <v>0</v>
      </c>
      <c r="EM57" s="76">
        <v>0</v>
      </c>
      <c r="EN57" s="76">
        <v>0</v>
      </c>
      <c r="EO57" s="76">
        <v>0</v>
      </c>
      <c r="EP57" s="76">
        <v>0</v>
      </c>
      <c r="EQ57" s="76">
        <v>0</v>
      </c>
      <c r="ER57" s="76">
        <v>0</v>
      </c>
      <c r="ES57" s="76">
        <v>0</v>
      </c>
      <c r="ET57" s="76">
        <v>0</v>
      </c>
      <c r="EU57" s="76">
        <v>0</v>
      </c>
      <c r="EV57" s="76">
        <v>0</v>
      </c>
      <c r="EW57" s="76">
        <v>0</v>
      </c>
      <c r="EX57" s="76">
        <v>1</v>
      </c>
      <c r="EY57" s="76">
        <v>0</v>
      </c>
      <c r="EZ57" s="76">
        <v>0</v>
      </c>
      <c r="FA57" s="76">
        <v>0</v>
      </c>
      <c r="FB57" s="76">
        <v>0</v>
      </c>
      <c r="FC57" s="76">
        <v>0</v>
      </c>
      <c r="FD57" s="76">
        <v>0</v>
      </c>
      <c r="FE57" s="77">
        <f t="shared" si="0"/>
        <v>47</v>
      </c>
    </row>
    <row r="58" spans="1:161" s="24" customFormat="1" ht="20.100000000000001" customHeight="1" x14ac:dyDescent="0.25">
      <c r="A58" s="153" t="s">
        <v>8</v>
      </c>
      <c r="B58" s="76">
        <v>0</v>
      </c>
      <c r="C58" s="76">
        <v>0</v>
      </c>
      <c r="D58" s="76">
        <v>1</v>
      </c>
      <c r="E58" s="76">
        <v>1</v>
      </c>
      <c r="F58" s="76">
        <v>0</v>
      </c>
      <c r="G58" s="76">
        <v>2</v>
      </c>
      <c r="H58" s="76">
        <v>0</v>
      </c>
      <c r="I58" s="76">
        <v>1</v>
      </c>
      <c r="J58" s="76">
        <v>0</v>
      </c>
      <c r="K58" s="76">
        <v>0</v>
      </c>
      <c r="L58" s="76">
        <v>1</v>
      </c>
      <c r="M58" s="76">
        <v>0</v>
      </c>
      <c r="N58" s="76">
        <v>0</v>
      </c>
      <c r="O58" s="76">
        <v>1</v>
      </c>
      <c r="P58" s="76">
        <v>0</v>
      </c>
      <c r="Q58" s="76">
        <v>0</v>
      </c>
      <c r="R58" s="76">
        <v>0</v>
      </c>
      <c r="S58" s="76">
        <v>0</v>
      </c>
      <c r="T58" s="76">
        <v>0</v>
      </c>
      <c r="U58" s="76">
        <v>0</v>
      </c>
      <c r="V58" s="76">
        <v>0</v>
      </c>
      <c r="W58" s="76">
        <v>0</v>
      </c>
      <c r="X58" s="76">
        <v>0</v>
      </c>
      <c r="Y58" s="76">
        <v>1</v>
      </c>
      <c r="Z58" s="76">
        <v>0</v>
      </c>
      <c r="AA58" s="76">
        <v>0</v>
      </c>
      <c r="AB58" s="76">
        <v>0</v>
      </c>
      <c r="AC58" s="76">
        <v>1</v>
      </c>
      <c r="AD58" s="76">
        <v>0</v>
      </c>
      <c r="AE58" s="76">
        <v>0</v>
      </c>
      <c r="AF58" s="76">
        <v>0</v>
      </c>
      <c r="AG58" s="76">
        <v>0</v>
      </c>
      <c r="AH58" s="76">
        <v>0</v>
      </c>
      <c r="AI58" s="76">
        <v>0</v>
      </c>
      <c r="AJ58" s="76">
        <v>1</v>
      </c>
      <c r="AK58" s="76">
        <v>0</v>
      </c>
      <c r="AL58" s="76">
        <v>0</v>
      </c>
      <c r="AM58" s="76">
        <v>0</v>
      </c>
      <c r="AN58" s="76">
        <v>0</v>
      </c>
      <c r="AO58" s="76">
        <v>0</v>
      </c>
      <c r="AP58" s="76">
        <v>0</v>
      </c>
      <c r="AQ58" s="76">
        <v>0</v>
      </c>
      <c r="AR58" s="76">
        <v>0</v>
      </c>
      <c r="AS58" s="76">
        <v>0</v>
      </c>
      <c r="AT58" s="76">
        <v>1</v>
      </c>
      <c r="AU58" s="76">
        <v>1</v>
      </c>
      <c r="AV58" s="76">
        <v>0</v>
      </c>
      <c r="AW58" s="76">
        <v>0</v>
      </c>
      <c r="AX58" s="76">
        <v>1</v>
      </c>
      <c r="AY58" s="76">
        <v>1</v>
      </c>
      <c r="AZ58" s="76">
        <v>0</v>
      </c>
      <c r="BA58" s="76">
        <v>0</v>
      </c>
      <c r="BB58" s="76">
        <v>1</v>
      </c>
      <c r="BC58" s="76">
        <v>0</v>
      </c>
      <c r="BD58" s="76">
        <v>1</v>
      </c>
      <c r="BE58" s="76">
        <v>0</v>
      </c>
      <c r="BF58" s="76">
        <v>1</v>
      </c>
      <c r="BG58" s="76">
        <v>0</v>
      </c>
      <c r="BH58" s="76">
        <v>0</v>
      </c>
      <c r="BI58" s="76">
        <v>0</v>
      </c>
      <c r="BJ58" s="76">
        <v>0</v>
      </c>
      <c r="BK58" s="76">
        <v>0</v>
      </c>
      <c r="BL58" s="76">
        <v>0</v>
      </c>
      <c r="BM58" s="76">
        <v>1</v>
      </c>
      <c r="BN58" s="76">
        <v>0</v>
      </c>
      <c r="BO58" s="76">
        <v>0</v>
      </c>
      <c r="BP58" s="76">
        <v>0</v>
      </c>
      <c r="BQ58" s="76">
        <v>0</v>
      </c>
      <c r="BR58" s="76">
        <v>0</v>
      </c>
      <c r="BS58" s="76">
        <v>0</v>
      </c>
      <c r="BT58" s="76">
        <v>0</v>
      </c>
      <c r="BU58" s="76">
        <v>0</v>
      </c>
      <c r="BV58" s="76">
        <v>0</v>
      </c>
      <c r="BW58" s="76">
        <v>0</v>
      </c>
      <c r="BX58" s="76">
        <v>0</v>
      </c>
      <c r="BY58" s="76">
        <v>0</v>
      </c>
      <c r="BZ58" s="76">
        <v>0</v>
      </c>
      <c r="CA58" s="76">
        <v>0</v>
      </c>
      <c r="CB58" s="76">
        <v>0</v>
      </c>
      <c r="CC58" s="76">
        <v>0</v>
      </c>
      <c r="CD58" s="76">
        <v>0</v>
      </c>
      <c r="CE58" s="76">
        <v>0</v>
      </c>
      <c r="CF58" s="76">
        <v>0</v>
      </c>
      <c r="CG58" s="76">
        <v>0</v>
      </c>
      <c r="CH58" s="76">
        <v>0</v>
      </c>
      <c r="CI58" s="76">
        <v>0</v>
      </c>
      <c r="CJ58" s="76">
        <v>0</v>
      </c>
      <c r="CK58" s="76">
        <v>0</v>
      </c>
      <c r="CL58" s="76">
        <v>0</v>
      </c>
      <c r="CM58" s="76">
        <v>0</v>
      </c>
      <c r="CN58" s="76">
        <v>0</v>
      </c>
      <c r="CO58" s="76">
        <v>0</v>
      </c>
      <c r="CP58" s="76">
        <v>0</v>
      </c>
      <c r="CQ58" s="76">
        <v>0</v>
      </c>
      <c r="CR58" s="76">
        <v>0</v>
      </c>
      <c r="CS58" s="76">
        <v>0</v>
      </c>
      <c r="CT58" s="76">
        <v>0</v>
      </c>
      <c r="CU58" s="76">
        <v>0</v>
      </c>
      <c r="CV58" s="76">
        <v>0</v>
      </c>
      <c r="CW58" s="76">
        <v>1</v>
      </c>
      <c r="CX58" s="76">
        <v>0</v>
      </c>
      <c r="CY58" s="76">
        <v>0</v>
      </c>
      <c r="CZ58" s="76">
        <v>1</v>
      </c>
      <c r="DA58" s="76">
        <v>1</v>
      </c>
      <c r="DB58" s="76">
        <v>0</v>
      </c>
      <c r="DC58" s="76">
        <v>0</v>
      </c>
      <c r="DD58" s="76">
        <v>0</v>
      </c>
      <c r="DE58" s="76">
        <v>0</v>
      </c>
      <c r="DF58" s="76">
        <v>0</v>
      </c>
      <c r="DG58" s="76">
        <v>0</v>
      </c>
      <c r="DH58" s="76">
        <v>0</v>
      </c>
      <c r="DI58" s="76">
        <v>0</v>
      </c>
      <c r="DJ58" s="76">
        <v>0</v>
      </c>
      <c r="DK58" s="76">
        <v>0</v>
      </c>
      <c r="DL58" s="76">
        <v>0</v>
      </c>
      <c r="DM58" s="76">
        <v>0</v>
      </c>
      <c r="DN58" s="76">
        <v>0</v>
      </c>
      <c r="DO58" s="76">
        <v>0</v>
      </c>
      <c r="DP58" s="76">
        <v>0</v>
      </c>
      <c r="DQ58" s="76">
        <v>0</v>
      </c>
      <c r="DR58" s="76">
        <v>0</v>
      </c>
      <c r="DS58" s="76">
        <v>0</v>
      </c>
      <c r="DT58" s="76">
        <v>0</v>
      </c>
      <c r="DU58" s="76">
        <v>0</v>
      </c>
      <c r="DV58" s="76">
        <v>0</v>
      </c>
      <c r="DW58" s="76">
        <v>0</v>
      </c>
      <c r="DX58" s="76">
        <v>0</v>
      </c>
      <c r="DY58" s="76">
        <v>0</v>
      </c>
      <c r="DZ58" s="76">
        <v>0</v>
      </c>
      <c r="EA58" s="76">
        <v>0</v>
      </c>
      <c r="EB58" s="76">
        <v>0</v>
      </c>
      <c r="EC58" s="76">
        <v>0</v>
      </c>
      <c r="ED58" s="76">
        <v>0</v>
      </c>
      <c r="EE58" s="76">
        <v>0</v>
      </c>
      <c r="EF58" s="76">
        <v>0</v>
      </c>
      <c r="EG58" s="76">
        <v>0</v>
      </c>
      <c r="EH58" s="76">
        <v>0</v>
      </c>
      <c r="EI58" s="76">
        <v>0</v>
      </c>
      <c r="EJ58" s="76">
        <v>0</v>
      </c>
      <c r="EK58" s="76">
        <v>0</v>
      </c>
      <c r="EL58" s="76">
        <v>0</v>
      </c>
      <c r="EM58" s="76">
        <v>0</v>
      </c>
      <c r="EN58" s="76">
        <v>0</v>
      </c>
      <c r="EO58" s="76">
        <v>0</v>
      </c>
      <c r="EP58" s="76">
        <v>0</v>
      </c>
      <c r="EQ58" s="76">
        <v>0</v>
      </c>
      <c r="ER58" s="76">
        <v>0</v>
      </c>
      <c r="ES58" s="76">
        <v>0</v>
      </c>
      <c r="ET58" s="76">
        <v>0</v>
      </c>
      <c r="EU58" s="76">
        <v>0</v>
      </c>
      <c r="EV58" s="76">
        <v>1</v>
      </c>
      <c r="EW58" s="76">
        <v>0</v>
      </c>
      <c r="EX58" s="76">
        <v>0</v>
      </c>
      <c r="EY58" s="76">
        <v>0</v>
      </c>
      <c r="EZ58" s="76">
        <v>0</v>
      </c>
      <c r="FA58" s="76">
        <v>0</v>
      </c>
      <c r="FB58" s="76">
        <v>0</v>
      </c>
      <c r="FC58" s="76">
        <v>0</v>
      </c>
      <c r="FD58" s="76">
        <v>0</v>
      </c>
      <c r="FE58" s="77">
        <f t="shared" si="0"/>
        <v>22</v>
      </c>
    </row>
    <row r="59" spans="1:161" s="24" customFormat="1" ht="20.100000000000001" customHeight="1" x14ac:dyDescent="0.25">
      <c r="A59" s="153" t="s">
        <v>391</v>
      </c>
      <c r="B59" s="76">
        <v>0</v>
      </c>
      <c r="C59" s="76">
        <v>1</v>
      </c>
      <c r="D59" s="76">
        <v>0</v>
      </c>
      <c r="E59" s="76">
        <v>0</v>
      </c>
      <c r="F59" s="76">
        <v>0</v>
      </c>
      <c r="G59" s="76">
        <v>0</v>
      </c>
      <c r="H59" s="76">
        <v>1</v>
      </c>
      <c r="I59" s="76">
        <v>0</v>
      </c>
      <c r="J59" s="76">
        <v>1</v>
      </c>
      <c r="K59" s="76">
        <v>0</v>
      </c>
      <c r="L59" s="76">
        <v>1</v>
      </c>
      <c r="M59" s="76">
        <v>0</v>
      </c>
      <c r="N59" s="76">
        <v>1</v>
      </c>
      <c r="O59" s="76">
        <v>1</v>
      </c>
      <c r="P59" s="76">
        <v>0</v>
      </c>
      <c r="Q59" s="76">
        <v>0</v>
      </c>
      <c r="R59" s="76">
        <v>0</v>
      </c>
      <c r="S59" s="76">
        <v>0</v>
      </c>
      <c r="T59" s="76">
        <v>0</v>
      </c>
      <c r="U59" s="76">
        <v>0</v>
      </c>
      <c r="V59" s="76">
        <v>0</v>
      </c>
      <c r="W59" s="76">
        <v>1</v>
      </c>
      <c r="X59" s="76">
        <v>0</v>
      </c>
      <c r="Y59" s="76">
        <v>1</v>
      </c>
      <c r="Z59" s="76">
        <v>0</v>
      </c>
      <c r="AA59" s="76">
        <v>0</v>
      </c>
      <c r="AB59" s="76">
        <v>0</v>
      </c>
      <c r="AC59" s="76">
        <v>0</v>
      </c>
      <c r="AD59" s="76">
        <v>0</v>
      </c>
      <c r="AE59" s="76">
        <v>1</v>
      </c>
      <c r="AF59" s="76">
        <v>0</v>
      </c>
      <c r="AG59" s="76">
        <v>0</v>
      </c>
      <c r="AH59" s="76">
        <v>0</v>
      </c>
      <c r="AI59" s="76">
        <v>0</v>
      </c>
      <c r="AJ59" s="76">
        <v>0</v>
      </c>
      <c r="AK59" s="76">
        <v>0</v>
      </c>
      <c r="AL59" s="76">
        <v>1</v>
      </c>
      <c r="AM59" s="76">
        <v>0</v>
      </c>
      <c r="AN59" s="76">
        <v>1</v>
      </c>
      <c r="AO59" s="76">
        <v>0</v>
      </c>
      <c r="AP59" s="76">
        <v>0</v>
      </c>
      <c r="AQ59" s="76">
        <v>0</v>
      </c>
      <c r="AR59" s="76">
        <v>0</v>
      </c>
      <c r="AS59" s="76">
        <v>0</v>
      </c>
      <c r="AT59" s="76">
        <v>1</v>
      </c>
      <c r="AU59" s="76">
        <v>0</v>
      </c>
      <c r="AV59" s="76">
        <v>0</v>
      </c>
      <c r="AW59" s="76">
        <v>0</v>
      </c>
      <c r="AX59" s="76">
        <v>0</v>
      </c>
      <c r="AY59" s="76">
        <v>0</v>
      </c>
      <c r="AZ59" s="76">
        <v>0</v>
      </c>
      <c r="BA59" s="76">
        <v>0</v>
      </c>
      <c r="BB59" s="76">
        <v>0</v>
      </c>
      <c r="BC59" s="76">
        <v>0</v>
      </c>
      <c r="BD59" s="76">
        <v>1</v>
      </c>
      <c r="BE59" s="76">
        <v>0</v>
      </c>
      <c r="BF59" s="76">
        <v>0</v>
      </c>
      <c r="BG59" s="76">
        <v>0</v>
      </c>
      <c r="BH59" s="76">
        <v>1</v>
      </c>
      <c r="BI59" s="76">
        <v>0</v>
      </c>
      <c r="BJ59" s="76">
        <v>0</v>
      </c>
      <c r="BK59" s="76">
        <v>0</v>
      </c>
      <c r="BL59" s="76">
        <v>0</v>
      </c>
      <c r="BM59" s="76">
        <v>1</v>
      </c>
      <c r="BN59" s="76">
        <v>0</v>
      </c>
      <c r="BO59" s="76">
        <v>0</v>
      </c>
      <c r="BP59" s="76">
        <v>0</v>
      </c>
      <c r="BQ59" s="76">
        <v>0</v>
      </c>
      <c r="BR59" s="76">
        <v>0</v>
      </c>
      <c r="BS59" s="76">
        <v>0</v>
      </c>
      <c r="BT59" s="76">
        <v>0</v>
      </c>
      <c r="BU59" s="76">
        <v>0</v>
      </c>
      <c r="BV59" s="76">
        <v>0</v>
      </c>
      <c r="BW59" s="76">
        <v>0</v>
      </c>
      <c r="BX59" s="76">
        <v>0</v>
      </c>
      <c r="BY59" s="76">
        <v>0</v>
      </c>
      <c r="BZ59" s="76">
        <v>0</v>
      </c>
      <c r="CA59" s="76">
        <v>0</v>
      </c>
      <c r="CB59" s="76">
        <v>0</v>
      </c>
      <c r="CC59" s="76">
        <v>0</v>
      </c>
      <c r="CD59" s="76">
        <v>0</v>
      </c>
      <c r="CE59" s="76">
        <v>0</v>
      </c>
      <c r="CF59" s="76">
        <v>0</v>
      </c>
      <c r="CG59" s="76">
        <v>1</v>
      </c>
      <c r="CH59" s="76">
        <v>0</v>
      </c>
      <c r="CI59" s="76">
        <v>0</v>
      </c>
      <c r="CJ59" s="76">
        <v>0</v>
      </c>
      <c r="CK59" s="76">
        <v>0</v>
      </c>
      <c r="CL59" s="76">
        <v>0</v>
      </c>
      <c r="CM59" s="76">
        <v>0</v>
      </c>
      <c r="CN59" s="76">
        <v>0</v>
      </c>
      <c r="CO59" s="76">
        <v>1</v>
      </c>
      <c r="CP59" s="76">
        <v>0</v>
      </c>
      <c r="CQ59" s="76">
        <v>0</v>
      </c>
      <c r="CR59" s="76">
        <v>0</v>
      </c>
      <c r="CS59" s="76">
        <v>0</v>
      </c>
      <c r="CT59" s="76">
        <v>0</v>
      </c>
      <c r="CU59" s="76">
        <v>0</v>
      </c>
      <c r="CV59" s="76">
        <v>1</v>
      </c>
      <c r="CW59" s="76">
        <v>4</v>
      </c>
      <c r="CX59" s="76">
        <v>0</v>
      </c>
      <c r="CY59" s="76">
        <v>0</v>
      </c>
      <c r="CZ59" s="76">
        <v>0</v>
      </c>
      <c r="DA59" s="76">
        <v>0</v>
      </c>
      <c r="DB59" s="76">
        <v>0</v>
      </c>
      <c r="DC59" s="76">
        <v>0</v>
      </c>
      <c r="DD59" s="76">
        <v>1</v>
      </c>
      <c r="DE59" s="76">
        <v>0</v>
      </c>
      <c r="DF59" s="76">
        <v>0</v>
      </c>
      <c r="DG59" s="76">
        <v>0</v>
      </c>
      <c r="DH59" s="76">
        <v>0</v>
      </c>
      <c r="DI59" s="76">
        <v>0</v>
      </c>
      <c r="DJ59" s="76">
        <v>0</v>
      </c>
      <c r="DK59" s="76">
        <v>1</v>
      </c>
      <c r="DL59" s="76">
        <v>1</v>
      </c>
      <c r="DM59" s="76">
        <v>0</v>
      </c>
      <c r="DN59" s="76">
        <v>0</v>
      </c>
      <c r="DO59" s="76">
        <v>0</v>
      </c>
      <c r="DP59" s="76">
        <v>0</v>
      </c>
      <c r="DQ59" s="76">
        <v>0</v>
      </c>
      <c r="DR59" s="76">
        <v>0</v>
      </c>
      <c r="DS59" s="76">
        <v>0</v>
      </c>
      <c r="DT59" s="76">
        <v>0</v>
      </c>
      <c r="DU59" s="76">
        <v>0</v>
      </c>
      <c r="DV59" s="76">
        <v>0</v>
      </c>
      <c r="DW59" s="76">
        <v>0</v>
      </c>
      <c r="DX59" s="76">
        <v>0</v>
      </c>
      <c r="DY59" s="76">
        <v>0</v>
      </c>
      <c r="DZ59" s="76">
        <v>0</v>
      </c>
      <c r="EA59" s="76">
        <v>0</v>
      </c>
      <c r="EB59" s="76">
        <v>0</v>
      </c>
      <c r="EC59" s="76">
        <v>0</v>
      </c>
      <c r="ED59" s="76">
        <v>1</v>
      </c>
      <c r="EE59" s="76">
        <v>0</v>
      </c>
      <c r="EF59" s="76">
        <v>0</v>
      </c>
      <c r="EG59" s="76">
        <v>0</v>
      </c>
      <c r="EH59" s="76">
        <v>0</v>
      </c>
      <c r="EI59" s="76">
        <v>0</v>
      </c>
      <c r="EJ59" s="76">
        <v>0</v>
      </c>
      <c r="EK59" s="76">
        <v>0</v>
      </c>
      <c r="EL59" s="76">
        <v>0</v>
      </c>
      <c r="EM59" s="76">
        <v>0</v>
      </c>
      <c r="EN59" s="76">
        <v>0</v>
      </c>
      <c r="EO59" s="76">
        <v>0</v>
      </c>
      <c r="EP59" s="76">
        <v>0</v>
      </c>
      <c r="EQ59" s="76">
        <v>0</v>
      </c>
      <c r="ER59" s="76">
        <v>0</v>
      </c>
      <c r="ES59" s="76">
        <v>0</v>
      </c>
      <c r="ET59" s="76">
        <v>0</v>
      </c>
      <c r="EU59" s="76">
        <v>0</v>
      </c>
      <c r="EV59" s="76">
        <v>0</v>
      </c>
      <c r="EW59" s="76">
        <v>0</v>
      </c>
      <c r="EX59" s="76">
        <v>0</v>
      </c>
      <c r="EY59" s="76">
        <v>0</v>
      </c>
      <c r="EZ59" s="76">
        <v>0</v>
      </c>
      <c r="FA59" s="76">
        <v>0</v>
      </c>
      <c r="FB59" s="76">
        <v>0</v>
      </c>
      <c r="FC59" s="76">
        <v>0</v>
      </c>
      <c r="FD59" s="76">
        <v>0</v>
      </c>
      <c r="FE59" s="77">
        <f t="shared" si="0"/>
        <v>26</v>
      </c>
    </row>
    <row r="60" spans="1:161" s="24" customFormat="1" ht="19.5" customHeight="1" x14ac:dyDescent="0.25">
      <c r="A60" s="153" t="s">
        <v>381</v>
      </c>
      <c r="B60" s="76">
        <v>0</v>
      </c>
      <c r="C60" s="76">
        <v>2</v>
      </c>
      <c r="D60" s="76">
        <v>2</v>
      </c>
      <c r="E60" s="76">
        <v>5</v>
      </c>
      <c r="F60" s="76">
        <v>3</v>
      </c>
      <c r="G60" s="76">
        <v>2</v>
      </c>
      <c r="H60" s="76">
        <v>1</v>
      </c>
      <c r="I60" s="76">
        <v>1</v>
      </c>
      <c r="J60" s="76">
        <v>1</v>
      </c>
      <c r="K60" s="76">
        <v>2</v>
      </c>
      <c r="L60" s="76">
        <v>3</v>
      </c>
      <c r="M60" s="76">
        <v>3</v>
      </c>
      <c r="N60" s="76">
        <v>6</v>
      </c>
      <c r="O60" s="76">
        <v>1</v>
      </c>
      <c r="P60" s="76">
        <v>0</v>
      </c>
      <c r="Q60" s="76">
        <v>0</v>
      </c>
      <c r="R60" s="76">
        <v>0</v>
      </c>
      <c r="S60" s="76">
        <v>0</v>
      </c>
      <c r="T60" s="76">
        <v>1</v>
      </c>
      <c r="U60" s="76">
        <v>1</v>
      </c>
      <c r="V60" s="76">
        <v>1</v>
      </c>
      <c r="W60" s="76">
        <v>0</v>
      </c>
      <c r="X60" s="76">
        <v>1</v>
      </c>
      <c r="Y60" s="76">
        <v>0</v>
      </c>
      <c r="Z60" s="76">
        <v>1</v>
      </c>
      <c r="AA60" s="76">
        <v>0</v>
      </c>
      <c r="AB60" s="76">
        <v>3</v>
      </c>
      <c r="AC60" s="76">
        <v>1</v>
      </c>
      <c r="AD60" s="76">
        <v>0</v>
      </c>
      <c r="AE60" s="76">
        <v>3</v>
      </c>
      <c r="AF60" s="76">
        <v>1</v>
      </c>
      <c r="AG60" s="76">
        <v>1</v>
      </c>
      <c r="AH60" s="76">
        <v>0</v>
      </c>
      <c r="AI60" s="76">
        <v>1</v>
      </c>
      <c r="AJ60" s="76">
        <v>0</v>
      </c>
      <c r="AK60" s="76">
        <v>1</v>
      </c>
      <c r="AL60" s="76">
        <v>3</v>
      </c>
      <c r="AM60" s="76">
        <v>1</v>
      </c>
      <c r="AN60" s="76">
        <v>0</v>
      </c>
      <c r="AO60" s="76">
        <v>0</v>
      </c>
      <c r="AP60" s="76">
        <v>2</v>
      </c>
      <c r="AQ60" s="76">
        <v>1</v>
      </c>
      <c r="AR60" s="76">
        <v>0</v>
      </c>
      <c r="AS60" s="76">
        <v>1</v>
      </c>
      <c r="AT60" s="76">
        <v>2</v>
      </c>
      <c r="AU60" s="76">
        <v>2</v>
      </c>
      <c r="AV60" s="76">
        <v>2</v>
      </c>
      <c r="AW60" s="76">
        <v>0</v>
      </c>
      <c r="AX60" s="76">
        <v>0</v>
      </c>
      <c r="AY60" s="76">
        <v>1</v>
      </c>
      <c r="AZ60" s="76">
        <v>2</v>
      </c>
      <c r="BA60" s="76">
        <v>1</v>
      </c>
      <c r="BB60" s="76">
        <v>0</v>
      </c>
      <c r="BC60" s="76">
        <v>1</v>
      </c>
      <c r="BD60" s="76">
        <v>3</v>
      </c>
      <c r="BE60" s="76">
        <v>2</v>
      </c>
      <c r="BF60" s="76">
        <v>1</v>
      </c>
      <c r="BG60" s="76">
        <v>2</v>
      </c>
      <c r="BH60" s="76">
        <v>4</v>
      </c>
      <c r="BI60" s="76">
        <v>2</v>
      </c>
      <c r="BJ60" s="76">
        <v>1</v>
      </c>
      <c r="BK60" s="76">
        <v>0</v>
      </c>
      <c r="BL60" s="76">
        <v>2</v>
      </c>
      <c r="BM60" s="76">
        <v>2</v>
      </c>
      <c r="BN60" s="76">
        <v>1</v>
      </c>
      <c r="BO60" s="76">
        <v>0</v>
      </c>
      <c r="BP60" s="76">
        <v>1</v>
      </c>
      <c r="BQ60" s="76">
        <v>1</v>
      </c>
      <c r="BR60" s="76">
        <v>2</v>
      </c>
      <c r="BS60" s="76">
        <v>2</v>
      </c>
      <c r="BT60" s="76">
        <v>1</v>
      </c>
      <c r="BU60" s="76">
        <v>1</v>
      </c>
      <c r="BV60" s="76">
        <v>0</v>
      </c>
      <c r="BW60" s="76">
        <v>0</v>
      </c>
      <c r="BX60" s="76">
        <v>1</v>
      </c>
      <c r="BY60" s="76">
        <v>0</v>
      </c>
      <c r="BZ60" s="76">
        <v>1</v>
      </c>
      <c r="CA60" s="76">
        <v>0</v>
      </c>
      <c r="CB60" s="76">
        <v>1</v>
      </c>
      <c r="CC60" s="76">
        <v>0</v>
      </c>
      <c r="CD60" s="76">
        <v>2</v>
      </c>
      <c r="CE60" s="76">
        <v>3</v>
      </c>
      <c r="CF60" s="76">
        <v>0</v>
      </c>
      <c r="CG60" s="76">
        <v>3</v>
      </c>
      <c r="CH60" s="76">
        <v>0</v>
      </c>
      <c r="CI60" s="76">
        <v>1</v>
      </c>
      <c r="CJ60" s="76">
        <v>0</v>
      </c>
      <c r="CK60" s="76">
        <v>0</v>
      </c>
      <c r="CL60" s="76">
        <v>0</v>
      </c>
      <c r="CM60" s="76">
        <v>0</v>
      </c>
      <c r="CN60" s="76">
        <v>1</v>
      </c>
      <c r="CO60" s="76">
        <v>0</v>
      </c>
      <c r="CP60" s="76">
        <v>1</v>
      </c>
      <c r="CQ60" s="76">
        <v>1</v>
      </c>
      <c r="CR60" s="76">
        <v>0</v>
      </c>
      <c r="CS60" s="76">
        <v>1</v>
      </c>
      <c r="CT60" s="76">
        <v>1</v>
      </c>
      <c r="CU60" s="76">
        <v>0</v>
      </c>
      <c r="CV60" s="76">
        <v>1</v>
      </c>
      <c r="CW60" s="76">
        <v>5</v>
      </c>
      <c r="CX60" s="76">
        <v>0</v>
      </c>
      <c r="CY60" s="76">
        <v>2</v>
      </c>
      <c r="CZ60" s="76">
        <v>0</v>
      </c>
      <c r="DA60" s="76">
        <v>0</v>
      </c>
      <c r="DB60" s="76">
        <v>1</v>
      </c>
      <c r="DC60" s="76">
        <v>1</v>
      </c>
      <c r="DD60" s="76">
        <v>1</v>
      </c>
      <c r="DE60" s="76">
        <v>2</v>
      </c>
      <c r="DF60" s="76">
        <v>0</v>
      </c>
      <c r="DG60" s="76">
        <v>0</v>
      </c>
      <c r="DH60" s="76">
        <v>0</v>
      </c>
      <c r="DI60" s="76">
        <v>1</v>
      </c>
      <c r="DJ60" s="76">
        <v>0</v>
      </c>
      <c r="DK60" s="76">
        <v>0</v>
      </c>
      <c r="DL60" s="76">
        <v>0</v>
      </c>
      <c r="DM60" s="76">
        <v>0</v>
      </c>
      <c r="DN60" s="76">
        <v>0</v>
      </c>
      <c r="DO60" s="76">
        <v>0</v>
      </c>
      <c r="DP60" s="76">
        <v>1</v>
      </c>
      <c r="DQ60" s="76">
        <v>1</v>
      </c>
      <c r="DR60" s="76">
        <v>1</v>
      </c>
      <c r="DS60" s="76">
        <v>0</v>
      </c>
      <c r="DT60" s="76">
        <v>0</v>
      </c>
      <c r="DU60" s="76">
        <v>1</v>
      </c>
      <c r="DV60" s="76">
        <v>1</v>
      </c>
      <c r="DW60" s="76">
        <v>1</v>
      </c>
      <c r="DX60" s="76">
        <v>0</v>
      </c>
      <c r="DY60" s="76">
        <v>1</v>
      </c>
      <c r="DZ60" s="76">
        <v>1</v>
      </c>
      <c r="EA60" s="76">
        <v>1</v>
      </c>
      <c r="EB60" s="76">
        <v>2</v>
      </c>
      <c r="EC60" s="76">
        <v>0</v>
      </c>
      <c r="ED60" s="76">
        <v>0</v>
      </c>
      <c r="EE60" s="76">
        <v>1</v>
      </c>
      <c r="EF60" s="76">
        <v>0</v>
      </c>
      <c r="EG60" s="76">
        <v>1</v>
      </c>
      <c r="EH60" s="76">
        <v>1</v>
      </c>
      <c r="EI60" s="76">
        <v>0</v>
      </c>
      <c r="EJ60" s="76">
        <v>1</v>
      </c>
      <c r="EK60" s="76">
        <v>1</v>
      </c>
      <c r="EL60" s="76">
        <v>2</v>
      </c>
      <c r="EM60" s="76">
        <v>1</v>
      </c>
      <c r="EN60" s="76">
        <v>1</v>
      </c>
      <c r="EO60" s="76">
        <v>0</v>
      </c>
      <c r="EP60" s="76">
        <v>1</v>
      </c>
      <c r="EQ60" s="76">
        <v>1</v>
      </c>
      <c r="ER60" s="76">
        <v>0</v>
      </c>
      <c r="ES60" s="76">
        <v>1</v>
      </c>
      <c r="ET60" s="76">
        <v>1</v>
      </c>
      <c r="EU60" s="76">
        <v>0</v>
      </c>
      <c r="EV60" s="76">
        <v>1</v>
      </c>
      <c r="EW60" s="76">
        <v>2</v>
      </c>
      <c r="EX60" s="76">
        <v>1</v>
      </c>
      <c r="EY60" s="76">
        <v>0</v>
      </c>
      <c r="EZ60" s="76">
        <v>0</v>
      </c>
      <c r="FA60" s="76">
        <v>6</v>
      </c>
      <c r="FB60" s="76">
        <v>0</v>
      </c>
      <c r="FC60" s="76">
        <v>0</v>
      </c>
      <c r="FD60" s="76">
        <v>1</v>
      </c>
      <c r="FE60" s="77">
        <f t="shared" si="0"/>
        <v>161</v>
      </c>
    </row>
    <row r="61" spans="1:161" s="24" customFormat="1" ht="19.5" customHeight="1" x14ac:dyDescent="0.25">
      <c r="A61" s="153" t="s">
        <v>389</v>
      </c>
      <c r="B61" s="76">
        <v>0</v>
      </c>
      <c r="C61" s="76">
        <v>2</v>
      </c>
      <c r="D61" s="76">
        <v>3</v>
      </c>
      <c r="E61" s="76">
        <v>1</v>
      </c>
      <c r="F61" s="76">
        <v>3</v>
      </c>
      <c r="G61" s="76">
        <v>1</v>
      </c>
      <c r="H61" s="76">
        <v>5</v>
      </c>
      <c r="I61" s="76">
        <v>3</v>
      </c>
      <c r="J61" s="76">
        <v>1</v>
      </c>
      <c r="K61" s="76">
        <v>2</v>
      </c>
      <c r="L61" s="76">
        <v>3</v>
      </c>
      <c r="M61" s="76">
        <v>3</v>
      </c>
      <c r="N61" s="76">
        <v>3</v>
      </c>
      <c r="O61" s="76">
        <v>1</v>
      </c>
      <c r="P61" s="76">
        <v>3</v>
      </c>
      <c r="Q61" s="76">
        <v>3</v>
      </c>
      <c r="R61" s="76">
        <v>3</v>
      </c>
      <c r="S61" s="76">
        <v>3</v>
      </c>
      <c r="T61" s="76">
        <v>1</v>
      </c>
      <c r="U61" s="76">
        <v>5</v>
      </c>
      <c r="V61" s="76">
        <v>0</v>
      </c>
      <c r="W61" s="76">
        <v>0</v>
      </c>
      <c r="X61" s="76">
        <v>1</v>
      </c>
      <c r="Y61" s="76">
        <v>1</v>
      </c>
      <c r="Z61" s="76">
        <v>1</v>
      </c>
      <c r="AA61" s="76">
        <v>0</v>
      </c>
      <c r="AB61" s="76">
        <v>2</v>
      </c>
      <c r="AC61" s="76">
        <v>1</v>
      </c>
      <c r="AD61" s="76">
        <v>2</v>
      </c>
      <c r="AE61" s="76">
        <v>1</v>
      </c>
      <c r="AF61" s="76">
        <v>0</v>
      </c>
      <c r="AG61" s="76">
        <v>1</v>
      </c>
      <c r="AH61" s="76">
        <v>3</v>
      </c>
      <c r="AI61" s="76">
        <v>0</v>
      </c>
      <c r="AJ61" s="76">
        <v>4</v>
      </c>
      <c r="AK61" s="76">
        <v>3</v>
      </c>
      <c r="AL61" s="76">
        <v>1</v>
      </c>
      <c r="AM61" s="76">
        <v>1</v>
      </c>
      <c r="AN61" s="76">
        <v>1</v>
      </c>
      <c r="AO61" s="76">
        <v>0</v>
      </c>
      <c r="AP61" s="76">
        <v>3</v>
      </c>
      <c r="AQ61" s="76">
        <v>1</v>
      </c>
      <c r="AR61" s="76">
        <v>3</v>
      </c>
      <c r="AS61" s="76">
        <v>2</v>
      </c>
      <c r="AT61" s="76">
        <v>2</v>
      </c>
      <c r="AU61" s="76">
        <v>0</v>
      </c>
      <c r="AV61" s="76">
        <v>1</v>
      </c>
      <c r="AW61" s="76">
        <v>0</v>
      </c>
      <c r="AX61" s="76">
        <v>0</v>
      </c>
      <c r="AY61" s="76">
        <v>0</v>
      </c>
      <c r="AZ61" s="76">
        <v>3</v>
      </c>
      <c r="BA61" s="76">
        <v>1</v>
      </c>
      <c r="BB61" s="76">
        <v>3</v>
      </c>
      <c r="BC61" s="76">
        <v>0</v>
      </c>
      <c r="BD61" s="76">
        <v>1</v>
      </c>
      <c r="BE61" s="76">
        <v>3</v>
      </c>
      <c r="BF61" s="76">
        <v>3</v>
      </c>
      <c r="BG61" s="76">
        <v>1</v>
      </c>
      <c r="BH61" s="76">
        <v>1</v>
      </c>
      <c r="BI61" s="76">
        <v>1</v>
      </c>
      <c r="BJ61" s="76">
        <v>0</v>
      </c>
      <c r="BK61" s="76">
        <v>1</v>
      </c>
      <c r="BL61" s="76">
        <v>3</v>
      </c>
      <c r="BM61" s="76">
        <v>2</v>
      </c>
      <c r="BN61" s="76">
        <v>1</v>
      </c>
      <c r="BO61" s="76">
        <v>0</v>
      </c>
      <c r="BP61" s="76">
        <v>2</v>
      </c>
      <c r="BQ61" s="76">
        <v>1</v>
      </c>
      <c r="BR61" s="76">
        <v>0</v>
      </c>
      <c r="BS61" s="76">
        <v>2</v>
      </c>
      <c r="BT61" s="76">
        <v>0</v>
      </c>
      <c r="BU61" s="76">
        <v>1</v>
      </c>
      <c r="BV61" s="76">
        <v>0</v>
      </c>
      <c r="BW61" s="76">
        <v>0</v>
      </c>
      <c r="BX61" s="76">
        <v>0</v>
      </c>
      <c r="BY61" s="76">
        <v>1</v>
      </c>
      <c r="BZ61" s="76">
        <v>4</v>
      </c>
      <c r="CA61" s="76">
        <v>1</v>
      </c>
      <c r="CB61" s="76">
        <v>0</v>
      </c>
      <c r="CC61" s="76">
        <v>1</v>
      </c>
      <c r="CD61" s="76">
        <v>1</v>
      </c>
      <c r="CE61" s="76">
        <v>1</v>
      </c>
      <c r="CF61" s="76">
        <v>0</v>
      </c>
      <c r="CG61" s="76">
        <v>1</v>
      </c>
      <c r="CH61" s="76">
        <v>3</v>
      </c>
      <c r="CI61" s="76">
        <v>2</v>
      </c>
      <c r="CJ61" s="76">
        <v>0</v>
      </c>
      <c r="CK61" s="76">
        <v>0</v>
      </c>
      <c r="CL61" s="76">
        <v>0</v>
      </c>
      <c r="CM61" s="76">
        <v>0</v>
      </c>
      <c r="CN61" s="76">
        <v>0</v>
      </c>
      <c r="CO61" s="76">
        <v>1</v>
      </c>
      <c r="CP61" s="76">
        <v>0</v>
      </c>
      <c r="CQ61" s="76">
        <v>0</v>
      </c>
      <c r="CR61" s="76">
        <v>0</v>
      </c>
      <c r="CS61" s="76">
        <v>1</v>
      </c>
      <c r="CT61" s="76">
        <v>0</v>
      </c>
      <c r="CU61" s="76">
        <v>0</v>
      </c>
      <c r="CV61" s="76">
        <v>3</v>
      </c>
      <c r="CW61" s="76">
        <v>4</v>
      </c>
      <c r="CX61" s="76">
        <v>3</v>
      </c>
      <c r="CY61" s="76">
        <v>3</v>
      </c>
      <c r="CZ61" s="76">
        <v>0</v>
      </c>
      <c r="DA61" s="76">
        <v>0</v>
      </c>
      <c r="DB61" s="76">
        <v>0</v>
      </c>
      <c r="DC61" s="76">
        <v>2</v>
      </c>
      <c r="DD61" s="76">
        <v>2</v>
      </c>
      <c r="DE61" s="76">
        <v>2</v>
      </c>
      <c r="DF61" s="76">
        <v>0</v>
      </c>
      <c r="DG61" s="76">
        <v>0</v>
      </c>
      <c r="DH61" s="76">
        <v>1</v>
      </c>
      <c r="DI61" s="76">
        <v>1</v>
      </c>
      <c r="DJ61" s="76">
        <v>1</v>
      </c>
      <c r="DK61" s="76">
        <v>1</v>
      </c>
      <c r="DL61" s="76">
        <v>1</v>
      </c>
      <c r="DM61" s="76">
        <v>1</v>
      </c>
      <c r="DN61" s="76">
        <v>0</v>
      </c>
      <c r="DO61" s="76">
        <v>3</v>
      </c>
      <c r="DP61" s="76">
        <v>1</v>
      </c>
      <c r="DQ61" s="76">
        <v>0</v>
      </c>
      <c r="DR61" s="76">
        <v>0</v>
      </c>
      <c r="DS61" s="76">
        <v>0</v>
      </c>
      <c r="DT61" s="76">
        <v>2</v>
      </c>
      <c r="DU61" s="76">
        <v>3</v>
      </c>
      <c r="DV61" s="76">
        <v>0</v>
      </c>
      <c r="DW61" s="76">
        <v>1</v>
      </c>
      <c r="DX61" s="76">
        <v>1</v>
      </c>
      <c r="DY61" s="76">
        <v>1</v>
      </c>
      <c r="DZ61" s="76">
        <v>1</v>
      </c>
      <c r="EA61" s="76">
        <v>2</v>
      </c>
      <c r="EB61" s="76">
        <v>1</v>
      </c>
      <c r="EC61" s="76">
        <v>1</v>
      </c>
      <c r="ED61" s="76">
        <v>1</v>
      </c>
      <c r="EE61" s="76">
        <v>1</v>
      </c>
      <c r="EF61" s="76">
        <v>1</v>
      </c>
      <c r="EG61" s="76">
        <v>0</v>
      </c>
      <c r="EH61" s="76">
        <v>0</v>
      </c>
      <c r="EI61" s="76">
        <v>2</v>
      </c>
      <c r="EJ61" s="76">
        <v>4</v>
      </c>
      <c r="EK61" s="76">
        <v>1</v>
      </c>
      <c r="EL61" s="76">
        <v>1</v>
      </c>
      <c r="EM61" s="76">
        <v>2</v>
      </c>
      <c r="EN61" s="76">
        <v>0</v>
      </c>
      <c r="EO61" s="76">
        <v>0</v>
      </c>
      <c r="EP61" s="76">
        <v>2</v>
      </c>
      <c r="EQ61" s="76">
        <v>0</v>
      </c>
      <c r="ER61" s="76">
        <v>1</v>
      </c>
      <c r="ES61" s="76">
        <v>1</v>
      </c>
      <c r="ET61" s="76">
        <v>1</v>
      </c>
      <c r="EU61" s="76">
        <v>1</v>
      </c>
      <c r="EV61" s="76">
        <v>3</v>
      </c>
      <c r="EW61" s="76">
        <v>2</v>
      </c>
      <c r="EX61" s="76">
        <v>3</v>
      </c>
      <c r="EY61" s="76">
        <v>0</v>
      </c>
      <c r="EZ61" s="76">
        <v>2</v>
      </c>
      <c r="FA61" s="76">
        <v>1</v>
      </c>
      <c r="FB61" s="76">
        <v>1</v>
      </c>
      <c r="FC61" s="76">
        <v>4</v>
      </c>
      <c r="FD61" s="76">
        <v>1</v>
      </c>
      <c r="FE61" s="77">
        <f t="shared" si="0"/>
        <v>209</v>
      </c>
    </row>
    <row r="62" spans="1:161" s="24" customFormat="1" ht="19.5" customHeight="1" x14ac:dyDescent="0.2">
      <c r="A62" s="75" t="s">
        <v>283</v>
      </c>
      <c r="B62" s="76"/>
      <c r="C62" s="76"/>
      <c r="D62" s="76"/>
      <c r="E62" s="76"/>
      <c r="F62" s="76"/>
      <c r="G62" s="76"/>
      <c r="H62" s="76"/>
      <c r="I62" s="76"/>
      <c r="J62" s="76"/>
      <c r="K62" s="76"/>
      <c r="L62" s="76"/>
      <c r="M62" s="76"/>
      <c r="N62" s="76"/>
      <c r="O62" s="76"/>
      <c r="P62" s="76"/>
      <c r="Q62" s="76"/>
      <c r="R62" s="76"/>
      <c r="S62" s="76"/>
      <c r="T62" s="76"/>
      <c r="U62" s="76"/>
      <c r="V62" s="76"/>
      <c r="W62" s="76"/>
      <c r="X62" s="76"/>
      <c r="Y62" s="76"/>
      <c r="Z62" s="76"/>
      <c r="AA62" s="76"/>
      <c r="AB62" s="76"/>
      <c r="AC62" s="76"/>
      <c r="AD62" s="76"/>
      <c r="AE62" s="76"/>
      <c r="AF62" s="76"/>
      <c r="AG62" s="76"/>
      <c r="AH62" s="76"/>
      <c r="AI62" s="76"/>
      <c r="AJ62" s="76"/>
      <c r="AK62" s="76"/>
      <c r="AL62" s="76"/>
      <c r="AM62" s="76"/>
      <c r="AN62" s="76"/>
      <c r="AO62" s="76"/>
      <c r="AP62" s="76"/>
      <c r="AQ62" s="76"/>
      <c r="AR62" s="76"/>
      <c r="AS62" s="76"/>
      <c r="AT62" s="76"/>
      <c r="AU62" s="76"/>
      <c r="AV62" s="76"/>
      <c r="AW62" s="76"/>
      <c r="AX62" s="76"/>
      <c r="AY62" s="76"/>
      <c r="AZ62" s="76"/>
      <c r="BA62" s="76"/>
      <c r="BB62" s="76"/>
      <c r="BC62" s="76"/>
      <c r="BD62" s="76"/>
      <c r="BE62" s="76"/>
      <c r="BF62" s="76"/>
      <c r="BG62" s="76"/>
      <c r="BH62" s="76"/>
      <c r="BI62" s="76"/>
      <c r="BJ62" s="76"/>
      <c r="BK62" s="76"/>
      <c r="BL62" s="76"/>
      <c r="BM62" s="76"/>
      <c r="BN62" s="76"/>
      <c r="BO62" s="76"/>
      <c r="BP62" s="76"/>
      <c r="BQ62" s="76"/>
      <c r="BR62" s="76"/>
      <c r="BS62" s="76"/>
      <c r="BT62" s="76"/>
      <c r="BU62" s="76"/>
      <c r="BV62" s="76"/>
      <c r="BW62" s="76"/>
      <c r="BX62" s="76"/>
      <c r="BY62" s="76"/>
      <c r="BZ62" s="76"/>
      <c r="CA62" s="76"/>
      <c r="CB62" s="76"/>
      <c r="CC62" s="76"/>
      <c r="CD62" s="76"/>
      <c r="CE62" s="76"/>
      <c r="CF62" s="76"/>
      <c r="CG62" s="76"/>
      <c r="CH62" s="76"/>
      <c r="CI62" s="76"/>
      <c r="CJ62" s="76"/>
      <c r="CK62" s="76"/>
      <c r="CL62" s="76"/>
      <c r="CM62" s="76">
        <v>0</v>
      </c>
      <c r="CN62" s="76">
        <v>0</v>
      </c>
      <c r="CO62" s="76">
        <v>0</v>
      </c>
      <c r="CP62" s="76">
        <v>0</v>
      </c>
      <c r="CQ62" s="76">
        <v>0</v>
      </c>
      <c r="CR62" s="76">
        <v>0</v>
      </c>
      <c r="CS62" s="76">
        <v>0</v>
      </c>
      <c r="CT62" s="76">
        <v>0</v>
      </c>
      <c r="CU62" s="76">
        <v>0</v>
      </c>
      <c r="CV62" s="76">
        <v>0</v>
      </c>
      <c r="CW62" s="76">
        <v>0</v>
      </c>
      <c r="CX62" s="76">
        <v>0</v>
      </c>
      <c r="CY62" s="76">
        <v>1</v>
      </c>
      <c r="CZ62" s="76">
        <v>2</v>
      </c>
      <c r="DA62" s="76">
        <v>0</v>
      </c>
      <c r="DB62" s="76">
        <v>0</v>
      </c>
      <c r="DC62" s="76">
        <v>0</v>
      </c>
      <c r="DD62" s="76">
        <v>1</v>
      </c>
      <c r="DE62" s="76">
        <v>0</v>
      </c>
      <c r="DF62" s="76">
        <v>0</v>
      </c>
      <c r="DG62" s="76">
        <v>0</v>
      </c>
      <c r="DH62" s="76">
        <v>1</v>
      </c>
      <c r="DI62" s="76">
        <v>0</v>
      </c>
      <c r="DJ62" s="76">
        <v>0</v>
      </c>
      <c r="DK62" s="76">
        <v>0</v>
      </c>
      <c r="DL62" s="76">
        <v>2</v>
      </c>
      <c r="DM62" s="76">
        <v>0</v>
      </c>
      <c r="DN62" s="76">
        <v>0</v>
      </c>
      <c r="DO62" s="76">
        <v>0</v>
      </c>
      <c r="DP62" s="76">
        <v>0</v>
      </c>
      <c r="DQ62" s="76">
        <v>0</v>
      </c>
      <c r="DR62" s="76">
        <v>0</v>
      </c>
      <c r="DS62" s="76">
        <v>0</v>
      </c>
      <c r="DT62" s="76">
        <v>0</v>
      </c>
      <c r="DU62" s="76">
        <v>0</v>
      </c>
      <c r="DV62" s="76">
        <v>1</v>
      </c>
      <c r="DW62" s="76">
        <v>0</v>
      </c>
      <c r="DX62" s="76">
        <v>0</v>
      </c>
      <c r="DY62" s="76">
        <v>0</v>
      </c>
      <c r="DZ62" s="76">
        <v>0</v>
      </c>
      <c r="EA62" s="76">
        <v>0</v>
      </c>
      <c r="EB62" s="76">
        <v>0</v>
      </c>
      <c r="EC62" s="76">
        <v>0</v>
      </c>
      <c r="ED62" s="76">
        <v>0</v>
      </c>
      <c r="EE62" s="76">
        <v>0</v>
      </c>
      <c r="EF62" s="76">
        <v>0</v>
      </c>
      <c r="EG62" s="76">
        <v>0</v>
      </c>
      <c r="EH62" s="76">
        <v>0</v>
      </c>
      <c r="EI62" s="76">
        <v>0</v>
      </c>
      <c r="EJ62" s="76">
        <v>0</v>
      </c>
      <c r="EK62" s="76">
        <v>0</v>
      </c>
      <c r="EL62" s="76">
        <v>0</v>
      </c>
      <c r="EM62" s="76">
        <v>1</v>
      </c>
      <c r="EN62" s="76">
        <v>0</v>
      </c>
      <c r="EO62" s="76">
        <v>1</v>
      </c>
      <c r="EP62" s="76">
        <v>0</v>
      </c>
      <c r="EQ62" s="76">
        <v>0</v>
      </c>
      <c r="ER62" s="76">
        <v>0</v>
      </c>
      <c r="ES62" s="76">
        <v>0</v>
      </c>
      <c r="ET62" s="76">
        <v>0</v>
      </c>
      <c r="EU62" s="76">
        <v>0</v>
      </c>
      <c r="EV62" s="76">
        <v>0</v>
      </c>
      <c r="EW62" s="76">
        <v>0</v>
      </c>
      <c r="EX62" s="76">
        <v>0</v>
      </c>
      <c r="EY62" s="76">
        <v>0</v>
      </c>
      <c r="EZ62" s="76">
        <v>0</v>
      </c>
      <c r="FA62" s="76">
        <v>0</v>
      </c>
      <c r="FB62" s="76">
        <v>0</v>
      </c>
      <c r="FC62" s="76">
        <v>0</v>
      </c>
      <c r="FD62" s="76">
        <v>0</v>
      </c>
      <c r="FE62" s="77">
        <f t="shared" si="0"/>
        <v>10</v>
      </c>
    </row>
    <row r="63" spans="1:161" s="24" customFormat="1" ht="20.100000000000001" customHeight="1" x14ac:dyDescent="0.2">
      <c r="A63" s="155" t="s">
        <v>15</v>
      </c>
      <c r="B63" s="76">
        <v>0</v>
      </c>
      <c r="C63" s="76">
        <v>0</v>
      </c>
      <c r="D63" s="76">
        <v>1</v>
      </c>
      <c r="E63" s="76">
        <v>1</v>
      </c>
      <c r="F63" s="76">
        <v>2</v>
      </c>
      <c r="G63" s="76">
        <v>1</v>
      </c>
      <c r="H63" s="76">
        <v>0</v>
      </c>
      <c r="I63" s="76">
        <v>1</v>
      </c>
      <c r="J63" s="76">
        <v>1</v>
      </c>
      <c r="K63" s="76">
        <v>1</v>
      </c>
      <c r="L63" s="76">
        <v>0</v>
      </c>
      <c r="M63" s="76">
        <v>0</v>
      </c>
      <c r="N63" s="76">
        <v>0</v>
      </c>
      <c r="O63" s="76">
        <v>0</v>
      </c>
      <c r="P63" s="76">
        <v>1</v>
      </c>
      <c r="Q63" s="76">
        <v>0</v>
      </c>
      <c r="R63" s="76">
        <v>1</v>
      </c>
      <c r="S63" s="76">
        <v>0</v>
      </c>
      <c r="T63" s="76">
        <v>1</v>
      </c>
      <c r="U63" s="76">
        <v>3</v>
      </c>
      <c r="V63" s="76">
        <v>2</v>
      </c>
      <c r="W63" s="76">
        <v>0</v>
      </c>
      <c r="X63" s="76">
        <v>0</v>
      </c>
      <c r="Y63" s="76">
        <v>0</v>
      </c>
      <c r="Z63" s="76">
        <v>0</v>
      </c>
      <c r="AA63" s="76">
        <v>1</v>
      </c>
      <c r="AB63" s="76">
        <v>1</v>
      </c>
      <c r="AC63" s="76">
        <v>0</v>
      </c>
      <c r="AD63" s="76">
        <v>0</v>
      </c>
      <c r="AE63" s="76">
        <v>2</v>
      </c>
      <c r="AF63" s="76">
        <v>0</v>
      </c>
      <c r="AG63" s="76">
        <v>1</v>
      </c>
      <c r="AH63" s="76">
        <v>1</v>
      </c>
      <c r="AI63" s="76">
        <v>4</v>
      </c>
      <c r="AJ63" s="76">
        <v>1</v>
      </c>
      <c r="AK63" s="76">
        <v>2</v>
      </c>
      <c r="AL63" s="76">
        <v>0</v>
      </c>
      <c r="AM63" s="76">
        <v>0</v>
      </c>
      <c r="AN63" s="76">
        <v>1</v>
      </c>
      <c r="AO63" s="76">
        <v>0</v>
      </c>
      <c r="AP63" s="76">
        <v>0</v>
      </c>
      <c r="AQ63" s="76">
        <v>0</v>
      </c>
      <c r="AR63" s="76">
        <v>1</v>
      </c>
      <c r="AS63" s="76">
        <v>0</v>
      </c>
      <c r="AT63" s="76">
        <v>0</v>
      </c>
      <c r="AU63" s="76">
        <v>0</v>
      </c>
      <c r="AV63" s="76">
        <v>0</v>
      </c>
      <c r="AW63" s="76">
        <v>0</v>
      </c>
      <c r="AX63" s="76">
        <v>0</v>
      </c>
      <c r="AY63" s="76">
        <v>0</v>
      </c>
      <c r="AZ63" s="76">
        <v>0</v>
      </c>
      <c r="BA63" s="76">
        <v>1</v>
      </c>
      <c r="BB63" s="76">
        <v>1</v>
      </c>
      <c r="BC63" s="76">
        <v>0</v>
      </c>
      <c r="BD63" s="76">
        <v>0</v>
      </c>
      <c r="BE63" s="76">
        <v>0</v>
      </c>
      <c r="BF63" s="76">
        <v>0</v>
      </c>
      <c r="BG63" s="76">
        <v>0</v>
      </c>
      <c r="BH63" s="76">
        <v>0</v>
      </c>
      <c r="BI63" s="76">
        <v>0</v>
      </c>
      <c r="BJ63" s="76">
        <v>0</v>
      </c>
      <c r="BK63" s="76">
        <v>1</v>
      </c>
      <c r="BL63" s="76">
        <v>0</v>
      </c>
      <c r="BM63" s="76">
        <v>0</v>
      </c>
      <c r="BN63" s="76">
        <v>1</v>
      </c>
      <c r="BO63" s="76">
        <v>0</v>
      </c>
      <c r="BP63" s="76">
        <v>0</v>
      </c>
      <c r="BQ63" s="76">
        <v>0</v>
      </c>
      <c r="BR63" s="76">
        <v>0</v>
      </c>
      <c r="BS63" s="76">
        <v>1</v>
      </c>
      <c r="BT63" s="76">
        <v>0</v>
      </c>
      <c r="BU63" s="76">
        <v>2</v>
      </c>
      <c r="BV63" s="76">
        <v>0</v>
      </c>
      <c r="BW63" s="76">
        <v>1</v>
      </c>
      <c r="BX63" s="76">
        <v>0</v>
      </c>
      <c r="BY63" s="76">
        <v>0</v>
      </c>
      <c r="BZ63" s="76">
        <v>1</v>
      </c>
      <c r="CA63" s="76">
        <v>0</v>
      </c>
      <c r="CB63" s="76">
        <v>1</v>
      </c>
      <c r="CC63" s="76">
        <v>0</v>
      </c>
      <c r="CD63" s="76">
        <v>0</v>
      </c>
      <c r="CE63" s="76">
        <v>3</v>
      </c>
      <c r="CF63" s="76">
        <v>0</v>
      </c>
      <c r="CG63" s="76">
        <v>1</v>
      </c>
      <c r="CH63" s="76">
        <v>1</v>
      </c>
      <c r="CI63" s="76">
        <v>0</v>
      </c>
      <c r="CJ63" s="76">
        <v>0</v>
      </c>
      <c r="CK63" s="76">
        <v>0</v>
      </c>
      <c r="CL63" s="76">
        <v>1</v>
      </c>
      <c r="CM63" s="76">
        <v>0</v>
      </c>
      <c r="CN63" s="76">
        <v>0</v>
      </c>
      <c r="CO63" s="76">
        <v>0</v>
      </c>
      <c r="CP63" s="76">
        <v>0</v>
      </c>
      <c r="CQ63" s="76">
        <v>0</v>
      </c>
      <c r="CR63" s="76">
        <v>0</v>
      </c>
      <c r="CS63" s="76">
        <v>0</v>
      </c>
      <c r="CT63" s="76">
        <v>0</v>
      </c>
      <c r="CU63" s="76">
        <v>0</v>
      </c>
      <c r="CV63" s="76">
        <v>0</v>
      </c>
      <c r="CW63" s="76">
        <v>1</v>
      </c>
      <c r="CX63" s="76">
        <v>0</v>
      </c>
      <c r="CY63" s="76">
        <v>0</v>
      </c>
      <c r="CZ63" s="76">
        <v>0</v>
      </c>
      <c r="DA63" s="76">
        <v>1</v>
      </c>
      <c r="DB63" s="76">
        <v>0</v>
      </c>
      <c r="DC63" s="76">
        <v>0</v>
      </c>
      <c r="DD63" s="76">
        <v>0</v>
      </c>
      <c r="DE63" s="76">
        <v>2</v>
      </c>
      <c r="DF63" s="76">
        <v>0</v>
      </c>
      <c r="DG63" s="76">
        <v>1</v>
      </c>
      <c r="DH63" s="76">
        <v>0</v>
      </c>
      <c r="DI63" s="76">
        <v>0</v>
      </c>
      <c r="DJ63" s="76">
        <v>0</v>
      </c>
      <c r="DK63" s="76">
        <v>0</v>
      </c>
      <c r="DL63" s="76">
        <v>0</v>
      </c>
      <c r="DM63" s="76">
        <v>1</v>
      </c>
      <c r="DN63" s="76">
        <v>0</v>
      </c>
      <c r="DO63" s="76">
        <v>0</v>
      </c>
      <c r="DP63" s="76">
        <v>0</v>
      </c>
      <c r="DQ63" s="76">
        <v>0</v>
      </c>
      <c r="DR63" s="76">
        <v>0</v>
      </c>
      <c r="DS63" s="76">
        <v>0</v>
      </c>
      <c r="DT63" s="76">
        <v>1</v>
      </c>
      <c r="DU63" s="76">
        <v>1</v>
      </c>
      <c r="DV63" s="76">
        <v>0</v>
      </c>
      <c r="DW63" s="76">
        <v>0</v>
      </c>
      <c r="DX63" s="76">
        <v>0</v>
      </c>
      <c r="DY63" s="76">
        <v>1</v>
      </c>
      <c r="DZ63" s="76">
        <v>1</v>
      </c>
      <c r="EA63" s="76">
        <v>0</v>
      </c>
      <c r="EB63" s="76">
        <v>0</v>
      </c>
      <c r="EC63" s="76">
        <v>0</v>
      </c>
      <c r="ED63" s="76">
        <v>0</v>
      </c>
      <c r="EE63" s="76">
        <v>0</v>
      </c>
      <c r="EF63" s="76">
        <v>0</v>
      </c>
      <c r="EG63" s="76">
        <v>1</v>
      </c>
      <c r="EH63" s="76">
        <v>0</v>
      </c>
      <c r="EI63" s="76">
        <v>0</v>
      </c>
      <c r="EJ63" s="76">
        <v>0</v>
      </c>
      <c r="EK63" s="76">
        <v>1</v>
      </c>
      <c r="EL63" s="76">
        <v>1</v>
      </c>
      <c r="EM63" s="76">
        <v>0</v>
      </c>
      <c r="EN63" s="76">
        <v>0</v>
      </c>
      <c r="EO63" s="76">
        <v>0</v>
      </c>
      <c r="EP63" s="76">
        <v>0</v>
      </c>
      <c r="EQ63" s="76">
        <v>0</v>
      </c>
      <c r="ER63" s="76">
        <v>0</v>
      </c>
      <c r="ES63" s="76">
        <v>1</v>
      </c>
      <c r="ET63" s="76">
        <v>0</v>
      </c>
      <c r="EU63" s="76">
        <v>0</v>
      </c>
      <c r="EV63" s="76">
        <v>0</v>
      </c>
      <c r="EW63" s="76">
        <v>0</v>
      </c>
      <c r="EX63" s="76">
        <v>0</v>
      </c>
      <c r="EY63" s="76">
        <v>1</v>
      </c>
      <c r="EZ63" s="76">
        <v>0</v>
      </c>
      <c r="FA63" s="76">
        <v>1</v>
      </c>
      <c r="FB63" s="76">
        <v>0</v>
      </c>
      <c r="FC63" s="76">
        <v>1</v>
      </c>
      <c r="FD63" s="76">
        <v>1</v>
      </c>
      <c r="FE63" s="77">
        <f t="shared" si="0"/>
        <v>65</v>
      </c>
    </row>
    <row r="64" spans="1:161" s="24" customFormat="1" ht="20.100000000000001" customHeight="1" x14ac:dyDescent="0.25">
      <c r="A64" s="153" t="s">
        <v>386</v>
      </c>
      <c r="B64" s="76">
        <v>0</v>
      </c>
      <c r="C64" s="76">
        <v>1</v>
      </c>
      <c r="D64" s="76">
        <v>0</v>
      </c>
      <c r="E64" s="76">
        <v>0</v>
      </c>
      <c r="F64" s="76">
        <v>0</v>
      </c>
      <c r="G64" s="76">
        <v>0</v>
      </c>
      <c r="H64" s="76">
        <v>0</v>
      </c>
      <c r="I64" s="76">
        <v>0</v>
      </c>
      <c r="J64" s="76">
        <v>0</v>
      </c>
      <c r="K64" s="76">
        <v>1</v>
      </c>
      <c r="L64" s="76">
        <v>1</v>
      </c>
      <c r="M64" s="76">
        <v>0</v>
      </c>
      <c r="N64" s="76">
        <v>0</v>
      </c>
      <c r="O64" s="76">
        <v>4</v>
      </c>
      <c r="P64" s="76">
        <v>0</v>
      </c>
      <c r="Q64" s="76">
        <v>0</v>
      </c>
      <c r="R64" s="76">
        <v>1</v>
      </c>
      <c r="S64" s="76">
        <v>0</v>
      </c>
      <c r="T64" s="76">
        <v>0</v>
      </c>
      <c r="U64" s="76">
        <v>0</v>
      </c>
      <c r="V64" s="76">
        <v>0</v>
      </c>
      <c r="W64" s="76">
        <v>0</v>
      </c>
      <c r="X64" s="76">
        <v>1</v>
      </c>
      <c r="Y64" s="76">
        <v>0</v>
      </c>
      <c r="Z64" s="76">
        <v>0</v>
      </c>
      <c r="AA64" s="76">
        <v>0</v>
      </c>
      <c r="AB64" s="76">
        <v>0</v>
      </c>
      <c r="AC64" s="76">
        <v>2</v>
      </c>
      <c r="AD64" s="76">
        <v>1</v>
      </c>
      <c r="AE64" s="76">
        <v>0</v>
      </c>
      <c r="AF64" s="76">
        <v>0</v>
      </c>
      <c r="AG64" s="76">
        <v>1</v>
      </c>
      <c r="AH64" s="76">
        <v>0</v>
      </c>
      <c r="AI64" s="76">
        <v>0</v>
      </c>
      <c r="AJ64" s="76">
        <v>0</v>
      </c>
      <c r="AK64" s="76">
        <v>0</v>
      </c>
      <c r="AL64" s="76">
        <v>0</v>
      </c>
      <c r="AM64" s="76">
        <v>0</v>
      </c>
      <c r="AN64" s="76">
        <v>1</v>
      </c>
      <c r="AO64" s="76">
        <v>0</v>
      </c>
      <c r="AP64" s="76">
        <v>1</v>
      </c>
      <c r="AQ64" s="76">
        <v>0</v>
      </c>
      <c r="AR64" s="76">
        <v>0</v>
      </c>
      <c r="AS64" s="76">
        <v>0</v>
      </c>
      <c r="AT64" s="76">
        <v>1</v>
      </c>
      <c r="AU64" s="76">
        <v>0</v>
      </c>
      <c r="AV64" s="76">
        <v>1</v>
      </c>
      <c r="AW64" s="76">
        <v>0</v>
      </c>
      <c r="AX64" s="76">
        <v>0</v>
      </c>
      <c r="AY64" s="76">
        <v>0</v>
      </c>
      <c r="AZ64" s="76">
        <v>0</v>
      </c>
      <c r="BA64" s="76">
        <v>0</v>
      </c>
      <c r="BB64" s="76">
        <v>1</v>
      </c>
      <c r="BC64" s="76">
        <v>0</v>
      </c>
      <c r="BD64" s="76">
        <v>2</v>
      </c>
      <c r="BE64" s="76">
        <v>0</v>
      </c>
      <c r="BF64" s="76">
        <v>0</v>
      </c>
      <c r="BG64" s="76">
        <v>0</v>
      </c>
      <c r="BH64" s="76">
        <v>2</v>
      </c>
      <c r="BI64" s="76">
        <v>0</v>
      </c>
      <c r="BJ64" s="76">
        <v>0</v>
      </c>
      <c r="BK64" s="76">
        <v>0</v>
      </c>
      <c r="BL64" s="76">
        <v>1</v>
      </c>
      <c r="BM64" s="76">
        <v>3</v>
      </c>
      <c r="BN64" s="76">
        <v>1</v>
      </c>
      <c r="BO64" s="76">
        <v>0</v>
      </c>
      <c r="BP64" s="76">
        <v>1</v>
      </c>
      <c r="BQ64" s="76">
        <v>0</v>
      </c>
      <c r="BR64" s="76">
        <v>0</v>
      </c>
      <c r="BS64" s="76">
        <v>0</v>
      </c>
      <c r="BT64" s="76">
        <v>0</v>
      </c>
      <c r="BU64" s="76">
        <v>0</v>
      </c>
      <c r="BV64" s="76">
        <v>0</v>
      </c>
      <c r="BW64" s="76">
        <v>0</v>
      </c>
      <c r="BX64" s="76">
        <v>0</v>
      </c>
      <c r="BY64" s="76">
        <v>0</v>
      </c>
      <c r="BZ64" s="76">
        <v>0</v>
      </c>
      <c r="CA64" s="76">
        <v>1</v>
      </c>
      <c r="CB64" s="76">
        <v>1</v>
      </c>
      <c r="CC64" s="76">
        <v>0</v>
      </c>
      <c r="CD64" s="76">
        <v>0</v>
      </c>
      <c r="CE64" s="76">
        <v>1</v>
      </c>
      <c r="CF64" s="76">
        <v>1</v>
      </c>
      <c r="CG64" s="76">
        <v>0</v>
      </c>
      <c r="CH64" s="76">
        <v>0</v>
      </c>
      <c r="CI64" s="76">
        <v>1</v>
      </c>
      <c r="CJ64" s="76">
        <v>0</v>
      </c>
      <c r="CK64" s="76">
        <v>0</v>
      </c>
      <c r="CL64" s="76">
        <v>0</v>
      </c>
      <c r="CM64" s="76">
        <v>0</v>
      </c>
      <c r="CN64" s="76">
        <v>0</v>
      </c>
      <c r="CO64" s="76">
        <v>0</v>
      </c>
      <c r="CP64" s="76">
        <v>0</v>
      </c>
      <c r="CQ64" s="76">
        <v>0</v>
      </c>
      <c r="CR64" s="76">
        <v>0</v>
      </c>
      <c r="CS64" s="76">
        <v>0</v>
      </c>
      <c r="CT64" s="76">
        <v>0</v>
      </c>
      <c r="CU64" s="76">
        <v>0</v>
      </c>
      <c r="CV64" s="76">
        <v>0</v>
      </c>
      <c r="CW64" s="76">
        <v>0</v>
      </c>
      <c r="CX64" s="76">
        <v>1</v>
      </c>
      <c r="CY64" s="76">
        <v>2</v>
      </c>
      <c r="CZ64" s="76">
        <v>0</v>
      </c>
      <c r="DA64" s="76">
        <v>1</v>
      </c>
      <c r="DB64" s="76">
        <v>0</v>
      </c>
      <c r="DC64" s="76">
        <v>0</v>
      </c>
      <c r="DD64" s="76">
        <v>0</v>
      </c>
      <c r="DE64" s="76">
        <v>0</v>
      </c>
      <c r="DF64" s="76">
        <v>0</v>
      </c>
      <c r="DG64" s="76">
        <v>0</v>
      </c>
      <c r="DH64" s="76">
        <v>0</v>
      </c>
      <c r="DI64" s="76">
        <v>1</v>
      </c>
      <c r="DJ64" s="76">
        <v>0</v>
      </c>
      <c r="DK64" s="76">
        <v>0</v>
      </c>
      <c r="DL64" s="76">
        <v>1</v>
      </c>
      <c r="DM64" s="76">
        <v>0</v>
      </c>
      <c r="DN64" s="76">
        <v>0</v>
      </c>
      <c r="DO64" s="76">
        <v>0</v>
      </c>
      <c r="DP64" s="76">
        <v>0</v>
      </c>
      <c r="DQ64" s="76">
        <v>0</v>
      </c>
      <c r="DR64" s="76">
        <v>0</v>
      </c>
      <c r="DS64" s="76">
        <v>0</v>
      </c>
      <c r="DT64" s="76">
        <v>1</v>
      </c>
      <c r="DU64" s="76">
        <v>0</v>
      </c>
      <c r="DV64" s="76">
        <v>0</v>
      </c>
      <c r="DW64" s="76">
        <v>1</v>
      </c>
      <c r="DX64" s="76">
        <v>0</v>
      </c>
      <c r="DY64" s="76">
        <v>0</v>
      </c>
      <c r="DZ64" s="76">
        <v>0</v>
      </c>
      <c r="EA64" s="76">
        <v>0</v>
      </c>
      <c r="EB64" s="76">
        <v>0</v>
      </c>
      <c r="EC64" s="76">
        <v>0</v>
      </c>
      <c r="ED64" s="76">
        <v>0</v>
      </c>
      <c r="EE64" s="76">
        <v>0</v>
      </c>
      <c r="EF64" s="76">
        <v>1</v>
      </c>
      <c r="EG64" s="76">
        <v>0</v>
      </c>
      <c r="EH64" s="76">
        <v>0</v>
      </c>
      <c r="EI64" s="76">
        <v>1</v>
      </c>
      <c r="EJ64" s="76">
        <v>0</v>
      </c>
      <c r="EK64" s="76">
        <v>0</v>
      </c>
      <c r="EL64" s="76">
        <v>0</v>
      </c>
      <c r="EM64" s="76">
        <v>0</v>
      </c>
      <c r="EN64" s="76">
        <v>0</v>
      </c>
      <c r="EO64" s="76">
        <v>0</v>
      </c>
      <c r="EP64" s="76">
        <v>0</v>
      </c>
      <c r="EQ64" s="76">
        <v>1</v>
      </c>
      <c r="ER64" s="76">
        <v>0</v>
      </c>
      <c r="ES64" s="76">
        <v>0</v>
      </c>
      <c r="ET64" s="76">
        <v>0</v>
      </c>
      <c r="EU64" s="76">
        <v>0</v>
      </c>
      <c r="EV64" s="76">
        <v>0</v>
      </c>
      <c r="EW64" s="76">
        <v>0</v>
      </c>
      <c r="EX64" s="76">
        <v>1</v>
      </c>
      <c r="EY64" s="76">
        <v>1</v>
      </c>
      <c r="EZ64" s="76">
        <v>1</v>
      </c>
      <c r="FA64" s="76">
        <v>1</v>
      </c>
      <c r="FB64" s="76">
        <v>0</v>
      </c>
      <c r="FC64" s="76">
        <v>0</v>
      </c>
      <c r="FD64" s="76">
        <v>1</v>
      </c>
      <c r="FE64" s="77">
        <f t="shared" si="0"/>
        <v>49</v>
      </c>
    </row>
    <row r="65" spans="1:161" s="24" customFormat="1" ht="20.100000000000001" customHeight="1" x14ac:dyDescent="0.2">
      <c r="A65" s="75" t="s">
        <v>289</v>
      </c>
      <c r="B65" s="76"/>
      <c r="C65" s="76"/>
      <c r="D65" s="76"/>
      <c r="E65" s="76"/>
      <c r="F65" s="76"/>
      <c r="G65" s="76"/>
      <c r="H65" s="76"/>
      <c r="I65" s="76"/>
      <c r="J65" s="76"/>
      <c r="K65" s="76"/>
      <c r="L65" s="76"/>
      <c r="M65" s="76"/>
      <c r="N65" s="76"/>
      <c r="O65" s="76"/>
      <c r="P65" s="76"/>
      <c r="Q65" s="76"/>
      <c r="R65" s="76"/>
      <c r="S65" s="76"/>
      <c r="T65" s="76"/>
      <c r="U65" s="76"/>
      <c r="V65" s="76"/>
      <c r="W65" s="76"/>
      <c r="X65" s="76"/>
      <c r="Y65" s="76"/>
      <c r="Z65" s="76"/>
      <c r="AA65" s="76"/>
      <c r="AB65" s="76"/>
      <c r="AC65" s="76"/>
      <c r="AD65" s="76"/>
      <c r="AE65" s="76"/>
      <c r="AF65" s="76"/>
      <c r="AG65" s="76"/>
      <c r="AH65" s="76"/>
      <c r="AI65" s="76"/>
      <c r="AJ65" s="76"/>
      <c r="AK65" s="76"/>
      <c r="AL65" s="76"/>
      <c r="AM65" s="76"/>
      <c r="AN65" s="76"/>
      <c r="AO65" s="76"/>
      <c r="AP65" s="76"/>
      <c r="AQ65" s="76"/>
      <c r="AR65" s="76"/>
      <c r="AS65" s="76"/>
      <c r="AT65" s="76"/>
      <c r="AU65" s="76"/>
      <c r="AV65" s="76"/>
      <c r="AW65" s="76"/>
      <c r="AX65" s="76"/>
      <c r="AY65" s="76"/>
      <c r="AZ65" s="76"/>
      <c r="BA65" s="76"/>
      <c r="BB65" s="76"/>
      <c r="BC65" s="76"/>
      <c r="BD65" s="76"/>
      <c r="BE65" s="76"/>
      <c r="BF65" s="76"/>
      <c r="BG65" s="76"/>
      <c r="BH65" s="76"/>
      <c r="BI65" s="76"/>
      <c r="BJ65" s="76"/>
      <c r="BK65" s="76"/>
      <c r="BL65" s="76"/>
      <c r="BM65" s="76"/>
      <c r="BN65" s="76"/>
      <c r="BO65" s="76"/>
      <c r="BP65" s="76"/>
      <c r="BQ65" s="76"/>
      <c r="BR65" s="76"/>
      <c r="BS65" s="76"/>
      <c r="BT65" s="76"/>
      <c r="BU65" s="76"/>
      <c r="BV65" s="76"/>
      <c r="BW65" s="76"/>
      <c r="BX65" s="76"/>
      <c r="BY65" s="76"/>
      <c r="BZ65" s="76"/>
      <c r="CA65" s="76"/>
      <c r="CB65" s="76"/>
      <c r="CC65" s="76"/>
      <c r="CD65" s="76"/>
      <c r="CE65" s="76"/>
      <c r="CF65" s="76"/>
      <c r="CG65" s="76"/>
      <c r="CH65" s="76"/>
      <c r="CI65" s="76"/>
      <c r="CJ65" s="76"/>
      <c r="CK65" s="76"/>
      <c r="CL65" s="76"/>
      <c r="CM65" s="76"/>
      <c r="CN65" s="76"/>
      <c r="CO65" s="76"/>
      <c r="CP65" s="76"/>
      <c r="CQ65" s="76"/>
      <c r="CR65" s="76"/>
      <c r="CS65" s="76"/>
      <c r="CT65" s="76"/>
      <c r="CU65" s="76"/>
      <c r="CV65" s="76"/>
      <c r="CW65" s="76">
        <v>0</v>
      </c>
      <c r="CX65" s="76">
        <v>0</v>
      </c>
      <c r="CY65" s="76">
        <v>0</v>
      </c>
      <c r="CZ65" s="76">
        <v>0</v>
      </c>
      <c r="DA65" s="76">
        <v>0</v>
      </c>
      <c r="DB65" s="76">
        <v>0</v>
      </c>
      <c r="DC65" s="76">
        <v>0</v>
      </c>
      <c r="DD65" s="76">
        <v>0</v>
      </c>
      <c r="DE65" s="76">
        <v>0</v>
      </c>
      <c r="DF65" s="76">
        <v>0</v>
      </c>
      <c r="DG65" s="76">
        <v>0</v>
      </c>
      <c r="DH65" s="76">
        <v>0</v>
      </c>
      <c r="DI65" s="76">
        <v>0</v>
      </c>
      <c r="DJ65" s="76">
        <v>0</v>
      </c>
      <c r="DK65" s="76">
        <v>1</v>
      </c>
      <c r="DL65" s="76">
        <v>0</v>
      </c>
      <c r="DM65" s="76">
        <v>0</v>
      </c>
      <c r="DN65" s="76">
        <v>0</v>
      </c>
      <c r="DO65" s="76">
        <v>0</v>
      </c>
      <c r="DP65" s="76">
        <v>0</v>
      </c>
      <c r="DQ65" s="76">
        <v>0</v>
      </c>
      <c r="DR65" s="76">
        <v>0</v>
      </c>
      <c r="DS65" s="76">
        <v>0</v>
      </c>
      <c r="DT65" s="76">
        <v>1</v>
      </c>
      <c r="DU65" s="76">
        <v>1</v>
      </c>
      <c r="DV65" s="76">
        <v>0</v>
      </c>
      <c r="DW65" s="76">
        <v>0</v>
      </c>
      <c r="DX65" s="76">
        <v>0</v>
      </c>
      <c r="DY65" s="76">
        <v>0</v>
      </c>
      <c r="DZ65" s="76">
        <v>1</v>
      </c>
      <c r="EA65" s="76">
        <v>0</v>
      </c>
      <c r="EB65" s="76">
        <v>1</v>
      </c>
      <c r="EC65" s="76">
        <v>0</v>
      </c>
      <c r="ED65" s="76">
        <v>0</v>
      </c>
      <c r="EE65" s="76">
        <v>0</v>
      </c>
      <c r="EF65" s="76">
        <v>0</v>
      </c>
      <c r="EG65" s="76">
        <v>0</v>
      </c>
      <c r="EH65" s="76">
        <v>0</v>
      </c>
      <c r="EI65" s="76">
        <v>0</v>
      </c>
      <c r="EJ65" s="76">
        <v>0</v>
      </c>
      <c r="EK65" s="76">
        <v>0</v>
      </c>
      <c r="EL65" s="76">
        <v>0</v>
      </c>
      <c r="EM65" s="76">
        <v>0</v>
      </c>
      <c r="EN65" s="76">
        <v>0</v>
      </c>
      <c r="EO65" s="76">
        <v>0</v>
      </c>
      <c r="EP65" s="76">
        <v>0</v>
      </c>
      <c r="EQ65" s="76">
        <v>0</v>
      </c>
      <c r="ER65" s="76">
        <v>0</v>
      </c>
      <c r="ES65" s="76">
        <v>0</v>
      </c>
      <c r="ET65" s="76">
        <v>0</v>
      </c>
      <c r="EU65" s="76">
        <v>0</v>
      </c>
      <c r="EV65" s="76">
        <v>0</v>
      </c>
      <c r="EW65" s="76">
        <v>0</v>
      </c>
      <c r="EX65" s="76">
        <v>0</v>
      </c>
      <c r="EY65" s="76">
        <v>0</v>
      </c>
      <c r="EZ65" s="76">
        <v>0</v>
      </c>
      <c r="FA65" s="76">
        <v>0</v>
      </c>
      <c r="FB65" s="76">
        <v>0</v>
      </c>
      <c r="FC65" s="76">
        <v>0</v>
      </c>
      <c r="FD65" s="76">
        <v>0</v>
      </c>
      <c r="FE65" s="77">
        <f t="shared" si="0"/>
        <v>5</v>
      </c>
    </row>
    <row r="66" spans="1:161" s="24" customFormat="1" ht="20.100000000000001" customHeight="1" x14ac:dyDescent="0.2">
      <c r="A66" s="75" t="s">
        <v>274</v>
      </c>
      <c r="B66" s="76">
        <v>3</v>
      </c>
      <c r="C66" s="76">
        <v>3</v>
      </c>
      <c r="D66" s="76">
        <v>2</v>
      </c>
      <c r="E66" s="76">
        <v>2</v>
      </c>
      <c r="F66" s="76">
        <v>3</v>
      </c>
      <c r="G66" s="76">
        <v>4</v>
      </c>
      <c r="H66" s="76">
        <v>0</v>
      </c>
      <c r="I66" s="76">
        <v>3</v>
      </c>
      <c r="J66" s="76">
        <v>3</v>
      </c>
      <c r="K66" s="76">
        <v>0</v>
      </c>
      <c r="L66" s="76">
        <v>2</v>
      </c>
      <c r="M66" s="76">
        <v>2</v>
      </c>
      <c r="N66" s="76">
        <v>2</v>
      </c>
      <c r="O66" s="76">
        <v>2</v>
      </c>
      <c r="P66" s="76">
        <v>3</v>
      </c>
      <c r="Q66" s="76">
        <v>2</v>
      </c>
      <c r="R66" s="76">
        <v>0</v>
      </c>
      <c r="S66" s="76">
        <v>1</v>
      </c>
      <c r="T66" s="76">
        <v>0</v>
      </c>
      <c r="U66" s="76">
        <v>0</v>
      </c>
      <c r="V66" s="76">
        <v>0</v>
      </c>
      <c r="W66" s="76">
        <v>2</v>
      </c>
      <c r="X66" s="76">
        <v>4</v>
      </c>
      <c r="Y66" s="76">
        <v>1</v>
      </c>
      <c r="Z66" s="76">
        <v>0</v>
      </c>
      <c r="AA66" s="76">
        <v>1</v>
      </c>
      <c r="AB66" s="76">
        <v>3</v>
      </c>
      <c r="AC66" s="76">
        <v>3</v>
      </c>
      <c r="AD66" s="76">
        <v>0</v>
      </c>
      <c r="AE66" s="76">
        <v>1</v>
      </c>
      <c r="AF66" s="76">
        <v>1</v>
      </c>
      <c r="AG66" s="76">
        <v>0</v>
      </c>
      <c r="AH66" s="76">
        <v>0</v>
      </c>
      <c r="AI66" s="76">
        <v>1</v>
      </c>
      <c r="AJ66" s="76">
        <v>0</v>
      </c>
      <c r="AK66" s="76">
        <v>2</v>
      </c>
      <c r="AL66" s="76">
        <v>0</v>
      </c>
      <c r="AM66" s="76">
        <v>3</v>
      </c>
      <c r="AN66" s="76">
        <v>1</v>
      </c>
      <c r="AO66" s="76">
        <v>1</v>
      </c>
      <c r="AP66" s="76">
        <v>1</v>
      </c>
      <c r="AQ66" s="76">
        <v>0</v>
      </c>
      <c r="AR66" s="76">
        <v>0</v>
      </c>
      <c r="AS66" s="76">
        <v>2</v>
      </c>
      <c r="AT66" s="76">
        <v>3</v>
      </c>
      <c r="AU66" s="76">
        <v>2</v>
      </c>
      <c r="AV66" s="76">
        <v>2</v>
      </c>
      <c r="AW66" s="76">
        <v>0</v>
      </c>
      <c r="AX66" s="76">
        <v>1</v>
      </c>
      <c r="AY66" s="76">
        <v>1</v>
      </c>
      <c r="AZ66" s="76">
        <v>1</v>
      </c>
      <c r="BA66" s="76">
        <v>3</v>
      </c>
      <c r="BB66" s="76">
        <v>1</v>
      </c>
      <c r="BC66" s="76">
        <v>1</v>
      </c>
      <c r="BD66" s="76">
        <v>1</v>
      </c>
      <c r="BE66" s="76">
        <v>1</v>
      </c>
      <c r="BF66" s="76">
        <v>2</v>
      </c>
      <c r="BG66" s="76">
        <v>2</v>
      </c>
      <c r="BH66" s="76">
        <v>1</v>
      </c>
      <c r="BI66" s="76">
        <v>2</v>
      </c>
      <c r="BJ66" s="76">
        <v>0</v>
      </c>
      <c r="BK66" s="76">
        <v>2</v>
      </c>
      <c r="BL66" s="76">
        <v>2</v>
      </c>
      <c r="BM66" s="76">
        <v>4</v>
      </c>
      <c r="BN66" s="76">
        <v>2</v>
      </c>
      <c r="BO66" s="76">
        <v>0</v>
      </c>
      <c r="BP66" s="76">
        <v>2</v>
      </c>
      <c r="BQ66" s="76">
        <v>1</v>
      </c>
      <c r="BR66" s="76">
        <v>4</v>
      </c>
      <c r="BS66" s="76">
        <v>0</v>
      </c>
      <c r="BT66" s="76">
        <v>0</v>
      </c>
      <c r="BU66" s="76">
        <v>0</v>
      </c>
      <c r="BV66" s="76">
        <v>0</v>
      </c>
      <c r="BW66" s="76">
        <v>1</v>
      </c>
      <c r="BX66" s="76">
        <v>0</v>
      </c>
      <c r="BY66" s="76">
        <v>1</v>
      </c>
      <c r="BZ66" s="76">
        <v>2</v>
      </c>
      <c r="CA66" s="76">
        <v>0</v>
      </c>
      <c r="CB66" s="76">
        <v>0</v>
      </c>
      <c r="CC66" s="76">
        <v>0</v>
      </c>
      <c r="CD66" s="76">
        <v>1</v>
      </c>
      <c r="CE66" s="76">
        <v>4</v>
      </c>
      <c r="CF66" s="76">
        <v>1</v>
      </c>
      <c r="CG66" s="76">
        <v>0</v>
      </c>
      <c r="CH66" s="76">
        <v>0</v>
      </c>
      <c r="CI66" s="76">
        <v>0</v>
      </c>
      <c r="CJ66" s="76">
        <v>0</v>
      </c>
      <c r="CK66" s="76">
        <v>0</v>
      </c>
      <c r="CL66" s="76">
        <v>1</v>
      </c>
      <c r="CM66" s="76">
        <v>1</v>
      </c>
      <c r="CN66" s="76">
        <v>0</v>
      </c>
      <c r="CO66" s="76">
        <v>0</v>
      </c>
      <c r="CP66" s="76">
        <v>0</v>
      </c>
      <c r="CQ66" s="76">
        <v>0</v>
      </c>
      <c r="CR66" s="76">
        <v>0</v>
      </c>
      <c r="CS66" s="76">
        <v>0</v>
      </c>
      <c r="CT66" s="76">
        <v>0</v>
      </c>
      <c r="CU66" s="76">
        <v>0</v>
      </c>
      <c r="CV66" s="76">
        <v>0</v>
      </c>
      <c r="CW66" s="76">
        <v>0</v>
      </c>
      <c r="CX66" s="76">
        <v>0</v>
      </c>
      <c r="CY66" s="76">
        <v>0</v>
      </c>
      <c r="CZ66" s="76">
        <v>0</v>
      </c>
      <c r="DA66" s="76">
        <v>0</v>
      </c>
      <c r="DB66" s="76">
        <v>0</v>
      </c>
      <c r="DC66" s="76">
        <v>0</v>
      </c>
      <c r="DD66" s="76">
        <v>0</v>
      </c>
      <c r="DE66" s="76">
        <v>0</v>
      </c>
      <c r="DF66" s="76">
        <v>0</v>
      </c>
      <c r="DG66" s="76">
        <v>0</v>
      </c>
      <c r="DH66" s="76">
        <v>0</v>
      </c>
      <c r="DI66" s="76">
        <v>0</v>
      </c>
      <c r="DJ66" s="76">
        <v>0</v>
      </c>
      <c r="DK66" s="76">
        <v>0</v>
      </c>
      <c r="DL66" s="76">
        <v>0</v>
      </c>
      <c r="DM66" s="76">
        <v>0</v>
      </c>
      <c r="DN66" s="76">
        <v>0</v>
      </c>
      <c r="DO66" s="76">
        <v>0</v>
      </c>
      <c r="DP66" s="76">
        <v>0</v>
      </c>
      <c r="DQ66" s="76">
        <v>0</v>
      </c>
      <c r="DR66" s="76">
        <v>0</v>
      </c>
      <c r="DS66" s="76">
        <v>0</v>
      </c>
      <c r="DT66" s="76">
        <v>0</v>
      </c>
      <c r="DU66" s="76">
        <v>0</v>
      </c>
      <c r="DV66" s="76">
        <v>0</v>
      </c>
      <c r="DW66" s="76">
        <v>0</v>
      </c>
      <c r="DX66" s="76">
        <v>0</v>
      </c>
      <c r="DY66" s="76">
        <v>0</v>
      </c>
      <c r="DZ66" s="76">
        <v>0</v>
      </c>
      <c r="EA66" s="76">
        <v>0</v>
      </c>
      <c r="EB66" s="76">
        <v>0</v>
      </c>
      <c r="EC66" s="76">
        <v>0</v>
      </c>
      <c r="ED66" s="76">
        <v>0</v>
      </c>
      <c r="EE66" s="76">
        <v>0</v>
      </c>
      <c r="EF66" s="76">
        <v>0</v>
      </c>
      <c r="EG66" s="76">
        <v>0</v>
      </c>
      <c r="EH66" s="76">
        <v>0</v>
      </c>
      <c r="EI66" s="76">
        <v>0</v>
      </c>
      <c r="EJ66" s="76">
        <v>0</v>
      </c>
      <c r="EK66" s="76">
        <v>0</v>
      </c>
      <c r="EL66" s="76">
        <v>0</v>
      </c>
      <c r="EM66" s="76">
        <v>0</v>
      </c>
      <c r="EN66" s="76">
        <v>0</v>
      </c>
      <c r="EO66" s="76">
        <v>0</v>
      </c>
      <c r="EP66" s="76">
        <v>0</v>
      </c>
      <c r="EQ66" s="76">
        <v>0</v>
      </c>
      <c r="ER66" s="76">
        <v>0</v>
      </c>
      <c r="ES66" s="76">
        <v>0</v>
      </c>
      <c r="ET66" s="76">
        <v>0</v>
      </c>
      <c r="EU66" s="76">
        <v>0</v>
      </c>
      <c r="EV66" s="76">
        <v>0</v>
      </c>
      <c r="EW66" s="76">
        <v>0</v>
      </c>
      <c r="EX66" s="76">
        <v>0</v>
      </c>
      <c r="EY66" s="76">
        <v>0</v>
      </c>
      <c r="EZ66" s="76">
        <v>0</v>
      </c>
      <c r="FA66" s="76">
        <v>0</v>
      </c>
      <c r="FB66" s="76">
        <v>0</v>
      </c>
      <c r="FC66" s="76">
        <v>0</v>
      </c>
      <c r="FD66" s="76">
        <v>0</v>
      </c>
      <c r="FE66" s="77">
        <f t="shared" si="0"/>
        <v>117</v>
      </c>
    </row>
    <row r="67" spans="1:161" s="24" customFormat="1" ht="20.100000000000001" customHeight="1" x14ac:dyDescent="0.2">
      <c r="A67" s="75" t="s">
        <v>345</v>
      </c>
      <c r="B67" s="76"/>
      <c r="C67" s="76"/>
      <c r="D67" s="76"/>
      <c r="E67" s="76"/>
      <c r="F67" s="76"/>
      <c r="G67" s="76"/>
      <c r="H67" s="76"/>
      <c r="I67" s="76"/>
      <c r="J67" s="76"/>
      <c r="K67" s="76"/>
      <c r="L67" s="76"/>
      <c r="M67" s="76"/>
      <c r="N67" s="76"/>
      <c r="O67" s="76"/>
      <c r="P67" s="76"/>
      <c r="Q67" s="76"/>
      <c r="R67" s="76"/>
      <c r="S67" s="76"/>
      <c r="T67" s="76"/>
      <c r="U67" s="76"/>
      <c r="V67" s="76"/>
      <c r="W67" s="76"/>
      <c r="X67" s="76"/>
      <c r="Y67" s="76"/>
      <c r="Z67" s="76"/>
      <c r="AA67" s="76"/>
      <c r="AB67" s="76"/>
      <c r="AC67" s="76"/>
      <c r="AD67" s="76"/>
      <c r="AE67" s="76"/>
      <c r="AF67" s="76"/>
      <c r="AG67" s="76"/>
      <c r="AH67" s="76"/>
      <c r="AI67" s="76"/>
      <c r="AJ67" s="76"/>
      <c r="AK67" s="76"/>
      <c r="AL67" s="76"/>
      <c r="AM67" s="76"/>
      <c r="AN67" s="76"/>
      <c r="AO67" s="76"/>
      <c r="AP67" s="76"/>
      <c r="AQ67" s="76"/>
      <c r="AR67" s="76"/>
      <c r="AS67" s="76"/>
      <c r="AT67" s="76"/>
      <c r="AU67" s="76"/>
      <c r="AV67" s="76"/>
      <c r="AW67" s="76"/>
      <c r="AX67" s="76"/>
      <c r="AY67" s="76"/>
      <c r="AZ67" s="76"/>
      <c r="BA67" s="76"/>
      <c r="BB67" s="76"/>
      <c r="BC67" s="76"/>
      <c r="BD67" s="76"/>
      <c r="BE67" s="76"/>
      <c r="BF67" s="76"/>
      <c r="BG67" s="76"/>
      <c r="BH67" s="76"/>
      <c r="BI67" s="76"/>
      <c r="BJ67" s="76"/>
      <c r="BK67" s="76"/>
      <c r="BL67" s="76"/>
      <c r="BM67" s="76"/>
      <c r="BN67" s="76"/>
      <c r="BO67" s="76"/>
      <c r="BP67" s="76"/>
      <c r="BQ67" s="76"/>
      <c r="BR67" s="76"/>
      <c r="BS67" s="76"/>
      <c r="BT67" s="76"/>
      <c r="BU67" s="76"/>
      <c r="BV67" s="76"/>
      <c r="BW67" s="76"/>
      <c r="BX67" s="76"/>
      <c r="BY67" s="76"/>
      <c r="BZ67" s="76"/>
      <c r="CA67" s="76"/>
      <c r="CB67" s="76"/>
      <c r="CC67" s="76"/>
      <c r="CD67" s="76"/>
      <c r="CE67" s="76"/>
      <c r="CF67" s="76"/>
      <c r="CG67" s="76"/>
      <c r="CH67" s="76"/>
      <c r="CI67" s="76"/>
      <c r="CJ67" s="76"/>
      <c r="CK67" s="76"/>
      <c r="CL67" s="76"/>
      <c r="CM67" s="76"/>
      <c r="CN67" s="76"/>
      <c r="CO67" s="76"/>
      <c r="CP67" s="76"/>
      <c r="CQ67" s="76">
        <v>0</v>
      </c>
      <c r="CR67" s="76">
        <v>0</v>
      </c>
      <c r="CS67" s="76">
        <v>0</v>
      </c>
      <c r="CT67" s="76">
        <v>0</v>
      </c>
      <c r="CU67" s="76">
        <v>0</v>
      </c>
      <c r="CV67" s="76">
        <v>0</v>
      </c>
      <c r="CW67" s="76">
        <v>0</v>
      </c>
      <c r="CX67" s="76">
        <v>0</v>
      </c>
      <c r="CY67" s="76">
        <v>0</v>
      </c>
      <c r="CZ67" s="76">
        <v>0</v>
      </c>
      <c r="DA67" s="76">
        <v>0</v>
      </c>
      <c r="DB67" s="76">
        <v>0</v>
      </c>
      <c r="DC67" s="76">
        <v>1</v>
      </c>
      <c r="DD67" s="76">
        <v>1</v>
      </c>
      <c r="DE67" s="76">
        <v>0</v>
      </c>
      <c r="DF67" s="76">
        <v>1</v>
      </c>
      <c r="DG67" s="76">
        <v>1</v>
      </c>
      <c r="DH67" s="76">
        <v>1</v>
      </c>
      <c r="DI67" s="76">
        <v>0</v>
      </c>
      <c r="DJ67" s="76">
        <v>0</v>
      </c>
      <c r="DK67" s="76">
        <v>0</v>
      </c>
      <c r="DL67" s="76">
        <v>0</v>
      </c>
      <c r="DM67" s="76">
        <v>1</v>
      </c>
      <c r="DN67" s="76">
        <v>0</v>
      </c>
      <c r="DO67" s="76">
        <v>0</v>
      </c>
      <c r="DP67" s="76">
        <v>0</v>
      </c>
      <c r="DQ67" s="76">
        <v>0</v>
      </c>
      <c r="DR67" s="76">
        <v>0</v>
      </c>
      <c r="DS67" s="76">
        <v>0</v>
      </c>
      <c r="DT67" s="76">
        <v>0</v>
      </c>
      <c r="DU67" s="76">
        <v>0</v>
      </c>
      <c r="DV67" s="76">
        <v>0</v>
      </c>
      <c r="DW67" s="76">
        <v>0</v>
      </c>
      <c r="DX67" s="76">
        <v>0</v>
      </c>
      <c r="DY67" s="76">
        <v>0</v>
      </c>
      <c r="DZ67" s="76">
        <v>1</v>
      </c>
      <c r="EA67" s="76">
        <v>1</v>
      </c>
      <c r="EB67" s="76">
        <v>0</v>
      </c>
      <c r="EC67" s="76">
        <v>1</v>
      </c>
      <c r="ED67" s="76">
        <v>1</v>
      </c>
      <c r="EE67" s="76">
        <v>2</v>
      </c>
      <c r="EF67" s="76">
        <v>2</v>
      </c>
      <c r="EG67" s="76">
        <v>0</v>
      </c>
      <c r="EH67" s="76">
        <v>1</v>
      </c>
      <c r="EI67" s="76">
        <v>2</v>
      </c>
      <c r="EJ67" s="76">
        <v>2</v>
      </c>
      <c r="EK67" s="76">
        <v>2</v>
      </c>
      <c r="EL67" s="76">
        <v>1</v>
      </c>
      <c r="EM67" s="76">
        <v>0</v>
      </c>
      <c r="EN67" s="76">
        <v>0</v>
      </c>
      <c r="EO67" s="76">
        <v>1</v>
      </c>
      <c r="EP67" s="76">
        <v>0</v>
      </c>
      <c r="EQ67" s="76">
        <v>0</v>
      </c>
      <c r="ER67" s="76">
        <v>0</v>
      </c>
      <c r="ES67" s="76">
        <v>0</v>
      </c>
      <c r="ET67" s="76">
        <v>0</v>
      </c>
      <c r="EU67" s="76">
        <v>0</v>
      </c>
      <c r="EV67" s="76">
        <v>0</v>
      </c>
      <c r="EW67" s="76">
        <v>0</v>
      </c>
      <c r="EX67" s="76">
        <v>0</v>
      </c>
      <c r="EY67" s="76">
        <v>0</v>
      </c>
      <c r="EZ67" s="76">
        <v>0</v>
      </c>
      <c r="FA67" s="76">
        <v>0</v>
      </c>
      <c r="FB67" s="76">
        <v>0</v>
      </c>
      <c r="FC67" s="76">
        <v>0</v>
      </c>
      <c r="FD67" s="76">
        <v>0</v>
      </c>
      <c r="FE67" s="77">
        <f t="shared" si="0"/>
        <v>23</v>
      </c>
    </row>
    <row r="68" spans="1:161" s="24" customFormat="1" ht="19.5" customHeight="1" x14ac:dyDescent="0.25">
      <c r="A68" s="153" t="s">
        <v>392</v>
      </c>
      <c r="B68" s="76">
        <v>0</v>
      </c>
      <c r="C68" s="76">
        <v>0</v>
      </c>
      <c r="D68" s="76">
        <v>0</v>
      </c>
      <c r="E68" s="76">
        <v>0</v>
      </c>
      <c r="F68" s="76">
        <v>1</v>
      </c>
      <c r="G68" s="76">
        <v>0</v>
      </c>
      <c r="H68" s="76">
        <v>0</v>
      </c>
      <c r="I68" s="76">
        <v>0</v>
      </c>
      <c r="J68" s="76">
        <v>0</v>
      </c>
      <c r="K68" s="76">
        <v>0</v>
      </c>
      <c r="L68" s="76">
        <v>0</v>
      </c>
      <c r="M68" s="76">
        <v>1</v>
      </c>
      <c r="N68" s="76">
        <v>0</v>
      </c>
      <c r="O68" s="76">
        <v>0</v>
      </c>
      <c r="P68" s="76">
        <v>0</v>
      </c>
      <c r="Q68" s="76">
        <v>0</v>
      </c>
      <c r="R68" s="76">
        <v>1</v>
      </c>
      <c r="S68" s="76">
        <v>1</v>
      </c>
      <c r="T68" s="76">
        <v>1</v>
      </c>
      <c r="U68" s="76">
        <v>0</v>
      </c>
      <c r="V68" s="76">
        <v>1</v>
      </c>
      <c r="W68" s="76">
        <v>0</v>
      </c>
      <c r="X68" s="76">
        <v>0</v>
      </c>
      <c r="Y68" s="76">
        <v>0</v>
      </c>
      <c r="Z68" s="76">
        <v>0</v>
      </c>
      <c r="AA68" s="76">
        <v>0</v>
      </c>
      <c r="AB68" s="76">
        <v>0</v>
      </c>
      <c r="AC68" s="76">
        <v>0</v>
      </c>
      <c r="AD68" s="76">
        <v>0</v>
      </c>
      <c r="AE68" s="76">
        <v>0</v>
      </c>
      <c r="AF68" s="76">
        <v>0</v>
      </c>
      <c r="AG68" s="76">
        <v>0</v>
      </c>
      <c r="AH68" s="76">
        <v>1</v>
      </c>
      <c r="AI68" s="76">
        <v>0</v>
      </c>
      <c r="AJ68" s="76">
        <v>1</v>
      </c>
      <c r="AK68" s="76">
        <v>0</v>
      </c>
      <c r="AL68" s="76">
        <v>0</v>
      </c>
      <c r="AM68" s="76">
        <v>0</v>
      </c>
      <c r="AN68" s="76">
        <v>0</v>
      </c>
      <c r="AO68" s="76">
        <v>1</v>
      </c>
      <c r="AP68" s="76">
        <v>0</v>
      </c>
      <c r="AQ68" s="76">
        <v>0</v>
      </c>
      <c r="AR68" s="76">
        <v>0</v>
      </c>
      <c r="AS68" s="76">
        <v>3</v>
      </c>
      <c r="AT68" s="76">
        <v>0</v>
      </c>
      <c r="AU68" s="76">
        <v>0</v>
      </c>
      <c r="AV68" s="76">
        <v>0</v>
      </c>
      <c r="AW68" s="76">
        <v>0</v>
      </c>
      <c r="AX68" s="76">
        <v>0</v>
      </c>
      <c r="AY68" s="76">
        <v>0</v>
      </c>
      <c r="AZ68" s="76">
        <v>0</v>
      </c>
      <c r="BA68" s="76">
        <v>0</v>
      </c>
      <c r="BB68" s="76">
        <v>0</v>
      </c>
      <c r="BC68" s="76">
        <v>0</v>
      </c>
      <c r="BD68" s="76">
        <v>0</v>
      </c>
      <c r="BE68" s="76">
        <v>0</v>
      </c>
      <c r="BF68" s="76">
        <v>1</v>
      </c>
      <c r="BG68" s="76">
        <v>1</v>
      </c>
      <c r="BH68" s="76">
        <v>1</v>
      </c>
      <c r="BI68" s="76">
        <v>0</v>
      </c>
      <c r="BJ68" s="76">
        <v>1</v>
      </c>
      <c r="BK68" s="76">
        <v>3</v>
      </c>
      <c r="BL68" s="76">
        <v>0</v>
      </c>
      <c r="BM68" s="76">
        <v>0</v>
      </c>
      <c r="BN68" s="76">
        <v>1</v>
      </c>
      <c r="BO68" s="76">
        <v>0</v>
      </c>
      <c r="BP68" s="76">
        <v>1</v>
      </c>
      <c r="BQ68" s="76">
        <v>1</v>
      </c>
      <c r="BR68" s="76">
        <v>0</v>
      </c>
      <c r="BS68" s="76">
        <v>0</v>
      </c>
      <c r="BT68" s="76">
        <v>0</v>
      </c>
      <c r="BU68" s="76">
        <v>0</v>
      </c>
      <c r="BV68" s="76">
        <v>0</v>
      </c>
      <c r="BW68" s="76">
        <v>0</v>
      </c>
      <c r="BX68" s="76">
        <v>0</v>
      </c>
      <c r="BY68" s="76">
        <v>0</v>
      </c>
      <c r="BZ68" s="76">
        <v>0</v>
      </c>
      <c r="CA68" s="76">
        <v>0</v>
      </c>
      <c r="CB68" s="76">
        <v>0</v>
      </c>
      <c r="CC68" s="76">
        <v>0</v>
      </c>
      <c r="CD68" s="76">
        <v>0</v>
      </c>
      <c r="CE68" s="76">
        <v>0</v>
      </c>
      <c r="CF68" s="76">
        <v>0</v>
      </c>
      <c r="CG68" s="76">
        <v>0</v>
      </c>
      <c r="CH68" s="76">
        <v>0</v>
      </c>
      <c r="CI68" s="76">
        <v>0</v>
      </c>
      <c r="CJ68" s="76">
        <v>0</v>
      </c>
      <c r="CK68" s="76">
        <v>0</v>
      </c>
      <c r="CL68" s="76">
        <v>0</v>
      </c>
      <c r="CM68" s="76">
        <v>0</v>
      </c>
      <c r="CN68" s="76">
        <v>0</v>
      </c>
      <c r="CO68" s="76">
        <v>0</v>
      </c>
      <c r="CP68" s="76">
        <v>0</v>
      </c>
      <c r="CQ68" s="76">
        <v>0</v>
      </c>
      <c r="CR68" s="76">
        <v>0</v>
      </c>
      <c r="CS68" s="76">
        <v>0</v>
      </c>
      <c r="CT68" s="76">
        <v>0</v>
      </c>
      <c r="CU68" s="76">
        <v>0</v>
      </c>
      <c r="CV68" s="76">
        <v>0</v>
      </c>
      <c r="CW68" s="76">
        <v>0</v>
      </c>
      <c r="CX68" s="76">
        <v>0</v>
      </c>
      <c r="CY68" s="76">
        <v>1</v>
      </c>
      <c r="CZ68" s="76">
        <v>0</v>
      </c>
      <c r="DA68" s="76">
        <v>0</v>
      </c>
      <c r="DB68" s="76">
        <v>0</v>
      </c>
      <c r="DC68" s="76">
        <v>0</v>
      </c>
      <c r="DD68" s="76">
        <v>0</v>
      </c>
      <c r="DE68" s="76">
        <v>0</v>
      </c>
      <c r="DF68" s="76">
        <v>1</v>
      </c>
      <c r="DG68" s="76">
        <v>0</v>
      </c>
      <c r="DH68" s="76">
        <v>0</v>
      </c>
      <c r="DI68" s="76">
        <v>0</v>
      </c>
      <c r="DJ68" s="76">
        <v>0</v>
      </c>
      <c r="DK68" s="76">
        <v>0</v>
      </c>
      <c r="DL68" s="76">
        <v>0</v>
      </c>
      <c r="DM68" s="76">
        <v>0</v>
      </c>
      <c r="DN68" s="76">
        <v>0</v>
      </c>
      <c r="DO68" s="76">
        <v>1</v>
      </c>
      <c r="DP68" s="76">
        <v>0</v>
      </c>
      <c r="DQ68" s="76">
        <v>0</v>
      </c>
      <c r="DR68" s="76">
        <v>0</v>
      </c>
      <c r="DS68" s="76">
        <v>0</v>
      </c>
      <c r="DT68" s="76">
        <v>1</v>
      </c>
      <c r="DU68" s="76">
        <v>0</v>
      </c>
      <c r="DV68" s="76">
        <v>0</v>
      </c>
      <c r="DW68" s="76">
        <v>0</v>
      </c>
      <c r="DX68" s="76">
        <v>0</v>
      </c>
      <c r="DY68" s="76">
        <v>0</v>
      </c>
      <c r="DZ68" s="76">
        <v>0</v>
      </c>
      <c r="EA68" s="76">
        <v>0</v>
      </c>
      <c r="EB68" s="76">
        <v>0</v>
      </c>
      <c r="EC68" s="76">
        <v>0</v>
      </c>
      <c r="ED68" s="76">
        <v>0</v>
      </c>
      <c r="EE68" s="76">
        <v>0</v>
      </c>
      <c r="EF68" s="76">
        <v>0</v>
      </c>
      <c r="EG68" s="76">
        <v>0</v>
      </c>
      <c r="EH68" s="76">
        <v>0</v>
      </c>
      <c r="EI68" s="76">
        <v>0</v>
      </c>
      <c r="EJ68" s="76">
        <v>0</v>
      </c>
      <c r="EK68" s="76">
        <v>0</v>
      </c>
      <c r="EL68" s="76">
        <v>0</v>
      </c>
      <c r="EM68" s="76">
        <v>0</v>
      </c>
      <c r="EN68" s="76">
        <v>0</v>
      </c>
      <c r="EO68" s="76">
        <v>0</v>
      </c>
      <c r="EP68" s="76">
        <v>0</v>
      </c>
      <c r="EQ68" s="76">
        <v>1</v>
      </c>
      <c r="ER68" s="76">
        <v>0</v>
      </c>
      <c r="ES68" s="76">
        <v>0</v>
      </c>
      <c r="ET68" s="76">
        <v>0</v>
      </c>
      <c r="EU68" s="76">
        <v>0</v>
      </c>
      <c r="EV68" s="76">
        <v>0</v>
      </c>
      <c r="EW68" s="76">
        <v>0</v>
      </c>
      <c r="EX68" s="76">
        <v>0</v>
      </c>
      <c r="EY68" s="76">
        <v>0</v>
      </c>
      <c r="EZ68" s="76">
        <v>0</v>
      </c>
      <c r="FA68" s="76">
        <v>0</v>
      </c>
      <c r="FB68" s="76">
        <v>0</v>
      </c>
      <c r="FC68" s="76">
        <v>0</v>
      </c>
      <c r="FD68" s="76">
        <v>0</v>
      </c>
      <c r="FE68" s="77">
        <f t="shared" si="0"/>
        <v>27</v>
      </c>
    </row>
    <row r="69" spans="1:161" s="24" customFormat="1" ht="19.5" customHeight="1" x14ac:dyDescent="0.25">
      <c r="A69" s="153" t="s">
        <v>393</v>
      </c>
      <c r="B69" s="76">
        <v>1</v>
      </c>
      <c r="C69" s="76">
        <v>0</v>
      </c>
      <c r="D69" s="76">
        <v>0</v>
      </c>
      <c r="E69" s="76">
        <v>0</v>
      </c>
      <c r="F69" s="76">
        <v>1</v>
      </c>
      <c r="G69" s="76">
        <v>2</v>
      </c>
      <c r="H69" s="76">
        <v>1</v>
      </c>
      <c r="I69" s="76">
        <v>1</v>
      </c>
      <c r="J69" s="76">
        <v>0</v>
      </c>
      <c r="K69" s="76">
        <v>3</v>
      </c>
      <c r="L69" s="76">
        <v>1</v>
      </c>
      <c r="M69" s="76">
        <v>1</v>
      </c>
      <c r="N69" s="76">
        <v>2</v>
      </c>
      <c r="O69" s="76">
        <v>1</v>
      </c>
      <c r="P69" s="76">
        <v>2</v>
      </c>
      <c r="Q69" s="76">
        <v>2</v>
      </c>
      <c r="R69" s="76">
        <v>1</v>
      </c>
      <c r="S69" s="76">
        <v>3</v>
      </c>
      <c r="T69" s="76">
        <v>2</v>
      </c>
      <c r="U69" s="76">
        <v>0</v>
      </c>
      <c r="V69" s="76">
        <v>0</v>
      </c>
      <c r="W69" s="76">
        <v>2</v>
      </c>
      <c r="X69" s="76">
        <v>1</v>
      </c>
      <c r="Y69" s="76">
        <v>1</v>
      </c>
      <c r="Z69" s="76">
        <v>0</v>
      </c>
      <c r="AA69" s="76">
        <v>0</v>
      </c>
      <c r="AB69" s="76">
        <v>0</v>
      </c>
      <c r="AC69" s="76">
        <v>2</v>
      </c>
      <c r="AD69" s="76">
        <v>1</v>
      </c>
      <c r="AE69" s="76">
        <v>2</v>
      </c>
      <c r="AF69" s="76">
        <v>0</v>
      </c>
      <c r="AG69" s="76">
        <v>1</v>
      </c>
      <c r="AH69" s="76">
        <v>1</v>
      </c>
      <c r="AI69" s="76">
        <v>0</v>
      </c>
      <c r="AJ69" s="76">
        <v>1</v>
      </c>
      <c r="AK69" s="76">
        <v>0</v>
      </c>
      <c r="AL69" s="76">
        <v>1</v>
      </c>
      <c r="AM69" s="76">
        <v>1</v>
      </c>
      <c r="AN69" s="76">
        <v>0</v>
      </c>
      <c r="AO69" s="76">
        <v>1</v>
      </c>
      <c r="AP69" s="76">
        <v>1</v>
      </c>
      <c r="AQ69" s="76">
        <v>0</v>
      </c>
      <c r="AR69" s="76">
        <v>2</v>
      </c>
      <c r="AS69" s="76">
        <v>1</v>
      </c>
      <c r="AT69" s="76">
        <v>1</v>
      </c>
      <c r="AU69" s="76">
        <v>0</v>
      </c>
      <c r="AV69" s="76">
        <v>0</v>
      </c>
      <c r="AW69" s="76">
        <v>0</v>
      </c>
      <c r="AX69" s="76">
        <v>0</v>
      </c>
      <c r="AY69" s="76">
        <v>0</v>
      </c>
      <c r="AZ69" s="76">
        <v>0</v>
      </c>
      <c r="BA69" s="76">
        <v>0</v>
      </c>
      <c r="BB69" s="76">
        <v>0</v>
      </c>
      <c r="BC69" s="76">
        <v>0</v>
      </c>
      <c r="BD69" s="76">
        <v>0</v>
      </c>
      <c r="BE69" s="76">
        <v>1</v>
      </c>
      <c r="BF69" s="76">
        <v>1</v>
      </c>
      <c r="BG69" s="76">
        <v>1</v>
      </c>
      <c r="BH69" s="76">
        <v>0</v>
      </c>
      <c r="BI69" s="76">
        <v>1</v>
      </c>
      <c r="BJ69" s="76">
        <v>0</v>
      </c>
      <c r="BK69" s="76">
        <v>1</v>
      </c>
      <c r="BL69" s="76">
        <v>0</v>
      </c>
      <c r="BM69" s="76">
        <v>0</v>
      </c>
      <c r="BN69" s="76">
        <v>2</v>
      </c>
      <c r="BO69" s="76">
        <v>0</v>
      </c>
      <c r="BP69" s="76">
        <v>0</v>
      </c>
      <c r="BQ69" s="76">
        <v>1</v>
      </c>
      <c r="BR69" s="76">
        <v>0</v>
      </c>
      <c r="BS69" s="76">
        <v>1</v>
      </c>
      <c r="BT69" s="76">
        <v>0</v>
      </c>
      <c r="BU69" s="76">
        <v>0</v>
      </c>
      <c r="BV69" s="76">
        <v>0</v>
      </c>
      <c r="BW69" s="76">
        <v>2</v>
      </c>
      <c r="BX69" s="76">
        <v>0</v>
      </c>
      <c r="BY69" s="76">
        <v>0</v>
      </c>
      <c r="BZ69" s="76">
        <v>0</v>
      </c>
      <c r="CA69" s="76">
        <v>0</v>
      </c>
      <c r="CB69" s="76">
        <v>0</v>
      </c>
      <c r="CC69" s="76">
        <v>0</v>
      </c>
      <c r="CD69" s="76">
        <v>0</v>
      </c>
      <c r="CE69" s="76">
        <v>2</v>
      </c>
      <c r="CF69" s="76">
        <v>1</v>
      </c>
      <c r="CG69" s="76">
        <v>0</v>
      </c>
      <c r="CH69" s="76">
        <v>1</v>
      </c>
      <c r="CI69" s="76">
        <v>0</v>
      </c>
      <c r="CJ69" s="76">
        <v>0</v>
      </c>
      <c r="CK69" s="76">
        <v>0</v>
      </c>
      <c r="CL69" s="76">
        <v>1</v>
      </c>
      <c r="CM69" s="76">
        <v>0</v>
      </c>
      <c r="CN69" s="76">
        <v>0</v>
      </c>
      <c r="CO69" s="76">
        <v>0</v>
      </c>
      <c r="CP69" s="76">
        <v>0</v>
      </c>
      <c r="CQ69" s="76">
        <v>1</v>
      </c>
      <c r="CR69" s="76">
        <v>0</v>
      </c>
      <c r="CS69" s="76">
        <v>0</v>
      </c>
      <c r="CT69" s="76">
        <v>0</v>
      </c>
      <c r="CU69" s="76">
        <v>0</v>
      </c>
      <c r="CV69" s="76">
        <v>0</v>
      </c>
      <c r="CW69" s="76">
        <v>0</v>
      </c>
      <c r="CX69" s="76">
        <v>0</v>
      </c>
      <c r="CY69" s="76">
        <v>0</v>
      </c>
      <c r="CZ69" s="76">
        <v>0</v>
      </c>
      <c r="DA69" s="76">
        <v>0</v>
      </c>
      <c r="DB69" s="76">
        <v>1</v>
      </c>
      <c r="DC69" s="76">
        <v>1</v>
      </c>
      <c r="DD69" s="76">
        <v>3</v>
      </c>
      <c r="DE69" s="76">
        <v>0</v>
      </c>
      <c r="DF69" s="76">
        <v>0</v>
      </c>
      <c r="DG69" s="76">
        <v>0</v>
      </c>
      <c r="DH69" s="76">
        <v>1</v>
      </c>
      <c r="DI69" s="76">
        <v>1</v>
      </c>
      <c r="DJ69" s="76">
        <v>2</v>
      </c>
      <c r="DK69" s="76">
        <v>2</v>
      </c>
      <c r="DL69" s="76">
        <v>1</v>
      </c>
      <c r="DM69" s="76">
        <v>0</v>
      </c>
      <c r="DN69" s="76">
        <v>0</v>
      </c>
      <c r="DO69" s="76">
        <v>0</v>
      </c>
      <c r="DP69" s="76">
        <v>0</v>
      </c>
      <c r="DQ69" s="76">
        <v>0</v>
      </c>
      <c r="DR69" s="76">
        <v>0</v>
      </c>
      <c r="DS69" s="76">
        <v>1</v>
      </c>
      <c r="DT69" s="76">
        <v>0</v>
      </c>
      <c r="DU69" s="76">
        <v>0</v>
      </c>
      <c r="DV69" s="76">
        <v>0</v>
      </c>
      <c r="DW69" s="76">
        <v>0</v>
      </c>
      <c r="DX69" s="76">
        <v>0</v>
      </c>
      <c r="DY69" s="76">
        <v>0</v>
      </c>
      <c r="DZ69" s="76">
        <v>0</v>
      </c>
      <c r="EA69" s="76">
        <v>0</v>
      </c>
      <c r="EB69" s="76">
        <v>0</v>
      </c>
      <c r="EC69" s="76">
        <v>0</v>
      </c>
      <c r="ED69" s="76">
        <v>0</v>
      </c>
      <c r="EE69" s="76">
        <v>0</v>
      </c>
      <c r="EF69" s="76">
        <v>0</v>
      </c>
      <c r="EG69" s="76">
        <v>0</v>
      </c>
      <c r="EH69" s="76">
        <v>1</v>
      </c>
      <c r="EI69" s="76">
        <v>0</v>
      </c>
      <c r="EJ69" s="76">
        <v>1</v>
      </c>
      <c r="EK69" s="76">
        <v>0</v>
      </c>
      <c r="EL69" s="76">
        <v>2</v>
      </c>
      <c r="EM69" s="76">
        <v>1</v>
      </c>
      <c r="EN69" s="76">
        <v>0</v>
      </c>
      <c r="EO69" s="76">
        <v>0</v>
      </c>
      <c r="EP69" s="76">
        <v>0</v>
      </c>
      <c r="EQ69" s="76">
        <v>0</v>
      </c>
      <c r="ER69" s="76">
        <v>0</v>
      </c>
      <c r="ES69" s="76">
        <v>0</v>
      </c>
      <c r="ET69" s="76">
        <v>0</v>
      </c>
      <c r="EU69" s="76">
        <v>0</v>
      </c>
      <c r="EV69" s="76">
        <v>0</v>
      </c>
      <c r="EW69" s="76">
        <v>0</v>
      </c>
      <c r="EX69" s="76">
        <v>0</v>
      </c>
      <c r="EY69" s="76">
        <v>0</v>
      </c>
      <c r="EZ69" s="76">
        <v>1</v>
      </c>
      <c r="FA69" s="76">
        <v>1</v>
      </c>
      <c r="FB69" s="76">
        <v>0</v>
      </c>
      <c r="FC69" s="76">
        <v>1</v>
      </c>
      <c r="FD69" s="76">
        <v>0</v>
      </c>
      <c r="FE69" s="77">
        <f t="shared" si="0"/>
        <v>82</v>
      </c>
    </row>
    <row r="70" spans="1:161" s="24" customFormat="1" ht="20.100000000000001" customHeight="1" x14ac:dyDescent="0.2">
      <c r="A70" s="75" t="s">
        <v>55</v>
      </c>
      <c r="B70" s="76">
        <v>0</v>
      </c>
      <c r="C70" s="76">
        <v>0</v>
      </c>
      <c r="D70" s="76">
        <v>0</v>
      </c>
      <c r="E70" s="76">
        <v>0</v>
      </c>
      <c r="F70" s="76">
        <v>0</v>
      </c>
      <c r="G70" s="76">
        <v>0</v>
      </c>
      <c r="H70" s="76">
        <v>0</v>
      </c>
      <c r="I70" s="76">
        <v>0</v>
      </c>
      <c r="J70" s="76">
        <v>0</v>
      </c>
      <c r="K70" s="76">
        <v>0</v>
      </c>
      <c r="L70" s="76">
        <v>1</v>
      </c>
      <c r="M70" s="76">
        <v>0</v>
      </c>
      <c r="N70" s="76">
        <v>0</v>
      </c>
      <c r="O70" s="76">
        <v>0</v>
      </c>
      <c r="P70" s="76">
        <v>0</v>
      </c>
      <c r="Q70" s="76">
        <v>0</v>
      </c>
      <c r="R70" s="76">
        <v>0</v>
      </c>
      <c r="S70" s="76">
        <v>0</v>
      </c>
      <c r="T70" s="76">
        <v>0</v>
      </c>
      <c r="U70" s="76">
        <v>0</v>
      </c>
      <c r="V70" s="76">
        <v>0</v>
      </c>
      <c r="W70" s="76">
        <v>0</v>
      </c>
      <c r="X70" s="76">
        <v>0</v>
      </c>
      <c r="Y70" s="76">
        <v>0</v>
      </c>
      <c r="Z70" s="76">
        <v>0</v>
      </c>
      <c r="AA70" s="76">
        <v>0</v>
      </c>
      <c r="AB70" s="76">
        <v>1</v>
      </c>
      <c r="AC70" s="76">
        <v>0</v>
      </c>
      <c r="AD70" s="76">
        <v>0</v>
      </c>
      <c r="AE70" s="76">
        <v>0</v>
      </c>
      <c r="AF70" s="76">
        <v>0</v>
      </c>
      <c r="AG70" s="76">
        <v>0</v>
      </c>
      <c r="AH70" s="76">
        <v>0</v>
      </c>
      <c r="AI70" s="76">
        <v>0</v>
      </c>
      <c r="AJ70" s="76">
        <v>0</v>
      </c>
      <c r="AK70" s="76">
        <v>0</v>
      </c>
      <c r="AL70" s="76">
        <v>1</v>
      </c>
      <c r="AM70" s="76">
        <v>0</v>
      </c>
      <c r="AN70" s="76">
        <v>0</v>
      </c>
      <c r="AO70" s="76">
        <v>0</v>
      </c>
      <c r="AP70" s="76">
        <v>0</v>
      </c>
      <c r="AQ70" s="76">
        <v>0</v>
      </c>
      <c r="AR70" s="76">
        <v>0</v>
      </c>
      <c r="AS70" s="76">
        <v>0</v>
      </c>
      <c r="AT70" s="76">
        <v>0</v>
      </c>
      <c r="AU70" s="76">
        <v>0</v>
      </c>
      <c r="AV70" s="76">
        <v>0</v>
      </c>
      <c r="AW70" s="76">
        <v>0</v>
      </c>
      <c r="AX70" s="76">
        <v>0</v>
      </c>
      <c r="AY70" s="76">
        <v>0</v>
      </c>
      <c r="AZ70" s="76">
        <v>0</v>
      </c>
      <c r="BA70" s="76">
        <v>0</v>
      </c>
      <c r="BB70" s="76">
        <v>0</v>
      </c>
      <c r="BC70" s="76">
        <v>0</v>
      </c>
      <c r="BD70" s="76">
        <v>0</v>
      </c>
      <c r="BE70" s="76">
        <v>0</v>
      </c>
      <c r="BF70" s="76">
        <v>0</v>
      </c>
      <c r="BG70" s="76">
        <v>0</v>
      </c>
      <c r="BH70" s="76">
        <v>0</v>
      </c>
      <c r="BI70" s="76">
        <v>0</v>
      </c>
      <c r="BJ70" s="76">
        <v>0</v>
      </c>
      <c r="BK70" s="76">
        <v>0</v>
      </c>
      <c r="BL70" s="76">
        <v>0</v>
      </c>
      <c r="BM70" s="76">
        <v>0</v>
      </c>
      <c r="BN70" s="76">
        <v>0</v>
      </c>
      <c r="BO70" s="76">
        <v>0</v>
      </c>
      <c r="BP70" s="76">
        <v>0</v>
      </c>
      <c r="BQ70" s="76">
        <v>0</v>
      </c>
      <c r="BR70" s="76">
        <v>0</v>
      </c>
      <c r="BS70" s="76">
        <v>0</v>
      </c>
      <c r="BT70" s="76">
        <v>0</v>
      </c>
      <c r="BU70" s="76">
        <v>0</v>
      </c>
      <c r="BV70" s="76">
        <v>0</v>
      </c>
      <c r="BW70" s="76">
        <v>0</v>
      </c>
      <c r="BX70" s="76">
        <v>0</v>
      </c>
      <c r="BY70" s="76">
        <v>0</v>
      </c>
      <c r="BZ70" s="76">
        <v>0</v>
      </c>
      <c r="CA70" s="76">
        <v>0</v>
      </c>
      <c r="CB70" s="76">
        <v>0</v>
      </c>
      <c r="CC70" s="76">
        <v>0</v>
      </c>
      <c r="CD70" s="76">
        <v>0</v>
      </c>
      <c r="CE70" s="76">
        <v>0</v>
      </c>
      <c r="CF70" s="76">
        <v>0</v>
      </c>
      <c r="CG70" s="76">
        <v>0</v>
      </c>
      <c r="CH70" s="76">
        <v>0</v>
      </c>
      <c r="CI70" s="76">
        <v>0</v>
      </c>
      <c r="CJ70" s="76">
        <v>0</v>
      </c>
      <c r="CK70" s="76">
        <v>0</v>
      </c>
      <c r="CL70" s="76">
        <v>0</v>
      </c>
      <c r="CM70" s="76">
        <v>0</v>
      </c>
      <c r="CN70" s="76">
        <v>0</v>
      </c>
      <c r="CO70" s="76">
        <v>0</v>
      </c>
      <c r="CP70" s="76">
        <v>0</v>
      </c>
      <c r="CQ70" s="76">
        <v>0</v>
      </c>
      <c r="CR70" s="76">
        <v>0</v>
      </c>
      <c r="CS70" s="76">
        <v>0</v>
      </c>
      <c r="CT70" s="76">
        <v>0</v>
      </c>
      <c r="CU70" s="76">
        <v>0</v>
      </c>
      <c r="CV70" s="76">
        <v>0</v>
      </c>
      <c r="CW70" s="76">
        <v>1</v>
      </c>
      <c r="CX70" s="76">
        <v>0</v>
      </c>
      <c r="CY70" s="76">
        <v>0</v>
      </c>
      <c r="CZ70" s="76">
        <v>0</v>
      </c>
      <c r="DA70" s="76">
        <v>0</v>
      </c>
      <c r="DB70" s="76">
        <v>0</v>
      </c>
      <c r="DC70" s="76">
        <v>0</v>
      </c>
      <c r="DD70" s="76">
        <v>0</v>
      </c>
      <c r="DE70" s="76">
        <v>0</v>
      </c>
      <c r="DF70" s="76">
        <v>0</v>
      </c>
      <c r="DG70" s="76">
        <v>0</v>
      </c>
      <c r="DH70" s="76">
        <v>0</v>
      </c>
      <c r="DI70" s="76">
        <v>0</v>
      </c>
      <c r="DJ70" s="76">
        <v>0</v>
      </c>
      <c r="DK70" s="76">
        <v>0</v>
      </c>
      <c r="DL70" s="76">
        <v>0</v>
      </c>
      <c r="DM70" s="76">
        <v>0</v>
      </c>
      <c r="DN70" s="76">
        <v>0</v>
      </c>
      <c r="DO70" s="76">
        <v>0</v>
      </c>
      <c r="DP70" s="76">
        <v>0</v>
      </c>
      <c r="DQ70" s="76">
        <v>0</v>
      </c>
      <c r="DR70" s="76">
        <v>0</v>
      </c>
      <c r="DS70" s="76">
        <v>0</v>
      </c>
      <c r="DT70" s="76">
        <v>0</v>
      </c>
      <c r="DU70" s="76">
        <v>0</v>
      </c>
      <c r="DV70" s="76">
        <v>0</v>
      </c>
      <c r="DW70" s="76">
        <v>0</v>
      </c>
      <c r="DX70" s="76">
        <v>0</v>
      </c>
      <c r="DY70" s="76">
        <v>0</v>
      </c>
      <c r="DZ70" s="76">
        <v>0</v>
      </c>
      <c r="EA70" s="76">
        <v>0</v>
      </c>
      <c r="EB70" s="76">
        <v>0</v>
      </c>
      <c r="EC70" s="76">
        <v>0</v>
      </c>
      <c r="ED70" s="76">
        <v>0</v>
      </c>
      <c r="EE70" s="76">
        <v>0</v>
      </c>
      <c r="EF70" s="76">
        <v>0</v>
      </c>
      <c r="EG70" s="76">
        <v>0</v>
      </c>
      <c r="EH70" s="76">
        <v>0</v>
      </c>
      <c r="EI70" s="76">
        <v>0</v>
      </c>
      <c r="EJ70" s="76">
        <v>0</v>
      </c>
      <c r="EK70" s="76">
        <v>0</v>
      </c>
      <c r="EL70" s="76">
        <v>0</v>
      </c>
      <c r="EM70" s="76">
        <v>0</v>
      </c>
      <c r="EN70" s="76">
        <v>0</v>
      </c>
      <c r="EO70" s="76">
        <v>0</v>
      </c>
      <c r="EP70" s="76">
        <v>0</v>
      </c>
      <c r="EQ70" s="76">
        <v>0</v>
      </c>
      <c r="ER70" s="76">
        <v>0</v>
      </c>
      <c r="ES70" s="76">
        <v>0</v>
      </c>
      <c r="ET70" s="76">
        <v>0</v>
      </c>
      <c r="EU70" s="76">
        <v>0</v>
      </c>
      <c r="EV70" s="76">
        <v>0</v>
      </c>
      <c r="EW70" s="76">
        <v>0</v>
      </c>
      <c r="EX70" s="76">
        <v>0</v>
      </c>
      <c r="EY70" s="76">
        <v>0</v>
      </c>
      <c r="EZ70" s="76">
        <v>0</v>
      </c>
      <c r="FA70" s="76">
        <v>0</v>
      </c>
      <c r="FB70" s="76">
        <v>0</v>
      </c>
      <c r="FC70" s="76">
        <v>0</v>
      </c>
      <c r="FD70" s="76">
        <v>0</v>
      </c>
      <c r="FE70" s="77">
        <f t="shared" si="0"/>
        <v>4</v>
      </c>
    </row>
    <row r="71" spans="1:161" s="24" customFormat="1" ht="20.100000000000001" customHeight="1" x14ac:dyDescent="0.25">
      <c r="A71" s="153" t="s">
        <v>430</v>
      </c>
      <c r="B71" s="76">
        <v>0</v>
      </c>
      <c r="C71" s="76">
        <v>0</v>
      </c>
      <c r="D71" s="76">
        <v>0</v>
      </c>
      <c r="E71" s="76">
        <v>0</v>
      </c>
      <c r="F71" s="76">
        <v>0</v>
      </c>
      <c r="G71" s="76">
        <v>0</v>
      </c>
      <c r="H71" s="76">
        <v>0</v>
      </c>
      <c r="I71" s="76">
        <v>0</v>
      </c>
      <c r="J71" s="76">
        <v>0</v>
      </c>
      <c r="K71" s="76">
        <v>0</v>
      </c>
      <c r="L71" s="76">
        <v>0</v>
      </c>
      <c r="M71" s="76">
        <v>0</v>
      </c>
      <c r="N71" s="76">
        <v>0</v>
      </c>
      <c r="O71" s="76">
        <v>0</v>
      </c>
      <c r="P71" s="76">
        <v>0</v>
      </c>
      <c r="Q71" s="76">
        <v>0</v>
      </c>
      <c r="R71" s="76">
        <v>1</v>
      </c>
      <c r="S71" s="76">
        <v>1</v>
      </c>
      <c r="T71" s="76">
        <v>0</v>
      </c>
      <c r="U71" s="76">
        <v>0</v>
      </c>
      <c r="V71" s="76">
        <v>0</v>
      </c>
      <c r="W71" s="76">
        <v>0</v>
      </c>
      <c r="X71" s="76">
        <v>0</v>
      </c>
      <c r="Y71" s="76">
        <v>1</v>
      </c>
      <c r="Z71" s="76">
        <v>0</v>
      </c>
      <c r="AA71" s="76">
        <v>0</v>
      </c>
      <c r="AB71" s="76">
        <v>0</v>
      </c>
      <c r="AC71" s="76">
        <v>0</v>
      </c>
      <c r="AD71" s="76">
        <v>0</v>
      </c>
      <c r="AE71" s="76">
        <v>0</v>
      </c>
      <c r="AF71" s="76">
        <v>0</v>
      </c>
      <c r="AG71" s="76">
        <v>0</v>
      </c>
      <c r="AH71" s="76">
        <v>0</v>
      </c>
      <c r="AI71" s="76">
        <v>0</v>
      </c>
      <c r="AJ71" s="76">
        <v>0</v>
      </c>
      <c r="AK71" s="76">
        <v>0</v>
      </c>
      <c r="AL71" s="76">
        <v>0</v>
      </c>
      <c r="AM71" s="76">
        <v>0</v>
      </c>
      <c r="AN71" s="76">
        <v>0</v>
      </c>
      <c r="AO71" s="76">
        <v>0</v>
      </c>
      <c r="AP71" s="76">
        <v>0</v>
      </c>
      <c r="AQ71" s="76">
        <v>0</v>
      </c>
      <c r="AR71" s="76">
        <v>0</v>
      </c>
      <c r="AS71" s="76">
        <v>0</v>
      </c>
      <c r="AT71" s="76">
        <v>0</v>
      </c>
      <c r="AU71" s="76">
        <v>0</v>
      </c>
      <c r="AV71" s="76">
        <v>0</v>
      </c>
      <c r="AW71" s="76">
        <v>0</v>
      </c>
      <c r="AX71" s="76">
        <v>0</v>
      </c>
      <c r="AY71" s="76">
        <v>0</v>
      </c>
      <c r="AZ71" s="76">
        <v>0</v>
      </c>
      <c r="BA71" s="76">
        <v>0</v>
      </c>
      <c r="BB71" s="76">
        <v>0</v>
      </c>
      <c r="BC71" s="76">
        <v>0</v>
      </c>
      <c r="BD71" s="76">
        <v>0</v>
      </c>
      <c r="BE71" s="76">
        <v>0</v>
      </c>
      <c r="BF71" s="76">
        <v>0</v>
      </c>
      <c r="BG71" s="76">
        <v>0</v>
      </c>
      <c r="BH71" s="76">
        <v>0</v>
      </c>
      <c r="BI71" s="76">
        <v>0</v>
      </c>
      <c r="BJ71" s="76">
        <v>0</v>
      </c>
      <c r="BK71" s="76">
        <v>0</v>
      </c>
      <c r="BL71" s="76">
        <v>0</v>
      </c>
      <c r="BM71" s="76">
        <v>0</v>
      </c>
      <c r="BN71" s="76">
        <v>0</v>
      </c>
      <c r="BO71" s="76">
        <v>0</v>
      </c>
      <c r="BP71" s="76">
        <v>0</v>
      </c>
      <c r="BQ71" s="76">
        <v>0</v>
      </c>
      <c r="BR71" s="76">
        <v>0</v>
      </c>
      <c r="BS71" s="76">
        <v>0</v>
      </c>
      <c r="BT71" s="76">
        <v>0</v>
      </c>
      <c r="BU71" s="76">
        <v>1</v>
      </c>
      <c r="BV71" s="76">
        <v>0</v>
      </c>
      <c r="BW71" s="76">
        <v>0</v>
      </c>
      <c r="BX71" s="76">
        <v>0</v>
      </c>
      <c r="BY71" s="76">
        <v>0</v>
      </c>
      <c r="BZ71" s="76">
        <v>0</v>
      </c>
      <c r="CA71" s="76">
        <v>0</v>
      </c>
      <c r="CB71" s="76">
        <v>0</v>
      </c>
      <c r="CC71" s="76">
        <v>0</v>
      </c>
      <c r="CD71" s="76">
        <v>0</v>
      </c>
      <c r="CE71" s="76">
        <v>1</v>
      </c>
      <c r="CF71" s="76">
        <v>0</v>
      </c>
      <c r="CG71" s="76">
        <v>0</v>
      </c>
      <c r="CH71" s="76">
        <v>0</v>
      </c>
      <c r="CI71" s="76">
        <v>0</v>
      </c>
      <c r="CJ71" s="76">
        <v>0</v>
      </c>
      <c r="CK71" s="76">
        <v>0</v>
      </c>
      <c r="CL71" s="76">
        <v>0</v>
      </c>
      <c r="CM71" s="76">
        <v>0</v>
      </c>
      <c r="CN71" s="76">
        <v>0</v>
      </c>
      <c r="CO71" s="76">
        <v>0</v>
      </c>
      <c r="CP71" s="76">
        <v>0</v>
      </c>
      <c r="CQ71" s="76">
        <v>0</v>
      </c>
      <c r="CR71" s="76">
        <v>0</v>
      </c>
      <c r="CS71" s="76">
        <v>0</v>
      </c>
      <c r="CT71" s="76">
        <v>0</v>
      </c>
      <c r="CU71" s="76">
        <v>0</v>
      </c>
      <c r="CV71" s="76">
        <v>0</v>
      </c>
      <c r="CW71" s="76">
        <v>0</v>
      </c>
      <c r="CX71" s="76">
        <v>0</v>
      </c>
      <c r="CY71" s="76">
        <v>0</v>
      </c>
      <c r="CZ71" s="76">
        <v>0</v>
      </c>
      <c r="DA71" s="76">
        <v>0</v>
      </c>
      <c r="DB71" s="76">
        <v>0</v>
      </c>
      <c r="DC71" s="76">
        <v>0</v>
      </c>
      <c r="DD71" s="76">
        <v>0</v>
      </c>
      <c r="DE71" s="76">
        <v>0</v>
      </c>
      <c r="DF71" s="76">
        <v>0</v>
      </c>
      <c r="DG71" s="76">
        <v>0</v>
      </c>
      <c r="DH71" s="76">
        <v>0</v>
      </c>
      <c r="DI71" s="76">
        <v>0</v>
      </c>
      <c r="DJ71" s="76">
        <v>0</v>
      </c>
      <c r="DK71" s="76">
        <v>0</v>
      </c>
      <c r="DL71" s="76">
        <v>0</v>
      </c>
      <c r="DM71" s="76">
        <v>0</v>
      </c>
      <c r="DN71" s="76">
        <v>0</v>
      </c>
      <c r="DO71" s="76">
        <v>0</v>
      </c>
      <c r="DP71" s="76">
        <v>0</v>
      </c>
      <c r="DQ71" s="76">
        <v>0</v>
      </c>
      <c r="DR71" s="76">
        <v>0</v>
      </c>
      <c r="DS71" s="76">
        <v>0</v>
      </c>
      <c r="DT71" s="76">
        <v>0</v>
      </c>
      <c r="DU71" s="76">
        <v>0</v>
      </c>
      <c r="DV71" s="76">
        <v>0</v>
      </c>
      <c r="DW71" s="76">
        <v>0</v>
      </c>
      <c r="DX71" s="76">
        <v>0</v>
      </c>
      <c r="DY71" s="76">
        <v>0</v>
      </c>
      <c r="DZ71" s="76">
        <v>0</v>
      </c>
      <c r="EA71" s="76">
        <v>0</v>
      </c>
      <c r="EB71" s="76">
        <v>0</v>
      </c>
      <c r="EC71" s="76">
        <v>0</v>
      </c>
      <c r="ED71" s="76">
        <v>0</v>
      </c>
      <c r="EE71" s="76">
        <v>0</v>
      </c>
      <c r="EF71" s="76">
        <v>0</v>
      </c>
      <c r="EG71" s="76">
        <v>0</v>
      </c>
      <c r="EH71" s="76">
        <v>0</v>
      </c>
      <c r="EI71" s="76">
        <v>0</v>
      </c>
      <c r="EJ71" s="76">
        <v>0</v>
      </c>
      <c r="EK71" s="76">
        <v>0</v>
      </c>
      <c r="EL71" s="76">
        <v>0</v>
      </c>
      <c r="EM71" s="76">
        <v>0</v>
      </c>
      <c r="EN71" s="76">
        <v>0</v>
      </c>
      <c r="EO71" s="76">
        <v>0</v>
      </c>
      <c r="EP71" s="76">
        <v>0</v>
      </c>
      <c r="EQ71" s="76">
        <v>0</v>
      </c>
      <c r="ER71" s="76">
        <v>0</v>
      </c>
      <c r="ES71" s="76">
        <v>0</v>
      </c>
      <c r="ET71" s="76">
        <v>0</v>
      </c>
      <c r="EU71" s="76">
        <v>0</v>
      </c>
      <c r="EV71" s="76">
        <v>0</v>
      </c>
      <c r="EW71" s="76">
        <v>0</v>
      </c>
      <c r="EX71" s="76">
        <v>1</v>
      </c>
      <c r="EY71" s="76">
        <v>1</v>
      </c>
      <c r="EZ71" s="76">
        <v>0</v>
      </c>
      <c r="FA71" s="76">
        <v>0</v>
      </c>
      <c r="FB71" s="76">
        <v>0</v>
      </c>
      <c r="FC71" s="76">
        <v>0</v>
      </c>
      <c r="FD71" s="76">
        <v>0</v>
      </c>
      <c r="FE71" s="77">
        <f t="shared" si="0"/>
        <v>7</v>
      </c>
    </row>
    <row r="72" spans="1:161" s="24" customFormat="1" ht="19.5" customHeight="1" x14ac:dyDescent="0.2">
      <c r="A72" s="75" t="s">
        <v>50</v>
      </c>
      <c r="B72" s="76">
        <v>0</v>
      </c>
      <c r="C72" s="76">
        <v>0</v>
      </c>
      <c r="D72" s="76">
        <v>0</v>
      </c>
      <c r="E72" s="76">
        <v>0</v>
      </c>
      <c r="F72" s="76">
        <v>0</v>
      </c>
      <c r="G72" s="76">
        <v>0</v>
      </c>
      <c r="H72" s="76">
        <v>0</v>
      </c>
      <c r="I72" s="76">
        <v>0</v>
      </c>
      <c r="J72" s="76">
        <v>0</v>
      </c>
      <c r="K72" s="76">
        <v>0</v>
      </c>
      <c r="L72" s="76">
        <v>0</v>
      </c>
      <c r="M72" s="76">
        <v>0</v>
      </c>
      <c r="N72" s="76">
        <v>0</v>
      </c>
      <c r="O72" s="76">
        <v>0</v>
      </c>
      <c r="P72" s="76">
        <v>0</v>
      </c>
      <c r="Q72" s="76">
        <v>0</v>
      </c>
      <c r="R72" s="76">
        <v>0</v>
      </c>
      <c r="S72" s="76">
        <v>0</v>
      </c>
      <c r="T72" s="76">
        <v>0</v>
      </c>
      <c r="U72" s="76">
        <v>0</v>
      </c>
      <c r="V72" s="76">
        <v>0</v>
      </c>
      <c r="W72" s="76">
        <v>0</v>
      </c>
      <c r="X72" s="76">
        <v>0</v>
      </c>
      <c r="Y72" s="76">
        <v>0</v>
      </c>
      <c r="Z72" s="76">
        <v>0</v>
      </c>
      <c r="AA72" s="76">
        <v>0</v>
      </c>
      <c r="AB72" s="76">
        <v>0</v>
      </c>
      <c r="AC72" s="76">
        <v>0</v>
      </c>
      <c r="AD72" s="76">
        <v>0</v>
      </c>
      <c r="AE72" s="76">
        <v>0</v>
      </c>
      <c r="AF72" s="76">
        <v>0</v>
      </c>
      <c r="AG72" s="76">
        <v>0</v>
      </c>
      <c r="AH72" s="76">
        <v>0</v>
      </c>
      <c r="AI72" s="76">
        <v>0</v>
      </c>
      <c r="AJ72" s="76">
        <v>0</v>
      </c>
      <c r="AK72" s="76">
        <v>0</v>
      </c>
      <c r="AL72" s="76">
        <v>0</v>
      </c>
      <c r="AM72" s="76">
        <v>0</v>
      </c>
      <c r="AN72" s="76">
        <v>0</v>
      </c>
      <c r="AO72" s="76">
        <v>0</v>
      </c>
      <c r="AP72" s="76">
        <v>0</v>
      </c>
      <c r="AQ72" s="76">
        <v>0</v>
      </c>
      <c r="AR72" s="76">
        <v>0</v>
      </c>
      <c r="AS72" s="76">
        <v>0</v>
      </c>
      <c r="AT72" s="76">
        <v>0</v>
      </c>
      <c r="AU72" s="76">
        <v>0</v>
      </c>
      <c r="AV72" s="76">
        <v>0</v>
      </c>
      <c r="AW72" s="76">
        <v>0</v>
      </c>
      <c r="AX72" s="76">
        <v>0</v>
      </c>
      <c r="AY72" s="76">
        <v>0</v>
      </c>
      <c r="AZ72" s="76">
        <v>0</v>
      </c>
      <c r="BA72" s="76">
        <v>0</v>
      </c>
      <c r="BB72" s="76">
        <v>0</v>
      </c>
      <c r="BC72" s="76">
        <v>0</v>
      </c>
      <c r="BD72" s="76">
        <v>0</v>
      </c>
      <c r="BE72" s="76">
        <v>0</v>
      </c>
      <c r="BF72" s="76">
        <v>0</v>
      </c>
      <c r="BG72" s="76">
        <v>0</v>
      </c>
      <c r="BH72" s="76">
        <v>0</v>
      </c>
      <c r="BI72" s="76">
        <v>0</v>
      </c>
      <c r="BJ72" s="76">
        <v>0</v>
      </c>
      <c r="BK72" s="76">
        <v>0</v>
      </c>
      <c r="BL72" s="76">
        <v>0</v>
      </c>
      <c r="BM72" s="76">
        <v>0</v>
      </c>
      <c r="BN72" s="76">
        <v>0</v>
      </c>
      <c r="BO72" s="76">
        <v>0</v>
      </c>
      <c r="BP72" s="76">
        <v>0</v>
      </c>
      <c r="BQ72" s="76">
        <v>0</v>
      </c>
      <c r="BR72" s="76">
        <v>0</v>
      </c>
      <c r="BS72" s="76">
        <v>0</v>
      </c>
      <c r="BT72" s="76">
        <v>0</v>
      </c>
      <c r="BU72" s="76">
        <v>0</v>
      </c>
      <c r="BV72" s="76">
        <v>0</v>
      </c>
      <c r="BW72" s="76">
        <v>0</v>
      </c>
      <c r="BX72" s="76">
        <v>0</v>
      </c>
      <c r="BY72" s="76">
        <v>0</v>
      </c>
      <c r="BZ72" s="76">
        <v>0</v>
      </c>
      <c r="CA72" s="76">
        <v>0</v>
      </c>
      <c r="CB72" s="76">
        <v>0</v>
      </c>
      <c r="CC72" s="76">
        <v>0</v>
      </c>
      <c r="CD72" s="76">
        <v>0</v>
      </c>
      <c r="CE72" s="76">
        <v>0</v>
      </c>
      <c r="CF72" s="76">
        <v>0</v>
      </c>
      <c r="CG72" s="76">
        <v>0</v>
      </c>
      <c r="CH72" s="76">
        <v>0</v>
      </c>
      <c r="CI72" s="76">
        <v>0</v>
      </c>
      <c r="CJ72" s="76">
        <v>0</v>
      </c>
      <c r="CK72" s="76">
        <v>0</v>
      </c>
      <c r="CL72" s="76">
        <v>0</v>
      </c>
      <c r="CM72" s="76">
        <v>0</v>
      </c>
      <c r="CN72" s="76">
        <v>0</v>
      </c>
      <c r="CO72" s="76">
        <v>0</v>
      </c>
      <c r="CP72" s="76">
        <v>0</v>
      </c>
      <c r="CQ72" s="76">
        <v>0</v>
      </c>
      <c r="CR72" s="76">
        <v>0</v>
      </c>
      <c r="CS72" s="76">
        <v>0</v>
      </c>
      <c r="CT72" s="76">
        <v>0</v>
      </c>
      <c r="CU72" s="76">
        <v>0</v>
      </c>
      <c r="CV72" s="76">
        <v>0</v>
      </c>
      <c r="CW72" s="76">
        <v>0</v>
      </c>
      <c r="CX72" s="76">
        <v>0</v>
      </c>
      <c r="CY72" s="76">
        <v>0</v>
      </c>
      <c r="CZ72" s="76">
        <v>0</v>
      </c>
      <c r="DA72" s="76">
        <v>0</v>
      </c>
      <c r="DB72" s="76">
        <v>0</v>
      </c>
      <c r="DC72" s="76">
        <v>0</v>
      </c>
      <c r="DD72" s="76">
        <v>0</v>
      </c>
      <c r="DE72" s="76">
        <v>0</v>
      </c>
      <c r="DF72" s="76">
        <v>0</v>
      </c>
      <c r="DG72" s="76">
        <v>0</v>
      </c>
      <c r="DH72" s="76">
        <v>0</v>
      </c>
      <c r="DI72" s="76">
        <v>0</v>
      </c>
      <c r="DJ72" s="76">
        <v>0</v>
      </c>
      <c r="DK72" s="76">
        <v>0</v>
      </c>
      <c r="DL72" s="76">
        <v>0</v>
      </c>
      <c r="DM72" s="76">
        <v>0</v>
      </c>
      <c r="DN72" s="76">
        <v>0</v>
      </c>
      <c r="DO72" s="76">
        <v>0</v>
      </c>
      <c r="DP72" s="76">
        <v>0</v>
      </c>
      <c r="DQ72" s="76">
        <v>0</v>
      </c>
      <c r="DR72" s="76">
        <v>0</v>
      </c>
      <c r="DS72" s="76">
        <v>0</v>
      </c>
      <c r="DT72" s="76">
        <v>0</v>
      </c>
      <c r="DU72" s="76">
        <v>0</v>
      </c>
      <c r="DV72" s="76">
        <v>0</v>
      </c>
      <c r="DW72" s="76">
        <v>0</v>
      </c>
      <c r="DX72" s="76">
        <v>0</v>
      </c>
      <c r="DY72" s="76">
        <v>0</v>
      </c>
      <c r="DZ72" s="76">
        <v>0</v>
      </c>
      <c r="EA72" s="76">
        <v>0</v>
      </c>
      <c r="EB72" s="76">
        <v>0</v>
      </c>
      <c r="EC72" s="76">
        <v>0</v>
      </c>
      <c r="ED72" s="76">
        <v>0</v>
      </c>
      <c r="EE72" s="76">
        <v>0</v>
      </c>
      <c r="EF72" s="76">
        <v>0</v>
      </c>
      <c r="EG72" s="76">
        <v>0</v>
      </c>
      <c r="EH72" s="76">
        <v>0</v>
      </c>
      <c r="EI72" s="76">
        <v>0</v>
      </c>
      <c r="EJ72" s="76">
        <v>0</v>
      </c>
      <c r="EK72" s="76">
        <v>0</v>
      </c>
      <c r="EL72" s="76">
        <v>0</v>
      </c>
      <c r="EM72" s="76">
        <v>0</v>
      </c>
      <c r="EN72" s="76">
        <v>0</v>
      </c>
      <c r="EO72" s="76">
        <v>0</v>
      </c>
      <c r="EP72" s="76">
        <v>0</v>
      </c>
      <c r="EQ72" s="76">
        <v>0</v>
      </c>
      <c r="ER72" s="76">
        <v>0</v>
      </c>
      <c r="ES72" s="76">
        <v>0</v>
      </c>
      <c r="ET72" s="76">
        <v>0</v>
      </c>
      <c r="EU72" s="76">
        <v>0</v>
      </c>
      <c r="EV72" s="76">
        <v>0</v>
      </c>
      <c r="EW72" s="76">
        <v>0</v>
      </c>
      <c r="EX72" s="76">
        <v>0</v>
      </c>
      <c r="EY72" s="76">
        <v>0</v>
      </c>
      <c r="EZ72" s="76">
        <v>0</v>
      </c>
      <c r="FA72" s="76">
        <v>0</v>
      </c>
      <c r="FB72" s="76">
        <v>0</v>
      </c>
      <c r="FC72" s="76">
        <v>0</v>
      </c>
      <c r="FD72" s="76">
        <v>0</v>
      </c>
      <c r="FE72" s="77">
        <f t="shared" si="0"/>
        <v>0</v>
      </c>
    </row>
    <row r="73" spans="1:161" s="24" customFormat="1" ht="19.5" customHeight="1" x14ac:dyDescent="0.25">
      <c r="A73" s="153" t="s">
        <v>382</v>
      </c>
      <c r="B73" s="76">
        <v>0</v>
      </c>
      <c r="C73" s="76">
        <v>0</v>
      </c>
      <c r="D73" s="76">
        <v>1</v>
      </c>
      <c r="E73" s="76">
        <v>1</v>
      </c>
      <c r="F73" s="76">
        <v>0</v>
      </c>
      <c r="G73" s="76">
        <v>1</v>
      </c>
      <c r="H73" s="76">
        <v>0</v>
      </c>
      <c r="I73" s="76">
        <v>0</v>
      </c>
      <c r="J73" s="76">
        <v>0</v>
      </c>
      <c r="K73" s="76">
        <v>0</v>
      </c>
      <c r="L73" s="76">
        <v>0</v>
      </c>
      <c r="M73" s="76">
        <v>0</v>
      </c>
      <c r="N73" s="76">
        <v>1</v>
      </c>
      <c r="O73" s="76">
        <v>1</v>
      </c>
      <c r="P73" s="76">
        <v>1</v>
      </c>
      <c r="Q73" s="76">
        <v>1</v>
      </c>
      <c r="R73" s="76">
        <v>1</v>
      </c>
      <c r="S73" s="76">
        <v>0</v>
      </c>
      <c r="T73" s="76">
        <v>0</v>
      </c>
      <c r="U73" s="76">
        <v>1</v>
      </c>
      <c r="V73" s="76">
        <v>0</v>
      </c>
      <c r="W73" s="76">
        <v>0</v>
      </c>
      <c r="X73" s="76">
        <v>0</v>
      </c>
      <c r="Y73" s="76">
        <v>0</v>
      </c>
      <c r="Z73" s="76">
        <v>0</v>
      </c>
      <c r="AA73" s="76">
        <v>1</v>
      </c>
      <c r="AB73" s="76">
        <v>0</v>
      </c>
      <c r="AC73" s="76">
        <v>2</v>
      </c>
      <c r="AD73" s="76">
        <v>0</v>
      </c>
      <c r="AE73" s="76">
        <v>0</v>
      </c>
      <c r="AF73" s="76">
        <v>0</v>
      </c>
      <c r="AG73" s="76">
        <v>3</v>
      </c>
      <c r="AH73" s="76">
        <v>1</v>
      </c>
      <c r="AI73" s="76">
        <v>1</v>
      </c>
      <c r="AJ73" s="76">
        <v>1</v>
      </c>
      <c r="AK73" s="76">
        <v>0</v>
      </c>
      <c r="AL73" s="76">
        <v>0</v>
      </c>
      <c r="AM73" s="76">
        <v>0</v>
      </c>
      <c r="AN73" s="76">
        <v>0</v>
      </c>
      <c r="AO73" s="76">
        <v>0</v>
      </c>
      <c r="AP73" s="76">
        <v>0</v>
      </c>
      <c r="AQ73" s="76">
        <v>0</v>
      </c>
      <c r="AR73" s="76">
        <v>0</v>
      </c>
      <c r="AS73" s="76">
        <v>0</v>
      </c>
      <c r="AT73" s="76">
        <v>0</v>
      </c>
      <c r="AU73" s="76">
        <v>1</v>
      </c>
      <c r="AV73" s="76">
        <v>0</v>
      </c>
      <c r="AW73" s="76">
        <v>0</v>
      </c>
      <c r="AX73" s="76">
        <v>1</v>
      </c>
      <c r="AY73" s="76">
        <v>0</v>
      </c>
      <c r="AZ73" s="76">
        <v>1</v>
      </c>
      <c r="BA73" s="76">
        <v>0</v>
      </c>
      <c r="BB73" s="76">
        <v>1</v>
      </c>
      <c r="BC73" s="76">
        <v>1</v>
      </c>
      <c r="BD73" s="76">
        <v>2</v>
      </c>
      <c r="BE73" s="76">
        <v>0</v>
      </c>
      <c r="BF73" s="76">
        <v>2</v>
      </c>
      <c r="BG73" s="76">
        <v>1</v>
      </c>
      <c r="BH73" s="76">
        <v>1</v>
      </c>
      <c r="BI73" s="76">
        <v>0</v>
      </c>
      <c r="BJ73" s="76">
        <v>1</v>
      </c>
      <c r="BK73" s="76">
        <v>0</v>
      </c>
      <c r="BL73" s="76">
        <v>0</v>
      </c>
      <c r="BM73" s="76">
        <v>2</v>
      </c>
      <c r="BN73" s="76">
        <v>0</v>
      </c>
      <c r="BO73" s="76">
        <v>0</v>
      </c>
      <c r="BP73" s="76">
        <v>0</v>
      </c>
      <c r="BQ73" s="76">
        <v>0</v>
      </c>
      <c r="BR73" s="76">
        <v>0</v>
      </c>
      <c r="BS73" s="76">
        <v>1</v>
      </c>
      <c r="BT73" s="76">
        <v>1</v>
      </c>
      <c r="BU73" s="76">
        <v>0</v>
      </c>
      <c r="BV73" s="76">
        <v>0</v>
      </c>
      <c r="BW73" s="76">
        <v>0</v>
      </c>
      <c r="BX73" s="76">
        <v>0</v>
      </c>
      <c r="BY73" s="76">
        <v>2</v>
      </c>
      <c r="BZ73" s="76">
        <v>1</v>
      </c>
      <c r="CA73" s="76">
        <v>0</v>
      </c>
      <c r="CB73" s="76">
        <v>0</v>
      </c>
      <c r="CC73" s="76">
        <v>0</v>
      </c>
      <c r="CD73" s="76">
        <v>0</v>
      </c>
      <c r="CE73" s="76">
        <v>0</v>
      </c>
      <c r="CF73" s="76">
        <v>0</v>
      </c>
      <c r="CG73" s="76">
        <v>0</v>
      </c>
      <c r="CH73" s="76">
        <v>0</v>
      </c>
      <c r="CI73" s="76">
        <v>1</v>
      </c>
      <c r="CJ73" s="76">
        <v>0</v>
      </c>
      <c r="CK73" s="76">
        <v>0</v>
      </c>
      <c r="CL73" s="76">
        <v>0</v>
      </c>
      <c r="CM73" s="76">
        <v>0</v>
      </c>
      <c r="CN73" s="76">
        <v>0</v>
      </c>
      <c r="CO73" s="76">
        <v>0</v>
      </c>
      <c r="CP73" s="76">
        <v>0</v>
      </c>
      <c r="CQ73" s="76">
        <v>0</v>
      </c>
      <c r="CR73" s="76">
        <v>0</v>
      </c>
      <c r="CS73" s="76">
        <v>0</v>
      </c>
      <c r="CT73" s="76">
        <v>0</v>
      </c>
      <c r="CU73" s="76">
        <v>0</v>
      </c>
      <c r="CV73" s="76">
        <v>0</v>
      </c>
      <c r="CW73" s="76">
        <v>0</v>
      </c>
      <c r="CX73" s="76">
        <v>0</v>
      </c>
      <c r="CY73" s="76">
        <v>0</v>
      </c>
      <c r="CZ73" s="76">
        <v>2</v>
      </c>
      <c r="DA73" s="76">
        <v>0</v>
      </c>
      <c r="DB73" s="76">
        <v>0</v>
      </c>
      <c r="DC73" s="76">
        <v>0</v>
      </c>
      <c r="DD73" s="76">
        <v>0</v>
      </c>
      <c r="DE73" s="76">
        <v>1</v>
      </c>
      <c r="DF73" s="76">
        <v>0</v>
      </c>
      <c r="DG73" s="76">
        <v>0</v>
      </c>
      <c r="DH73" s="76">
        <v>0</v>
      </c>
      <c r="DI73" s="76">
        <v>0</v>
      </c>
      <c r="DJ73" s="76">
        <v>1</v>
      </c>
      <c r="DK73" s="76">
        <v>0</v>
      </c>
      <c r="DL73" s="76">
        <v>0</v>
      </c>
      <c r="DM73" s="76">
        <v>0</v>
      </c>
      <c r="DN73" s="76">
        <v>0</v>
      </c>
      <c r="DO73" s="76">
        <v>0</v>
      </c>
      <c r="DP73" s="76">
        <v>0</v>
      </c>
      <c r="DQ73" s="76">
        <v>0</v>
      </c>
      <c r="DR73" s="76">
        <v>0</v>
      </c>
      <c r="DS73" s="76">
        <v>0</v>
      </c>
      <c r="DT73" s="76">
        <v>0</v>
      </c>
      <c r="DU73" s="76">
        <v>0</v>
      </c>
      <c r="DV73" s="76">
        <v>0</v>
      </c>
      <c r="DW73" s="76">
        <v>0</v>
      </c>
      <c r="DX73" s="76">
        <v>0</v>
      </c>
      <c r="DY73" s="76">
        <v>0</v>
      </c>
      <c r="DZ73" s="76">
        <v>0</v>
      </c>
      <c r="EA73" s="76">
        <v>0</v>
      </c>
      <c r="EB73" s="76">
        <v>0</v>
      </c>
      <c r="EC73" s="76">
        <v>0</v>
      </c>
      <c r="ED73" s="76">
        <v>0</v>
      </c>
      <c r="EE73" s="76">
        <v>0</v>
      </c>
      <c r="EF73" s="76">
        <v>1</v>
      </c>
      <c r="EG73" s="76">
        <v>1</v>
      </c>
      <c r="EH73" s="76">
        <v>0</v>
      </c>
      <c r="EI73" s="76">
        <v>0</v>
      </c>
      <c r="EJ73" s="76">
        <v>1</v>
      </c>
      <c r="EK73" s="76">
        <v>0</v>
      </c>
      <c r="EL73" s="76">
        <v>0</v>
      </c>
      <c r="EM73" s="76">
        <v>0</v>
      </c>
      <c r="EN73" s="76">
        <v>0</v>
      </c>
      <c r="EO73" s="76">
        <v>0</v>
      </c>
      <c r="EP73" s="76">
        <v>0</v>
      </c>
      <c r="EQ73" s="76">
        <v>0</v>
      </c>
      <c r="ER73" s="76">
        <v>1</v>
      </c>
      <c r="ES73" s="76">
        <v>0</v>
      </c>
      <c r="ET73" s="76">
        <v>1</v>
      </c>
      <c r="EU73" s="76">
        <v>0</v>
      </c>
      <c r="EV73" s="76">
        <v>0</v>
      </c>
      <c r="EW73" s="76">
        <v>1</v>
      </c>
      <c r="EX73" s="76">
        <v>0</v>
      </c>
      <c r="EY73" s="76">
        <v>0</v>
      </c>
      <c r="EZ73" s="76">
        <v>0</v>
      </c>
      <c r="FA73" s="76">
        <v>0</v>
      </c>
      <c r="FB73" s="76">
        <v>0</v>
      </c>
      <c r="FC73" s="76">
        <v>0</v>
      </c>
      <c r="FD73" s="76">
        <v>0</v>
      </c>
      <c r="FE73" s="77">
        <f t="shared" si="0"/>
        <v>48</v>
      </c>
    </row>
    <row r="74" spans="1:161" s="24" customFormat="1" ht="18" customHeight="1" x14ac:dyDescent="0.25">
      <c r="A74" s="153" t="s">
        <v>384</v>
      </c>
      <c r="B74" s="76">
        <v>2</v>
      </c>
      <c r="C74" s="76">
        <v>0</v>
      </c>
      <c r="D74" s="76">
        <v>3</v>
      </c>
      <c r="E74" s="76">
        <v>5</v>
      </c>
      <c r="F74" s="76">
        <v>2</v>
      </c>
      <c r="G74" s="76">
        <v>1</v>
      </c>
      <c r="H74" s="76">
        <v>1</v>
      </c>
      <c r="I74" s="76">
        <v>2</v>
      </c>
      <c r="J74" s="76">
        <v>0</v>
      </c>
      <c r="K74" s="76">
        <v>1</v>
      </c>
      <c r="L74" s="76">
        <v>1</v>
      </c>
      <c r="M74" s="76">
        <v>0</v>
      </c>
      <c r="N74" s="76">
        <v>1</v>
      </c>
      <c r="O74" s="76">
        <v>0</v>
      </c>
      <c r="P74" s="76">
        <v>1</v>
      </c>
      <c r="Q74" s="76">
        <v>1</v>
      </c>
      <c r="R74" s="76">
        <v>1</v>
      </c>
      <c r="S74" s="76">
        <v>1</v>
      </c>
      <c r="T74" s="76">
        <v>0</v>
      </c>
      <c r="U74" s="76">
        <v>3</v>
      </c>
      <c r="V74" s="76">
        <v>1</v>
      </c>
      <c r="W74" s="76">
        <v>0</v>
      </c>
      <c r="X74" s="76">
        <v>1</v>
      </c>
      <c r="Y74" s="76">
        <v>1</v>
      </c>
      <c r="Z74" s="76">
        <v>0</v>
      </c>
      <c r="AA74" s="76">
        <v>1</v>
      </c>
      <c r="AB74" s="76">
        <v>2</v>
      </c>
      <c r="AC74" s="76">
        <v>2</v>
      </c>
      <c r="AD74" s="76">
        <v>1</v>
      </c>
      <c r="AE74" s="76">
        <v>0</v>
      </c>
      <c r="AF74" s="76">
        <v>1</v>
      </c>
      <c r="AG74" s="76">
        <v>1</v>
      </c>
      <c r="AH74" s="76">
        <v>0</v>
      </c>
      <c r="AI74" s="76">
        <v>0</v>
      </c>
      <c r="AJ74" s="76">
        <v>1</v>
      </c>
      <c r="AK74" s="76">
        <v>1</v>
      </c>
      <c r="AL74" s="76">
        <v>1</v>
      </c>
      <c r="AM74" s="76">
        <v>0</v>
      </c>
      <c r="AN74" s="76">
        <v>0</v>
      </c>
      <c r="AO74" s="76">
        <v>0</v>
      </c>
      <c r="AP74" s="76">
        <v>1</v>
      </c>
      <c r="AQ74" s="76">
        <v>0</v>
      </c>
      <c r="AR74" s="76">
        <v>1</v>
      </c>
      <c r="AS74" s="76">
        <v>1</v>
      </c>
      <c r="AT74" s="76">
        <v>1</v>
      </c>
      <c r="AU74" s="76">
        <v>1</v>
      </c>
      <c r="AV74" s="76">
        <v>2</v>
      </c>
      <c r="AW74" s="76">
        <v>2</v>
      </c>
      <c r="AX74" s="76">
        <v>0</v>
      </c>
      <c r="AY74" s="76">
        <v>0</v>
      </c>
      <c r="AZ74" s="76">
        <v>4</v>
      </c>
      <c r="BA74" s="76">
        <v>0</v>
      </c>
      <c r="BB74" s="76">
        <v>1</v>
      </c>
      <c r="BC74" s="76">
        <v>1</v>
      </c>
      <c r="BD74" s="76">
        <v>0</v>
      </c>
      <c r="BE74" s="76">
        <v>1</v>
      </c>
      <c r="BF74" s="76">
        <v>2</v>
      </c>
      <c r="BG74" s="76">
        <v>0</v>
      </c>
      <c r="BH74" s="76">
        <v>2</v>
      </c>
      <c r="BI74" s="76">
        <v>1</v>
      </c>
      <c r="BJ74" s="76">
        <v>0</v>
      </c>
      <c r="BK74" s="76">
        <v>0</v>
      </c>
      <c r="BL74" s="76">
        <v>1</v>
      </c>
      <c r="BM74" s="76">
        <v>1</v>
      </c>
      <c r="BN74" s="76">
        <v>0</v>
      </c>
      <c r="BO74" s="76">
        <v>0</v>
      </c>
      <c r="BP74" s="76">
        <v>2</v>
      </c>
      <c r="BQ74" s="76">
        <v>0</v>
      </c>
      <c r="BR74" s="76">
        <v>0</v>
      </c>
      <c r="BS74" s="76">
        <v>1</v>
      </c>
      <c r="BT74" s="76">
        <v>0</v>
      </c>
      <c r="BU74" s="76">
        <v>0</v>
      </c>
      <c r="BV74" s="76">
        <v>0</v>
      </c>
      <c r="BW74" s="76">
        <v>0</v>
      </c>
      <c r="BX74" s="76">
        <v>4</v>
      </c>
      <c r="BY74" s="76">
        <v>2</v>
      </c>
      <c r="BZ74" s="76">
        <v>1</v>
      </c>
      <c r="CA74" s="76">
        <v>1</v>
      </c>
      <c r="CB74" s="76">
        <v>1</v>
      </c>
      <c r="CC74" s="76">
        <v>2</v>
      </c>
      <c r="CD74" s="76">
        <v>1</v>
      </c>
      <c r="CE74" s="76">
        <v>0</v>
      </c>
      <c r="CF74" s="76">
        <v>1</v>
      </c>
      <c r="CG74" s="76">
        <v>0</v>
      </c>
      <c r="CH74" s="76">
        <v>0</v>
      </c>
      <c r="CI74" s="76">
        <v>0</v>
      </c>
      <c r="CJ74" s="76">
        <v>0</v>
      </c>
      <c r="CK74" s="76">
        <v>0</v>
      </c>
      <c r="CL74" s="76">
        <v>0</v>
      </c>
      <c r="CM74" s="76">
        <v>0</v>
      </c>
      <c r="CN74" s="76">
        <v>0</v>
      </c>
      <c r="CO74" s="76">
        <v>0</v>
      </c>
      <c r="CP74" s="76">
        <v>0</v>
      </c>
      <c r="CQ74" s="76">
        <v>0</v>
      </c>
      <c r="CR74" s="76">
        <v>0</v>
      </c>
      <c r="CS74" s="76">
        <v>0</v>
      </c>
      <c r="CT74" s="76">
        <v>1</v>
      </c>
      <c r="CU74" s="76">
        <v>0</v>
      </c>
      <c r="CV74" s="76">
        <v>0</v>
      </c>
      <c r="CW74" s="76">
        <v>1</v>
      </c>
      <c r="CX74" s="76">
        <v>0</v>
      </c>
      <c r="CY74" s="76">
        <v>1</v>
      </c>
      <c r="CZ74" s="76">
        <v>1</v>
      </c>
      <c r="DA74" s="76">
        <v>1</v>
      </c>
      <c r="DB74" s="76">
        <v>0</v>
      </c>
      <c r="DC74" s="76">
        <v>0</v>
      </c>
      <c r="DD74" s="76">
        <v>1</v>
      </c>
      <c r="DE74" s="76">
        <v>1</v>
      </c>
      <c r="DF74" s="76">
        <v>0</v>
      </c>
      <c r="DG74" s="76">
        <v>0</v>
      </c>
      <c r="DH74" s="76">
        <v>2</v>
      </c>
      <c r="DI74" s="76">
        <v>2</v>
      </c>
      <c r="DJ74" s="76">
        <v>1</v>
      </c>
      <c r="DK74" s="76">
        <v>2</v>
      </c>
      <c r="DL74" s="76">
        <v>1</v>
      </c>
      <c r="DM74" s="76">
        <v>0</v>
      </c>
      <c r="DN74" s="76">
        <v>2</v>
      </c>
      <c r="DO74" s="76">
        <v>1</v>
      </c>
      <c r="DP74" s="76">
        <v>0</v>
      </c>
      <c r="DQ74" s="76">
        <v>0</v>
      </c>
      <c r="DR74" s="76">
        <v>2</v>
      </c>
      <c r="DS74" s="76">
        <v>0</v>
      </c>
      <c r="DT74" s="76">
        <v>0</v>
      </c>
      <c r="DU74" s="76">
        <v>1</v>
      </c>
      <c r="DV74" s="76">
        <v>0</v>
      </c>
      <c r="DW74" s="76">
        <v>0</v>
      </c>
      <c r="DX74" s="76">
        <v>0</v>
      </c>
      <c r="DY74" s="76">
        <v>0</v>
      </c>
      <c r="DZ74" s="76">
        <v>0</v>
      </c>
      <c r="EA74" s="76">
        <v>0</v>
      </c>
      <c r="EB74" s="76">
        <v>0</v>
      </c>
      <c r="EC74" s="76">
        <v>0</v>
      </c>
      <c r="ED74" s="76">
        <v>0</v>
      </c>
      <c r="EE74" s="76">
        <v>0</v>
      </c>
      <c r="EF74" s="76">
        <v>0</v>
      </c>
      <c r="EG74" s="76">
        <v>0</v>
      </c>
      <c r="EH74" s="76">
        <v>0</v>
      </c>
      <c r="EI74" s="76">
        <v>1</v>
      </c>
      <c r="EJ74" s="76">
        <v>0</v>
      </c>
      <c r="EK74" s="76">
        <v>0</v>
      </c>
      <c r="EL74" s="76">
        <v>0</v>
      </c>
      <c r="EM74" s="76">
        <v>0</v>
      </c>
      <c r="EN74" s="76">
        <v>0</v>
      </c>
      <c r="EO74" s="76">
        <v>1</v>
      </c>
      <c r="EP74" s="76">
        <v>0</v>
      </c>
      <c r="EQ74" s="76">
        <v>0</v>
      </c>
      <c r="ER74" s="76">
        <v>0</v>
      </c>
      <c r="ES74" s="76">
        <v>0</v>
      </c>
      <c r="ET74" s="76">
        <v>0</v>
      </c>
      <c r="EU74" s="76">
        <v>0</v>
      </c>
      <c r="EV74" s="76">
        <v>1</v>
      </c>
      <c r="EW74" s="76">
        <v>2</v>
      </c>
      <c r="EX74" s="76">
        <v>0</v>
      </c>
      <c r="EY74" s="76">
        <v>1</v>
      </c>
      <c r="EZ74" s="76">
        <v>2</v>
      </c>
      <c r="FA74" s="76">
        <v>2</v>
      </c>
      <c r="FB74" s="76">
        <v>0</v>
      </c>
      <c r="FC74" s="76">
        <v>0</v>
      </c>
      <c r="FD74" s="76">
        <v>0</v>
      </c>
      <c r="FE74" s="77">
        <f t="shared" si="0"/>
        <v>110</v>
      </c>
    </row>
    <row r="75" spans="1:161" s="24" customFormat="1" ht="20.100000000000001" customHeight="1" x14ac:dyDescent="0.25">
      <c r="A75" s="153" t="s">
        <v>385</v>
      </c>
      <c r="B75" s="76">
        <v>0</v>
      </c>
      <c r="C75" s="76">
        <v>0</v>
      </c>
      <c r="D75" s="76">
        <v>0</v>
      </c>
      <c r="E75" s="76">
        <v>0</v>
      </c>
      <c r="F75" s="76">
        <v>0</v>
      </c>
      <c r="G75" s="76">
        <v>0</v>
      </c>
      <c r="H75" s="76">
        <v>0</v>
      </c>
      <c r="I75" s="76">
        <v>0</v>
      </c>
      <c r="J75" s="76">
        <v>0</v>
      </c>
      <c r="K75" s="76">
        <v>0</v>
      </c>
      <c r="L75" s="76">
        <v>0</v>
      </c>
      <c r="M75" s="76">
        <v>0</v>
      </c>
      <c r="N75" s="76">
        <v>0</v>
      </c>
      <c r="O75" s="76">
        <v>0</v>
      </c>
      <c r="P75" s="76">
        <v>0</v>
      </c>
      <c r="Q75" s="76">
        <v>0</v>
      </c>
      <c r="R75" s="76">
        <v>0</v>
      </c>
      <c r="S75" s="76">
        <v>0</v>
      </c>
      <c r="T75" s="76">
        <v>0</v>
      </c>
      <c r="U75" s="76">
        <v>0</v>
      </c>
      <c r="V75" s="76">
        <v>0</v>
      </c>
      <c r="W75" s="76">
        <v>0</v>
      </c>
      <c r="X75" s="76">
        <v>0</v>
      </c>
      <c r="Y75" s="76">
        <v>0</v>
      </c>
      <c r="Z75" s="76">
        <v>1</v>
      </c>
      <c r="AA75" s="76">
        <v>0</v>
      </c>
      <c r="AB75" s="76">
        <v>0</v>
      </c>
      <c r="AC75" s="76">
        <v>0</v>
      </c>
      <c r="AD75" s="76">
        <v>0</v>
      </c>
      <c r="AE75" s="76">
        <v>0</v>
      </c>
      <c r="AF75" s="76">
        <v>0</v>
      </c>
      <c r="AG75" s="76">
        <v>0</v>
      </c>
      <c r="AH75" s="76">
        <v>0</v>
      </c>
      <c r="AI75" s="76">
        <v>0</v>
      </c>
      <c r="AJ75" s="76">
        <v>0</v>
      </c>
      <c r="AK75" s="76">
        <v>0</v>
      </c>
      <c r="AL75" s="76">
        <v>0</v>
      </c>
      <c r="AM75" s="76">
        <v>0</v>
      </c>
      <c r="AN75" s="76">
        <v>0</v>
      </c>
      <c r="AO75" s="76">
        <v>0</v>
      </c>
      <c r="AP75" s="76">
        <v>0</v>
      </c>
      <c r="AQ75" s="76">
        <v>0</v>
      </c>
      <c r="AR75" s="76">
        <v>0</v>
      </c>
      <c r="AS75" s="76">
        <v>0</v>
      </c>
      <c r="AT75" s="76">
        <v>0</v>
      </c>
      <c r="AU75" s="76">
        <v>1</v>
      </c>
      <c r="AV75" s="76">
        <v>0</v>
      </c>
      <c r="AW75" s="76">
        <v>0</v>
      </c>
      <c r="AX75" s="76">
        <v>0</v>
      </c>
      <c r="AY75" s="76">
        <v>1</v>
      </c>
      <c r="AZ75" s="76">
        <v>0</v>
      </c>
      <c r="BA75" s="76">
        <v>0</v>
      </c>
      <c r="BB75" s="76">
        <v>0</v>
      </c>
      <c r="BC75" s="76">
        <v>0</v>
      </c>
      <c r="BD75" s="76">
        <v>0</v>
      </c>
      <c r="BE75" s="76">
        <v>0</v>
      </c>
      <c r="BF75" s="76">
        <v>0</v>
      </c>
      <c r="BG75" s="76">
        <v>0</v>
      </c>
      <c r="BH75" s="76">
        <v>0</v>
      </c>
      <c r="BI75" s="76">
        <v>0</v>
      </c>
      <c r="BJ75" s="76">
        <v>0</v>
      </c>
      <c r="BK75" s="76">
        <v>0</v>
      </c>
      <c r="BL75" s="76">
        <v>0</v>
      </c>
      <c r="BM75" s="76">
        <v>0</v>
      </c>
      <c r="BN75" s="76">
        <v>0</v>
      </c>
      <c r="BO75" s="76">
        <v>0</v>
      </c>
      <c r="BP75" s="76">
        <v>0</v>
      </c>
      <c r="BQ75" s="76">
        <v>0</v>
      </c>
      <c r="BR75" s="76">
        <v>0</v>
      </c>
      <c r="BS75" s="76">
        <v>0</v>
      </c>
      <c r="BT75" s="76">
        <v>0</v>
      </c>
      <c r="BU75" s="76">
        <v>0</v>
      </c>
      <c r="BV75" s="76">
        <v>0</v>
      </c>
      <c r="BW75" s="76">
        <v>0</v>
      </c>
      <c r="BX75" s="76">
        <v>0</v>
      </c>
      <c r="BY75" s="76">
        <v>0</v>
      </c>
      <c r="BZ75" s="76">
        <v>0</v>
      </c>
      <c r="CA75" s="76">
        <v>1</v>
      </c>
      <c r="CB75" s="76">
        <v>0</v>
      </c>
      <c r="CC75" s="76">
        <v>0</v>
      </c>
      <c r="CD75" s="76">
        <v>0</v>
      </c>
      <c r="CE75" s="76">
        <v>0</v>
      </c>
      <c r="CF75" s="76">
        <v>0</v>
      </c>
      <c r="CG75" s="76">
        <v>0</v>
      </c>
      <c r="CH75" s="76">
        <v>1</v>
      </c>
      <c r="CI75" s="76">
        <v>0</v>
      </c>
      <c r="CJ75" s="76">
        <v>0</v>
      </c>
      <c r="CK75" s="76">
        <v>0</v>
      </c>
      <c r="CL75" s="76">
        <v>0</v>
      </c>
      <c r="CM75" s="76">
        <v>0</v>
      </c>
      <c r="CN75" s="76">
        <v>0</v>
      </c>
      <c r="CO75" s="76">
        <v>0</v>
      </c>
      <c r="CP75" s="76">
        <v>0</v>
      </c>
      <c r="CQ75" s="76">
        <v>0</v>
      </c>
      <c r="CR75" s="76">
        <v>0</v>
      </c>
      <c r="CS75" s="76">
        <v>0</v>
      </c>
      <c r="CT75" s="76">
        <v>0</v>
      </c>
      <c r="CU75" s="76">
        <v>0</v>
      </c>
      <c r="CV75" s="76">
        <v>0</v>
      </c>
      <c r="CW75" s="76">
        <v>0</v>
      </c>
      <c r="CX75" s="76">
        <v>0</v>
      </c>
      <c r="CY75" s="76">
        <v>0</v>
      </c>
      <c r="CZ75" s="76">
        <v>0</v>
      </c>
      <c r="DA75" s="76">
        <v>0</v>
      </c>
      <c r="DB75" s="76">
        <v>0</v>
      </c>
      <c r="DC75" s="76">
        <v>0</v>
      </c>
      <c r="DD75" s="76">
        <v>0</v>
      </c>
      <c r="DE75" s="76">
        <v>0</v>
      </c>
      <c r="DF75" s="76">
        <v>0</v>
      </c>
      <c r="DG75" s="76">
        <v>0</v>
      </c>
      <c r="DH75" s="76">
        <v>0</v>
      </c>
      <c r="DI75" s="76">
        <v>0</v>
      </c>
      <c r="DJ75" s="76">
        <v>0</v>
      </c>
      <c r="DK75" s="76">
        <v>0</v>
      </c>
      <c r="DL75" s="76">
        <v>0</v>
      </c>
      <c r="DM75" s="76">
        <v>0</v>
      </c>
      <c r="DN75" s="76">
        <v>0</v>
      </c>
      <c r="DO75" s="76">
        <v>1</v>
      </c>
      <c r="DP75" s="76">
        <v>1</v>
      </c>
      <c r="DQ75" s="76">
        <v>0</v>
      </c>
      <c r="DR75" s="76">
        <v>0</v>
      </c>
      <c r="DS75" s="76">
        <v>0</v>
      </c>
      <c r="DT75" s="76">
        <v>0</v>
      </c>
      <c r="DU75" s="76">
        <v>0</v>
      </c>
      <c r="DV75" s="76">
        <v>0</v>
      </c>
      <c r="DW75" s="76">
        <v>0</v>
      </c>
      <c r="DX75" s="76">
        <v>0</v>
      </c>
      <c r="DY75" s="76">
        <v>0</v>
      </c>
      <c r="DZ75" s="76">
        <v>0</v>
      </c>
      <c r="EA75" s="76">
        <v>0</v>
      </c>
      <c r="EB75" s="76">
        <v>0</v>
      </c>
      <c r="EC75" s="76">
        <v>0</v>
      </c>
      <c r="ED75" s="76">
        <v>0</v>
      </c>
      <c r="EE75" s="76">
        <v>0</v>
      </c>
      <c r="EF75" s="76">
        <v>0</v>
      </c>
      <c r="EG75" s="76">
        <v>0</v>
      </c>
      <c r="EH75" s="76">
        <v>0</v>
      </c>
      <c r="EI75" s="76">
        <v>0</v>
      </c>
      <c r="EJ75" s="76">
        <v>0</v>
      </c>
      <c r="EK75" s="76">
        <v>0</v>
      </c>
      <c r="EL75" s="76">
        <v>0</v>
      </c>
      <c r="EM75" s="76">
        <v>0</v>
      </c>
      <c r="EN75" s="76">
        <v>0</v>
      </c>
      <c r="EO75" s="76">
        <v>0</v>
      </c>
      <c r="EP75" s="76">
        <v>0</v>
      </c>
      <c r="EQ75" s="76">
        <v>0</v>
      </c>
      <c r="ER75" s="76">
        <v>0</v>
      </c>
      <c r="ES75" s="76">
        <v>0</v>
      </c>
      <c r="ET75" s="76">
        <v>0</v>
      </c>
      <c r="EU75" s="76">
        <v>0</v>
      </c>
      <c r="EV75" s="76">
        <v>0</v>
      </c>
      <c r="EW75" s="76">
        <v>0</v>
      </c>
      <c r="EX75" s="76">
        <v>0</v>
      </c>
      <c r="EY75" s="76">
        <v>0</v>
      </c>
      <c r="EZ75" s="76">
        <v>0</v>
      </c>
      <c r="FA75" s="76">
        <v>0</v>
      </c>
      <c r="FB75" s="76">
        <v>0</v>
      </c>
      <c r="FC75" s="76">
        <v>0</v>
      </c>
      <c r="FD75" s="76">
        <v>0</v>
      </c>
      <c r="FE75" s="77">
        <f t="shared" si="0"/>
        <v>7</v>
      </c>
    </row>
    <row r="76" spans="1:161" s="24" customFormat="1" ht="20.100000000000001" customHeight="1" x14ac:dyDescent="0.25">
      <c r="A76" s="153" t="s">
        <v>383</v>
      </c>
      <c r="B76" s="76"/>
      <c r="C76" s="76"/>
      <c r="D76" s="76"/>
      <c r="E76" s="76"/>
      <c r="F76" s="76"/>
      <c r="G76" s="76"/>
      <c r="H76" s="76"/>
      <c r="I76" s="76"/>
      <c r="J76" s="76"/>
      <c r="K76" s="76"/>
      <c r="L76" s="76"/>
      <c r="M76" s="76"/>
      <c r="N76" s="76"/>
      <c r="O76" s="76"/>
      <c r="P76" s="76"/>
      <c r="Q76" s="76"/>
      <c r="R76" s="76"/>
      <c r="S76" s="76"/>
      <c r="T76" s="76"/>
      <c r="U76" s="76"/>
      <c r="V76" s="76"/>
      <c r="W76" s="76"/>
      <c r="X76" s="76"/>
      <c r="Y76" s="76"/>
      <c r="Z76" s="76"/>
      <c r="AA76" s="76"/>
      <c r="AB76" s="76"/>
      <c r="AC76" s="76"/>
      <c r="AD76" s="76"/>
      <c r="AE76" s="76"/>
      <c r="AF76" s="76"/>
      <c r="AG76" s="76"/>
      <c r="AH76" s="76"/>
      <c r="AI76" s="76"/>
      <c r="AJ76" s="76"/>
      <c r="AK76" s="76"/>
      <c r="AL76" s="76"/>
      <c r="AM76" s="76"/>
      <c r="AN76" s="76"/>
      <c r="AO76" s="76"/>
      <c r="AP76" s="76"/>
      <c r="AQ76" s="76"/>
      <c r="AR76" s="76"/>
      <c r="AS76" s="76"/>
      <c r="AT76" s="76"/>
      <c r="AU76" s="76"/>
      <c r="AV76" s="76"/>
      <c r="AW76" s="76"/>
      <c r="AX76" s="76"/>
      <c r="AY76" s="76"/>
      <c r="AZ76" s="76"/>
      <c r="BA76" s="76"/>
      <c r="BB76" s="76"/>
      <c r="BC76" s="76"/>
      <c r="BD76" s="76"/>
      <c r="BE76" s="76"/>
      <c r="BF76" s="76"/>
      <c r="BG76" s="76"/>
      <c r="BH76" s="76"/>
      <c r="BI76" s="76"/>
      <c r="BJ76" s="76"/>
      <c r="BK76" s="76"/>
      <c r="BL76" s="76"/>
      <c r="BM76" s="76"/>
      <c r="BN76" s="76"/>
      <c r="BO76" s="76"/>
      <c r="BP76" s="76"/>
      <c r="BQ76" s="76"/>
      <c r="BR76" s="76"/>
      <c r="BS76" s="76"/>
      <c r="BT76" s="76"/>
      <c r="BU76" s="76"/>
      <c r="BV76" s="76"/>
      <c r="BW76" s="76"/>
      <c r="BX76" s="76"/>
      <c r="BY76" s="76"/>
      <c r="BZ76" s="76"/>
      <c r="CA76" s="76"/>
      <c r="CB76" s="76"/>
      <c r="CC76" s="76"/>
      <c r="CD76" s="76"/>
      <c r="CE76" s="76"/>
      <c r="CF76" s="76"/>
      <c r="CG76" s="76"/>
      <c r="CH76" s="76"/>
      <c r="CI76" s="76"/>
      <c r="CJ76" s="76"/>
      <c r="CK76" s="76">
        <v>0</v>
      </c>
      <c r="CL76" s="76">
        <v>0</v>
      </c>
      <c r="CM76" s="76">
        <v>0</v>
      </c>
      <c r="CN76" s="76">
        <v>0</v>
      </c>
      <c r="CO76" s="76">
        <v>0</v>
      </c>
      <c r="CP76" s="76">
        <v>0</v>
      </c>
      <c r="CQ76" s="76">
        <v>0</v>
      </c>
      <c r="CR76" s="76">
        <v>0</v>
      </c>
      <c r="CS76" s="76">
        <v>0</v>
      </c>
      <c r="CT76" s="76">
        <v>0</v>
      </c>
      <c r="CU76" s="76">
        <v>0</v>
      </c>
      <c r="CV76" s="76">
        <v>0</v>
      </c>
      <c r="CW76" s="76">
        <v>1</v>
      </c>
      <c r="CX76" s="76">
        <v>0</v>
      </c>
      <c r="CY76" s="76">
        <v>0</v>
      </c>
      <c r="CZ76" s="76">
        <v>0</v>
      </c>
      <c r="DA76" s="76">
        <v>0</v>
      </c>
      <c r="DB76" s="76">
        <v>0</v>
      </c>
      <c r="DC76" s="76">
        <v>0</v>
      </c>
      <c r="DD76" s="76">
        <v>0</v>
      </c>
      <c r="DE76" s="76">
        <v>0</v>
      </c>
      <c r="DF76" s="76">
        <v>0</v>
      </c>
      <c r="DG76" s="76">
        <v>0</v>
      </c>
      <c r="DH76" s="76">
        <v>0</v>
      </c>
      <c r="DI76" s="76">
        <v>0</v>
      </c>
      <c r="DJ76" s="76">
        <v>0</v>
      </c>
      <c r="DK76" s="76">
        <v>0</v>
      </c>
      <c r="DL76" s="76">
        <v>0</v>
      </c>
      <c r="DM76" s="76">
        <v>0</v>
      </c>
      <c r="DN76" s="76">
        <v>0</v>
      </c>
      <c r="DO76" s="76">
        <v>0</v>
      </c>
      <c r="DP76" s="76">
        <v>0</v>
      </c>
      <c r="DQ76" s="76">
        <v>0</v>
      </c>
      <c r="DR76" s="76">
        <v>0</v>
      </c>
      <c r="DS76" s="76">
        <v>0</v>
      </c>
      <c r="DT76" s="76">
        <v>0</v>
      </c>
      <c r="DU76" s="76">
        <v>0</v>
      </c>
      <c r="DV76" s="76">
        <v>0</v>
      </c>
      <c r="DW76" s="76">
        <v>0</v>
      </c>
      <c r="DX76" s="76">
        <v>0</v>
      </c>
      <c r="DY76" s="76">
        <v>0</v>
      </c>
      <c r="DZ76" s="76">
        <v>0</v>
      </c>
      <c r="EA76" s="76">
        <v>0</v>
      </c>
      <c r="EB76" s="76">
        <v>0</v>
      </c>
      <c r="EC76" s="76">
        <v>0</v>
      </c>
      <c r="ED76" s="76">
        <v>0</v>
      </c>
      <c r="EE76" s="76">
        <v>0</v>
      </c>
      <c r="EF76" s="76">
        <v>0</v>
      </c>
      <c r="EG76" s="76">
        <v>0</v>
      </c>
      <c r="EH76" s="76">
        <v>0</v>
      </c>
      <c r="EI76" s="76">
        <v>0</v>
      </c>
      <c r="EJ76" s="76">
        <v>0</v>
      </c>
      <c r="EK76" s="76">
        <v>0</v>
      </c>
      <c r="EL76" s="76">
        <v>0</v>
      </c>
      <c r="EM76" s="76">
        <v>0</v>
      </c>
      <c r="EN76" s="76">
        <v>0</v>
      </c>
      <c r="EO76" s="76">
        <v>0</v>
      </c>
      <c r="EP76" s="76">
        <v>0</v>
      </c>
      <c r="EQ76" s="76">
        <v>0</v>
      </c>
      <c r="ER76" s="76">
        <v>0</v>
      </c>
      <c r="ES76" s="76">
        <v>0</v>
      </c>
      <c r="ET76" s="76">
        <v>0</v>
      </c>
      <c r="EU76" s="76">
        <v>0</v>
      </c>
      <c r="EV76" s="76">
        <v>0</v>
      </c>
      <c r="EW76" s="76">
        <v>0</v>
      </c>
      <c r="EX76" s="76">
        <v>0</v>
      </c>
      <c r="EY76" s="76">
        <v>0</v>
      </c>
      <c r="EZ76" s="76">
        <v>0</v>
      </c>
      <c r="FA76" s="76">
        <v>0</v>
      </c>
      <c r="FB76" s="76">
        <v>0</v>
      </c>
      <c r="FC76" s="76">
        <v>0</v>
      </c>
      <c r="FD76" s="76">
        <v>0</v>
      </c>
      <c r="FE76" s="77">
        <f t="shared" si="0"/>
        <v>1</v>
      </c>
    </row>
    <row r="77" spans="1:161" s="24" customFormat="1" ht="20.100000000000001" customHeight="1" x14ac:dyDescent="0.2">
      <c r="A77" s="75" t="s">
        <v>49</v>
      </c>
      <c r="B77" s="76">
        <v>0</v>
      </c>
      <c r="C77" s="76">
        <v>2</v>
      </c>
      <c r="D77" s="76">
        <v>2</v>
      </c>
      <c r="E77" s="76">
        <v>1</v>
      </c>
      <c r="F77" s="76">
        <v>0</v>
      </c>
      <c r="G77" s="76">
        <v>0</v>
      </c>
      <c r="H77" s="76">
        <v>0</v>
      </c>
      <c r="I77" s="76">
        <v>0</v>
      </c>
      <c r="J77" s="76">
        <v>0</v>
      </c>
      <c r="K77" s="76">
        <v>0</v>
      </c>
      <c r="L77" s="76">
        <v>0</v>
      </c>
      <c r="M77" s="76">
        <v>1</v>
      </c>
      <c r="N77" s="76">
        <v>1</v>
      </c>
      <c r="O77" s="76">
        <v>2</v>
      </c>
      <c r="P77" s="76">
        <v>6</v>
      </c>
      <c r="Q77" s="76">
        <v>5</v>
      </c>
      <c r="R77" s="76">
        <v>0</v>
      </c>
      <c r="S77" s="76">
        <v>6</v>
      </c>
      <c r="T77" s="76">
        <v>2</v>
      </c>
      <c r="U77" s="76">
        <v>1</v>
      </c>
      <c r="V77" s="76">
        <v>2</v>
      </c>
      <c r="W77" s="76">
        <v>0</v>
      </c>
      <c r="X77" s="76">
        <v>0</v>
      </c>
      <c r="Y77" s="76">
        <v>1</v>
      </c>
      <c r="Z77" s="76">
        <v>1</v>
      </c>
      <c r="AA77" s="76">
        <v>2</v>
      </c>
      <c r="AB77" s="76">
        <v>0</v>
      </c>
      <c r="AC77" s="76">
        <v>0</v>
      </c>
      <c r="AD77" s="76">
        <v>3</v>
      </c>
      <c r="AE77" s="76">
        <v>0</v>
      </c>
      <c r="AF77" s="76">
        <v>1</v>
      </c>
      <c r="AG77" s="76">
        <v>2</v>
      </c>
      <c r="AH77" s="76">
        <v>1</v>
      </c>
      <c r="AI77" s="76">
        <v>1</v>
      </c>
      <c r="AJ77" s="76">
        <v>0</v>
      </c>
      <c r="AK77" s="76">
        <v>1</v>
      </c>
      <c r="AL77" s="76">
        <v>0</v>
      </c>
      <c r="AM77" s="76">
        <v>0</v>
      </c>
      <c r="AN77" s="76">
        <v>1</v>
      </c>
      <c r="AO77" s="76">
        <v>2</v>
      </c>
      <c r="AP77" s="76">
        <v>4</v>
      </c>
      <c r="AQ77" s="76">
        <v>1</v>
      </c>
      <c r="AR77" s="76">
        <v>6</v>
      </c>
      <c r="AS77" s="76">
        <v>1</v>
      </c>
      <c r="AT77" s="76">
        <v>3</v>
      </c>
      <c r="AU77" s="76">
        <v>3</v>
      </c>
      <c r="AV77" s="76">
        <v>2</v>
      </c>
      <c r="AW77" s="76">
        <v>1</v>
      </c>
      <c r="AX77" s="76">
        <v>0</v>
      </c>
      <c r="AY77" s="76">
        <v>2</v>
      </c>
      <c r="AZ77" s="76">
        <v>1</v>
      </c>
      <c r="BA77" s="76">
        <v>1</v>
      </c>
      <c r="BB77" s="76">
        <v>1</v>
      </c>
      <c r="BC77" s="76">
        <v>1</v>
      </c>
      <c r="BD77" s="76">
        <v>0</v>
      </c>
      <c r="BE77" s="76">
        <v>0</v>
      </c>
      <c r="BF77" s="76">
        <v>0</v>
      </c>
      <c r="BG77" s="76">
        <v>1</v>
      </c>
      <c r="BH77" s="76">
        <v>0</v>
      </c>
      <c r="BI77" s="76">
        <v>0</v>
      </c>
      <c r="BJ77" s="76">
        <v>0</v>
      </c>
      <c r="BK77" s="76">
        <v>0</v>
      </c>
      <c r="BL77" s="76">
        <v>0</v>
      </c>
      <c r="BM77" s="76">
        <v>0</v>
      </c>
      <c r="BN77" s="76">
        <v>0</v>
      </c>
      <c r="BO77" s="76">
        <v>0</v>
      </c>
      <c r="BP77" s="76">
        <v>0</v>
      </c>
      <c r="BQ77" s="76">
        <v>0</v>
      </c>
      <c r="BR77" s="76">
        <v>0</v>
      </c>
      <c r="BS77" s="76">
        <v>0</v>
      </c>
      <c r="BT77" s="76">
        <v>1</v>
      </c>
      <c r="BU77" s="76">
        <v>0</v>
      </c>
      <c r="BV77" s="76">
        <v>0</v>
      </c>
      <c r="BW77" s="76">
        <v>0</v>
      </c>
      <c r="BX77" s="76">
        <v>0</v>
      </c>
      <c r="BY77" s="76">
        <v>0</v>
      </c>
      <c r="BZ77" s="76">
        <v>0</v>
      </c>
      <c r="CA77" s="76">
        <v>0</v>
      </c>
      <c r="CB77" s="76">
        <v>0</v>
      </c>
      <c r="CC77" s="76">
        <v>0</v>
      </c>
      <c r="CD77" s="76">
        <v>0</v>
      </c>
      <c r="CE77" s="76">
        <v>0</v>
      </c>
      <c r="CF77" s="76">
        <v>0</v>
      </c>
      <c r="CG77" s="76">
        <v>0</v>
      </c>
      <c r="CH77" s="76">
        <v>0</v>
      </c>
      <c r="CI77" s="76">
        <v>0</v>
      </c>
      <c r="CJ77" s="76">
        <v>0</v>
      </c>
      <c r="CK77" s="76">
        <v>0</v>
      </c>
      <c r="CL77" s="76">
        <v>0</v>
      </c>
      <c r="CM77" s="76">
        <v>0</v>
      </c>
      <c r="CN77" s="76">
        <v>0</v>
      </c>
      <c r="CO77" s="76">
        <v>0</v>
      </c>
      <c r="CP77" s="76">
        <v>0</v>
      </c>
      <c r="CQ77" s="76">
        <v>0</v>
      </c>
      <c r="CR77" s="76">
        <v>0</v>
      </c>
      <c r="CS77" s="76">
        <v>0</v>
      </c>
      <c r="CT77" s="76">
        <v>0</v>
      </c>
      <c r="CU77" s="76">
        <v>0</v>
      </c>
      <c r="CV77" s="76">
        <v>0</v>
      </c>
      <c r="CW77" s="76">
        <v>0</v>
      </c>
      <c r="CX77" s="76">
        <v>0</v>
      </c>
      <c r="CY77" s="76">
        <v>0</v>
      </c>
      <c r="CZ77" s="76">
        <v>0</v>
      </c>
      <c r="DA77" s="76">
        <v>0</v>
      </c>
      <c r="DB77" s="76">
        <v>0</v>
      </c>
      <c r="DC77" s="76">
        <v>0</v>
      </c>
      <c r="DD77" s="76">
        <v>0</v>
      </c>
      <c r="DE77" s="76">
        <v>0</v>
      </c>
      <c r="DF77" s="76">
        <v>0</v>
      </c>
      <c r="DG77" s="76">
        <v>0</v>
      </c>
      <c r="DH77" s="76">
        <v>0</v>
      </c>
      <c r="DI77" s="76">
        <v>0</v>
      </c>
      <c r="DJ77" s="76">
        <v>0</v>
      </c>
      <c r="DK77" s="76">
        <v>0</v>
      </c>
      <c r="DL77" s="76">
        <v>0</v>
      </c>
      <c r="DM77" s="76">
        <v>0</v>
      </c>
      <c r="DN77" s="76">
        <v>0</v>
      </c>
      <c r="DO77" s="76">
        <v>0</v>
      </c>
      <c r="DP77" s="76">
        <v>0</v>
      </c>
      <c r="DQ77" s="76">
        <v>0</v>
      </c>
      <c r="DR77" s="76">
        <v>0</v>
      </c>
      <c r="DS77" s="76">
        <v>0</v>
      </c>
      <c r="DT77" s="76">
        <v>0</v>
      </c>
      <c r="DU77" s="76">
        <v>0</v>
      </c>
      <c r="DV77" s="76">
        <v>0</v>
      </c>
      <c r="DW77" s="76">
        <v>0</v>
      </c>
      <c r="DX77" s="76">
        <v>0</v>
      </c>
      <c r="DY77" s="76">
        <v>0</v>
      </c>
      <c r="DZ77" s="76">
        <v>0</v>
      </c>
      <c r="EA77" s="76">
        <v>0</v>
      </c>
      <c r="EB77" s="76">
        <v>0</v>
      </c>
      <c r="EC77" s="76">
        <v>0</v>
      </c>
      <c r="ED77" s="76">
        <v>0</v>
      </c>
      <c r="EE77" s="76">
        <v>0</v>
      </c>
      <c r="EF77" s="76">
        <v>0</v>
      </c>
      <c r="EG77" s="76">
        <v>0</v>
      </c>
      <c r="EH77" s="76">
        <v>0</v>
      </c>
      <c r="EI77" s="76">
        <v>0</v>
      </c>
      <c r="EJ77" s="76">
        <v>0</v>
      </c>
      <c r="EK77" s="76">
        <v>0</v>
      </c>
      <c r="EL77" s="76">
        <v>0</v>
      </c>
      <c r="EM77" s="76">
        <v>0</v>
      </c>
      <c r="EN77" s="76">
        <v>0</v>
      </c>
      <c r="EO77" s="76">
        <v>0</v>
      </c>
      <c r="EP77" s="76">
        <v>0</v>
      </c>
      <c r="EQ77" s="76">
        <v>0</v>
      </c>
      <c r="ER77" s="76">
        <v>0</v>
      </c>
      <c r="ES77" s="76">
        <v>0</v>
      </c>
      <c r="ET77" s="76">
        <v>0</v>
      </c>
      <c r="EU77" s="76">
        <v>0</v>
      </c>
      <c r="EV77" s="76">
        <v>0</v>
      </c>
      <c r="EW77" s="76">
        <v>0</v>
      </c>
      <c r="EX77" s="76">
        <v>0</v>
      </c>
      <c r="EY77" s="76">
        <v>0</v>
      </c>
      <c r="EZ77" s="76">
        <v>0</v>
      </c>
      <c r="FA77" s="76">
        <v>0</v>
      </c>
      <c r="FB77" s="76">
        <v>0</v>
      </c>
      <c r="FC77" s="76">
        <v>0</v>
      </c>
      <c r="FD77" s="76">
        <v>0</v>
      </c>
      <c r="FE77" s="77">
        <f t="shared" si="0"/>
        <v>76</v>
      </c>
    </row>
    <row r="78" spans="1:161" s="24" customFormat="1" ht="20.100000000000001" customHeight="1" x14ac:dyDescent="0.2">
      <c r="A78" s="75" t="s">
        <v>64</v>
      </c>
      <c r="B78" s="76">
        <v>0</v>
      </c>
      <c r="C78" s="76">
        <v>0</v>
      </c>
      <c r="D78" s="76">
        <v>0</v>
      </c>
      <c r="E78" s="76">
        <v>0</v>
      </c>
      <c r="F78" s="76">
        <v>0</v>
      </c>
      <c r="G78" s="76">
        <v>0</v>
      </c>
      <c r="H78" s="76">
        <v>0</v>
      </c>
      <c r="I78" s="76">
        <v>0</v>
      </c>
      <c r="J78" s="76">
        <v>0</v>
      </c>
      <c r="K78" s="76">
        <v>0</v>
      </c>
      <c r="L78" s="76">
        <v>0</v>
      </c>
      <c r="M78" s="76">
        <v>0</v>
      </c>
      <c r="N78" s="76">
        <v>0</v>
      </c>
      <c r="O78" s="76">
        <v>0</v>
      </c>
      <c r="P78" s="76">
        <v>0</v>
      </c>
      <c r="Q78" s="76">
        <v>0</v>
      </c>
      <c r="R78" s="76">
        <v>0</v>
      </c>
      <c r="S78" s="76">
        <v>0</v>
      </c>
      <c r="T78" s="76">
        <v>0</v>
      </c>
      <c r="U78" s="76">
        <v>0</v>
      </c>
      <c r="V78" s="76">
        <v>0</v>
      </c>
      <c r="W78" s="76">
        <v>0</v>
      </c>
      <c r="X78" s="76">
        <v>0</v>
      </c>
      <c r="Y78" s="76">
        <v>0</v>
      </c>
      <c r="Z78" s="76">
        <v>0</v>
      </c>
      <c r="AA78" s="76">
        <v>0</v>
      </c>
      <c r="AB78" s="76">
        <v>0</v>
      </c>
      <c r="AC78" s="76">
        <v>0</v>
      </c>
      <c r="AD78" s="76">
        <v>0</v>
      </c>
      <c r="AE78" s="76">
        <v>0</v>
      </c>
      <c r="AF78" s="76">
        <v>0</v>
      </c>
      <c r="AG78" s="76">
        <v>0</v>
      </c>
      <c r="AH78" s="76">
        <v>0</v>
      </c>
      <c r="AI78" s="76">
        <v>0</v>
      </c>
      <c r="AJ78" s="76">
        <v>0</v>
      </c>
      <c r="AK78" s="76">
        <v>0</v>
      </c>
      <c r="AL78" s="76">
        <v>0</v>
      </c>
      <c r="AM78" s="76">
        <v>0</v>
      </c>
      <c r="AN78" s="76">
        <v>0</v>
      </c>
      <c r="AO78" s="76">
        <v>0</v>
      </c>
      <c r="AP78" s="76">
        <v>0</v>
      </c>
      <c r="AQ78" s="76">
        <v>0</v>
      </c>
      <c r="AR78" s="76">
        <v>0</v>
      </c>
      <c r="AS78" s="76">
        <v>0</v>
      </c>
      <c r="AT78" s="76">
        <v>0</v>
      </c>
      <c r="AU78" s="76">
        <v>0</v>
      </c>
      <c r="AV78" s="76">
        <v>0</v>
      </c>
      <c r="AW78" s="76">
        <v>0</v>
      </c>
      <c r="AX78" s="76">
        <v>1</v>
      </c>
      <c r="AY78" s="76">
        <v>0</v>
      </c>
      <c r="AZ78" s="76">
        <v>0</v>
      </c>
      <c r="BA78" s="76">
        <v>0</v>
      </c>
      <c r="BB78" s="76">
        <v>0</v>
      </c>
      <c r="BC78" s="76">
        <v>0</v>
      </c>
      <c r="BD78" s="76">
        <v>0</v>
      </c>
      <c r="BE78" s="76">
        <v>0</v>
      </c>
      <c r="BF78" s="76">
        <v>0</v>
      </c>
      <c r="BG78" s="76">
        <v>0</v>
      </c>
      <c r="BH78" s="76">
        <v>0</v>
      </c>
      <c r="BI78" s="76">
        <v>0</v>
      </c>
      <c r="BJ78" s="76">
        <v>0</v>
      </c>
      <c r="BK78" s="76">
        <v>0</v>
      </c>
      <c r="BL78" s="76">
        <v>0</v>
      </c>
      <c r="BM78" s="76">
        <v>0</v>
      </c>
      <c r="BN78" s="76">
        <v>0</v>
      </c>
      <c r="BO78" s="76">
        <v>0</v>
      </c>
      <c r="BP78" s="76">
        <v>0</v>
      </c>
      <c r="BQ78" s="76">
        <v>0</v>
      </c>
      <c r="BR78" s="76">
        <v>0</v>
      </c>
      <c r="BS78" s="76">
        <v>0</v>
      </c>
      <c r="BT78" s="76">
        <v>0</v>
      </c>
      <c r="BU78" s="76">
        <v>0</v>
      </c>
      <c r="BV78" s="76">
        <v>0</v>
      </c>
      <c r="BW78" s="76">
        <v>0</v>
      </c>
      <c r="BX78" s="76">
        <v>0</v>
      </c>
      <c r="BY78" s="76">
        <v>0</v>
      </c>
      <c r="BZ78" s="76">
        <v>0</v>
      </c>
      <c r="CA78" s="76">
        <v>0</v>
      </c>
      <c r="CB78" s="76">
        <v>0</v>
      </c>
      <c r="CC78" s="76">
        <v>1</v>
      </c>
      <c r="CD78" s="76">
        <v>0</v>
      </c>
      <c r="CE78" s="76">
        <v>0</v>
      </c>
      <c r="CF78" s="76">
        <v>0</v>
      </c>
      <c r="CG78" s="76">
        <v>0</v>
      </c>
      <c r="CH78" s="76">
        <v>0</v>
      </c>
      <c r="CI78" s="76">
        <v>0</v>
      </c>
      <c r="CJ78" s="76">
        <v>0</v>
      </c>
      <c r="CK78" s="76">
        <v>0</v>
      </c>
      <c r="CL78" s="76">
        <v>0</v>
      </c>
      <c r="CM78" s="76">
        <v>0</v>
      </c>
      <c r="CN78" s="76">
        <v>0</v>
      </c>
      <c r="CO78" s="76">
        <v>0</v>
      </c>
      <c r="CP78" s="76">
        <v>0</v>
      </c>
      <c r="CQ78" s="76">
        <v>0</v>
      </c>
      <c r="CR78" s="76">
        <v>0</v>
      </c>
      <c r="CS78" s="76">
        <v>0</v>
      </c>
      <c r="CT78" s="76">
        <v>0</v>
      </c>
      <c r="CU78" s="76">
        <v>0</v>
      </c>
      <c r="CV78" s="76">
        <v>0</v>
      </c>
      <c r="CW78" s="76">
        <v>0</v>
      </c>
      <c r="CX78" s="76">
        <v>0</v>
      </c>
      <c r="CY78" s="76">
        <v>0</v>
      </c>
      <c r="CZ78" s="76">
        <v>0</v>
      </c>
      <c r="DA78" s="76">
        <v>0</v>
      </c>
      <c r="DB78" s="76">
        <v>0</v>
      </c>
      <c r="DC78" s="76">
        <v>0</v>
      </c>
      <c r="DD78" s="76">
        <v>0</v>
      </c>
      <c r="DE78" s="76">
        <v>0</v>
      </c>
      <c r="DF78" s="76">
        <v>0</v>
      </c>
      <c r="DG78" s="76">
        <v>0</v>
      </c>
      <c r="DH78" s="76">
        <v>0</v>
      </c>
      <c r="DI78" s="76">
        <v>0</v>
      </c>
      <c r="DJ78" s="76">
        <v>0</v>
      </c>
      <c r="DK78" s="76">
        <v>0</v>
      </c>
      <c r="DL78" s="76">
        <v>0</v>
      </c>
      <c r="DM78" s="76">
        <v>0</v>
      </c>
      <c r="DN78" s="76">
        <v>0</v>
      </c>
      <c r="DO78" s="76">
        <v>0</v>
      </c>
      <c r="DP78" s="76">
        <v>0</v>
      </c>
      <c r="DQ78" s="76">
        <v>0</v>
      </c>
      <c r="DR78" s="76">
        <v>0</v>
      </c>
      <c r="DS78" s="76">
        <v>0</v>
      </c>
      <c r="DT78" s="76">
        <v>0</v>
      </c>
      <c r="DU78" s="76">
        <v>0</v>
      </c>
      <c r="DV78" s="76">
        <v>0</v>
      </c>
      <c r="DW78" s="76">
        <v>0</v>
      </c>
      <c r="DX78" s="76">
        <v>0</v>
      </c>
      <c r="DY78" s="76">
        <v>0</v>
      </c>
      <c r="DZ78" s="76">
        <v>0</v>
      </c>
      <c r="EA78" s="76">
        <v>0</v>
      </c>
      <c r="EB78" s="76">
        <v>0</v>
      </c>
      <c r="EC78" s="76">
        <v>0</v>
      </c>
      <c r="ED78" s="76">
        <v>0</v>
      </c>
      <c r="EE78" s="76">
        <v>0</v>
      </c>
      <c r="EF78" s="76">
        <v>0</v>
      </c>
      <c r="EG78" s="76">
        <v>1</v>
      </c>
      <c r="EH78" s="76">
        <v>0</v>
      </c>
      <c r="EI78" s="76">
        <v>0</v>
      </c>
      <c r="EJ78" s="76">
        <v>0</v>
      </c>
      <c r="EK78" s="76">
        <v>0</v>
      </c>
      <c r="EL78" s="76">
        <v>0</v>
      </c>
      <c r="EM78" s="76">
        <v>0</v>
      </c>
      <c r="EN78" s="76">
        <v>0</v>
      </c>
      <c r="EO78" s="76">
        <v>0</v>
      </c>
      <c r="EP78" s="76">
        <v>0</v>
      </c>
      <c r="EQ78" s="76">
        <v>0</v>
      </c>
      <c r="ER78" s="76">
        <v>0</v>
      </c>
      <c r="ES78" s="76">
        <v>0</v>
      </c>
      <c r="ET78" s="76">
        <v>0</v>
      </c>
      <c r="EU78" s="76">
        <v>0</v>
      </c>
      <c r="EV78" s="76">
        <v>0</v>
      </c>
      <c r="EW78" s="76">
        <v>0</v>
      </c>
      <c r="EX78" s="76">
        <v>0</v>
      </c>
      <c r="EY78" s="76">
        <v>0</v>
      </c>
      <c r="EZ78" s="76">
        <v>0</v>
      </c>
      <c r="FA78" s="76">
        <v>0</v>
      </c>
      <c r="FB78" s="76">
        <v>0</v>
      </c>
      <c r="FC78" s="76">
        <v>0</v>
      </c>
      <c r="FD78" s="76">
        <v>0</v>
      </c>
      <c r="FE78" s="77">
        <f t="shared" si="0"/>
        <v>3</v>
      </c>
    </row>
    <row r="79" spans="1:161" s="24" customFormat="1" ht="20.100000000000001" customHeight="1" x14ac:dyDescent="0.2">
      <c r="A79" s="75" t="s">
        <v>54</v>
      </c>
      <c r="B79" s="76">
        <v>0</v>
      </c>
      <c r="C79" s="76">
        <v>0</v>
      </c>
      <c r="D79" s="76">
        <v>0</v>
      </c>
      <c r="E79" s="76">
        <v>1</v>
      </c>
      <c r="F79" s="76">
        <v>0</v>
      </c>
      <c r="G79" s="76">
        <v>8</v>
      </c>
      <c r="H79" s="76">
        <v>0</v>
      </c>
      <c r="I79" s="76">
        <v>2</v>
      </c>
      <c r="J79" s="76">
        <v>0</v>
      </c>
      <c r="K79" s="76">
        <v>1</v>
      </c>
      <c r="L79" s="76">
        <v>1</v>
      </c>
      <c r="M79" s="76">
        <v>0</v>
      </c>
      <c r="N79" s="76">
        <v>0</v>
      </c>
      <c r="O79" s="76">
        <v>0</v>
      </c>
      <c r="P79" s="76">
        <v>0</v>
      </c>
      <c r="Q79" s="76">
        <v>0</v>
      </c>
      <c r="R79" s="76">
        <v>0</v>
      </c>
      <c r="S79" s="76">
        <v>0</v>
      </c>
      <c r="T79" s="76">
        <v>0</v>
      </c>
      <c r="U79" s="76">
        <v>0</v>
      </c>
      <c r="V79" s="76">
        <v>0</v>
      </c>
      <c r="W79" s="76">
        <v>0</v>
      </c>
      <c r="X79" s="76">
        <v>0</v>
      </c>
      <c r="Y79" s="76">
        <v>0</v>
      </c>
      <c r="Z79" s="76">
        <v>0</v>
      </c>
      <c r="AA79" s="76">
        <v>0</v>
      </c>
      <c r="AB79" s="76">
        <v>0</v>
      </c>
      <c r="AC79" s="76">
        <v>0</v>
      </c>
      <c r="AD79" s="76">
        <v>0</v>
      </c>
      <c r="AE79" s="76">
        <v>0</v>
      </c>
      <c r="AF79" s="76">
        <v>0</v>
      </c>
      <c r="AG79" s="76">
        <v>0</v>
      </c>
      <c r="AH79" s="76">
        <v>0</v>
      </c>
      <c r="AI79" s="76">
        <v>0</v>
      </c>
      <c r="AJ79" s="76">
        <v>0</v>
      </c>
      <c r="AK79" s="76">
        <v>0</v>
      </c>
      <c r="AL79" s="76">
        <v>0</v>
      </c>
      <c r="AM79" s="76">
        <v>0</v>
      </c>
      <c r="AN79" s="76">
        <v>0</v>
      </c>
      <c r="AO79" s="76">
        <v>0</v>
      </c>
      <c r="AP79" s="76">
        <v>0</v>
      </c>
      <c r="AQ79" s="76">
        <v>0</v>
      </c>
      <c r="AR79" s="76">
        <v>0</v>
      </c>
      <c r="AS79" s="76">
        <v>0</v>
      </c>
      <c r="AT79" s="76">
        <v>0</v>
      </c>
      <c r="AU79" s="76">
        <v>0</v>
      </c>
      <c r="AV79" s="76">
        <v>0</v>
      </c>
      <c r="AW79" s="76">
        <v>0</v>
      </c>
      <c r="AX79" s="76">
        <v>0</v>
      </c>
      <c r="AY79" s="76">
        <v>0</v>
      </c>
      <c r="AZ79" s="76">
        <v>0</v>
      </c>
      <c r="BA79" s="76">
        <v>0</v>
      </c>
      <c r="BB79" s="76">
        <v>0</v>
      </c>
      <c r="BC79" s="76">
        <v>0</v>
      </c>
      <c r="BD79" s="76">
        <v>0</v>
      </c>
      <c r="BE79" s="76">
        <v>0</v>
      </c>
      <c r="BF79" s="76">
        <v>0</v>
      </c>
      <c r="BG79" s="76">
        <v>0</v>
      </c>
      <c r="BH79" s="76">
        <v>0</v>
      </c>
      <c r="BI79" s="76">
        <v>0</v>
      </c>
      <c r="BJ79" s="76">
        <v>0</v>
      </c>
      <c r="BK79" s="76">
        <v>0</v>
      </c>
      <c r="BL79" s="76">
        <v>0</v>
      </c>
      <c r="BM79" s="76">
        <v>0</v>
      </c>
      <c r="BN79" s="76">
        <v>0</v>
      </c>
      <c r="BO79" s="76">
        <v>0</v>
      </c>
      <c r="BP79" s="76">
        <v>0</v>
      </c>
      <c r="BQ79" s="76">
        <v>0</v>
      </c>
      <c r="BR79" s="76">
        <v>0</v>
      </c>
      <c r="BS79" s="76">
        <v>0</v>
      </c>
      <c r="BT79" s="76">
        <v>0</v>
      </c>
      <c r="BU79" s="76">
        <v>0</v>
      </c>
      <c r="BV79" s="76">
        <v>0</v>
      </c>
      <c r="BW79" s="76">
        <v>0</v>
      </c>
      <c r="BX79" s="76">
        <v>0</v>
      </c>
      <c r="BY79" s="76">
        <v>0</v>
      </c>
      <c r="BZ79" s="76">
        <v>0</v>
      </c>
      <c r="CA79" s="76">
        <v>0</v>
      </c>
      <c r="CB79" s="76">
        <v>0</v>
      </c>
      <c r="CC79" s="76">
        <v>0</v>
      </c>
      <c r="CD79" s="76">
        <v>0</v>
      </c>
      <c r="CE79" s="76">
        <v>0</v>
      </c>
      <c r="CF79" s="76">
        <v>0</v>
      </c>
      <c r="CG79" s="76">
        <v>0</v>
      </c>
      <c r="CH79" s="76">
        <v>0</v>
      </c>
      <c r="CI79" s="76">
        <v>0</v>
      </c>
      <c r="CJ79" s="76">
        <v>0</v>
      </c>
      <c r="CK79" s="76">
        <v>0</v>
      </c>
      <c r="CL79" s="76">
        <v>0</v>
      </c>
      <c r="CM79" s="76">
        <v>0</v>
      </c>
      <c r="CN79" s="76">
        <v>0</v>
      </c>
      <c r="CO79" s="76">
        <v>0</v>
      </c>
      <c r="CP79" s="76">
        <v>0</v>
      </c>
      <c r="CQ79" s="76">
        <v>0</v>
      </c>
      <c r="CR79" s="76">
        <v>0</v>
      </c>
      <c r="CS79" s="76">
        <v>0</v>
      </c>
      <c r="CT79" s="76">
        <v>0</v>
      </c>
      <c r="CU79" s="76">
        <v>0</v>
      </c>
      <c r="CV79" s="76">
        <v>0</v>
      </c>
      <c r="CW79" s="76">
        <v>0</v>
      </c>
      <c r="CX79" s="76">
        <v>0</v>
      </c>
      <c r="CY79" s="76">
        <v>0</v>
      </c>
      <c r="CZ79" s="76">
        <v>0</v>
      </c>
      <c r="DA79" s="76">
        <v>0</v>
      </c>
      <c r="DB79" s="76">
        <v>0</v>
      </c>
      <c r="DC79" s="76">
        <v>0</v>
      </c>
      <c r="DD79" s="76">
        <v>0</v>
      </c>
      <c r="DE79" s="76">
        <v>0</v>
      </c>
      <c r="DF79" s="76">
        <v>0</v>
      </c>
      <c r="DG79" s="76">
        <v>0</v>
      </c>
      <c r="DH79" s="76">
        <v>0</v>
      </c>
      <c r="DI79" s="76">
        <v>0</v>
      </c>
      <c r="DJ79" s="76">
        <v>0</v>
      </c>
      <c r="DK79" s="76">
        <v>0</v>
      </c>
      <c r="DL79" s="76">
        <v>0</v>
      </c>
      <c r="DM79" s="76">
        <v>0</v>
      </c>
      <c r="DN79" s="76">
        <v>0</v>
      </c>
      <c r="DO79" s="76">
        <v>0</v>
      </c>
      <c r="DP79" s="76">
        <v>0</v>
      </c>
      <c r="DQ79" s="76">
        <v>0</v>
      </c>
      <c r="DR79" s="76">
        <v>0</v>
      </c>
      <c r="DS79" s="76">
        <v>0</v>
      </c>
      <c r="DT79" s="76">
        <v>0</v>
      </c>
      <c r="DU79" s="76">
        <v>0</v>
      </c>
      <c r="DV79" s="76">
        <v>0</v>
      </c>
      <c r="DW79" s="76">
        <v>0</v>
      </c>
      <c r="DX79" s="76">
        <v>0</v>
      </c>
      <c r="DY79" s="76">
        <v>0</v>
      </c>
      <c r="DZ79" s="76">
        <v>0</v>
      </c>
      <c r="EA79" s="76">
        <v>0</v>
      </c>
      <c r="EB79" s="76">
        <v>0</v>
      </c>
      <c r="EC79" s="76">
        <v>0</v>
      </c>
      <c r="ED79" s="76">
        <v>0</v>
      </c>
      <c r="EE79" s="76">
        <v>0</v>
      </c>
      <c r="EF79" s="76">
        <v>0</v>
      </c>
      <c r="EG79" s="76">
        <v>0</v>
      </c>
      <c r="EH79" s="76">
        <v>0</v>
      </c>
      <c r="EI79" s="76">
        <v>0</v>
      </c>
      <c r="EJ79" s="76">
        <v>0</v>
      </c>
      <c r="EK79" s="76">
        <v>0</v>
      </c>
      <c r="EL79" s="76">
        <v>0</v>
      </c>
      <c r="EM79" s="76">
        <v>0</v>
      </c>
      <c r="EN79" s="76">
        <v>0</v>
      </c>
      <c r="EO79" s="76">
        <v>0</v>
      </c>
      <c r="EP79" s="76">
        <v>0</v>
      </c>
      <c r="EQ79" s="76">
        <v>0</v>
      </c>
      <c r="ER79" s="76">
        <v>0</v>
      </c>
      <c r="ES79" s="76">
        <v>0</v>
      </c>
      <c r="ET79" s="76">
        <v>0</v>
      </c>
      <c r="EU79" s="76">
        <v>0</v>
      </c>
      <c r="EV79" s="76">
        <v>0</v>
      </c>
      <c r="EW79" s="76">
        <v>0</v>
      </c>
      <c r="EX79" s="76">
        <v>0</v>
      </c>
      <c r="EY79" s="76">
        <v>0</v>
      </c>
      <c r="EZ79" s="76">
        <v>0</v>
      </c>
      <c r="FA79" s="76">
        <v>0</v>
      </c>
      <c r="FB79" s="76">
        <v>0</v>
      </c>
      <c r="FC79" s="76">
        <v>0</v>
      </c>
      <c r="FD79" s="76">
        <v>0</v>
      </c>
      <c r="FE79" s="77">
        <f t="shared" si="0"/>
        <v>13</v>
      </c>
    </row>
    <row r="80" spans="1:161" s="24" customFormat="1" ht="19.5" customHeight="1" x14ac:dyDescent="0.25">
      <c r="A80" s="153" t="s">
        <v>380</v>
      </c>
      <c r="B80" s="76">
        <v>0</v>
      </c>
      <c r="C80" s="76">
        <v>0</v>
      </c>
      <c r="D80" s="76">
        <v>0</v>
      </c>
      <c r="E80" s="76">
        <v>0</v>
      </c>
      <c r="F80" s="76">
        <v>0</v>
      </c>
      <c r="G80" s="76">
        <v>1</v>
      </c>
      <c r="H80" s="76">
        <v>0</v>
      </c>
      <c r="I80" s="76">
        <v>0</v>
      </c>
      <c r="J80" s="76">
        <v>0</v>
      </c>
      <c r="K80" s="76">
        <v>0</v>
      </c>
      <c r="L80" s="76">
        <v>0</v>
      </c>
      <c r="M80" s="76">
        <v>0</v>
      </c>
      <c r="N80" s="76">
        <v>0</v>
      </c>
      <c r="O80" s="76">
        <v>0</v>
      </c>
      <c r="P80" s="76">
        <v>0</v>
      </c>
      <c r="Q80" s="76">
        <v>0</v>
      </c>
      <c r="R80" s="76">
        <v>0</v>
      </c>
      <c r="S80" s="76">
        <v>0</v>
      </c>
      <c r="T80" s="76">
        <v>0</v>
      </c>
      <c r="U80" s="76">
        <v>0</v>
      </c>
      <c r="V80" s="76">
        <v>0</v>
      </c>
      <c r="W80" s="76">
        <v>0</v>
      </c>
      <c r="X80" s="76">
        <v>0</v>
      </c>
      <c r="Y80" s="76">
        <v>0</v>
      </c>
      <c r="Z80" s="76">
        <v>0</v>
      </c>
      <c r="AA80" s="76">
        <v>0</v>
      </c>
      <c r="AB80" s="76">
        <v>0</v>
      </c>
      <c r="AC80" s="76">
        <v>0</v>
      </c>
      <c r="AD80" s="76">
        <v>0</v>
      </c>
      <c r="AE80" s="76">
        <v>0</v>
      </c>
      <c r="AF80" s="76">
        <v>0</v>
      </c>
      <c r="AG80" s="76">
        <v>0</v>
      </c>
      <c r="AH80" s="76">
        <v>0</v>
      </c>
      <c r="AI80" s="76">
        <v>0</v>
      </c>
      <c r="AJ80" s="76">
        <v>0</v>
      </c>
      <c r="AK80" s="76">
        <v>1</v>
      </c>
      <c r="AL80" s="76">
        <v>0</v>
      </c>
      <c r="AM80" s="76">
        <v>0</v>
      </c>
      <c r="AN80" s="76">
        <v>0</v>
      </c>
      <c r="AO80" s="76">
        <v>0</v>
      </c>
      <c r="AP80" s="76">
        <v>0</v>
      </c>
      <c r="AQ80" s="76">
        <v>0</v>
      </c>
      <c r="AR80" s="76">
        <v>0</v>
      </c>
      <c r="AS80" s="76">
        <v>0</v>
      </c>
      <c r="AT80" s="76">
        <v>0</v>
      </c>
      <c r="AU80" s="76">
        <v>0</v>
      </c>
      <c r="AV80" s="76">
        <v>0</v>
      </c>
      <c r="AW80" s="76">
        <v>0</v>
      </c>
      <c r="AX80" s="76">
        <v>0</v>
      </c>
      <c r="AY80" s="76">
        <v>0</v>
      </c>
      <c r="AZ80" s="76">
        <v>0</v>
      </c>
      <c r="BA80" s="76">
        <v>0</v>
      </c>
      <c r="BB80" s="76">
        <v>0</v>
      </c>
      <c r="BC80" s="76">
        <v>0</v>
      </c>
      <c r="BD80" s="76">
        <v>0</v>
      </c>
      <c r="BE80" s="76">
        <v>0</v>
      </c>
      <c r="BF80" s="76">
        <v>0</v>
      </c>
      <c r="BG80" s="76">
        <v>0</v>
      </c>
      <c r="BH80" s="76">
        <v>0</v>
      </c>
      <c r="BI80" s="76">
        <v>0</v>
      </c>
      <c r="BJ80" s="76">
        <v>0</v>
      </c>
      <c r="BK80" s="76">
        <v>0</v>
      </c>
      <c r="BL80" s="76">
        <v>0</v>
      </c>
      <c r="BM80" s="76">
        <v>0</v>
      </c>
      <c r="BN80" s="76">
        <v>0</v>
      </c>
      <c r="BO80" s="76">
        <v>0</v>
      </c>
      <c r="BP80" s="76">
        <v>0</v>
      </c>
      <c r="BQ80" s="76">
        <v>0</v>
      </c>
      <c r="BR80" s="76">
        <v>0</v>
      </c>
      <c r="BS80" s="76">
        <v>0</v>
      </c>
      <c r="BT80" s="76">
        <v>0</v>
      </c>
      <c r="BU80" s="76">
        <v>0</v>
      </c>
      <c r="BV80" s="76">
        <v>0</v>
      </c>
      <c r="BW80" s="76">
        <v>0</v>
      </c>
      <c r="BX80" s="76">
        <v>0</v>
      </c>
      <c r="BY80" s="76">
        <v>0</v>
      </c>
      <c r="BZ80" s="76">
        <v>0</v>
      </c>
      <c r="CA80" s="76">
        <v>0</v>
      </c>
      <c r="CB80" s="76">
        <v>0</v>
      </c>
      <c r="CC80" s="76">
        <v>0</v>
      </c>
      <c r="CD80" s="76">
        <v>0</v>
      </c>
      <c r="CE80" s="76">
        <v>0</v>
      </c>
      <c r="CF80" s="76">
        <v>0</v>
      </c>
      <c r="CG80" s="76">
        <v>0</v>
      </c>
      <c r="CH80" s="76">
        <v>0</v>
      </c>
      <c r="CI80" s="76">
        <v>0</v>
      </c>
      <c r="CJ80" s="76">
        <v>0</v>
      </c>
      <c r="CK80" s="76">
        <v>0</v>
      </c>
      <c r="CL80" s="76">
        <v>0</v>
      </c>
      <c r="CM80" s="76">
        <v>0</v>
      </c>
      <c r="CN80" s="76">
        <v>0</v>
      </c>
      <c r="CO80" s="76">
        <v>0</v>
      </c>
      <c r="CP80" s="76">
        <v>0</v>
      </c>
      <c r="CQ80" s="76">
        <v>0</v>
      </c>
      <c r="CR80" s="76">
        <v>0</v>
      </c>
      <c r="CS80" s="76">
        <v>0</v>
      </c>
      <c r="CT80" s="76">
        <v>0</v>
      </c>
      <c r="CU80" s="76">
        <v>0</v>
      </c>
      <c r="CV80" s="76">
        <v>1</v>
      </c>
      <c r="CW80" s="76">
        <v>0</v>
      </c>
      <c r="CX80" s="76">
        <v>0</v>
      </c>
      <c r="CY80" s="76">
        <v>0</v>
      </c>
      <c r="CZ80" s="76">
        <v>0</v>
      </c>
      <c r="DA80" s="76">
        <v>0</v>
      </c>
      <c r="DB80" s="76">
        <v>0</v>
      </c>
      <c r="DC80" s="76">
        <v>0</v>
      </c>
      <c r="DD80" s="76">
        <v>0</v>
      </c>
      <c r="DE80" s="76">
        <v>0</v>
      </c>
      <c r="DF80" s="76">
        <v>0</v>
      </c>
      <c r="DG80" s="76">
        <v>0</v>
      </c>
      <c r="DH80" s="76">
        <v>0</v>
      </c>
      <c r="DI80" s="76">
        <v>0</v>
      </c>
      <c r="DJ80" s="76">
        <v>0</v>
      </c>
      <c r="DK80" s="76">
        <v>0</v>
      </c>
      <c r="DL80" s="76">
        <v>0</v>
      </c>
      <c r="DM80" s="76">
        <v>0</v>
      </c>
      <c r="DN80" s="76">
        <v>0</v>
      </c>
      <c r="DO80" s="76">
        <v>0</v>
      </c>
      <c r="DP80" s="76">
        <v>0</v>
      </c>
      <c r="DQ80" s="76">
        <v>0</v>
      </c>
      <c r="DR80" s="76">
        <v>0</v>
      </c>
      <c r="DS80" s="76">
        <v>0</v>
      </c>
      <c r="DT80" s="76">
        <v>0</v>
      </c>
      <c r="DU80" s="76">
        <v>0</v>
      </c>
      <c r="DV80" s="76">
        <v>0</v>
      </c>
      <c r="DW80" s="76">
        <v>0</v>
      </c>
      <c r="DX80" s="76">
        <v>0</v>
      </c>
      <c r="DY80" s="76">
        <v>0</v>
      </c>
      <c r="DZ80" s="76">
        <v>0</v>
      </c>
      <c r="EA80" s="76">
        <v>0</v>
      </c>
      <c r="EB80" s="76">
        <v>0</v>
      </c>
      <c r="EC80" s="76">
        <v>0</v>
      </c>
      <c r="ED80" s="76">
        <v>0</v>
      </c>
      <c r="EE80" s="76">
        <v>0</v>
      </c>
      <c r="EF80" s="76">
        <v>0</v>
      </c>
      <c r="EG80" s="76">
        <v>0</v>
      </c>
      <c r="EH80" s="76">
        <v>0</v>
      </c>
      <c r="EI80" s="76">
        <v>0</v>
      </c>
      <c r="EJ80" s="76">
        <v>0</v>
      </c>
      <c r="EK80" s="76">
        <v>1</v>
      </c>
      <c r="EL80" s="76">
        <v>0</v>
      </c>
      <c r="EM80" s="76">
        <v>0</v>
      </c>
      <c r="EN80" s="76">
        <v>0</v>
      </c>
      <c r="EO80" s="76">
        <v>0</v>
      </c>
      <c r="EP80" s="76">
        <v>0</v>
      </c>
      <c r="EQ80" s="76">
        <v>0</v>
      </c>
      <c r="ER80" s="76">
        <v>0</v>
      </c>
      <c r="ES80" s="76">
        <v>0</v>
      </c>
      <c r="ET80" s="76">
        <v>0</v>
      </c>
      <c r="EU80" s="76">
        <v>0</v>
      </c>
      <c r="EV80" s="76">
        <v>0</v>
      </c>
      <c r="EW80" s="76">
        <v>0</v>
      </c>
      <c r="EX80" s="76">
        <v>0</v>
      </c>
      <c r="EY80" s="76">
        <v>0</v>
      </c>
      <c r="EZ80" s="76">
        <v>0</v>
      </c>
      <c r="FA80" s="76">
        <v>0</v>
      </c>
      <c r="FB80" s="76">
        <v>0</v>
      </c>
      <c r="FC80" s="76">
        <v>0</v>
      </c>
      <c r="FD80" s="76">
        <v>0</v>
      </c>
      <c r="FE80" s="77">
        <f t="shared" si="0"/>
        <v>4</v>
      </c>
    </row>
    <row r="81" spans="1:161" s="24" customFormat="1" ht="19.5" customHeight="1" x14ac:dyDescent="0.25">
      <c r="A81" s="153" t="s">
        <v>390</v>
      </c>
      <c r="B81" s="76"/>
      <c r="C81" s="76"/>
      <c r="D81" s="76"/>
      <c r="E81" s="76"/>
      <c r="F81" s="76"/>
      <c r="G81" s="76"/>
      <c r="H81" s="76"/>
      <c r="I81" s="76"/>
      <c r="J81" s="76"/>
      <c r="K81" s="76"/>
      <c r="L81" s="76"/>
      <c r="M81" s="76"/>
      <c r="N81" s="76"/>
      <c r="O81" s="76"/>
      <c r="P81" s="76"/>
      <c r="Q81" s="76"/>
      <c r="R81" s="76"/>
      <c r="S81" s="76"/>
      <c r="T81" s="76"/>
      <c r="U81" s="76"/>
      <c r="V81" s="76"/>
      <c r="W81" s="76"/>
      <c r="X81" s="76"/>
      <c r="Y81" s="76"/>
      <c r="Z81" s="76"/>
      <c r="AA81" s="76"/>
      <c r="AB81" s="76"/>
      <c r="AC81" s="76"/>
      <c r="AD81" s="76"/>
      <c r="AE81" s="76"/>
      <c r="AF81" s="76"/>
      <c r="AG81" s="76"/>
      <c r="AH81" s="76"/>
      <c r="AI81" s="76"/>
      <c r="AJ81" s="76"/>
      <c r="AK81" s="76"/>
      <c r="AL81" s="76"/>
      <c r="AM81" s="76"/>
      <c r="AN81" s="76"/>
      <c r="AO81" s="76"/>
      <c r="AP81" s="76"/>
      <c r="AQ81" s="76"/>
      <c r="AR81" s="76"/>
      <c r="AS81" s="76"/>
      <c r="AT81" s="76"/>
      <c r="AU81" s="76"/>
      <c r="AV81" s="76"/>
      <c r="AW81" s="76"/>
      <c r="AX81" s="76"/>
      <c r="AY81" s="76"/>
      <c r="AZ81" s="76"/>
      <c r="BA81" s="76"/>
      <c r="BB81" s="76"/>
      <c r="BC81" s="76"/>
      <c r="BD81" s="76"/>
      <c r="BE81" s="76"/>
      <c r="BF81" s="76"/>
      <c r="BG81" s="76"/>
      <c r="BH81" s="76"/>
      <c r="BI81" s="76"/>
      <c r="BJ81" s="76"/>
      <c r="BK81" s="76"/>
      <c r="BL81" s="76"/>
      <c r="BM81" s="76"/>
      <c r="BN81" s="76"/>
      <c r="BO81" s="76"/>
      <c r="BP81" s="76"/>
      <c r="BQ81" s="76"/>
      <c r="BR81" s="76"/>
      <c r="BS81" s="76"/>
      <c r="BT81" s="76"/>
      <c r="BU81" s="76"/>
      <c r="BV81" s="76"/>
      <c r="BW81" s="76"/>
      <c r="BX81" s="76"/>
      <c r="BY81" s="76"/>
      <c r="BZ81" s="76"/>
      <c r="CA81" s="76"/>
      <c r="CB81" s="76"/>
      <c r="CC81" s="76"/>
      <c r="CD81" s="76"/>
      <c r="CE81" s="76"/>
      <c r="CF81" s="76"/>
      <c r="CG81" s="76"/>
      <c r="CH81" s="76"/>
      <c r="CI81" s="76"/>
      <c r="CJ81" s="76"/>
      <c r="CK81" s="76"/>
      <c r="CL81" s="76"/>
      <c r="CM81" s="76"/>
      <c r="CN81" s="76"/>
      <c r="CO81" s="76"/>
      <c r="CP81" s="76"/>
      <c r="CQ81" s="76"/>
      <c r="CR81" s="76"/>
      <c r="CS81" s="76"/>
      <c r="CT81" s="76"/>
      <c r="CU81" s="76"/>
      <c r="CV81" s="76"/>
      <c r="CW81" s="76"/>
      <c r="CX81" s="76"/>
      <c r="CY81" s="76"/>
      <c r="CZ81" s="76"/>
      <c r="DA81" s="76"/>
      <c r="DB81" s="76"/>
      <c r="DC81" s="76"/>
      <c r="DD81" s="76"/>
      <c r="DE81" s="76"/>
      <c r="DF81" s="76"/>
      <c r="DG81" s="76"/>
      <c r="DH81" s="76"/>
      <c r="DI81" s="76"/>
      <c r="DJ81" s="76"/>
      <c r="DK81" s="76"/>
      <c r="DL81" s="76"/>
      <c r="DM81" s="76"/>
      <c r="DN81" s="76"/>
      <c r="DO81" s="76"/>
      <c r="DP81" s="76"/>
      <c r="DQ81" s="76"/>
      <c r="DR81" s="76"/>
      <c r="DS81" s="76"/>
      <c r="DT81" s="76"/>
      <c r="DU81" s="76"/>
      <c r="DV81" s="76"/>
      <c r="DW81" s="76"/>
      <c r="DX81" s="76"/>
      <c r="DY81" s="76"/>
      <c r="DZ81" s="76">
        <v>0</v>
      </c>
      <c r="EA81" s="76">
        <v>0</v>
      </c>
      <c r="EB81" s="76">
        <v>0</v>
      </c>
      <c r="EC81" s="76">
        <v>0</v>
      </c>
      <c r="ED81" s="76">
        <v>0</v>
      </c>
      <c r="EE81" s="76">
        <v>0</v>
      </c>
      <c r="EF81" s="76">
        <v>0</v>
      </c>
      <c r="EG81" s="76">
        <v>0</v>
      </c>
      <c r="EH81" s="76">
        <v>0</v>
      </c>
      <c r="EI81" s="76">
        <v>0</v>
      </c>
      <c r="EJ81" s="76">
        <v>0</v>
      </c>
      <c r="EK81" s="76">
        <v>0</v>
      </c>
      <c r="EL81" s="76">
        <v>0</v>
      </c>
      <c r="EM81" s="76">
        <v>1</v>
      </c>
      <c r="EN81" s="76">
        <v>0</v>
      </c>
      <c r="EO81" s="76">
        <v>0</v>
      </c>
      <c r="EP81" s="76">
        <v>0</v>
      </c>
      <c r="EQ81" s="76">
        <v>0</v>
      </c>
      <c r="ER81" s="76">
        <v>0</v>
      </c>
      <c r="ES81" s="76">
        <v>0</v>
      </c>
      <c r="ET81" s="76">
        <v>0</v>
      </c>
      <c r="EU81" s="76">
        <v>0</v>
      </c>
      <c r="EV81" s="76">
        <v>0</v>
      </c>
      <c r="EW81" s="76">
        <v>0</v>
      </c>
      <c r="EX81" s="76">
        <v>0</v>
      </c>
      <c r="EY81" s="76">
        <v>0</v>
      </c>
      <c r="EZ81" s="76">
        <v>0</v>
      </c>
      <c r="FA81" s="76">
        <v>0</v>
      </c>
      <c r="FB81" s="76">
        <v>0</v>
      </c>
      <c r="FC81" s="76">
        <v>0</v>
      </c>
      <c r="FD81" s="76">
        <v>0</v>
      </c>
      <c r="FE81" s="77">
        <f t="shared" si="0"/>
        <v>1</v>
      </c>
    </row>
    <row r="82" spans="1:161" s="24" customFormat="1" ht="19.5" customHeight="1" x14ac:dyDescent="0.25">
      <c r="A82" s="153" t="s">
        <v>378</v>
      </c>
      <c r="B82" s="76">
        <v>0</v>
      </c>
      <c r="C82" s="76">
        <v>0</v>
      </c>
      <c r="D82" s="76">
        <v>0</v>
      </c>
      <c r="E82" s="76">
        <v>0</v>
      </c>
      <c r="F82" s="76">
        <v>0</v>
      </c>
      <c r="G82" s="76">
        <v>0</v>
      </c>
      <c r="H82" s="76">
        <v>0</v>
      </c>
      <c r="I82" s="76">
        <v>0</v>
      </c>
      <c r="J82" s="76">
        <v>0</v>
      </c>
      <c r="K82" s="76">
        <v>0</v>
      </c>
      <c r="L82" s="76">
        <v>0</v>
      </c>
      <c r="M82" s="76">
        <v>0</v>
      </c>
      <c r="N82" s="76">
        <v>0</v>
      </c>
      <c r="O82" s="76">
        <v>0</v>
      </c>
      <c r="P82" s="76">
        <v>1</v>
      </c>
      <c r="Q82" s="76">
        <v>1</v>
      </c>
      <c r="R82" s="76">
        <v>1</v>
      </c>
      <c r="S82" s="76">
        <v>0</v>
      </c>
      <c r="T82" s="76">
        <v>0</v>
      </c>
      <c r="U82" s="76">
        <v>0</v>
      </c>
      <c r="V82" s="76">
        <v>0</v>
      </c>
      <c r="W82" s="76">
        <v>0</v>
      </c>
      <c r="X82" s="76">
        <v>0</v>
      </c>
      <c r="Y82" s="76">
        <v>0</v>
      </c>
      <c r="Z82" s="76">
        <v>0</v>
      </c>
      <c r="AA82" s="76">
        <v>0</v>
      </c>
      <c r="AB82" s="76">
        <v>0</v>
      </c>
      <c r="AC82" s="76">
        <v>0</v>
      </c>
      <c r="AD82" s="76">
        <v>0</v>
      </c>
      <c r="AE82" s="76">
        <v>0</v>
      </c>
      <c r="AF82" s="76">
        <v>0</v>
      </c>
      <c r="AG82" s="76">
        <v>0</v>
      </c>
      <c r="AH82" s="76">
        <v>0</v>
      </c>
      <c r="AI82" s="76">
        <v>0</v>
      </c>
      <c r="AJ82" s="76">
        <v>0</v>
      </c>
      <c r="AK82" s="76">
        <v>0</v>
      </c>
      <c r="AL82" s="76">
        <v>0</v>
      </c>
      <c r="AM82" s="76">
        <v>0</v>
      </c>
      <c r="AN82" s="76">
        <v>0</v>
      </c>
      <c r="AO82" s="76">
        <v>0</v>
      </c>
      <c r="AP82" s="76">
        <v>0</v>
      </c>
      <c r="AQ82" s="76">
        <v>0</v>
      </c>
      <c r="AR82" s="76">
        <v>0</v>
      </c>
      <c r="AS82" s="76">
        <v>0</v>
      </c>
      <c r="AT82" s="76">
        <v>0</v>
      </c>
      <c r="AU82" s="76">
        <v>0</v>
      </c>
      <c r="AV82" s="76">
        <v>0</v>
      </c>
      <c r="AW82" s="76">
        <v>0</v>
      </c>
      <c r="AX82" s="76">
        <v>0</v>
      </c>
      <c r="AY82" s="76">
        <v>0</v>
      </c>
      <c r="AZ82" s="76">
        <v>0</v>
      </c>
      <c r="BA82" s="76">
        <v>0</v>
      </c>
      <c r="BB82" s="76">
        <v>0</v>
      </c>
      <c r="BC82" s="76">
        <v>0</v>
      </c>
      <c r="BD82" s="76">
        <v>0</v>
      </c>
      <c r="BE82" s="76">
        <v>0</v>
      </c>
      <c r="BF82" s="76">
        <v>0</v>
      </c>
      <c r="BG82" s="76">
        <v>0</v>
      </c>
      <c r="BH82" s="76">
        <v>0</v>
      </c>
      <c r="BI82" s="76">
        <v>0</v>
      </c>
      <c r="BJ82" s="76">
        <v>0</v>
      </c>
      <c r="BK82" s="76">
        <v>0</v>
      </c>
      <c r="BL82" s="76">
        <v>0</v>
      </c>
      <c r="BM82" s="76">
        <v>0</v>
      </c>
      <c r="BN82" s="76">
        <v>0</v>
      </c>
      <c r="BO82" s="76">
        <v>0</v>
      </c>
      <c r="BP82" s="76">
        <v>0</v>
      </c>
      <c r="BQ82" s="76">
        <v>0</v>
      </c>
      <c r="BR82" s="76">
        <v>0</v>
      </c>
      <c r="BS82" s="76">
        <v>0</v>
      </c>
      <c r="BT82" s="76">
        <v>0</v>
      </c>
      <c r="BU82" s="76">
        <v>0</v>
      </c>
      <c r="BV82" s="76">
        <v>0</v>
      </c>
      <c r="BW82" s="76">
        <v>0</v>
      </c>
      <c r="BX82" s="76">
        <v>0</v>
      </c>
      <c r="BY82" s="76">
        <v>0</v>
      </c>
      <c r="BZ82" s="76">
        <v>0</v>
      </c>
      <c r="CA82" s="76">
        <v>0</v>
      </c>
      <c r="CB82" s="76">
        <v>0</v>
      </c>
      <c r="CC82" s="76">
        <v>0</v>
      </c>
      <c r="CD82" s="76">
        <v>0</v>
      </c>
      <c r="CE82" s="76">
        <v>0</v>
      </c>
      <c r="CF82" s="76">
        <v>0</v>
      </c>
      <c r="CG82" s="76">
        <v>0</v>
      </c>
      <c r="CH82" s="76">
        <v>0</v>
      </c>
      <c r="CI82" s="76">
        <v>0</v>
      </c>
      <c r="CJ82" s="76">
        <v>0</v>
      </c>
      <c r="CK82" s="76">
        <v>0</v>
      </c>
      <c r="CL82" s="76">
        <v>0</v>
      </c>
      <c r="CM82" s="76">
        <v>0</v>
      </c>
      <c r="CN82" s="76">
        <v>0</v>
      </c>
      <c r="CO82" s="76">
        <v>0</v>
      </c>
      <c r="CP82" s="76">
        <v>0</v>
      </c>
      <c r="CQ82" s="76">
        <v>0</v>
      </c>
      <c r="CR82" s="76">
        <v>0</v>
      </c>
      <c r="CS82" s="76">
        <v>0</v>
      </c>
      <c r="CT82" s="76">
        <v>0</v>
      </c>
      <c r="CU82" s="76">
        <v>0</v>
      </c>
      <c r="CV82" s="76">
        <v>2</v>
      </c>
      <c r="CW82" s="76">
        <v>0</v>
      </c>
      <c r="CX82" s="76">
        <v>0</v>
      </c>
      <c r="CY82" s="76">
        <v>0</v>
      </c>
      <c r="CZ82" s="76">
        <v>0</v>
      </c>
      <c r="DA82" s="76">
        <v>0</v>
      </c>
      <c r="DB82" s="76">
        <v>0</v>
      </c>
      <c r="DC82" s="76">
        <v>0</v>
      </c>
      <c r="DD82" s="76">
        <v>0</v>
      </c>
      <c r="DE82" s="76">
        <v>0</v>
      </c>
      <c r="DF82" s="76">
        <v>0</v>
      </c>
      <c r="DG82" s="76">
        <v>0</v>
      </c>
      <c r="DH82" s="76">
        <v>0</v>
      </c>
      <c r="DI82" s="76">
        <v>0</v>
      </c>
      <c r="DJ82" s="76">
        <v>0</v>
      </c>
      <c r="DK82" s="76">
        <v>0</v>
      </c>
      <c r="DL82" s="76">
        <v>0</v>
      </c>
      <c r="DM82" s="76">
        <v>0</v>
      </c>
      <c r="DN82" s="76">
        <v>0</v>
      </c>
      <c r="DO82" s="76">
        <v>0</v>
      </c>
      <c r="DP82" s="76">
        <v>0</v>
      </c>
      <c r="DQ82" s="76">
        <v>0</v>
      </c>
      <c r="DR82" s="76">
        <v>0</v>
      </c>
      <c r="DS82" s="76">
        <v>0</v>
      </c>
      <c r="DT82" s="76">
        <v>0</v>
      </c>
      <c r="DU82" s="76">
        <v>0</v>
      </c>
      <c r="DV82" s="76">
        <v>0</v>
      </c>
      <c r="DW82" s="76">
        <v>0</v>
      </c>
      <c r="DX82" s="76">
        <v>0</v>
      </c>
      <c r="DY82" s="76">
        <v>0</v>
      </c>
      <c r="DZ82" s="76">
        <v>1</v>
      </c>
      <c r="EA82" s="76">
        <v>0</v>
      </c>
      <c r="EB82" s="76">
        <v>0</v>
      </c>
      <c r="EC82" s="76">
        <v>0</v>
      </c>
      <c r="ED82" s="76">
        <v>0</v>
      </c>
      <c r="EE82" s="76">
        <v>0</v>
      </c>
      <c r="EF82" s="76">
        <v>0</v>
      </c>
      <c r="EG82" s="76">
        <v>0</v>
      </c>
      <c r="EH82" s="76">
        <v>0</v>
      </c>
      <c r="EI82" s="76">
        <v>0</v>
      </c>
      <c r="EJ82" s="76">
        <v>0</v>
      </c>
      <c r="EK82" s="76">
        <v>0</v>
      </c>
      <c r="EL82" s="76">
        <v>0</v>
      </c>
      <c r="EM82" s="76">
        <v>0</v>
      </c>
      <c r="EN82" s="76">
        <v>0</v>
      </c>
      <c r="EO82" s="76">
        <v>0</v>
      </c>
      <c r="EP82" s="76">
        <v>0</v>
      </c>
      <c r="EQ82" s="76">
        <v>0</v>
      </c>
      <c r="ER82" s="76">
        <v>0</v>
      </c>
      <c r="ES82" s="76">
        <v>0</v>
      </c>
      <c r="ET82" s="76">
        <v>0</v>
      </c>
      <c r="EU82" s="76">
        <v>0</v>
      </c>
      <c r="EV82" s="76">
        <v>0</v>
      </c>
      <c r="EW82" s="76">
        <v>0</v>
      </c>
      <c r="EX82" s="76">
        <v>0</v>
      </c>
      <c r="EY82" s="76">
        <v>0</v>
      </c>
      <c r="EZ82" s="76">
        <v>0</v>
      </c>
      <c r="FA82" s="76">
        <v>0</v>
      </c>
      <c r="FB82" s="76">
        <v>0</v>
      </c>
      <c r="FC82" s="76">
        <v>0</v>
      </c>
      <c r="FD82" s="76">
        <v>0</v>
      </c>
      <c r="FE82" s="77">
        <f t="shared" si="0"/>
        <v>6</v>
      </c>
    </row>
    <row r="83" spans="1:161" s="24" customFormat="1" ht="19.5" customHeight="1" x14ac:dyDescent="0.2">
      <c r="A83" s="75" t="s">
        <v>134</v>
      </c>
      <c r="B83" s="76"/>
      <c r="C83" s="76"/>
      <c r="D83" s="76"/>
      <c r="E83" s="76"/>
      <c r="F83" s="76"/>
      <c r="G83" s="76"/>
      <c r="H83" s="76"/>
      <c r="I83" s="76"/>
      <c r="J83" s="76"/>
      <c r="K83" s="76"/>
      <c r="L83" s="76"/>
      <c r="M83" s="76"/>
      <c r="N83" s="76"/>
      <c r="O83" s="76"/>
      <c r="P83" s="76"/>
      <c r="Q83" s="76"/>
      <c r="R83" s="76"/>
      <c r="S83" s="76"/>
      <c r="T83" s="76"/>
      <c r="U83" s="76"/>
      <c r="V83" s="76"/>
      <c r="W83" s="76"/>
      <c r="X83" s="76"/>
      <c r="Y83" s="76"/>
      <c r="Z83" s="76"/>
      <c r="AA83" s="76"/>
      <c r="AB83" s="76"/>
      <c r="AC83" s="76"/>
      <c r="AD83" s="76"/>
      <c r="AE83" s="76"/>
      <c r="AF83" s="76"/>
      <c r="AG83" s="76"/>
      <c r="AH83" s="76"/>
      <c r="AI83" s="76"/>
      <c r="AJ83" s="76"/>
      <c r="AK83" s="76"/>
      <c r="AL83" s="76"/>
      <c r="AM83" s="76"/>
      <c r="AN83" s="76"/>
      <c r="AO83" s="76"/>
      <c r="AP83" s="76"/>
      <c r="AQ83" s="76"/>
      <c r="AR83" s="76"/>
      <c r="AS83" s="76"/>
      <c r="AT83" s="76"/>
      <c r="AU83" s="76"/>
      <c r="AV83" s="76"/>
      <c r="AW83" s="76"/>
      <c r="AX83" s="76"/>
      <c r="AY83" s="76"/>
      <c r="AZ83" s="76"/>
      <c r="BA83" s="76"/>
      <c r="BB83" s="76"/>
      <c r="BC83" s="76"/>
      <c r="BD83" s="76"/>
      <c r="BE83" s="76"/>
      <c r="BF83" s="76"/>
      <c r="BG83" s="76"/>
      <c r="BH83" s="76"/>
      <c r="BI83" s="76"/>
      <c r="BJ83" s="76"/>
      <c r="BK83" s="76"/>
      <c r="BL83" s="76"/>
      <c r="BM83" s="76"/>
      <c r="BN83" s="76"/>
      <c r="BO83" s="76"/>
      <c r="BP83" s="76"/>
      <c r="BQ83" s="76"/>
      <c r="BR83" s="76"/>
      <c r="BS83" s="76"/>
      <c r="BT83" s="76"/>
      <c r="BU83" s="76"/>
      <c r="BV83" s="76"/>
      <c r="BW83" s="76"/>
      <c r="BX83" s="76"/>
      <c r="BY83" s="76"/>
      <c r="BZ83" s="76"/>
      <c r="CA83" s="76"/>
      <c r="CB83" s="76"/>
      <c r="CC83" s="76"/>
      <c r="CD83" s="76"/>
      <c r="CE83" s="76"/>
      <c r="CF83" s="76"/>
      <c r="CG83" s="76"/>
      <c r="CH83" s="76"/>
      <c r="CI83" s="76"/>
      <c r="CJ83" s="76"/>
      <c r="CK83" s="76"/>
      <c r="CL83" s="76"/>
      <c r="CM83" s="76"/>
      <c r="CN83" s="76"/>
      <c r="CO83" s="76"/>
      <c r="CP83" s="76"/>
      <c r="CQ83" s="76"/>
      <c r="CR83" s="76"/>
      <c r="CS83" s="76"/>
      <c r="CT83" s="76"/>
      <c r="CU83" s="76"/>
      <c r="CV83" s="76"/>
      <c r="CW83" s="76"/>
      <c r="CX83" s="76"/>
      <c r="CY83" s="76"/>
      <c r="CZ83" s="76"/>
      <c r="DA83" s="76"/>
      <c r="DB83" s="76">
        <v>0</v>
      </c>
      <c r="DC83" s="76">
        <v>0</v>
      </c>
      <c r="DD83" s="76">
        <v>0</v>
      </c>
      <c r="DE83" s="76">
        <v>0</v>
      </c>
      <c r="DF83" s="76">
        <v>0</v>
      </c>
      <c r="DG83" s="76">
        <v>0</v>
      </c>
      <c r="DH83" s="76">
        <v>0</v>
      </c>
      <c r="DI83" s="76">
        <v>0</v>
      </c>
      <c r="DJ83" s="76">
        <v>0</v>
      </c>
      <c r="DK83" s="76">
        <v>0</v>
      </c>
      <c r="DL83" s="76">
        <v>0</v>
      </c>
      <c r="DM83" s="76">
        <v>0</v>
      </c>
      <c r="DN83" s="76">
        <v>0</v>
      </c>
      <c r="DO83" s="76">
        <v>1</v>
      </c>
      <c r="DP83" s="76">
        <v>0</v>
      </c>
      <c r="DQ83" s="76">
        <v>0</v>
      </c>
      <c r="DR83" s="76">
        <v>0</v>
      </c>
      <c r="DS83" s="76">
        <v>0</v>
      </c>
      <c r="DT83" s="76">
        <v>0</v>
      </c>
      <c r="DU83" s="76">
        <v>0</v>
      </c>
      <c r="DV83" s="76">
        <v>0</v>
      </c>
      <c r="DW83" s="76">
        <v>0</v>
      </c>
      <c r="DX83" s="76">
        <v>0</v>
      </c>
      <c r="DY83" s="76">
        <v>0</v>
      </c>
      <c r="DZ83" s="76">
        <v>0</v>
      </c>
      <c r="EA83" s="76">
        <v>0</v>
      </c>
      <c r="EB83" s="76">
        <v>0</v>
      </c>
      <c r="EC83" s="76">
        <v>0</v>
      </c>
      <c r="ED83" s="76">
        <v>0</v>
      </c>
      <c r="EE83" s="76">
        <v>0</v>
      </c>
      <c r="EF83" s="76">
        <v>0</v>
      </c>
      <c r="EG83" s="76">
        <v>0</v>
      </c>
      <c r="EH83" s="76">
        <v>0</v>
      </c>
      <c r="EI83" s="76">
        <v>0</v>
      </c>
      <c r="EJ83" s="76">
        <v>0</v>
      </c>
      <c r="EK83" s="76">
        <v>0</v>
      </c>
      <c r="EL83" s="76">
        <v>0</v>
      </c>
      <c r="EM83" s="76">
        <v>0</v>
      </c>
      <c r="EN83" s="76">
        <v>0</v>
      </c>
      <c r="EO83" s="76">
        <v>0</v>
      </c>
      <c r="EP83" s="76">
        <v>0</v>
      </c>
      <c r="EQ83" s="76">
        <v>0</v>
      </c>
      <c r="ER83" s="76">
        <v>0</v>
      </c>
      <c r="ES83" s="76">
        <v>0</v>
      </c>
      <c r="ET83" s="76">
        <v>0</v>
      </c>
      <c r="EU83" s="76">
        <v>0</v>
      </c>
      <c r="EV83" s="76">
        <v>0</v>
      </c>
      <c r="EW83" s="76">
        <v>0</v>
      </c>
      <c r="EX83" s="76">
        <v>0</v>
      </c>
      <c r="EY83" s="76">
        <v>0</v>
      </c>
      <c r="EZ83" s="76">
        <v>0</v>
      </c>
      <c r="FA83" s="76">
        <v>0</v>
      </c>
      <c r="FB83" s="76">
        <v>0</v>
      </c>
      <c r="FC83" s="76">
        <v>0</v>
      </c>
      <c r="FD83" s="76">
        <v>0</v>
      </c>
      <c r="FE83" s="77">
        <f t="shared" si="0"/>
        <v>1</v>
      </c>
    </row>
    <row r="84" spans="1:161" s="24" customFormat="1" ht="19.5" customHeight="1" x14ac:dyDescent="0.25">
      <c r="A84" s="153" t="s">
        <v>424</v>
      </c>
      <c r="B84" s="76">
        <v>0</v>
      </c>
      <c r="C84" s="76">
        <v>0</v>
      </c>
      <c r="D84" s="76">
        <v>0</v>
      </c>
      <c r="E84" s="76">
        <v>0</v>
      </c>
      <c r="F84" s="76">
        <v>0</v>
      </c>
      <c r="G84" s="76">
        <v>0</v>
      </c>
      <c r="H84" s="76">
        <v>0</v>
      </c>
      <c r="I84" s="76">
        <v>0</v>
      </c>
      <c r="J84" s="76">
        <v>0</v>
      </c>
      <c r="K84" s="76">
        <v>0</v>
      </c>
      <c r="L84" s="76">
        <v>0</v>
      </c>
      <c r="M84" s="76">
        <v>0</v>
      </c>
      <c r="N84" s="76">
        <v>0</v>
      </c>
      <c r="O84" s="76">
        <v>0</v>
      </c>
      <c r="P84" s="76">
        <v>0</v>
      </c>
      <c r="Q84" s="76">
        <v>0</v>
      </c>
      <c r="R84" s="76">
        <v>0</v>
      </c>
      <c r="S84" s="76">
        <v>0</v>
      </c>
      <c r="T84" s="76">
        <v>2</v>
      </c>
      <c r="U84" s="76">
        <v>0</v>
      </c>
      <c r="V84" s="76">
        <v>1</v>
      </c>
      <c r="W84" s="76">
        <v>0</v>
      </c>
      <c r="X84" s="76">
        <v>1</v>
      </c>
      <c r="Y84" s="76">
        <v>0</v>
      </c>
      <c r="Z84" s="76">
        <v>0</v>
      </c>
      <c r="AA84" s="76">
        <v>0</v>
      </c>
      <c r="AB84" s="76">
        <v>0</v>
      </c>
      <c r="AC84" s="76">
        <v>0</v>
      </c>
      <c r="AD84" s="76">
        <v>0</v>
      </c>
      <c r="AE84" s="76">
        <v>0</v>
      </c>
      <c r="AF84" s="76">
        <v>0</v>
      </c>
      <c r="AG84" s="76">
        <v>0</v>
      </c>
      <c r="AH84" s="76">
        <v>0</v>
      </c>
      <c r="AI84" s="76">
        <v>1</v>
      </c>
      <c r="AJ84" s="76">
        <v>0</v>
      </c>
      <c r="AK84" s="76">
        <v>0</v>
      </c>
      <c r="AL84" s="76">
        <v>0</v>
      </c>
      <c r="AM84" s="76">
        <v>0</v>
      </c>
      <c r="AN84" s="76">
        <v>0</v>
      </c>
      <c r="AO84" s="76">
        <v>0</v>
      </c>
      <c r="AP84" s="76">
        <v>0</v>
      </c>
      <c r="AQ84" s="76">
        <v>0</v>
      </c>
      <c r="AR84" s="76">
        <v>0</v>
      </c>
      <c r="AS84" s="76">
        <v>0</v>
      </c>
      <c r="AT84" s="76">
        <v>1</v>
      </c>
      <c r="AU84" s="76">
        <v>0</v>
      </c>
      <c r="AV84" s="76">
        <v>1</v>
      </c>
      <c r="AW84" s="76">
        <v>1</v>
      </c>
      <c r="AX84" s="76">
        <v>0</v>
      </c>
      <c r="AY84" s="76">
        <v>0</v>
      </c>
      <c r="AZ84" s="76">
        <v>1</v>
      </c>
      <c r="BA84" s="76">
        <v>0</v>
      </c>
      <c r="BB84" s="76">
        <v>0</v>
      </c>
      <c r="BC84" s="76">
        <v>0</v>
      </c>
      <c r="BD84" s="76">
        <v>0</v>
      </c>
      <c r="BE84" s="76">
        <v>0</v>
      </c>
      <c r="BF84" s="76">
        <v>0</v>
      </c>
      <c r="BG84" s="76">
        <v>0</v>
      </c>
      <c r="BH84" s="76">
        <v>0</v>
      </c>
      <c r="BI84" s="76">
        <v>2</v>
      </c>
      <c r="BJ84" s="76">
        <v>0</v>
      </c>
      <c r="BK84" s="76">
        <v>0</v>
      </c>
      <c r="BL84" s="76">
        <v>0</v>
      </c>
      <c r="BM84" s="76">
        <v>0</v>
      </c>
      <c r="BN84" s="76">
        <v>0</v>
      </c>
      <c r="BO84" s="76">
        <v>0</v>
      </c>
      <c r="BP84" s="76">
        <v>0</v>
      </c>
      <c r="BQ84" s="76">
        <v>0</v>
      </c>
      <c r="BR84" s="76">
        <v>0</v>
      </c>
      <c r="BS84" s="76">
        <v>0</v>
      </c>
      <c r="BT84" s="76">
        <v>0</v>
      </c>
      <c r="BU84" s="76">
        <v>0</v>
      </c>
      <c r="BV84" s="76">
        <v>0</v>
      </c>
      <c r="BW84" s="76">
        <v>0</v>
      </c>
      <c r="BX84" s="76">
        <v>0</v>
      </c>
      <c r="BY84" s="76">
        <v>0</v>
      </c>
      <c r="BZ84" s="76">
        <v>0</v>
      </c>
      <c r="CA84" s="76">
        <v>0</v>
      </c>
      <c r="CB84" s="76">
        <v>0</v>
      </c>
      <c r="CC84" s="76">
        <v>0</v>
      </c>
      <c r="CD84" s="76">
        <v>0</v>
      </c>
      <c r="CE84" s="76">
        <v>0</v>
      </c>
      <c r="CF84" s="76">
        <v>0</v>
      </c>
      <c r="CG84" s="76">
        <v>0</v>
      </c>
      <c r="CH84" s="76">
        <v>0</v>
      </c>
      <c r="CI84" s="76">
        <v>0</v>
      </c>
      <c r="CJ84" s="76">
        <v>0</v>
      </c>
      <c r="CK84" s="76">
        <v>0</v>
      </c>
      <c r="CL84" s="76">
        <v>0</v>
      </c>
      <c r="CM84" s="76">
        <v>0</v>
      </c>
      <c r="CN84" s="76">
        <v>0</v>
      </c>
      <c r="CO84" s="76">
        <v>0</v>
      </c>
      <c r="CP84" s="76">
        <v>0</v>
      </c>
      <c r="CQ84" s="76">
        <v>0</v>
      </c>
      <c r="CR84" s="76">
        <v>0</v>
      </c>
      <c r="CS84" s="76">
        <v>0</v>
      </c>
      <c r="CT84" s="76">
        <v>0</v>
      </c>
      <c r="CU84" s="76">
        <v>0</v>
      </c>
      <c r="CV84" s="76">
        <v>0</v>
      </c>
      <c r="CW84" s="76">
        <v>0</v>
      </c>
      <c r="CX84" s="76">
        <v>0</v>
      </c>
      <c r="CY84" s="76">
        <v>0</v>
      </c>
      <c r="CZ84" s="76">
        <v>0</v>
      </c>
      <c r="DA84" s="76">
        <v>0</v>
      </c>
      <c r="DB84" s="76">
        <v>0</v>
      </c>
      <c r="DC84" s="76">
        <v>0</v>
      </c>
      <c r="DD84" s="76">
        <v>0</v>
      </c>
      <c r="DE84" s="76">
        <v>0</v>
      </c>
      <c r="DF84" s="76">
        <v>0</v>
      </c>
      <c r="DG84" s="76">
        <v>0</v>
      </c>
      <c r="DH84" s="76">
        <v>0</v>
      </c>
      <c r="DI84" s="76">
        <v>0</v>
      </c>
      <c r="DJ84" s="76">
        <v>0</v>
      </c>
      <c r="DK84" s="76">
        <v>0</v>
      </c>
      <c r="DL84" s="76">
        <v>0</v>
      </c>
      <c r="DM84" s="76">
        <v>0</v>
      </c>
      <c r="DN84" s="76">
        <v>0</v>
      </c>
      <c r="DO84" s="76">
        <v>0</v>
      </c>
      <c r="DP84" s="76">
        <v>0</v>
      </c>
      <c r="DQ84" s="76">
        <v>0</v>
      </c>
      <c r="DR84" s="76">
        <v>0</v>
      </c>
      <c r="DS84" s="76">
        <v>0</v>
      </c>
      <c r="DT84" s="76">
        <v>0</v>
      </c>
      <c r="DU84" s="76">
        <v>0</v>
      </c>
      <c r="DV84" s="76">
        <v>0</v>
      </c>
      <c r="DW84" s="76">
        <v>0</v>
      </c>
      <c r="DX84" s="76">
        <v>0</v>
      </c>
      <c r="DY84" s="76">
        <v>0</v>
      </c>
      <c r="DZ84" s="76">
        <v>0</v>
      </c>
      <c r="EA84" s="76">
        <v>0</v>
      </c>
      <c r="EB84" s="76">
        <v>0</v>
      </c>
      <c r="EC84" s="76">
        <v>0</v>
      </c>
      <c r="ED84" s="76">
        <v>0</v>
      </c>
      <c r="EE84" s="76">
        <v>0</v>
      </c>
      <c r="EF84" s="76">
        <v>0</v>
      </c>
      <c r="EG84" s="76">
        <v>0</v>
      </c>
      <c r="EH84" s="76">
        <v>0</v>
      </c>
      <c r="EI84" s="76">
        <v>0</v>
      </c>
      <c r="EJ84" s="76">
        <v>0</v>
      </c>
      <c r="EK84" s="76">
        <v>0</v>
      </c>
      <c r="EL84" s="76">
        <v>0</v>
      </c>
      <c r="EM84" s="76">
        <v>0</v>
      </c>
      <c r="EN84" s="76">
        <v>0</v>
      </c>
      <c r="EO84" s="76">
        <v>0</v>
      </c>
      <c r="EP84" s="76">
        <v>0</v>
      </c>
      <c r="EQ84" s="76">
        <v>0</v>
      </c>
      <c r="ER84" s="76">
        <v>0</v>
      </c>
      <c r="ES84" s="76">
        <v>0</v>
      </c>
      <c r="ET84" s="76">
        <v>0</v>
      </c>
      <c r="EU84" s="76">
        <v>1</v>
      </c>
      <c r="EV84" s="76">
        <v>0</v>
      </c>
      <c r="EW84" s="76">
        <v>0</v>
      </c>
      <c r="EX84" s="76">
        <v>0</v>
      </c>
      <c r="EY84" s="76">
        <v>0</v>
      </c>
      <c r="EZ84" s="76">
        <v>0</v>
      </c>
      <c r="FA84" s="76">
        <v>0</v>
      </c>
      <c r="FB84" s="76">
        <v>0</v>
      </c>
      <c r="FC84" s="76">
        <v>0</v>
      </c>
      <c r="FD84" s="76">
        <v>0</v>
      </c>
      <c r="FE84" s="77">
        <f t="shared" si="0"/>
        <v>12</v>
      </c>
    </row>
    <row r="85" spans="1:161" s="24" customFormat="1" ht="20.100000000000001" customHeight="1" x14ac:dyDescent="0.25">
      <c r="A85" s="153" t="s">
        <v>387</v>
      </c>
      <c r="B85" s="76">
        <v>0</v>
      </c>
      <c r="C85" s="76">
        <v>0</v>
      </c>
      <c r="D85" s="76">
        <v>0</v>
      </c>
      <c r="E85" s="76">
        <v>0</v>
      </c>
      <c r="F85" s="76">
        <v>0</v>
      </c>
      <c r="G85" s="76">
        <v>0</v>
      </c>
      <c r="H85" s="76">
        <v>0</v>
      </c>
      <c r="I85" s="76">
        <v>0</v>
      </c>
      <c r="J85" s="76">
        <v>0</v>
      </c>
      <c r="K85" s="76">
        <v>0</v>
      </c>
      <c r="L85" s="76">
        <v>0</v>
      </c>
      <c r="M85" s="76">
        <v>0</v>
      </c>
      <c r="N85" s="76">
        <v>0</v>
      </c>
      <c r="O85" s="76">
        <v>0</v>
      </c>
      <c r="P85" s="76">
        <v>0</v>
      </c>
      <c r="Q85" s="76">
        <v>0</v>
      </c>
      <c r="R85" s="76">
        <v>0</v>
      </c>
      <c r="S85" s="76">
        <v>0</v>
      </c>
      <c r="T85" s="76">
        <v>0</v>
      </c>
      <c r="U85" s="76">
        <v>0</v>
      </c>
      <c r="V85" s="76">
        <v>0</v>
      </c>
      <c r="W85" s="76">
        <v>1</v>
      </c>
      <c r="X85" s="76">
        <v>0</v>
      </c>
      <c r="Y85" s="76">
        <v>0</v>
      </c>
      <c r="Z85" s="76">
        <v>0</v>
      </c>
      <c r="AA85" s="76">
        <v>2</v>
      </c>
      <c r="AB85" s="76">
        <v>0</v>
      </c>
      <c r="AC85" s="76">
        <v>0</v>
      </c>
      <c r="AD85" s="76">
        <v>0</v>
      </c>
      <c r="AE85" s="76">
        <v>0</v>
      </c>
      <c r="AF85" s="76">
        <v>0</v>
      </c>
      <c r="AG85" s="76">
        <v>0</v>
      </c>
      <c r="AH85" s="76">
        <v>0</v>
      </c>
      <c r="AI85" s="76">
        <v>0</v>
      </c>
      <c r="AJ85" s="76">
        <v>0</v>
      </c>
      <c r="AK85" s="76">
        <v>0</v>
      </c>
      <c r="AL85" s="76">
        <v>0</v>
      </c>
      <c r="AM85" s="76">
        <v>0</v>
      </c>
      <c r="AN85" s="76">
        <v>0</v>
      </c>
      <c r="AO85" s="76">
        <v>0</v>
      </c>
      <c r="AP85" s="76">
        <v>0</v>
      </c>
      <c r="AQ85" s="76">
        <v>0</v>
      </c>
      <c r="AR85" s="76">
        <v>1</v>
      </c>
      <c r="AS85" s="76">
        <v>1</v>
      </c>
      <c r="AT85" s="76">
        <v>0</v>
      </c>
      <c r="AU85" s="76">
        <v>0</v>
      </c>
      <c r="AV85" s="76">
        <v>0</v>
      </c>
      <c r="AW85" s="76">
        <v>1</v>
      </c>
      <c r="AX85" s="76">
        <v>0</v>
      </c>
      <c r="AY85" s="76">
        <v>0</v>
      </c>
      <c r="AZ85" s="76">
        <v>1</v>
      </c>
      <c r="BA85" s="76">
        <v>0</v>
      </c>
      <c r="BB85" s="76">
        <v>0</v>
      </c>
      <c r="BC85" s="76">
        <v>0</v>
      </c>
      <c r="BD85" s="76">
        <v>0</v>
      </c>
      <c r="BE85" s="76">
        <v>0</v>
      </c>
      <c r="BF85" s="76">
        <v>0</v>
      </c>
      <c r="BG85" s="76">
        <v>1</v>
      </c>
      <c r="BH85" s="76">
        <v>0</v>
      </c>
      <c r="BI85" s="76">
        <v>1</v>
      </c>
      <c r="BJ85" s="76">
        <v>0</v>
      </c>
      <c r="BK85" s="76">
        <v>0</v>
      </c>
      <c r="BL85" s="76">
        <v>0</v>
      </c>
      <c r="BM85" s="76">
        <v>1</v>
      </c>
      <c r="BN85" s="76">
        <v>0</v>
      </c>
      <c r="BO85" s="76">
        <v>0</v>
      </c>
      <c r="BP85" s="76">
        <v>0</v>
      </c>
      <c r="BQ85" s="76">
        <v>0</v>
      </c>
      <c r="BR85" s="76">
        <v>0</v>
      </c>
      <c r="BS85" s="76">
        <v>0</v>
      </c>
      <c r="BT85" s="76">
        <v>0</v>
      </c>
      <c r="BU85" s="76">
        <v>0</v>
      </c>
      <c r="BV85" s="76">
        <v>0</v>
      </c>
      <c r="BW85" s="76">
        <v>0</v>
      </c>
      <c r="BX85" s="76">
        <v>0</v>
      </c>
      <c r="BY85" s="76">
        <v>0</v>
      </c>
      <c r="BZ85" s="76">
        <v>0</v>
      </c>
      <c r="CA85" s="76">
        <v>0</v>
      </c>
      <c r="CB85" s="76">
        <v>0</v>
      </c>
      <c r="CC85" s="76">
        <v>0</v>
      </c>
      <c r="CD85" s="76">
        <v>0</v>
      </c>
      <c r="CE85" s="76">
        <v>0</v>
      </c>
      <c r="CF85" s="76">
        <v>0</v>
      </c>
      <c r="CG85" s="76">
        <v>0</v>
      </c>
      <c r="CH85" s="76">
        <v>0</v>
      </c>
      <c r="CI85" s="76">
        <v>0</v>
      </c>
      <c r="CJ85" s="76">
        <v>0</v>
      </c>
      <c r="CK85" s="76">
        <v>0</v>
      </c>
      <c r="CL85" s="76">
        <v>0</v>
      </c>
      <c r="CM85" s="76">
        <v>0</v>
      </c>
      <c r="CN85" s="76">
        <v>0</v>
      </c>
      <c r="CO85" s="76">
        <v>0</v>
      </c>
      <c r="CP85" s="76">
        <v>0</v>
      </c>
      <c r="CQ85" s="76">
        <v>0</v>
      </c>
      <c r="CR85" s="76">
        <v>0</v>
      </c>
      <c r="CS85" s="76">
        <v>0</v>
      </c>
      <c r="CT85" s="76">
        <v>0</v>
      </c>
      <c r="CU85" s="76">
        <v>0</v>
      </c>
      <c r="CV85" s="76">
        <v>1</v>
      </c>
      <c r="CW85" s="76">
        <v>1</v>
      </c>
      <c r="CX85" s="76">
        <v>1</v>
      </c>
      <c r="CY85" s="76">
        <v>0</v>
      </c>
      <c r="CZ85" s="76">
        <v>0</v>
      </c>
      <c r="DA85" s="76">
        <v>0</v>
      </c>
      <c r="DB85" s="76">
        <v>1</v>
      </c>
      <c r="DC85" s="76">
        <v>0</v>
      </c>
      <c r="DD85" s="76">
        <v>0</v>
      </c>
      <c r="DE85" s="76">
        <v>0</v>
      </c>
      <c r="DF85" s="76">
        <v>0</v>
      </c>
      <c r="DG85" s="76">
        <v>0</v>
      </c>
      <c r="DH85" s="76">
        <v>0</v>
      </c>
      <c r="DI85" s="76">
        <v>0</v>
      </c>
      <c r="DJ85" s="76">
        <v>0</v>
      </c>
      <c r="DK85" s="76">
        <v>0</v>
      </c>
      <c r="DL85" s="76">
        <v>0</v>
      </c>
      <c r="DM85" s="76">
        <v>0</v>
      </c>
      <c r="DN85" s="76">
        <v>0</v>
      </c>
      <c r="DO85" s="76">
        <v>0</v>
      </c>
      <c r="DP85" s="76">
        <v>0</v>
      </c>
      <c r="DQ85" s="76">
        <v>0</v>
      </c>
      <c r="DR85" s="76">
        <v>0</v>
      </c>
      <c r="DS85" s="76">
        <v>0</v>
      </c>
      <c r="DT85" s="76">
        <v>0</v>
      </c>
      <c r="DU85" s="76">
        <v>0</v>
      </c>
      <c r="DV85" s="76">
        <v>0</v>
      </c>
      <c r="DW85" s="76">
        <v>0</v>
      </c>
      <c r="DX85" s="76">
        <v>0</v>
      </c>
      <c r="DY85" s="76">
        <v>0</v>
      </c>
      <c r="DZ85" s="76">
        <v>0</v>
      </c>
      <c r="EA85" s="76">
        <v>0</v>
      </c>
      <c r="EB85" s="76">
        <v>0</v>
      </c>
      <c r="EC85" s="76">
        <v>0</v>
      </c>
      <c r="ED85" s="76">
        <v>0</v>
      </c>
      <c r="EE85" s="76">
        <v>0</v>
      </c>
      <c r="EF85" s="76">
        <v>0</v>
      </c>
      <c r="EG85" s="76">
        <v>0</v>
      </c>
      <c r="EH85" s="76">
        <v>0</v>
      </c>
      <c r="EI85" s="76">
        <v>0</v>
      </c>
      <c r="EJ85" s="76">
        <v>0</v>
      </c>
      <c r="EK85" s="76">
        <v>0</v>
      </c>
      <c r="EL85" s="76">
        <v>0</v>
      </c>
      <c r="EM85" s="76">
        <v>0</v>
      </c>
      <c r="EN85" s="76">
        <v>0</v>
      </c>
      <c r="EO85" s="76">
        <v>0</v>
      </c>
      <c r="EP85" s="76">
        <v>0</v>
      </c>
      <c r="EQ85" s="76">
        <v>0</v>
      </c>
      <c r="ER85" s="76">
        <v>0</v>
      </c>
      <c r="ES85" s="76">
        <v>0</v>
      </c>
      <c r="ET85" s="76">
        <v>0</v>
      </c>
      <c r="EU85" s="76">
        <v>0</v>
      </c>
      <c r="EV85" s="76">
        <v>1</v>
      </c>
      <c r="EW85" s="76">
        <v>0</v>
      </c>
      <c r="EX85" s="76">
        <v>0</v>
      </c>
      <c r="EY85" s="76">
        <v>0</v>
      </c>
      <c r="EZ85" s="76">
        <v>0</v>
      </c>
      <c r="FA85" s="76">
        <v>0</v>
      </c>
      <c r="FB85" s="76">
        <v>0</v>
      </c>
      <c r="FC85" s="76">
        <v>0</v>
      </c>
      <c r="FD85" s="76">
        <v>0</v>
      </c>
      <c r="FE85" s="77">
        <f t="shared" si="0"/>
        <v>15</v>
      </c>
    </row>
    <row r="86" spans="1:161" s="24" customFormat="1" ht="20.100000000000001" customHeight="1" x14ac:dyDescent="0.2">
      <c r="A86" s="75" t="s">
        <v>122</v>
      </c>
      <c r="B86" s="76">
        <v>0</v>
      </c>
      <c r="C86" s="76">
        <v>0</v>
      </c>
      <c r="D86" s="76">
        <v>0</v>
      </c>
      <c r="E86" s="76">
        <v>0</v>
      </c>
      <c r="F86" s="76">
        <v>0</v>
      </c>
      <c r="G86" s="76">
        <v>0</v>
      </c>
      <c r="H86" s="76">
        <v>0</v>
      </c>
      <c r="I86" s="76">
        <v>0</v>
      </c>
      <c r="J86" s="76">
        <v>0</v>
      </c>
      <c r="K86" s="76">
        <v>0</v>
      </c>
      <c r="L86" s="76">
        <v>0</v>
      </c>
      <c r="M86" s="76">
        <v>0</v>
      </c>
      <c r="N86" s="76">
        <v>0</v>
      </c>
      <c r="O86" s="76">
        <v>0</v>
      </c>
      <c r="P86" s="76">
        <v>0</v>
      </c>
      <c r="Q86" s="76">
        <v>0</v>
      </c>
      <c r="R86" s="76">
        <v>0</v>
      </c>
      <c r="S86" s="76">
        <v>0</v>
      </c>
      <c r="T86" s="76">
        <v>0</v>
      </c>
      <c r="U86" s="76">
        <v>0</v>
      </c>
      <c r="V86" s="76">
        <v>0</v>
      </c>
      <c r="W86" s="76">
        <v>1</v>
      </c>
      <c r="X86" s="76">
        <v>0</v>
      </c>
      <c r="Y86" s="76">
        <v>0</v>
      </c>
      <c r="Z86" s="76">
        <v>0</v>
      </c>
      <c r="AA86" s="76">
        <v>0</v>
      </c>
      <c r="AB86" s="76">
        <v>0</v>
      </c>
      <c r="AC86" s="76">
        <v>0</v>
      </c>
      <c r="AD86" s="76">
        <v>0</v>
      </c>
      <c r="AE86" s="76">
        <v>0</v>
      </c>
      <c r="AF86" s="76">
        <v>0</v>
      </c>
      <c r="AG86" s="76">
        <v>0</v>
      </c>
      <c r="AH86" s="76">
        <v>0</v>
      </c>
      <c r="AI86" s="76">
        <v>0</v>
      </c>
      <c r="AJ86" s="76">
        <v>0</v>
      </c>
      <c r="AK86" s="76">
        <v>0</v>
      </c>
      <c r="AL86" s="76">
        <v>0</v>
      </c>
      <c r="AM86" s="76">
        <v>0</v>
      </c>
      <c r="AN86" s="76">
        <v>0</v>
      </c>
      <c r="AO86" s="76">
        <v>0</v>
      </c>
      <c r="AP86" s="76">
        <v>0</v>
      </c>
      <c r="AQ86" s="76">
        <v>1</v>
      </c>
      <c r="AR86" s="76">
        <v>0</v>
      </c>
      <c r="AS86" s="76">
        <v>0</v>
      </c>
      <c r="AT86" s="76">
        <v>0</v>
      </c>
      <c r="AU86" s="76">
        <v>0</v>
      </c>
      <c r="AV86" s="76">
        <v>0</v>
      </c>
      <c r="AW86" s="76">
        <v>0</v>
      </c>
      <c r="AX86" s="76">
        <v>0</v>
      </c>
      <c r="AY86" s="76">
        <v>0</v>
      </c>
      <c r="AZ86" s="76">
        <v>0</v>
      </c>
      <c r="BA86" s="76">
        <v>0</v>
      </c>
      <c r="BB86" s="76">
        <v>0</v>
      </c>
      <c r="BC86" s="76">
        <v>0</v>
      </c>
      <c r="BD86" s="76">
        <v>0</v>
      </c>
      <c r="BE86" s="76">
        <v>0</v>
      </c>
      <c r="BF86" s="76">
        <v>0</v>
      </c>
      <c r="BG86" s="76">
        <v>0</v>
      </c>
      <c r="BH86" s="76">
        <v>0</v>
      </c>
      <c r="BI86" s="76">
        <v>0</v>
      </c>
      <c r="BJ86" s="76">
        <v>0</v>
      </c>
      <c r="BK86" s="76">
        <v>0</v>
      </c>
      <c r="BL86" s="76">
        <v>0</v>
      </c>
      <c r="BM86" s="76">
        <v>1</v>
      </c>
      <c r="BN86" s="76">
        <v>0</v>
      </c>
      <c r="BO86" s="76">
        <v>0</v>
      </c>
      <c r="BP86" s="76">
        <v>0</v>
      </c>
      <c r="BQ86" s="76">
        <v>0</v>
      </c>
      <c r="BR86" s="76">
        <v>0</v>
      </c>
      <c r="BS86" s="76">
        <v>0</v>
      </c>
      <c r="BT86" s="76">
        <v>0</v>
      </c>
      <c r="BU86" s="76">
        <v>0</v>
      </c>
      <c r="BV86" s="76">
        <v>0</v>
      </c>
      <c r="BW86" s="76">
        <v>0</v>
      </c>
      <c r="BX86" s="76">
        <v>0</v>
      </c>
      <c r="BY86" s="76">
        <v>0</v>
      </c>
      <c r="BZ86" s="76">
        <v>0</v>
      </c>
      <c r="CA86" s="76">
        <v>0</v>
      </c>
      <c r="CB86" s="76">
        <v>0</v>
      </c>
      <c r="CC86" s="76">
        <v>0</v>
      </c>
      <c r="CD86" s="76">
        <v>0</v>
      </c>
      <c r="CE86" s="76">
        <v>0</v>
      </c>
      <c r="CF86" s="76">
        <v>1</v>
      </c>
      <c r="CG86" s="76">
        <v>0</v>
      </c>
      <c r="CH86" s="76">
        <v>0</v>
      </c>
      <c r="CI86" s="76">
        <v>0</v>
      </c>
      <c r="CJ86" s="76">
        <v>0</v>
      </c>
      <c r="CK86" s="76">
        <v>0</v>
      </c>
      <c r="CL86" s="76">
        <v>0</v>
      </c>
      <c r="CM86" s="76">
        <v>0</v>
      </c>
      <c r="CN86" s="76">
        <v>0</v>
      </c>
      <c r="CO86" s="76">
        <v>0</v>
      </c>
      <c r="CP86" s="76">
        <v>0</v>
      </c>
      <c r="CQ86" s="76">
        <v>0</v>
      </c>
      <c r="CR86" s="76">
        <v>0</v>
      </c>
      <c r="CS86" s="76">
        <v>0</v>
      </c>
      <c r="CT86" s="76">
        <v>0</v>
      </c>
      <c r="CU86" s="76">
        <v>0</v>
      </c>
      <c r="CV86" s="76">
        <v>0</v>
      </c>
      <c r="CW86" s="76">
        <v>0</v>
      </c>
      <c r="CX86" s="76">
        <v>0</v>
      </c>
      <c r="CY86" s="76">
        <v>0</v>
      </c>
      <c r="CZ86" s="76">
        <v>0</v>
      </c>
      <c r="DA86" s="76">
        <v>0</v>
      </c>
      <c r="DB86" s="76">
        <v>0</v>
      </c>
      <c r="DC86" s="76">
        <v>0</v>
      </c>
      <c r="DD86" s="76">
        <v>0</v>
      </c>
      <c r="DE86" s="76">
        <v>0</v>
      </c>
      <c r="DF86" s="76">
        <v>0</v>
      </c>
      <c r="DG86" s="76">
        <v>0</v>
      </c>
      <c r="DH86" s="76">
        <v>0</v>
      </c>
      <c r="DI86" s="76">
        <v>0</v>
      </c>
      <c r="DJ86" s="76">
        <v>0</v>
      </c>
      <c r="DK86" s="76">
        <v>0</v>
      </c>
      <c r="DL86" s="76">
        <v>0</v>
      </c>
      <c r="DM86" s="76">
        <v>0</v>
      </c>
      <c r="DN86" s="76">
        <v>0</v>
      </c>
      <c r="DO86" s="76">
        <v>0</v>
      </c>
      <c r="DP86" s="76">
        <v>0</v>
      </c>
      <c r="DQ86" s="76">
        <v>0</v>
      </c>
      <c r="DR86" s="76">
        <v>0</v>
      </c>
      <c r="DS86" s="76">
        <v>0</v>
      </c>
      <c r="DT86" s="76">
        <v>0</v>
      </c>
      <c r="DU86" s="76">
        <v>0</v>
      </c>
      <c r="DV86" s="76">
        <v>0</v>
      </c>
      <c r="DW86" s="76">
        <v>0</v>
      </c>
      <c r="DX86" s="76">
        <v>0</v>
      </c>
      <c r="DY86" s="76">
        <v>0</v>
      </c>
      <c r="DZ86" s="76">
        <v>0</v>
      </c>
      <c r="EA86" s="76">
        <v>0</v>
      </c>
      <c r="EB86" s="76">
        <v>1</v>
      </c>
      <c r="EC86" s="76">
        <v>0</v>
      </c>
      <c r="ED86" s="76">
        <v>0</v>
      </c>
      <c r="EE86" s="76">
        <v>0</v>
      </c>
      <c r="EF86" s="76">
        <v>0</v>
      </c>
      <c r="EG86" s="76">
        <v>0</v>
      </c>
      <c r="EH86" s="76">
        <v>0</v>
      </c>
      <c r="EI86" s="76">
        <v>0</v>
      </c>
      <c r="EJ86" s="76">
        <v>0</v>
      </c>
      <c r="EK86" s="76">
        <v>0</v>
      </c>
      <c r="EL86" s="76">
        <v>0</v>
      </c>
      <c r="EM86" s="76">
        <v>0</v>
      </c>
      <c r="EN86" s="76">
        <v>0</v>
      </c>
      <c r="EO86" s="76">
        <v>0</v>
      </c>
      <c r="EP86" s="76">
        <v>0</v>
      </c>
      <c r="EQ86" s="76">
        <v>0</v>
      </c>
      <c r="ER86" s="76">
        <v>0</v>
      </c>
      <c r="ES86" s="76">
        <v>0</v>
      </c>
      <c r="ET86" s="76">
        <v>0</v>
      </c>
      <c r="EU86" s="76">
        <v>0</v>
      </c>
      <c r="EV86" s="76">
        <v>0</v>
      </c>
      <c r="EW86" s="76">
        <v>0</v>
      </c>
      <c r="EX86" s="76">
        <v>0</v>
      </c>
      <c r="EY86" s="76">
        <v>0</v>
      </c>
      <c r="EZ86" s="76">
        <v>0</v>
      </c>
      <c r="FA86" s="76">
        <v>0</v>
      </c>
      <c r="FB86" s="76">
        <v>0</v>
      </c>
      <c r="FC86" s="76">
        <v>0</v>
      </c>
      <c r="FD86" s="76">
        <v>0</v>
      </c>
      <c r="FE86" s="77">
        <f t="shared" si="0"/>
        <v>5</v>
      </c>
    </row>
    <row r="87" spans="1:161" s="24" customFormat="1" ht="20.100000000000001" customHeight="1" x14ac:dyDescent="0.25">
      <c r="A87" s="153" t="s">
        <v>419</v>
      </c>
      <c r="B87" s="76"/>
      <c r="C87" s="76"/>
      <c r="D87" s="76"/>
      <c r="E87" s="76"/>
      <c r="F87" s="76"/>
      <c r="G87" s="76"/>
      <c r="H87" s="76"/>
      <c r="I87" s="76"/>
      <c r="J87" s="76"/>
      <c r="K87" s="76"/>
      <c r="L87" s="76"/>
      <c r="M87" s="76"/>
      <c r="N87" s="76"/>
      <c r="O87" s="76"/>
      <c r="P87" s="76"/>
      <c r="Q87" s="76"/>
      <c r="R87" s="76"/>
      <c r="S87" s="76"/>
      <c r="T87" s="76"/>
      <c r="U87" s="76"/>
      <c r="V87" s="76"/>
      <c r="W87" s="76"/>
      <c r="X87" s="76"/>
      <c r="Y87" s="76"/>
      <c r="Z87" s="76"/>
      <c r="AA87" s="76"/>
      <c r="AB87" s="76"/>
      <c r="AC87" s="76"/>
      <c r="AD87" s="76"/>
      <c r="AE87" s="76"/>
      <c r="AF87" s="76"/>
      <c r="AG87" s="76"/>
      <c r="AH87" s="76"/>
      <c r="AI87" s="76"/>
      <c r="AJ87" s="76"/>
      <c r="AK87" s="76"/>
      <c r="AL87" s="76"/>
      <c r="AM87" s="76"/>
      <c r="AN87" s="76"/>
      <c r="AO87" s="76"/>
      <c r="AP87" s="76"/>
      <c r="AQ87" s="76"/>
      <c r="AR87" s="76"/>
      <c r="AS87" s="76"/>
      <c r="AT87" s="76"/>
      <c r="AU87" s="76"/>
      <c r="AV87" s="76"/>
      <c r="AW87" s="76"/>
      <c r="AX87" s="76"/>
      <c r="AY87" s="76"/>
      <c r="AZ87" s="76"/>
      <c r="BA87" s="76"/>
      <c r="BB87" s="76"/>
      <c r="BC87" s="76"/>
      <c r="BD87" s="76"/>
      <c r="BE87" s="76"/>
      <c r="BF87" s="76"/>
      <c r="BG87" s="76"/>
      <c r="BH87" s="76"/>
      <c r="BI87" s="76"/>
      <c r="BJ87" s="76"/>
      <c r="BK87" s="76"/>
      <c r="BL87" s="76"/>
      <c r="BM87" s="76"/>
      <c r="BN87" s="76"/>
      <c r="BO87" s="76"/>
      <c r="BP87" s="76"/>
      <c r="BQ87" s="76"/>
      <c r="BR87" s="76"/>
      <c r="BS87" s="76"/>
      <c r="BT87" s="76"/>
      <c r="BU87" s="76"/>
      <c r="BV87" s="76"/>
      <c r="BW87" s="76"/>
      <c r="BX87" s="76"/>
      <c r="BY87" s="76"/>
      <c r="BZ87" s="76"/>
      <c r="CA87" s="76"/>
      <c r="CB87" s="76"/>
      <c r="CC87" s="76"/>
      <c r="CD87" s="76"/>
      <c r="CE87" s="76"/>
      <c r="CF87" s="76"/>
      <c r="CG87" s="76"/>
      <c r="CH87" s="76"/>
      <c r="CI87" s="76"/>
      <c r="CJ87" s="76"/>
      <c r="CK87" s="76">
        <v>0</v>
      </c>
      <c r="CL87" s="76">
        <v>0</v>
      </c>
      <c r="CM87" s="76">
        <v>0</v>
      </c>
      <c r="CN87" s="76">
        <v>0</v>
      </c>
      <c r="CO87" s="76">
        <v>0</v>
      </c>
      <c r="CP87" s="76">
        <v>0</v>
      </c>
      <c r="CQ87" s="76">
        <v>0</v>
      </c>
      <c r="CR87" s="76">
        <v>0</v>
      </c>
      <c r="CS87" s="76">
        <v>0</v>
      </c>
      <c r="CT87" s="76">
        <v>0</v>
      </c>
      <c r="CU87" s="76">
        <v>0</v>
      </c>
      <c r="CV87" s="76">
        <v>1</v>
      </c>
      <c r="CW87" s="76">
        <v>0</v>
      </c>
      <c r="CX87" s="76">
        <v>0</v>
      </c>
      <c r="CY87" s="76">
        <v>0</v>
      </c>
      <c r="CZ87" s="76">
        <v>0</v>
      </c>
      <c r="DA87" s="76">
        <v>0</v>
      </c>
      <c r="DB87" s="76">
        <v>0</v>
      </c>
      <c r="DC87" s="76">
        <v>0</v>
      </c>
      <c r="DD87" s="76">
        <v>0</v>
      </c>
      <c r="DE87" s="76">
        <v>0</v>
      </c>
      <c r="DF87" s="76">
        <v>0</v>
      </c>
      <c r="DG87" s="76">
        <v>0</v>
      </c>
      <c r="DH87" s="76">
        <v>0</v>
      </c>
      <c r="DI87" s="76">
        <v>0</v>
      </c>
      <c r="DJ87" s="76">
        <v>0</v>
      </c>
      <c r="DK87" s="76">
        <v>0</v>
      </c>
      <c r="DL87" s="76">
        <v>0</v>
      </c>
      <c r="DM87" s="76">
        <v>0</v>
      </c>
      <c r="DN87" s="76">
        <v>0</v>
      </c>
      <c r="DO87" s="76">
        <v>0</v>
      </c>
      <c r="DP87" s="76">
        <v>0</v>
      </c>
      <c r="DQ87" s="76">
        <v>0</v>
      </c>
      <c r="DR87" s="76">
        <v>0</v>
      </c>
      <c r="DS87" s="76">
        <v>0</v>
      </c>
      <c r="DT87" s="76">
        <v>0</v>
      </c>
      <c r="DU87" s="76">
        <v>0</v>
      </c>
      <c r="DV87" s="76">
        <v>0</v>
      </c>
      <c r="DW87" s="76">
        <v>0</v>
      </c>
      <c r="DX87" s="76">
        <v>0</v>
      </c>
      <c r="DY87" s="76">
        <v>0</v>
      </c>
      <c r="DZ87" s="76">
        <v>0</v>
      </c>
      <c r="EA87" s="76">
        <v>0</v>
      </c>
      <c r="EB87" s="76">
        <v>1</v>
      </c>
      <c r="EC87" s="76">
        <v>0</v>
      </c>
      <c r="ED87" s="76">
        <v>0</v>
      </c>
      <c r="EE87" s="76">
        <v>0</v>
      </c>
      <c r="EF87" s="76">
        <v>0</v>
      </c>
      <c r="EG87" s="76">
        <v>0</v>
      </c>
      <c r="EH87" s="76">
        <v>0</v>
      </c>
      <c r="EI87" s="76">
        <v>0</v>
      </c>
      <c r="EJ87" s="76">
        <v>0</v>
      </c>
      <c r="EK87" s="76">
        <v>0</v>
      </c>
      <c r="EL87" s="76">
        <v>0</v>
      </c>
      <c r="EM87" s="76">
        <v>0</v>
      </c>
      <c r="EN87" s="76">
        <v>0</v>
      </c>
      <c r="EO87" s="76">
        <v>0</v>
      </c>
      <c r="EP87" s="76">
        <v>0</v>
      </c>
      <c r="EQ87" s="76">
        <v>0</v>
      </c>
      <c r="ER87" s="76">
        <v>1</v>
      </c>
      <c r="ES87" s="76">
        <v>0</v>
      </c>
      <c r="ET87" s="76">
        <v>0</v>
      </c>
      <c r="EU87" s="76">
        <v>0</v>
      </c>
      <c r="EV87" s="76">
        <v>0</v>
      </c>
      <c r="EW87" s="76">
        <v>0</v>
      </c>
      <c r="EX87" s="76">
        <v>0</v>
      </c>
      <c r="EY87" s="76">
        <v>0</v>
      </c>
      <c r="EZ87" s="76">
        <v>0</v>
      </c>
      <c r="FA87" s="76">
        <v>0</v>
      </c>
      <c r="FB87" s="76">
        <v>0</v>
      </c>
      <c r="FC87" s="76">
        <v>0</v>
      </c>
      <c r="FD87" s="76">
        <v>0</v>
      </c>
      <c r="FE87" s="77">
        <f t="shared" si="0"/>
        <v>3</v>
      </c>
    </row>
    <row r="88" spans="1:161" s="24" customFormat="1" ht="19.5" customHeight="1" x14ac:dyDescent="0.2">
      <c r="A88" s="75" t="s">
        <v>124</v>
      </c>
      <c r="B88" s="76"/>
      <c r="C88" s="76"/>
      <c r="D88" s="76"/>
      <c r="E88" s="76"/>
      <c r="F88" s="76"/>
      <c r="G88" s="76"/>
      <c r="H88" s="76"/>
      <c r="I88" s="76"/>
      <c r="J88" s="76"/>
      <c r="K88" s="76"/>
      <c r="L88" s="76"/>
      <c r="M88" s="76"/>
      <c r="N88" s="76"/>
      <c r="O88" s="76"/>
      <c r="P88" s="76"/>
      <c r="Q88" s="76"/>
      <c r="R88" s="76"/>
      <c r="S88" s="76"/>
      <c r="T88" s="76"/>
      <c r="U88" s="76"/>
      <c r="V88" s="76"/>
      <c r="W88" s="76"/>
      <c r="X88" s="76"/>
      <c r="Y88" s="76"/>
      <c r="Z88" s="76"/>
      <c r="AA88" s="76"/>
      <c r="AB88" s="76"/>
      <c r="AC88" s="76"/>
      <c r="AD88" s="76"/>
      <c r="AE88" s="76"/>
      <c r="AF88" s="76"/>
      <c r="AG88" s="76">
        <v>0</v>
      </c>
      <c r="AH88" s="76">
        <v>0</v>
      </c>
      <c r="AI88" s="76">
        <v>0</v>
      </c>
      <c r="AJ88" s="76">
        <v>0</v>
      </c>
      <c r="AK88" s="76">
        <v>0</v>
      </c>
      <c r="AL88" s="76">
        <v>0</v>
      </c>
      <c r="AM88" s="76">
        <v>0</v>
      </c>
      <c r="AN88" s="76">
        <v>0</v>
      </c>
      <c r="AO88" s="76">
        <v>0</v>
      </c>
      <c r="AP88" s="76">
        <v>0</v>
      </c>
      <c r="AQ88" s="76">
        <v>0</v>
      </c>
      <c r="AR88" s="76">
        <v>1</v>
      </c>
      <c r="AS88" s="76">
        <v>0</v>
      </c>
      <c r="AT88" s="76">
        <v>0</v>
      </c>
      <c r="AU88" s="76">
        <v>0</v>
      </c>
      <c r="AV88" s="76">
        <v>0</v>
      </c>
      <c r="AW88" s="76">
        <v>0</v>
      </c>
      <c r="AX88" s="76">
        <v>0</v>
      </c>
      <c r="AY88" s="76">
        <v>0</v>
      </c>
      <c r="AZ88" s="76">
        <v>0</v>
      </c>
      <c r="BA88" s="76">
        <v>0</v>
      </c>
      <c r="BB88" s="76">
        <v>0</v>
      </c>
      <c r="BC88" s="76">
        <v>0</v>
      </c>
      <c r="BD88" s="76">
        <v>0</v>
      </c>
      <c r="BE88" s="76">
        <v>0</v>
      </c>
      <c r="BF88" s="76">
        <v>0</v>
      </c>
      <c r="BG88" s="76">
        <v>0</v>
      </c>
      <c r="BH88" s="76">
        <v>0</v>
      </c>
      <c r="BI88" s="76">
        <v>0</v>
      </c>
      <c r="BJ88" s="76">
        <v>0</v>
      </c>
      <c r="BK88" s="76">
        <v>0</v>
      </c>
      <c r="BL88" s="76">
        <v>0</v>
      </c>
      <c r="BM88" s="76">
        <v>0</v>
      </c>
      <c r="BN88" s="76">
        <v>1</v>
      </c>
      <c r="BO88" s="76">
        <v>0</v>
      </c>
      <c r="BP88" s="76">
        <v>0</v>
      </c>
      <c r="BQ88" s="76">
        <v>0</v>
      </c>
      <c r="BR88" s="76">
        <v>0</v>
      </c>
      <c r="BS88" s="76">
        <v>0</v>
      </c>
      <c r="BT88" s="76">
        <v>0</v>
      </c>
      <c r="BU88" s="76">
        <v>0</v>
      </c>
      <c r="BV88" s="76">
        <v>0</v>
      </c>
      <c r="BW88" s="76">
        <v>0</v>
      </c>
      <c r="BX88" s="76">
        <v>0</v>
      </c>
      <c r="BY88" s="76">
        <v>0</v>
      </c>
      <c r="BZ88" s="76">
        <v>0</v>
      </c>
      <c r="CA88" s="76">
        <v>0</v>
      </c>
      <c r="CB88" s="76">
        <v>0</v>
      </c>
      <c r="CC88" s="76">
        <v>0</v>
      </c>
      <c r="CD88" s="76">
        <v>0</v>
      </c>
      <c r="CE88" s="76">
        <v>0</v>
      </c>
      <c r="CF88" s="76">
        <v>0</v>
      </c>
      <c r="CG88" s="76">
        <v>0</v>
      </c>
      <c r="CH88" s="76">
        <v>0</v>
      </c>
      <c r="CI88" s="76">
        <v>0</v>
      </c>
      <c r="CJ88" s="76">
        <v>0</v>
      </c>
      <c r="CK88" s="76">
        <v>0</v>
      </c>
      <c r="CL88" s="76">
        <v>0</v>
      </c>
      <c r="CM88" s="76">
        <v>0</v>
      </c>
      <c r="CN88" s="76">
        <v>0</v>
      </c>
      <c r="CO88" s="76">
        <v>0</v>
      </c>
      <c r="CP88" s="76">
        <v>0</v>
      </c>
      <c r="CQ88" s="76">
        <v>0</v>
      </c>
      <c r="CR88" s="76">
        <v>0</v>
      </c>
      <c r="CS88" s="76">
        <v>0</v>
      </c>
      <c r="CT88" s="76">
        <v>0</v>
      </c>
      <c r="CU88" s="76">
        <v>0</v>
      </c>
      <c r="CV88" s="76">
        <v>0</v>
      </c>
      <c r="CW88" s="76">
        <v>0</v>
      </c>
      <c r="CX88" s="76">
        <v>0</v>
      </c>
      <c r="CY88" s="76">
        <v>0</v>
      </c>
      <c r="CZ88" s="76">
        <v>0</v>
      </c>
      <c r="DA88" s="76">
        <v>0</v>
      </c>
      <c r="DB88" s="76">
        <v>0</v>
      </c>
      <c r="DC88" s="76">
        <v>0</v>
      </c>
      <c r="DD88" s="76">
        <v>0</v>
      </c>
      <c r="DE88" s="76">
        <v>0</v>
      </c>
      <c r="DF88" s="76">
        <v>0</v>
      </c>
      <c r="DG88" s="76">
        <v>0</v>
      </c>
      <c r="DH88" s="76">
        <v>0</v>
      </c>
      <c r="DI88" s="76">
        <v>0</v>
      </c>
      <c r="DJ88" s="76">
        <v>0</v>
      </c>
      <c r="DK88" s="76">
        <v>0</v>
      </c>
      <c r="DL88" s="76">
        <v>0</v>
      </c>
      <c r="DM88" s="76">
        <v>0</v>
      </c>
      <c r="DN88" s="76">
        <v>0</v>
      </c>
      <c r="DO88" s="76">
        <v>0</v>
      </c>
      <c r="DP88" s="76">
        <v>0</v>
      </c>
      <c r="DQ88" s="76">
        <v>0</v>
      </c>
      <c r="DR88" s="76">
        <v>0</v>
      </c>
      <c r="DS88" s="76">
        <v>0</v>
      </c>
      <c r="DT88" s="76">
        <v>0</v>
      </c>
      <c r="DU88" s="76">
        <v>0</v>
      </c>
      <c r="DV88" s="76">
        <v>0</v>
      </c>
      <c r="DW88" s="76">
        <v>0</v>
      </c>
      <c r="DX88" s="76">
        <v>0</v>
      </c>
      <c r="DY88" s="76">
        <v>0</v>
      </c>
      <c r="DZ88" s="76">
        <v>0</v>
      </c>
      <c r="EA88" s="76">
        <v>0</v>
      </c>
      <c r="EB88" s="76">
        <v>0</v>
      </c>
      <c r="EC88" s="76">
        <v>0</v>
      </c>
      <c r="ED88" s="76">
        <v>0</v>
      </c>
      <c r="EE88" s="76">
        <v>0</v>
      </c>
      <c r="EF88" s="76">
        <v>0</v>
      </c>
      <c r="EG88" s="76">
        <v>0</v>
      </c>
      <c r="EH88" s="76">
        <v>0</v>
      </c>
      <c r="EI88" s="76">
        <v>0</v>
      </c>
      <c r="EJ88" s="76">
        <v>0</v>
      </c>
      <c r="EK88" s="76">
        <v>1</v>
      </c>
      <c r="EL88" s="76">
        <v>0</v>
      </c>
      <c r="EM88" s="76">
        <v>0</v>
      </c>
      <c r="EN88" s="76">
        <v>0</v>
      </c>
      <c r="EO88" s="76">
        <v>0</v>
      </c>
      <c r="EP88" s="76">
        <v>0</v>
      </c>
      <c r="EQ88" s="76">
        <v>0</v>
      </c>
      <c r="ER88" s="76">
        <v>0</v>
      </c>
      <c r="ES88" s="76">
        <v>0</v>
      </c>
      <c r="ET88" s="76">
        <v>0</v>
      </c>
      <c r="EU88" s="76">
        <v>0</v>
      </c>
      <c r="EV88" s="76">
        <v>0</v>
      </c>
      <c r="EW88" s="76">
        <v>0</v>
      </c>
      <c r="EX88" s="76">
        <v>0</v>
      </c>
      <c r="EY88" s="76">
        <v>0</v>
      </c>
      <c r="EZ88" s="76">
        <v>0</v>
      </c>
      <c r="FA88" s="76">
        <v>0</v>
      </c>
      <c r="FB88" s="76">
        <v>0</v>
      </c>
      <c r="FC88" s="76">
        <v>0</v>
      </c>
      <c r="FD88" s="76">
        <v>0</v>
      </c>
      <c r="FE88" s="77">
        <f t="shared" si="0"/>
        <v>3</v>
      </c>
    </row>
    <row r="89" spans="1:161" s="24" customFormat="1" ht="20.100000000000001" customHeight="1" x14ac:dyDescent="0.2">
      <c r="A89" s="75" t="s">
        <v>276</v>
      </c>
      <c r="B89" s="76"/>
      <c r="C89" s="76"/>
      <c r="D89" s="76"/>
      <c r="E89" s="76"/>
      <c r="F89" s="76"/>
      <c r="G89" s="76"/>
      <c r="H89" s="76"/>
      <c r="I89" s="76"/>
      <c r="J89" s="76"/>
      <c r="K89" s="76"/>
      <c r="L89" s="76"/>
      <c r="M89" s="76"/>
      <c r="N89" s="76"/>
      <c r="O89" s="76"/>
      <c r="P89" s="76"/>
      <c r="Q89" s="76"/>
      <c r="R89" s="76"/>
      <c r="S89" s="76"/>
      <c r="T89" s="76"/>
      <c r="U89" s="76"/>
      <c r="V89" s="76"/>
      <c r="W89" s="76"/>
      <c r="X89" s="76"/>
      <c r="Y89" s="76"/>
      <c r="Z89" s="76"/>
      <c r="AA89" s="76"/>
      <c r="AB89" s="76"/>
      <c r="AC89" s="76"/>
      <c r="AD89" s="76"/>
      <c r="AE89" s="76"/>
      <c r="AF89" s="76"/>
      <c r="AG89" s="76"/>
      <c r="AH89" s="76"/>
      <c r="AI89" s="76"/>
      <c r="AJ89" s="76"/>
      <c r="AK89" s="76"/>
      <c r="AL89" s="76"/>
      <c r="AM89" s="76"/>
      <c r="AN89" s="76"/>
      <c r="AO89" s="76"/>
      <c r="AP89" s="76"/>
      <c r="AQ89" s="76"/>
      <c r="AR89" s="76"/>
      <c r="AS89" s="76"/>
      <c r="AT89" s="76"/>
      <c r="AU89" s="76"/>
      <c r="AV89" s="76"/>
      <c r="AW89" s="76"/>
      <c r="AX89" s="76"/>
      <c r="AY89" s="76"/>
      <c r="AZ89" s="76"/>
      <c r="BA89" s="76"/>
      <c r="BB89" s="76"/>
      <c r="BC89" s="76"/>
      <c r="BD89" s="76"/>
      <c r="BE89" s="76"/>
      <c r="BF89" s="76"/>
      <c r="BG89" s="76"/>
      <c r="BH89" s="76"/>
      <c r="BI89" s="76"/>
      <c r="BJ89" s="76"/>
      <c r="BK89" s="76"/>
      <c r="BL89" s="76"/>
      <c r="BM89" s="76"/>
      <c r="BN89" s="76"/>
      <c r="BO89" s="76"/>
      <c r="BP89" s="76"/>
      <c r="BQ89" s="76"/>
      <c r="BR89" s="76"/>
      <c r="BS89" s="76"/>
      <c r="BT89" s="76"/>
      <c r="BU89" s="76"/>
      <c r="BV89" s="76"/>
      <c r="BW89" s="76"/>
      <c r="BX89" s="76"/>
      <c r="BY89" s="76"/>
      <c r="BZ89" s="76"/>
      <c r="CA89" s="76"/>
      <c r="CB89" s="76"/>
      <c r="CC89" s="76"/>
      <c r="CD89" s="76"/>
      <c r="CE89" s="76"/>
      <c r="CF89" s="76"/>
      <c r="CG89" s="76"/>
      <c r="CH89" s="76">
        <v>0</v>
      </c>
      <c r="CI89" s="76">
        <v>0</v>
      </c>
      <c r="CJ89" s="76">
        <v>0</v>
      </c>
      <c r="CK89" s="76">
        <v>0</v>
      </c>
      <c r="CL89" s="76">
        <v>0</v>
      </c>
      <c r="CM89" s="76">
        <v>0</v>
      </c>
      <c r="CN89" s="76">
        <v>0</v>
      </c>
      <c r="CO89" s="76">
        <v>0</v>
      </c>
      <c r="CP89" s="76">
        <v>0</v>
      </c>
      <c r="CQ89" s="76">
        <v>0</v>
      </c>
      <c r="CR89" s="76">
        <v>0</v>
      </c>
      <c r="CS89" s="76">
        <v>0</v>
      </c>
      <c r="CT89" s="76">
        <v>0</v>
      </c>
      <c r="CU89" s="76">
        <v>1</v>
      </c>
      <c r="CV89" s="76">
        <v>2</v>
      </c>
      <c r="CW89" s="76">
        <v>3</v>
      </c>
      <c r="CX89" s="76">
        <v>3</v>
      </c>
      <c r="CY89" s="76">
        <v>0</v>
      </c>
      <c r="CZ89" s="76">
        <v>0</v>
      </c>
      <c r="DA89" s="76">
        <v>0</v>
      </c>
      <c r="DB89" s="76">
        <v>0</v>
      </c>
      <c r="DC89" s="76">
        <v>0</v>
      </c>
      <c r="DD89" s="76">
        <v>0</v>
      </c>
      <c r="DE89" s="76">
        <v>0</v>
      </c>
      <c r="DF89" s="76">
        <v>0</v>
      </c>
      <c r="DG89" s="76">
        <v>0</v>
      </c>
      <c r="DH89" s="76">
        <v>0</v>
      </c>
      <c r="DI89" s="76">
        <v>0</v>
      </c>
      <c r="DJ89" s="76">
        <v>0</v>
      </c>
      <c r="DK89" s="76">
        <v>0</v>
      </c>
      <c r="DL89" s="76">
        <v>0</v>
      </c>
      <c r="DM89" s="76">
        <v>0</v>
      </c>
      <c r="DN89" s="76">
        <v>0</v>
      </c>
      <c r="DO89" s="76">
        <v>0</v>
      </c>
      <c r="DP89" s="76">
        <v>0</v>
      </c>
      <c r="DQ89" s="76">
        <v>0</v>
      </c>
      <c r="DR89" s="76">
        <v>0</v>
      </c>
      <c r="DS89" s="76">
        <v>0</v>
      </c>
      <c r="DT89" s="76">
        <v>0</v>
      </c>
      <c r="DU89" s="76">
        <v>0</v>
      </c>
      <c r="DV89" s="76">
        <v>0</v>
      </c>
      <c r="DW89" s="76">
        <v>0</v>
      </c>
      <c r="DX89" s="76">
        <v>0</v>
      </c>
      <c r="DY89" s="76">
        <v>0</v>
      </c>
      <c r="DZ89" s="76">
        <v>0</v>
      </c>
      <c r="EA89" s="76">
        <v>0</v>
      </c>
      <c r="EB89" s="76">
        <v>0</v>
      </c>
      <c r="EC89" s="76">
        <v>0</v>
      </c>
      <c r="ED89" s="76">
        <v>0</v>
      </c>
      <c r="EE89" s="76">
        <v>0</v>
      </c>
      <c r="EF89" s="76">
        <v>0</v>
      </c>
      <c r="EG89" s="76">
        <v>0</v>
      </c>
      <c r="EH89" s="76">
        <v>0</v>
      </c>
      <c r="EI89" s="76">
        <v>0</v>
      </c>
      <c r="EJ89" s="76">
        <v>0</v>
      </c>
      <c r="EK89" s="76">
        <v>0</v>
      </c>
      <c r="EL89" s="76">
        <v>0</v>
      </c>
      <c r="EM89" s="76">
        <v>0</v>
      </c>
      <c r="EN89" s="76">
        <v>0</v>
      </c>
      <c r="EO89" s="76">
        <v>0</v>
      </c>
      <c r="EP89" s="76">
        <v>0</v>
      </c>
      <c r="EQ89" s="76">
        <v>0</v>
      </c>
      <c r="ER89" s="76">
        <v>0</v>
      </c>
      <c r="ES89" s="76">
        <v>0</v>
      </c>
      <c r="ET89" s="76">
        <v>0</v>
      </c>
      <c r="EU89" s="76">
        <v>0</v>
      </c>
      <c r="EV89" s="76">
        <v>0</v>
      </c>
      <c r="EW89" s="76">
        <v>0</v>
      </c>
      <c r="EX89" s="76">
        <v>0</v>
      </c>
      <c r="EY89" s="76">
        <v>0</v>
      </c>
      <c r="EZ89" s="76">
        <v>0</v>
      </c>
      <c r="FA89" s="76">
        <v>0</v>
      </c>
      <c r="FB89" s="76">
        <v>0</v>
      </c>
      <c r="FC89" s="76">
        <v>0</v>
      </c>
      <c r="FD89" s="76">
        <v>0</v>
      </c>
      <c r="FE89" s="77">
        <f t="shared" si="0"/>
        <v>9</v>
      </c>
    </row>
    <row r="90" spans="1:161" s="24" customFormat="1" ht="20.100000000000001" customHeight="1" x14ac:dyDescent="0.2">
      <c r="A90" s="75" t="s">
        <v>136</v>
      </c>
      <c r="B90" s="76"/>
      <c r="C90" s="76"/>
      <c r="D90" s="76"/>
      <c r="E90" s="76"/>
      <c r="F90" s="76"/>
      <c r="G90" s="76"/>
      <c r="H90" s="76"/>
      <c r="I90" s="76"/>
      <c r="J90" s="76"/>
      <c r="K90" s="76"/>
      <c r="L90" s="76"/>
      <c r="M90" s="76"/>
      <c r="N90" s="76"/>
      <c r="O90" s="76"/>
      <c r="P90" s="76"/>
      <c r="Q90" s="76"/>
      <c r="R90" s="76"/>
      <c r="S90" s="76"/>
      <c r="T90" s="76"/>
      <c r="U90" s="76">
        <v>0</v>
      </c>
      <c r="V90" s="76">
        <v>0</v>
      </c>
      <c r="W90" s="76">
        <v>0</v>
      </c>
      <c r="X90" s="76">
        <v>0</v>
      </c>
      <c r="Y90" s="76">
        <v>0</v>
      </c>
      <c r="Z90" s="76">
        <v>0</v>
      </c>
      <c r="AA90" s="76">
        <v>0</v>
      </c>
      <c r="AB90" s="76">
        <v>0</v>
      </c>
      <c r="AC90" s="76">
        <v>0</v>
      </c>
      <c r="AD90" s="76">
        <v>0</v>
      </c>
      <c r="AE90" s="76">
        <v>0</v>
      </c>
      <c r="AF90" s="76">
        <v>0</v>
      </c>
      <c r="AG90" s="76">
        <v>0</v>
      </c>
      <c r="AH90" s="76">
        <v>0</v>
      </c>
      <c r="AI90" s="76">
        <v>0</v>
      </c>
      <c r="AJ90" s="76">
        <v>1</v>
      </c>
      <c r="AK90" s="76">
        <v>0</v>
      </c>
      <c r="AL90" s="76">
        <v>0</v>
      </c>
      <c r="AM90" s="76">
        <v>0</v>
      </c>
      <c r="AN90" s="76">
        <v>0</v>
      </c>
      <c r="AO90" s="76">
        <v>0</v>
      </c>
      <c r="AP90" s="76">
        <v>0</v>
      </c>
      <c r="AQ90" s="76">
        <v>0</v>
      </c>
      <c r="AR90" s="76">
        <v>0</v>
      </c>
      <c r="AS90" s="76">
        <v>0</v>
      </c>
      <c r="AT90" s="76">
        <v>0</v>
      </c>
      <c r="AU90" s="76">
        <v>0</v>
      </c>
      <c r="AV90" s="76">
        <v>0</v>
      </c>
      <c r="AW90" s="76">
        <v>0</v>
      </c>
      <c r="AX90" s="76">
        <v>0</v>
      </c>
      <c r="AY90" s="76">
        <v>0</v>
      </c>
      <c r="AZ90" s="76">
        <v>1</v>
      </c>
      <c r="BA90" s="76">
        <v>0</v>
      </c>
      <c r="BB90" s="76">
        <v>0</v>
      </c>
      <c r="BC90" s="76">
        <v>0</v>
      </c>
      <c r="BD90" s="76">
        <v>0</v>
      </c>
      <c r="BE90" s="76">
        <v>0</v>
      </c>
      <c r="BF90" s="76">
        <v>0</v>
      </c>
      <c r="BG90" s="76">
        <v>0</v>
      </c>
      <c r="BH90" s="76">
        <v>0</v>
      </c>
      <c r="BI90" s="76">
        <v>1</v>
      </c>
      <c r="BJ90" s="76">
        <v>0</v>
      </c>
      <c r="BK90" s="76">
        <v>0</v>
      </c>
      <c r="BL90" s="76">
        <v>0</v>
      </c>
      <c r="BM90" s="76">
        <v>0</v>
      </c>
      <c r="BN90" s="76">
        <v>0</v>
      </c>
      <c r="BO90" s="76">
        <v>0</v>
      </c>
      <c r="BP90" s="76">
        <v>0</v>
      </c>
      <c r="BQ90" s="76">
        <v>0</v>
      </c>
      <c r="BR90" s="76">
        <v>0</v>
      </c>
      <c r="BS90" s="76">
        <v>0</v>
      </c>
      <c r="BT90" s="76">
        <v>0</v>
      </c>
      <c r="BU90" s="76">
        <v>0</v>
      </c>
      <c r="BV90" s="76">
        <v>0</v>
      </c>
      <c r="BW90" s="76">
        <v>0</v>
      </c>
      <c r="BX90" s="76">
        <v>0</v>
      </c>
      <c r="BY90" s="76">
        <v>0</v>
      </c>
      <c r="BZ90" s="76">
        <v>0</v>
      </c>
      <c r="CA90" s="76">
        <v>0</v>
      </c>
      <c r="CB90" s="76">
        <v>0</v>
      </c>
      <c r="CC90" s="76">
        <v>0</v>
      </c>
      <c r="CD90" s="76">
        <v>0</v>
      </c>
      <c r="CE90" s="76">
        <v>0</v>
      </c>
      <c r="CF90" s="76">
        <v>0</v>
      </c>
      <c r="CG90" s="76">
        <v>0</v>
      </c>
      <c r="CH90" s="76">
        <v>0</v>
      </c>
      <c r="CI90" s="76">
        <v>0</v>
      </c>
      <c r="CJ90" s="76">
        <v>0</v>
      </c>
      <c r="CK90" s="76">
        <v>0</v>
      </c>
      <c r="CL90" s="76">
        <v>0</v>
      </c>
      <c r="CM90" s="76">
        <v>0</v>
      </c>
      <c r="CN90" s="76">
        <v>0</v>
      </c>
      <c r="CO90" s="76">
        <v>0</v>
      </c>
      <c r="CP90" s="76">
        <v>0</v>
      </c>
      <c r="CQ90" s="76">
        <v>0</v>
      </c>
      <c r="CR90" s="76">
        <v>0</v>
      </c>
      <c r="CS90" s="76">
        <v>0</v>
      </c>
      <c r="CT90" s="76">
        <v>0</v>
      </c>
      <c r="CU90" s="76">
        <v>0</v>
      </c>
      <c r="CV90" s="76">
        <v>0</v>
      </c>
      <c r="CW90" s="76">
        <v>0</v>
      </c>
      <c r="CX90" s="76">
        <v>0</v>
      </c>
      <c r="CY90" s="76">
        <v>0</v>
      </c>
      <c r="CZ90" s="76">
        <v>0</v>
      </c>
      <c r="DA90" s="76">
        <v>0</v>
      </c>
      <c r="DB90" s="76">
        <v>0</v>
      </c>
      <c r="DC90" s="76">
        <v>0</v>
      </c>
      <c r="DD90" s="76">
        <v>0</v>
      </c>
      <c r="DE90" s="76">
        <v>0</v>
      </c>
      <c r="DF90" s="76">
        <v>0</v>
      </c>
      <c r="DG90" s="76">
        <v>0</v>
      </c>
      <c r="DH90" s="76">
        <v>0</v>
      </c>
      <c r="DI90" s="76">
        <v>0</v>
      </c>
      <c r="DJ90" s="76">
        <v>0</v>
      </c>
      <c r="DK90" s="76">
        <v>0</v>
      </c>
      <c r="DL90" s="76">
        <v>0</v>
      </c>
      <c r="DM90" s="76">
        <v>0</v>
      </c>
      <c r="DN90" s="76">
        <v>0</v>
      </c>
      <c r="DO90" s="76">
        <v>0</v>
      </c>
      <c r="DP90" s="76">
        <v>0</v>
      </c>
      <c r="DQ90" s="76">
        <v>0</v>
      </c>
      <c r="DR90" s="76">
        <v>0</v>
      </c>
      <c r="DS90" s="76">
        <v>0</v>
      </c>
      <c r="DT90" s="76">
        <v>0</v>
      </c>
      <c r="DU90" s="76">
        <v>0</v>
      </c>
      <c r="DV90" s="76">
        <v>0</v>
      </c>
      <c r="DW90" s="76">
        <v>0</v>
      </c>
      <c r="DX90" s="76">
        <v>0</v>
      </c>
      <c r="DY90" s="76">
        <v>0</v>
      </c>
      <c r="DZ90" s="76">
        <v>0</v>
      </c>
      <c r="EA90" s="76">
        <v>0</v>
      </c>
      <c r="EB90" s="76">
        <v>0</v>
      </c>
      <c r="EC90" s="76">
        <v>0</v>
      </c>
      <c r="ED90" s="76">
        <v>0</v>
      </c>
      <c r="EE90" s="76">
        <v>0</v>
      </c>
      <c r="EF90" s="76">
        <v>0</v>
      </c>
      <c r="EG90" s="76">
        <v>0</v>
      </c>
      <c r="EH90" s="76">
        <v>0</v>
      </c>
      <c r="EI90" s="76">
        <v>0</v>
      </c>
      <c r="EJ90" s="76">
        <v>0</v>
      </c>
      <c r="EK90" s="76">
        <v>0</v>
      </c>
      <c r="EL90" s="76">
        <v>0</v>
      </c>
      <c r="EM90" s="76">
        <v>0</v>
      </c>
      <c r="EN90" s="76">
        <v>0</v>
      </c>
      <c r="EO90" s="76">
        <v>0</v>
      </c>
      <c r="EP90" s="76">
        <v>0</v>
      </c>
      <c r="EQ90" s="76">
        <v>0</v>
      </c>
      <c r="ER90" s="76">
        <v>0</v>
      </c>
      <c r="ES90" s="76">
        <v>0</v>
      </c>
      <c r="ET90" s="76">
        <v>0</v>
      </c>
      <c r="EU90" s="76">
        <v>0</v>
      </c>
      <c r="EV90" s="76">
        <v>0</v>
      </c>
      <c r="EW90" s="76">
        <v>0</v>
      </c>
      <c r="EX90" s="76">
        <v>0</v>
      </c>
      <c r="EY90" s="76">
        <v>0</v>
      </c>
      <c r="EZ90" s="76">
        <v>0</v>
      </c>
      <c r="FA90" s="76">
        <v>0</v>
      </c>
      <c r="FB90" s="76">
        <v>0</v>
      </c>
      <c r="FC90" s="76">
        <v>0</v>
      </c>
      <c r="FD90" s="76">
        <v>0</v>
      </c>
      <c r="FE90" s="77">
        <f t="shared" si="0"/>
        <v>3</v>
      </c>
    </row>
    <row r="91" spans="1:161" s="24" customFormat="1" ht="20.100000000000001" customHeight="1" x14ac:dyDescent="0.2">
      <c r="A91" s="75" t="s">
        <v>135</v>
      </c>
      <c r="B91" s="76"/>
      <c r="C91" s="76"/>
      <c r="D91" s="76"/>
      <c r="E91" s="76"/>
      <c r="F91" s="76"/>
      <c r="G91" s="76"/>
      <c r="H91" s="76"/>
      <c r="I91" s="76"/>
      <c r="J91" s="76"/>
      <c r="K91" s="76"/>
      <c r="L91" s="76"/>
      <c r="M91" s="76"/>
      <c r="N91" s="76"/>
      <c r="O91" s="76"/>
      <c r="P91" s="76"/>
      <c r="Q91" s="76"/>
      <c r="R91" s="76"/>
      <c r="S91" s="76"/>
      <c r="T91" s="76"/>
      <c r="U91" s="76"/>
      <c r="V91" s="76"/>
      <c r="W91" s="76"/>
      <c r="X91" s="76"/>
      <c r="Y91" s="76"/>
      <c r="Z91" s="76"/>
      <c r="AA91" s="76"/>
      <c r="AB91" s="76"/>
      <c r="AC91" s="76"/>
      <c r="AD91" s="76"/>
      <c r="AE91" s="76"/>
      <c r="AF91" s="76"/>
      <c r="AG91" s="76"/>
      <c r="AH91" s="76"/>
      <c r="AI91" s="76"/>
      <c r="AJ91" s="76"/>
      <c r="AK91" s="76"/>
      <c r="AL91" s="76"/>
      <c r="AM91" s="76"/>
      <c r="AN91" s="76"/>
      <c r="AO91" s="76"/>
      <c r="AP91" s="76"/>
      <c r="AQ91" s="76"/>
      <c r="AR91" s="76"/>
      <c r="AS91" s="76"/>
      <c r="AT91" s="76"/>
      <c r="AU91" s="76"/>
      <c r="AV91" s="76"/>
      <c r="AW91" s="76">
        <v>0</v>
      </c>
      <c r="AX91" s="76">
        <v>0</v>
      </c>
      <c r="AY91" s="76">
        <v>0</v>
      </c>
      <c r="AZ91" s="76">
        <v>0</v>
      </c>
      <c r="BA91" s="76">
        <v>0</v>
      </c>
      <c r="BB91" s="76">
        <v>0</v>
      </c>
      <c r="BC91" s="76">
        <v>0</v>
      </c>
      <c r="BD91" s="76">
        <v>0</v>
      </c>
      <c r="BE91" s="76">
        <v>0</v>
      </c>
      <c r="BF91" s="76">
        <v>0</v>
      </c>
      <c r="BG91" s="76">
        <v>0</v>
      </c>
      <c r="BH91" s="76">
        <v>0</v>
      </c>
      <c r="BI91" s="76">
        <v>0</v>
      </c>
      <c r="BJ91" s="76">
        <v>0</v>
      </c>
      <c r="BK91" s="76">
        <v>0</v>
      </c>
      <c r="BL91" s="76">
        <v>1</v>
      </c>
      <c r="BM91" s="76">
        <v>0</v>
      </c>
      <c r="BN91" s="76">
        <v>0</v>
      </c>
      <c r="BO91" s="76">
        <v>0</v>
      </c>
      <c r="BP91" s="76">
        <v>0</v>
      </c>
      <c r="BQ91" s="76">
        <v>0</v>
      </c>
      <c r="BR91" s="76">
        <v>0</v>
      </c>
      <c r="BS91" s="76">
        <v>0</v>
      </c>
      <c r="BT91" s="76">
        <v>0</v>
      </c>
      <c r="BU91" s="76">
        <v>0</v>
      </c>
      <c r="BV91" s="76">
        <v>0</v>
      </c>
      <c r="BW91" s="76">
        <v>0</v>
      </c>
      <c r="BX91" s="76">
        <v>0</v>
      </c>
      <c r="BY91" s="76">
        <v>0</v>
      </c>
      <c r="BZ91" s="76">
        <v>0</v>
      </c>
      <c r="CA91" s="76">
        <v>0</v>
      </c>
      <c r="CB91" s="76">
        <v>0</v>
      </c>
      <c r="CC91" s="76">
        <v>0</v>
      </c>
      <c r="CD91" s="76">
        <v>0</v>
      </c>
      <c r="CE91" s="76">
        <v>0</v>
      </c>
      <c r="CF91" s="76">
        <v>0</v>
      </c>
      <c r="CG91" s="76">
        <v>0</v>
      </c>
      <c r="CH91" s="76">
        <v>0</v>
      </c>
      <c r="CI91" s="76">
        <v>0</v>
      </c>
      <c r="CJ91" s="76">
        <v>0</v>
      </c>
      <c r="CK91" s="76">
        <v>0</v>
      </c>
      <c r="CL91" s="76">
        <v>0</v>
      </c>
      <c r="CM91" s="76">
        <v>0</v>
      </c>
      <c r="CN91" s="76">
        <v>0</v>
      </c>
      <c r="CO91" s="76">
        <v>0</v>
      </c>
      <c r="CP91" s="76">
        <v>0</v>
      </c>
      <c r="CQ91" s="76">
        <v>0</v>
      </c>
      <c r="CR91" s="76">
        <v>0</v>
      </c>
      <c r="CS91" s="76">
        <v>0</v>
      </c>
      <c r="CT91" s="76">
        <v>0</v>
      </c>
      <c r="CU91" s="76">
        <v>0</v>
      </c>
      <c r="CV91" s="76">
        <v>0</v>
      </c>
      <c r="CW91" s="76">
        <v>0</v>
      </c>
      <c r="CX91" s="76">
        <v>0</v>
      </c>
      <c r="CY91" s="76">
        <v>0</v>
      </c>
      <c r="CZ91" s="76">
        <v>0</v>
      </c>
      <c r="DA91" s="76">
        <v>0</v>
      </c>
      <c r="DB91" s="76">
        <v>0</v>
      </c>
      <c r="DC91" s="76">
        <v>0</v>
      </c>
      <c r="DD91" s="76">
        <v>0</v>
      </c>
      <c r="DE91" s="76">
        <v>0</v>
      </c>
      <c r="DF91" s="76">
        <v>0</v>
      </c>
      <c r="DG91" s="76">
        <v>0</v>
      </c>
      <c r="DH91" s="76">
        <v>0</v>
      </c>
      <c r="DI91" s="76">
        <v>0</v>
      </c>
      <c r="DJ91" s="76">
        <v>0</v>
      </c>
      <c r="DK91" s="76">
        <v>0</v>
      </c>
      <c r="DL91" s="76">
        <v>0</v>
      </c>
      <c r="DM91" s="76">
        <v>0</v>
      </c>
      <c r="DN91" s="76">
        <v>0</v>
      </c>
      <c r="DO91" s="76">
        <v>0</v>
      </c>
      <c r="DP91" s="76">
        <v>0</v>
      </c>
      <c r="DQ91" s="76">
        <v>0</v>
      </c>
      <c r="DR91" s="76">
        <v>0</v>
      </c>
      <c r="DS91" s="76">
        <v>0</v>
      </c>
      <c r="DT91" s="76">
        <v>0</v>
      </c>
      <c r="DU91" s="76">
        <v>0</v>
      </c>
      <c r="DV91" s="76">
        <v>0</v>
      </c>
      <c r="DW91" s="76">
        <v>0</v>
      </c>
      <c r="DX91" s="76">
        <v>0</v>
      </c>
      <c r="DY91" s="76">
        <v>0</v>
      </c>
      <c r="DZ91" s="76">
        <v>0</v>
      </c>
      <c r="EA91" s="76">
        <v>0</v>
      </c>
      <c r="EB91" s="76">
        <v>0</v>
      </c>
      <c r="EC91" s="76">
        <v>0</v>
      </c>
      <c r="ED91" s="76">
        <v>0</v>
      </c>
      <c r="EE91" s="76">
        <v>0</v>
      </c>
      <c r="EF91" s="76">
        <v>0</v>
      </c>
      <c r="EG91" s="76">
        <v>0</v>
      </c>
      <c r="EH91" s="76">
        <v>0</v>
      </c>
      <c r="EI91" s="76">
        <v>0</v>
      </c>
      <c r="EJ91" s="76">
        <v>0</v>
      </c>
      <c r="EK91" s="76">
        <v>0</v>
      </c>
      <c r="EL91" s="76">
        <v>0</v>
      </c>
      <c r="EM91" s="76">
        <v>0</v>
      </c>
      <c r="EN91" s="76">
        <v>0</v>
      </c>
      <c r="EO91" s="76">
        <v>0</v>
      </c>
      <c r="EP91" s="76">
        <v>0</v>
      </c>
      <c r="EQ91" s="76">
        <v>0</v>
      </c>
      <c r="ER91" s="76">
        <v>0</v>
      </c>
      <c r="ES91" s="76">
        <v>0</v>
      </c>
      <c r="ET91" s="76">
        <v>0</v>
      </c>
      <c r="EU91" s="76">
        <v>0</v>
      </c>
      <c r="EV91" s="76">
        <v>0</v>
      </c>
      <c r="EW91" s="76">
        <v>0</v>
      </c>
      <c r="EX91" s="76">
        <v>0</v>
      </c>
      <c r="EY91" s="76">
        <v>0</v>
      </c>
      <c r="EZ91" s="76">
        <v>0</v>
      </c>
      <c r="FA91" s="76">
        <v>0</v>
      </c>
      <c r="FB91" s="76">
        <v>0</v>
      </c>
      <c r="FC91" s="76">
        <v>0</v>
      </c>
      <c r="FD91" s="76">
        <v>0</v>
      </c>
      <c r="FE91" s="77">
        <f t="shared" si="0"/>
        <v>1</v>
      </c>
    </row>
    <row r="92" spans="1:161" s="24" customFormat="1" ht="21" customHeight="1" x14ac:dyDescent="0.25">
      <c r="A92" s="78" t="s">
        <v>31</v>
      </c>
      <c r="B92" s="79">
        <f>SUM(B50:B82)</f>
        <v>14</v>
      </c>
      <c r="C92" s="79">
        <f>SUM(C50:C86)</f>
        <v>16</v>
      </c>
      <c r="D92" s="79">
        <f>SUM(D50:D82)</f>
        <v>23</v>
      </c>
      <c r="E92" s="79">
        <f>SUM(E50:E82)</f>
        <v>23</v>
      </c>
      <c r="F92" s="79">
        <f>SUM(F50:F86)</f>
        <v>24</v>
      </c>
      <c r="G92" s="79">
        <f>SUM(G50:G86)</f>
        <v>28</v>
      </c>
      <c r="H92" s="79">
        <f>SUM(H50:H82)</f>
        <v>15</v>
      </c>
      <c r="I92" s="79">
        <f>SUM(I50:I82)</f>
        <v>17</v>
      </c>
      <c r="J92" s="79">
        <f>SUM(J50:J82)</f>
        <v>10</v>
      </c>
      <c r="K92" s="79">
        <f>SUM(K50:K84)</f>
        <v>14</v>
      </c>
      <c r="L92" s="79">
        <f>SUM(L50:L86)</f>
        <v>21</v>
      </c>
      <c r="M92" s="79">
        <f>SUM(M50:M86)</f>
        <v>19</v>
      </c>
      <c r="N92" s="79">
        <f>SUM(N50:N84)</f>
        <v>28</v>
      </c>
      <c r="O92" s="79">
        <f>SUM(O50:O86)</f>
        <v>19</v>
      </c>
      <c r="P92" s="79">
        <f>SUM(P50:P84)</f>
        <v>21</v>
      </c>
      <c r="Q92" s="79">
        <f>SUM(Q50:Q86)</f>
        <v>18</v>
      </c>
      <c r="R92" s="79">
        <f>SUM(R50:R86)</f>
        <v>12</v>
      </c>
      <c r="S92" s="79">
        <f>SUM(S50:S86)</f>
        <v>21</v>
      </c>
      <c r="T92" s="79">
        <f>SUM(T50:T86)</f>
        <v>18</v>
      </c>
      <c r="U92" s="79">
        <f t="shared" ref="U92:AV92" si="1">SUM(U50:U90)</f>
        <v>16</v>
      </c>
      <c r="V92" s="79">
        <f t="shared" si="1"/>
        <v>11</v>
      </c>
      <c r="W92" s="79">
        <f t="shared" si="1"/>
        <v>9</v>
      </c>
      <c r="X92" s="79">
        <f t="shared" si="1"/>
        <v>17</v>
      </c>
      <c r="Y92" s="79">
        <f t="shared" si="1"/>
        <v>12</v>
      </c>
      <c r="Z92" s="79">
        <f t="shared" si="1"/>
        <v>10</v>
      </c>
      <c r="AA92" s="79">
        <f t="shared" si="1"/>
        <v>9</v>
      </c>
      <c r="AB92" s="79">
        <f t="shared" si="1"/>
        <v>19</v>
      </c>
      <c r="AC92" s="79">
        <f t="shared" si="1"/>
        <v>16</v>
      </c>
      <c r="AD92" s="79">
        <f t="shared" si="1"/>
        <v>11</v>
      </c>
      <c r="AE92" s="79">
        <f t="shared" si="1"/>
        <v>14</v>
      </c>
      <c r="AF92" s="79">
        <f t="shared" si="1"/>
        <v>4</v>
      </c>
      <c r="AG92" s="79">
        <f t="shared" si="1"/>
        <v>17</v>
      </c>
      <c r="AH92" s="79">
        <f t="shared" si="1"/>
        <v>12</v>
      </c>
      <c r="AI92" s="79">
        <f t="shared" si="1"/>
        <v>12</v>
      </c>
      <c r="AJ92" s="79">
        <f t="shared" si="1"/>
        <v>11</v>
      </c>
      <c r="AK92" s="79">
        <f t="shared" si="1"/>
        <v>12</v>
      </c>
      <c r="AL92" s="79">
        <f t="shared" si="1"/>
        <v>11</v>
      </c>
      <c r="AM92" s="79">
        <f t="shared" si="1"/>
        <v>8</v>
      </c>
      <c r="AN92" s="79">
        <f t="shared" si="1"/>
        <v>6</v>
      </c>
      <c r="AO92" s="79">
        <f t="shared" si="1"/>
        <v>8</v>
      </c>
      <c r="AP92" s="79">
        <f t="shared" si="1"/>
        <v>22</v>
      </c>
      <c r="AQ92" s="79">
        <f t="shared" si="1"/>
        <v>7</v>
      </c>
      <c r="AR92" s="79">
        <f t="shared" si="1"/>
        <v>16</v>
      </c>
      <c r="AS92" s="79">
        <f t="shared" si="1"/>
        <v>14</v>
      </c>
      <c r="AT92" s="79">
        <f t="shared" si="1"/>
        <v>21</v>
      </c>
      <c r="AU92" s="79">
        <f t="shared" si="1"/>
        <v>16</v>
      </c>
      <c r="AV92" s="79">
        <f t="shared" si="1"/>
        <v>18</v>
      </c>
      <c r="AW92" s="79">
        <f t="shared" ref="AW92:CB92" si="2">SUM(AW50:AW91)</f>
        <v>9</v>
      </c>
      <c r="AX92" s="79">
        <f t="shared" si="2"/>
        <v>11</v>
      </c>
      <c r="AY92" s="79">
        <f t="shared" si="2"/>
        <v>7</v>
      </c>
      <c r="AZ92" s="79">
        <f t="shared" si="2"/>
        <v>18</v>
      </c>
      <c r="BA92" s="79">
        <f t="shared" si="2"/>
        <v>8</v>
      </c>
      <c r="BB92" s="79">
        <f t="shared" si="2"/>
        <v>12</v>
      </c>
      <c r="BC92" s="79">
        <f t="shared" si="2"/>
        <v>10</v>
      </c>
      <c r="BD92" s="79">
        <f t="shared" si="2"/>
        <v>12</v>
      </c>
      <c r="BE92" s="79">
        <f t="shared" si="2"/>
        <v>10</v>
      </c>
      <c r="BF92" s="79">
        <f t="shared" si="2"/>
        <v>20</v>
      </c>
      <c r="BG92" s="79">
        <f t="shared" si="2"/>
        <v>11</v>
      </c>
      <c r="BH92" s="79">
        <f t="shared" si="2"/>
        <v>19</v>
      </c>
      <c r="BI92" s="79">
        <f t="shared" si="2"/>
        <v>13</v>
      </c>
      <c r="BJ92" s="79">
        <f t="shared" si="2"/>
        <v>4</v>
      </c>
      <c r="BK92" s="79">
        <f t="shared" si="2"/>
        <v>10</v>
      </c>
      <c r="BL92" s="79">
        <f t="shared" si="2"/>
        <v>14</v>
      </c>
      <c r="BM92" s="79">
        <f t="shared" si="2"/>
        <v>19</v>
      </c>
      <c r="BN92" s="79">
        <f t="shared" si="2"/>
        <v>13</v>
      </c>
      <c r="BO92" s="79">
        <f t="shared" si="2"/>
        <v>0</v>
      </c>
      <c r="BP92" s="79">
        <f t="shared" si="2"/>
        <v>12</v>
      </c>
      <c r="BQ92" s="79">
        <f t="shared" si="2"/>
        <v>7</v>
      </c>
      <c r="BR92" s="79">
        <f t="shared" si="2"/>
        <v>6</v>
      </c>
      <c r="BS92" s="79">
        <f t="shared" si="2"/>
        <v>11</v>
      </c>
      <c r="BT92" s="79">
        <f t="shared" si="2"/>
        <v>6</v>
      </c>
      <c r="BU92" s="79">
        <f t="shared" si="2"/>
        <v>6</v>
      </c>
      <c r="BV92" s="79">
        <f t="shared" si="2"/>
        <v>0</v>
      </c>
      <c r="BW92" s="79">
        <f t="shared" si="2"/>
        <v>5</v>
      </c>
      <c r="BX92" s="79">
        <f t="shared" si="2"/>
        <v>9</v>
      </c>
      <c r="BY92" s="79">
        <f t="shared" si="2"/>
        <v>8</v>
      </c>
      <c r="BZ92" s="79">
        <f t="shared" si="2"/>
        <v>14</v>
      </c>
      <c r="CA92" s="79">
        <f t="shared" si="2"/>
        <v>6</v>
      </c>
      <c r="CB92" s="79">
        <f t="shared" si="2"/>
        <v>8</v>
      </c>
      <c r="CC92" s="79">
        <f t="shared" ref="CC92:CX92" si="3">SUM(CC50:CC91)</f>
        <v>5</v>
      </c>
      <c r="CD92" s="79">
        <f t="shared" si="3"/>
        <v>6</v>
      </c>
      <c r="CE92" s="79">
        <f t="shared" si="3"/>
        <v>18</v>
      </c>
      <c r="CF92" s="79">
        <f t="shared" si="3"/>
        <v>8</v>
      </c>
      <c r="CG92" s="79">
        <f t="shared" si="3"/>
        <v>6</v>
      </c>
      <c r="CH92" s="79">
        <f t="shared" si="3"/>
        <v>7</v>
      </c>
      <c r="CI92" s="79">
        <f t="shared" si="3"/>
        <v>5</v>
      </c>
      <c r="CJ92" s="79">
        <f t="shared" si="3"/>
        <v>1</v>
      </c>
      <c r="CK92" s="79">
        <f t="shared" si="3"/>
        <v>0</v>
      </c>
      <c r="CL92" s="79">
        <f t="shared" si="3"/>
        <v>3</v>
      </c>
      <c r="CM92" s="79">
        <f t="shared" si="3"/>
        <v>2</v>
      </c>
      <c r="CN92" s="79">
        <f t="shared" si="3"/>
        <v>2</v>
      </c>
      <c r="CO92" s="79">
        <f t="shared" si="3"/>
        <v>2</v>
      </c>
      <c r="CP92" s="79">
        <f t="shared" si="3"/>
        <v>2</v>
      </c>
      <c r="CQ92" s="79">
        <f t="shared" si="3"/>
        <v>4</v>
      </c>
      <c r="CR92" s="79">
        <f t="shared" si="3"/>
        <v>0</v>
      </c>
      <c r="CS92" s="79">
        <f t="shared" si="3"/>
        <v>2</v>
      </c>
      <c r="CT92" s="79">
        <f t="shared" si="3"/>
        <v>3</v>
      </c>
      <c r="CU92" s="79">
        <f t="shared" si="3"/>
        <v>1</v>
      </c>
      <c r="CV92" s="79">
        <f t="shared" si="3"/>
        <v>15</v>
      </c>
      <c r="CW92" s="79">
        <f t="shared" si="3"/>
        <v>36</v>
      </c>
      <c r="CX92" s="79">
        <f t="shared" si="3"/>
        <v>13</v>
      </c>
      <c r="CY92" s="79">
        <f t="shared" ref="CY92:DK92" si="4">SUM(CY50:CY91)</f>
        <v>13</v>
      </c>
      <c r="CZ92" s="79">
        <f t="shared" si="4"/>
        <v>7</v>
      </c>
      <c r="DA92" s="79">
        <f t="shared" si="4"/>
        <v>6</v>
      </c>
      <c r="DB92" s="79">
        <f t="shared" si="4"/>
        <v>3</v>
      </c>
      <c r="DC92" s="79">
        <f t="shared" si="4"/>
        <v>7</v>
      </c>
      <c r="DD92" s="79">
        <f t="shared" si="4"/>
        <v>10</v>
      </c>
      <c r="DE92" s="79">
        <f t="shared" si="4"/>
        <v>10</v>
      </c>
      <c r="DF92" s="79">
        <f t="shared" si="4"/>
        <v>3</v>
      </c>
      <c r="DG92" s="79">
        <f t="shared" si="4"/>
        <v>6</v>
      </c>
      <c r="DH92" s="79">
        <f t="shared" si="4"/>
        <v>13</v>
      </c>
      <c r="DI92" s="79">
        <f t="shared" si="4"/>
        <v>10</v>
      </c>
      <c r="DJ92" s="79">
        <f t="shared" si="4"/>
        <v>5</v>
      </c>
      <c r="DK92" s="79">
        <f t="shared" si="4"/>
        <v>9</v>
      </c>
      <c r="DL92" s="79">
        <f t="shared" ref="DL92:DX92" si="5">SUM(DL50:DL91)</f>
        <v>8</v>
      </c>
      <c r="DM92" s="79">
        <f t="shared" si="5"/>
        <v>5</v>
      </c>
      <c r="DN92" s="79">
        <f t="shared" si="5"/>
        <v>4</v>
      </c>
      <c r="DO92" s="79">
        <f t="shared" si="5"/>
        <v>9</v>
      </c>
      <c r="DP92" s="79">
        <f t="shared" si="5"/>
        <v>4</v>
      </c>
      <c r="DQ92" s="79">
        <f t="shared" si="5"/>
        <v>3</v>
      </c>
      <c r="DR92" s="79">
        <f t="shared" si="5"/>
        <v>8</v>
      </c>
      <c r="DS92" s="79">
        <f t="shared" si="5"/>
        <v>1</v>
      </c>
      <c r="DT92" s="79">
        <f t="shared" si="5"/>
        <v>9</v>
      </c>
      <c r="DU92" s="79">
        <f t="shared" si="5"/>
        <v>10</v>
      </c>
      <c r="DV92" s="79">
        <f t="shared" si="5"/>
        <v>2</v>
      </c>
      <c r="DW92" s="79">
        <f t="shared" si="5"/>
        <v>4</v>
      </c>
      <c r="DX92" s="79">
        <f t="shared" si="5"/>
        <v>5</v>
      </c>
      <c r="DY92" s="79">
        <f t="shared" ref="DY92:EK92" si="6">SUM(DY50:DY91)</f>
        <v>7</v>
      </c>
      <c r="DZ92" s="79">
        <f t="shared" si="6"/>
        <v>7</v>
      </c>
      <c r="EA92" s="79">
        <f t="shared" si="6"/>
        <v>9</v>
      </c>
      <c r="EB92" s="79">
        <f t="shared" si="6"/>
        <v>7</v>
      </c>
      <c r="EC92" s="79">
        <f t="shared" si="6"/>
        <v>3</v>
      </c>
      <c r="ED92" s="79">
        <f t="shared" si="6"/>
        <v>5</v>
      </c>
      <c r="EE92" s="79">
        <f t="shared" si="6"/>
        <v>4</v>
      </c>
      <c r="EF92" s="79">
        <f t="shared" si="6"/>
        <v>7</v>
      </c>
      <c r="EG92" s="79">
        <f t="shared" si="6"/>
        <v>4</v>
      </c>
      <c r="EH92" s="79">
        <f t="shared" si="6"/>
        <v>3</v>
      </c>
      <c r="EI92" s="79">
        <f t="shared" si="6"/>
        <v>7</v>
      </c>
      <c r="EJ92" s="79">
        <f t="shared" si="6"/>
        <v>9</v>
      </c>
      <c r="EK92" s="79">
        <f t="shared" si="6"/>
        <v>12</v>
      </c>
      <c r="EL92" s="79">
        <f t="shared" ref="EL92:FE92" si="7">SUM(EL50:EL91)</f>
        <v>8</v>
      </c>
      <c r="EM92" s="79">
        <f t="shared" si="7"/>
        <v>7</v>
      </c>
      <c r="EN92" s="79">
        <f t="shared" si="7"/>
        <v>3</v>
      </c>
      <c r="EO92" s="79">
        <f t="shared" si="7"/>
        <v>4</v>
      </c>
      <c r="EP92" s="79">
        <f t="shared" si="7"/>
        <v>4</v>
      </c>
      <c r="EQ92" s="79">
        <f t="shared" si="7"/>
        <v>6</v>
      </c>
      <c r="ER92" s="79">
        <f t="shared" si="7"/>
        <v>5</v>
      </c>
      <c r="ES92" s="79">
        <f t="shared" si="7"/>
        <v>3</v>
      </c>
      <c r="ET92" s="79">
        <f t="shared" si="7"/>
        <v>4</v>
      </c>
      <c r="EU92" s="79">
        <f t="shared" si="7"/>
        <v>7</v>
      </c>
      <c r="EV92" s="79">
        <f t="shared" si="7"/>
        <v>12</v>
      </c>
      <c r="EW92" s="79">
        <f t="shared" si="7"/>
        <v>16</v>
      </c>
      <c r="EX92" s="79">
        <f t="shared" si="7"/>
        <v>8</v>
      </c>
      <c r="EY92" s="79">
        <f>SUM(EY50:EY91)</f>
        <v>5</v>
      </c>
      <c r="EZ92" s="79">
        <f>SUM(EZ50:EZ91)</f>
        <v>8</v>
      </c>
      <c r="FA92" s="79">
        <f>SUM(FA50:FA91)</f>
        <v>15</v>
      </c>
      <c r="FB92" s="79">
        <f>SUM(FB50:FB91)</f>
        <v>2</v>
      </c>
      <c r="FC92" s="79">
        <f>SUM(FC50:FC91)</f>
        <v>7</v>
      </c>
      <c r="FD92" s="79">
        <f>SUM(FD50:FD91)</f>
        <v>7</v>
      </c>
      <c r="FE92" s="79">
        <f t="shared" si="7"/>
        <v>1568</v>
      </c>
    </row>
    <row r="93" spans="1:161" ht="21" customHeight="1" x14ac:dyDescent="0.2"/>
    <row r="94" spans="1:161" ht="21" customHeight="1" x14ac:dyDescent="0.2"/>
    <row r="95" spans="1:161" ht="21" customHeight="1" x14ac:dyDescent="0.2"/>
    <row r="96" spans="1:161" ht="21" customHeight="1" x14ac:dyDescent="0.2"/>
  </sheetData>
  <autoFilter ref="A49:FE92" xr:uid="{00000000-0009-0000-0000-000004000000}"/>
  <phoneticPr fontId="0" type="noConversion"/>
  <pageMargins left="0.23622047244094491" right="3.937007874015748E-2" top="0.15748031496062992" bottom="0.15748031496062992" header="0.31496062992125984" footer="0.31496062992125984"/>
  <pageSetup paperSize="5" scale="66" orientation="landscape" r:id="rId1"/>
  <headerFooter alignWithMargins="0"/>
  <rowBreaks count="1" manualBreakCount="1">
    <brk id="96" max="16383" man="1"/>
  </rowBreaks>
  <colBreaks count="1" manualBreakCount="1">
    <brk id="182" max="1048575" man="1"/>
  </col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6"/>
  <dimension ref="A1:J121"/>
  <sheetViews>
    <sheetView tabSelected="1" topLeftCell="A31" zoomScaleNormal="100" workbookViewId="0">
      <selection activeCell="F45" sqref="F45"/>
    </sheetView>
  </sheetViews>
  <sheetFormatPr baseColWidth="10" defaultRowHeight="12.75" x14ac:dyDescent="0.2"/>
  <cols>
    <col min="1" max="1" width="39.85546875" customWidth="1"/>
    <col min="2" max="2" width="9.5703125" customWidth="1"/>
    <col min="3" max="3" width="16.85546875" customWidth="1"/>
    <col min="4" max="4" width="12.7109375" bestFit="1" customWidth="1"/>
    <col min="5" max="5" width="11.5703125" bestFit="1" customWidth="1"/>
    <col min="6" max="6" width="40.5703125" bestFit="1" customWidth="1"/>
    <col min="7" max="7" width="16.140625" bestFit="1" customWidth="1"/>
    <col min="8" max="8" width="12.140625" bestFit="1" customWidth="1"/>
    <col min="9" max="9" width="13.7109375" bestFit="1" customWidth="1"/>
    <col min="18" max="18" width="12" customWidth="1"/>
  </cols>
  <sheetData>
    <row r="1" spans="1:10" x14ac:dyDescent="0.2">
      <c r="A1" s="164" t="s">
        <v>58</v>
      </c>
      <c r="B1" s="164"/>
      <c r="C1" s="164"/>
      <c r="F1" s="164" t="s">
        <v>61</v>
      </c>
      <c r="G1" s="164"/>
      <c r="H1" s="164"/>
    </row>
    <row r="2" spans="1:10" x14ac:dyDescent="0.2">
      <c r="A2" s="8" t="s">
        <v>1</v>
      </c>
      <c r="B2" s="22">
        <v>378</v>
      </c>
      <c r="C2" s="14">
        <f>B2*8*C3</f>
        <v>60480</v>
      </c>
      <c r="D2" s="47"/>
      <c r="F2" s="8" t="s">
        <v>1</v>
      </c>
      <c r="G2" s="4">
        <v>41</v>
      </c>
      <c r="H2" s="14">
        <f>+G2*8*H3</f>
        <v>6560</v>
      </c>
      <c r="I2" s="11"/>
    </row>
    <row r="3" spans="1:10" x14ac:dyDescent="0.2">
      <c r="A3" s="8" t="s">
        <v>2</v>
      </c>
      <c r="B3" s="8"/>
      <c r="C3" s="3">
        <v>20</v>
      </c>
      <c r="D3" s="13"/>
      <c r="F3" s="8" t="s">
        <v>2</v>
      </c>
      <c r="G3" s="4"/>
      <c r="H3" s="3">
        <v>20</v>
      </c>
      <c r="I3" s="11"/>
    </row>
    <row r="4" spans="1:10" x14ac:dyDescent="0.2">
      <c r="A4" s="8"/>
      <c r="B4" s="22"/>
      <c r="C4" s="3"/>
      <c r="D4" s="13"/>
      <c r="F4" s="8"/>
      <c r="G4" s="4"/>
      <c r="H4" s="3"/>
    </row>
    <row r="5" spans="1:10" x14ac:dyDescent="0.2">
      <c r="A5" s="8"/>
      <c r="B5" s="8"/>
      <c r="C5" s="3"/>
      <c r="D5" s="13"/>
      <c r="F5" s="8"/>
      <c r="G5" s="4"/>
      <c r="H5" s="3"/>
    </row>
    <row r="6" spans="1:10" x14ac:dyDescent="0.2">
      <c r="A6" s="80" t="s">
        <v>3</v>
      </c>
      <c r="B6" s="80"/>
      <c r="C6" s="119">
        <f>+C2-C17-C18</f>
        <v>45035.5</v>
      </c>
      <c r="D6" s="68"/>
      <c r="E6" s="13"/>
      <c r="F6" s="80" t="s">
        <v>59</v>
      </c>
      <c r="G6" s="85"/>
      <c r="H6" s="129">
        <f>(+H2-H18-H17)</f>
        <v>5679</v>
      </c>
      <c r="I6" s="13"/>
    </row>
    <row r="7" spans="1:10" x14ac:dyDescent="0.2">
      <c r="A7" s="8"/>
      <c r="B7" s="8"/>
      <c r="C7" s="3"/>
      <c r="D7" s="13"/>
      <c r="F7" s="8"/>
      <c r="G7" s="4"/>
      <c r="H7" s="3"/>
      <c r="I7" s="13"/>
      <c r="J7" s="12"/>
    </row>
    <row r="8" spans="1:10" x14ac:dyDescent="0.2">
      <c r="A8" s="16" t="s">
        <v>56</v>
      </c>
      <c r="B8" s="16"/>
      <c r="C8" s="3">
        <f>+C6/C2</f>
        <v>0.74463458994708998</v>
      </c>
      <c r="D8" s="13"/>
      <c r="F8" s="16" t="s">
        <v>56</v>
      </c>
      <c r="G8" s="4"/>
      <c r="H8" s="3">
        <f>+H6/H2</f>
        <v>0.86570121951219514</v>
      </c>
    </row>
    <row r="9" spans="1:10" x14ac:dyDescent="0.2">
      <c r="A9" s="16" t="s">
        <v>57</v>
      </c>
      <c r="B9" s="16"/>
      <c r="C9" s="3">
        <f>1-C8</f>
        <v>0.25536541005291002</v>
      </c>
      <c r="D9" s="13"/>
      <c r="F9" s="16" t="s">
        <v>57</v>
      </c>
      <c r="G9" s="4"/>
      <c r="H9" s="3">
        <f>1-H8</f>
        <v>0.13429878048780486</v>
      </c>
    </row>
    <row r="10" spans="1:10" x14ac:dyDescent="0.2">
      <c r="A10" s="8"/>
      <c r="B10" s="8"/>
      <c r="C10" s="3"/>
      <c r="D10" s="13"/>
      <c r="E10" s="13"/>
      <c r="F10" s="8"/>
      <c r="G10" s="4"/>
      <c r="H10" s="3"/>
    </row>
    <row r="11" spans="1:10" x14ac:dyDescent="0.2">
      <c r="A11" s="56" t="s">
        <v>4</v>
      </c>
      <c r="B11" s="8"/>
      <c r="C11" s="108">
        <v>2005</v>
      </c>
      <c r="D11" s="51"/>
      <c r="E11" s="13"/>
      <c r="F11" s="56" t="s">
        <v>4</v>
      </c>
      <c r="G11" s="4"/>
      <c r="H11" s="60">
        <v>90</v>
      </c>
      <c r="I11" s="50"/>
      <c r="J11" s="10"/>
    </row>
    <row r="12" spans="1:10" x14ac:dyDescent="0.2">
      <c r="A12" s="56" t="s">
        <v>5</v>
      </c>
      <c r="B12" s="8"/>
      <c r="C12" s="108">
        <v>880</v>
      </c>
      <c r="D12" s="50"/>
      <c r="E12" s="13"/>
      <c r="F12" s="56" t="s">
        <v>5</v>
      </c>
      <c r="G12" s="4"/>
      <c r="H12" s="60">
        <v>0</v>
      </c>
    </row>
    <row r="13" spans="1:10" x14ac:dyDescent="0.2">
      <c r="A13" s="56" t="s">
        <v>6</v>
      </c>
      <c r="B13" s="8"/>
      <c r="C13" s="109">
        <v>2477</v>
      </c>
      <c r="D13" s="51"/>
      <c r="F13" s="56" t="s">
        <v>6</v>
      </c>
      <c r="G13" s="4"/>
      <c r="H13" s="60">
        <v>209</v>
      </c>
      <c r="I13" s="50"/>
    </row>
    <row r="14" spans="1:10" x14ac:dyDescent="0.2">
      <c r="A14" s="56" t="s">
        <v>51</v>
      </c>
      <c r="B14" s="8"/>
      <c r="C14" s="109">
        <v>4396</v>
      </c>
      <c r="D14" s="125"/>
      <c r="E14" s="13"/>
      <c r="F14" s="56" t="s">
        <v>52</v>
      </c>
      <c r="G14" s="4"/>
      <c r="H14" s="60">
        <v>2</v>
      </c>
      <c r="I14" s="50"/>
    </row>
    <row r="15" spans="1:10" x14ac:dyDescent="0.2">
      <c r="A15" s="56" t="s">
        <v>7</v>
      </c>
      <c r="B15" s="8"/>
      <c r="C15" s="109">
        <v>5328</v>
      </c>
      <c r="D15" s="125"/>
      <c r="E15" s="13"/>
      <c r="F15" s="56" t="s">
        <v>7</v>
      </c>
      <c r="G15" s="4"/>
      <c r="H15" s="60">
        <v>520</v>
      </c>
      <c r="I15" s="51"/>
    </row>
    <row r="16" spans="1:10" x14ac:dyDescent="0.2">
      <c r="A16" s="56" t="s">
        <v>25</v>
      </c>
      <c r="B16" s="8"/>
      <c r="C16" s="109">
        <v>16</v>
      </c>
      <c r="D16" s="125"/>
      <c r="F16" s="56" t="s">
        <v>25</v>
      </c>
      <c r="G16" s="4"/>
      <c r="H16" s="60">
        <v>0</v>
      </c>
      <c r="I16" s="50"/>
    </row>
    <row r="17" spans="1:9" x14ac:dyDescent="0.2">
      <c r="A17" s="81" t="s">
        <v>74</v>
      </c>
      <c r="B17" s="81"/>
      <c r="C17" s="110">
        <v>342.5</v>
      </c>
      <c r="D17" s="125"/>
      <c r="F17" s="81" t="s">
        <v>74</v>
      </c>
      <c r="G17" s="85"/>
      <c r="H17" s="110">
        <v>60</v>
      </c>
      <c r="I17" s="50"/>
    </row>
    <row r="18" spans="1:9" x14ac:dyDescent="0.2">
      <c r="A18" s="81" t="s">
        <v>73</v>
      </c>
      <c r="B18" s="81"/>
      <c r="C18" s="110">
        <f>SUM(C11:C16)</f>
        <v>15102</v>
      </c>
      <c r="D18" s="50"/>
      <c r="F18" s="81" t="s">
        <v>73</v>
      </c>
      <c r="G18" s="85"/>
      <c r="H18" s="82">
        <f>SUM(H11:H16)</f>
        <v>821</v>
      </c>
    </row>
    <row r="19" spans="1:9" x14ac:dyDescent="0.2">
      <c r="C19" s="65"/>
      <c r="D19" s="50"/>
    </row>
    <row r="20" spans="1:9" x14ac:dyDescent="0.2">
      <c r="C20" s="51"/>
      <c r="D20" s="13"/>
      <c r="E20" s="13"/>
      <c r="H20" s="13"/>
    </row>
    <row r="21" spans="1:9" x14ac:dyDescent="0.2">
      <c r="C21" s="13"/>
      <c r="D21" s="13"/>
      <c r="G21" s="10"/>
      <c r="H21" s="13"/>
    </row>
    <row r="22" spans="1:9" x14ac:dyDescent="0.2">
      <c r="C22" s="51"/>
      <c r="D22" s="13"/>
      <c r="F22" s="13"/>
      <c r="G22" s="13"/>
      <c r="H22" s="13"/>
    </row>
    <row r="23" spans="1:9" x14ac:dyDescent="0.2">
      <c r="E23" s="13"/>
      <c r="F23" s="13"/>
      <c r="H23" s="13"/>
    </row>
    <row r="24" spans="1:9" x14ac:dyDescent="0.2">
      <c r="A24" s="164" t="s">
        <v>82</v>
      </c>
      <c r="B24" s="164"/>
      <c r="C24" s="164"/>
      <c r="E24" s="13"/>
      <c r="F24" s="13"/>
      <c r="G24" s="13"/>
    </row>
    <row r="25" spans="1:9" x14ac:dyDescent="0.2">
      <c r="A25" s="83" t="s">
        <v>18</v>
      </c>
      <c r="B25" s="83"/>
      <c r="C25" s="84" t="s">
        <v>19</v>
      </c>
      <c r="H25" s="13"/>
    </row>
    <row r="26" spans="1:9" x14ac:dyDescent="0.2">
      <c r="A26" s="57" t="s">
        <v>3</v>
      </c>
      <c r="B26" s="20"/>
      <c r="C26" s="128">
        <f>+C6+H6</f>
        <v>50714.5</v>
      </c>
      <c r="F26" s="47"/>
    </row>
    <row r="27" spans="1:9" x14ac:dyDescent="0.2">
      <c r="A27" s="58" t="s">
        <v>153</v>
      </c>
      <c r="B27" s="20"/>
      <c r="C27" s="127">
        <v>2536</v>
      </c>
      <c r="D27" s="47"/>
      <c r="E27" s="13"/>
      <c r="F27" s="13"/>
    </row>
    <row r="28" spans="1:9" x14ac:dyDescent="0.2">
      <c r="A28" s="58" t="s">
        <v>187</v>
      </c>
      <c r="B28" s="20"/>
      <c r="C28" s="127">
        <v>1228</v>
      </c>
      <c r="D28" s="47"/>
      <c r="E28" s="13"/>
      <c r="F28" s="13"/>
      <c r="G28" s="13"/>
    </row>
    <row r="29" spans="1:9" x14ac:dyDescent="0.2">
      <c r="A29" s="58" t="s">
        <v>154</v>
      </c>
      <c r="B29" s="20"/>
      <c r="C29" s="127">
        <v>3</v>
      </c>
      <c r="D29" s="10"/>
      <c r="E29" s="13"/>
      <c r="F29" s="47"/>
    </row>
    <row r="30" spans="1:9" x14ac:dyDescent="0.2">
      <c r="A30" s="58" t="s">
        <v>186</v>
      </c>
      <c r="B30" s="20"/>
      <c r="C30" s="127">
        <v>0</v>
      </c>
      <c r="D30" s="10"/>
      <c r="E30" s="13"/>
      <c r="F30" s="50"/>
    </row>
    <row r="31" spans="1:9" x14ac:dyDescent="0.2">
      <c r="A31" s="58" t="s">
        <v>155</v>
      </c>
      <c r="B31" s="4"/>
      <c r="C31" s="127">
        <v>285</v>
      </c>
      <c r="D31" s="10"/>
      <c r="E31" s="13"/>
    </row>
    <row r="32" spans="1:9" x14ac:dyDescent="0.2">
      <c r="A32" s="58" t="s">
        <v>189</v>
      </c>
      <c r="B32" s="4"/>
      <c r="C32" s="127">
        <v>3451</v>
      </c>
      <c r="D32" s="47"/>
      <c r="E32" s="13"/>
    </row>
    <row r="33" spans="1:6" x14ac:dyDescent="0.2">
      <c r="A33" s="58" t="s">
        <v>156</v>
      </c>
      <c r="B33" s="4"/>
      <c r="C33" s="127">
        <v>0</v>
      </c>
      <c r="D33" s="10"/>
    </row>
    <row r="34" spans="1:6" x14ac:dyDescent="0.2">
      <c r="A34" s="58" t="s">
        <v>188</v>
      </c>
      <c r="B34" s="4"/>
      <c r="C34" s="127">
        <v>0</v>
      </c>
      <c r="D34" s="10"/>
    </row>
    <row r="35" spans="1:6" x14ac:dyDescent="0.2">
      <c r="A35" s="58" t="s">
        <v>17</v>
      </c>
      <c r="B35" s="4"/>
      <c r="C35" s="127">
        <f>+C15+H15</f>
        <v>5848</v>
      </c>
      <c r="D35" s="10"/>
    </row>
    <row r="36" spans="1:6" x14ac:dyDescent="0.2">
      <c r="A36" s="58" t="s">
        <v>22</v>
      </c>
      <c r="B36" s="4"/>
      <c r="C36" s="127">
        <f>+C11+H11</f>
        <v>2095</v>
      </c>
      <c r="D36" s="10">
        <v>67040</v>
      </c>
      <c r="E36" s="156">
        <f>+C36/D36</f>
        <v>3.125E-2</v>
      </c>
    </row>
    <row r="37" spans="1:6" x14ac:dyDescent="0.2">
      <c r="A37" s="58" t="s">
        <v>20</v>
      </c>
      <c r="B37" s="4"/>
      <c r="C37" s="127">
        <f>+C12+H12</f>
        <v>880</v>
      </c>
      <c r="D37" s="10">
        <v>67040</v>
      </c>
      <c r="E37" s="156">
        <f t="shared" ref="E37:E41" si="0">+C37/D37</f>
        <v>1.3126491646778043E-2</v>
      </c>
    </row>
    <row r="38" spans="1:6" x14ac:dyDescent="0.2">
      <c r="A38" s="58" t="s">
        <v>21</v>
      </c>
      <c r="B38" s="4"/>
      <c r="C38" s="127">
        <f>+C14+H14</f>
        <v>4398</v>
      </c>
      <c r="D38" s="10">
        <v>67040</v>
      </c>
      <c r="E38" s="156">
        <f t="shared" si="0"/>
        <v>6.5602625298329359E-2</v>
      </c>
    </row>
    <row r="39" spans="1:6" x14ac:dyDescent="0.2">
      <c r="A39" s="58" t="s">
        <v>23</v>
      </c>
      <c r="B39" s="4"/>
      <c r="C39" s="127">
        <f>+C13+H13</f>
        <v>2686</v>
      </c>
      <c r="D39" s="10">
        <v>67040</v>
      </c>
      <c r="E39" s="156">
        <f t="shared" si="0"/>
        <v>4.0065632458233892E-2</v>
      </c>
    </row>
    <row r="40" spans="1:6" x14ac:dyDescent="0.2">
      <c r="A40" s="58" t="s">
        <v>24</v>
      </c>
      <c r="B40" s="4"/>
      <c r="C40" s="127">
        <f>+C17+H17</f>
        <v>402.5</v>
      </c>
      <c r="D40" s="10">
        <v>67040</v>
      </c>
      <c r="E40" s="156">
        <f t="shared" si="0"/>
        <v>6.0038782816229114E-3</v>
      </c>
      <c r="F40" s="13"/>
    </row>
    <row r="41" spans="1:6" x14ac:dyDescent="0.2">
      <c r="A41" s="58" t="s">
        <v>25</v>
      </c>
      <c r="B41" s="4"/>
      <c r="C41" s="127">
        <f>+C16+H16</f>
        <v>16</v>
      </c>
      <c r="D41" s="10">
        <v>67040</v>
      </c>
      <c r="E41" s="156">
        <f t="shared" si="0"/>
        <v>2.3866348448687351E-4</v>
      </c>
    </row>
    <row r="42" spans="1:6" x14ac:dyDescent="0.2">
      <c r="D42" s="7"/>
      <c r="E42" s="7"/>
    </row>
    <row r="43" spans="1:6" x14ac:dyDescent="0.2">
      <c r="A43" t="s">
        <v>80</v>
      </c>
      <c r="D43" s="7"/>
      <c r="E43" s="7"/>
    </row>
    <row r="44" spans="1:6" x14ac:dyDescent="0.2">
      <c r="D44" s="7"/>
      <c r="E44" s="7"/>
    </row>
    <row r="45" spans="1:6" x14ac:dyDescent="0.2">
      <c r="D45" s="7"/>
      <c r="E45" s="7"/>
    </row>
    <row r="46" spans="1:6" x14ac:dyDescent="0.2">
      <c r="D46" s="7"/>
      <c r="E46" s="7"/>
    </row>
    <row r="47" spans="1:6" x14ac:dyDescent="0.2">
      <c r="D47" s="7"/>
      <c r="E47" s="7"/>
    </row>
    <row r="48" spans="1:6" x14ac:dyDescent="0.2">
      <c r="D48" s="7"/>
      <c r="E48" s="7"/>
    </row>
    <row r="49" spans="4:5" x14ac:dyDescent="0.2">
      <c r="D49" s="7"/>
      <c r="E49" s="7"/>
    </row>
    <row r="50" spans="4:5" x14ac:dyDescent="0.2">
      <c r="D50" s="7"/>
      <c r="E50" s="7"/>
    </row>
    <row r="51" spans="4:5" x14ac:dyDescent="0.2">
      <c r="D51" s="7"/>
      <c r="E51" s="7"/>
    </row>
    <row r="52" spans="4:5" x14ac:dyDescent="0.2">
      <c r="D52" s="7"/>
      <c r="E52" s="7"/>
    </row>
    <row r="53" spans="4:5" x14ac:dyDescent="0.2">
      <c r="D53" s="7"/>
      <c r="E53" s="7"/>
    </row>
    <row r="54" spans="4:5" x14ac:dyDescent="0.2">
      <c r="D54" s="7"/>
      <c r="E54" s="7"/>
    </row>
    <row r="55" spans="4:5" x14ac:dyDescent="0.2">
      <c r="D55" s="7"/>
      <c r="E55" s="7"/>
    </row>
    <row r="56" spans="4:5" x14ac:dyDescent="0.2">
      <c r="D56" s="7"/>
      <c r="E56" s="7"/>
    </row>
    <row r="57" spans="4:5" x14ac:dyDescent="0.2">
      <c r="D57" s="7"/>
      <c r="E57" s="7"/>
    </row>
    <row r="58" spans="4:5" x14ac:dyDescent="0.2">
      <c r="D58" s="7"/>
      <c r="E58" s="7"/>
    </row>
    <row r="59" spans="4:5" x14ac:dyDescent="0.2">
      <c r="D59" s="7"/>
      <c r="E59" s="7"/>
    </row>
    <row r="60" spans="4:5" x14ac:dyDescent="0.2">
      <c r="D60" s="7"/>
      <c r="E60" s="7"/>
    </row>
    <row r="61" spans="4:5" x14ac:dyDescent="0.2">
      <c r="D61" s="7"/>
      <c r="E61" s="7"/>
    </row>
    <row r="62" spans="4:5" x14ac:dyDescent="0.2">
      <c r="D62" s="7"/>
      <c r="E62" s="7"/>
    </row>
    <row r="63" spans="4:5" ht="12.75" customHeight="1" x14ac:dyDescent="0.2">
      <c r="D63" s="7"/>
      <c r="E63" s="7"/>
    </row>
    <row r="64" spans="4:5" x14ac:dyDescent="0.2">
      <c r="D64" s="7"/>
      <c r="E64" s="7"/>
    </row>
    <row r="65" spans="4:5" x14ac:dyDescent="0.2">
      <c r="D65" s="7"/>
      <c r="E65" s="7"/>
    </row>
    <row r="66" spans="4:5" x14ac:dyDescent="0.2">
      <c r="D66" s="7"/>
      <c r="E66" s="7"/>
    </row>
    <row r="67" spans="4:5" x14ac:dyDescent="0.2">
      <c r="D67" s="7"/>
      <c r="E67" s="7"/>
    </row>
    <row r="68" spans="4:5" x14ac:dyDescent="0.2">
      <c r="D68" s="7"/>
      <c r="E68" s="7"/>
    </row>
    <row r="69" spans="4:5" x14ac:dyDescent="0.2">
      <c r="D69" s="7"/>
      <c r="E69" s="7"/>
    </row>
    <row r="70" spans="4:5" x14ac:dyDescent="0.2">
      <c r="D70" s="7"/>
      <c r="E70" s="7"/>
    </row>
    <row r="71" spans="4:5" ht="13.5" customHeight="1" x14ac:dyDescent="0.2">
      <c r="D71" s="7"/>
      <c r="E71" s="7"/>
    </row>
    <row r="72" spans="4:5" ht="13.5" customHeight="1" x14ac:dyDescent="0.2">
      <c r="D72" s="7"/>
      <c r="E72" s="7"/>
    </row>
    <row r="73" spans="4:5" ht="13.5" customHeight="1" x14ac:dyDescent="0.2">
      <c r="D73" s="7"/>
      <c r="E73" s="7"/>
    </row>
    <row r="74" spans="4:5" ht="13.5" customHeight="1" x14ac:dyDescent="0.2">
      <c r="D74" s="7"/>
      <c r="E74" s="7"/>
    </row>
    <row r="75" spans="4:5" ht="13.5" customHeight="1" x14ac:dyDescent="0.2">
      <c r="D75" s="7"/>
      <c r="E75" s="7"/>
    </row>
    <row r="76" spans="4:5" ht="13.5" customHeight="1" x14ac:dyDescent="0.2">
      <c r="D76" s="7"/>
      <c r="E76" s="7"/>
    </row>
    <row r="77" spans="4:5" ht="13.5" customHeight="1" x14ac:dyDescent="0.2">
      <c r="D77" s="7"/>
      <c r="E77" s="7"/>
    </row>
    <row r="78" spans="4:5" ht="13.5" customHeight="1" x14ac:dyDescent="0.2">
      <c r="D78" s="7"/>
      <c r="E78" s="7"/>
    </row>
    <row r="79" spans="4:5" ht="13.5" customHeight="1" x14ac:dyDescent="0.2">
      <c r="D79" s="7"/>
      <c r="E79" s="7"/>
    </row>
    <row r="80" spans="4:5" ht="13.5" customHeight="1" x14ac:dyDescent="0.2">
      <c r="D80" s="7"/>
      <c r="E80" s="7"/>
    </row>
    <row r="81" spans="4:5" x14ac:dyDescent="0.2">
      <c r="D81" s="7"/>
      <c r="E81" s="7"/>
    </row>
    <row r="82" spans="4:5" x14ac:dyDescent="0.2">
      <c r="D82" s="7"/>
      <c r="E82" s="7"/>
    </row>
    <row r="83" spans="4:5" x14ac:dyDescent="0.2">
      <c r="D83" s="7"/>
      <c r="E83" s="7"/>
    </row>
    <row r="84" spans="4:5" x14ac:dyDescent="0.2">
      <c r="D84" s="7"/>
      <c r="E84" s="7"/>
    </row>
    <row r="85" spans="4:5" x14ac:dyDescent="0.2">
      <c r="D85" s="7"/>
      <c r="E85" s="7"/>
    </row>
    <row r="86" spans="4:5" x14ac:dyDescent="0.2">
      <c r="D86" s="7"/>
      <c r="E86" s="7"/>
    </row>
    <row r="87" spans="4:5" x14ac:dyDescent="0.2">
      <c r="D87" s="7"/>
      <c r="E87" s="7"/>
    </row>
    <row r="88" spans="4:5" x14ac:dyDescent="0.2">
      <c r="D88" s="7"/>
      <c r="E88" s="7"/>
    </row>
    <row r="89" spans="4:5" x14ac:dyDescent="0.2">
      <c r="D89" s="7"/>
      <c r="E89" s="7"/>
    </row>
    <row r="90" spans="4:5" x14ac:dyDescent="0.2">
      <c r="D90" s="7"/>
      <c r="E90" s="7"/>
    </row>
    <row r="91" spans="4:5" x14ac:dyDescent="0.2">
      <c r="D91" s="7"/>
      <c r="E91" s="7"/>
    </row>
    <row r="92" spans="4:5" x14ac:dyDescent="0.2">
      <c r="D92" s="7"/>
      <c r="E92" s="7"/>
    </row>
    <row r="93" spans="4:5" x14ac:dyDescent="0.2">
      <c r="D93" s="7"/>
      <c r="E93" s="7"/>
    </row>
    <row r="94" spans="4:5" x14ac:dyDescent="0.2">
      <c r="D94" s="7"/>
      <c r="E94" s="7"/>
    </row>
    <row r="95" spans="4:5" x14ac:dyDescent="0.2">
      <c r="D95" s="7"/>
      <c r="E95" s="7"/>
    </row>
    <row r="96" spans="4:5" x14ac:dyDescent="0.2">
      <c r="D96" s="7"/>
      <c r="E96" s="7"/>
    </row>
    <row r="97" spans="4:5" x14ac:dyDescent="0.2">
      <c r="D97" s="7"/>
      <c r="E97" s="7"/>
    </row>
    <row r="98" spans="4:5" x14ac:dyDescent="0.2">
      <c r="D98" s="7"/>
      <c r="E98" s="7"/>
    </row>
    <row r="99" spans="4:5" x14ac:dyDescent="0.2">
      <c r="D99" s="7"/>
      <c r="E99" s="7"/>
    </row>
    <row r="100" spans="4:5" x14ac:dyDescent="0.2">
      <c r="D100" s="7"/>
      <c r="E100" s="7"/>
    </row>
    <row r="101" spans="4:5" x14ac:dyDescent="0.2">
      <c r="D101" s="7"/>
      <c r="E101" s="7"/>
    </row>
    <row r="102" spans="4:5" x14ac:dyDescent="0.2">
      <c r="D102" s="7"/>
      <c r="E102" s="7"/>
    </row>
    <row r="103" spans="4:5" x14ac:dyDescent="0.2">
      <c r="D103" s="7"/>
      <c r="E103" s="7"/>
    </row>
    <row r="104" spans="4:5" x14ac:dyDescent="0.2">
      <c r="D104" s="7"/>
      <c r="E104" s="7"/>
    </row>
    <row r="105" spans="4:5" x14ac:dyDescent="0.2">
      <c r="D105" s="7"/>
      <c r="E105" s="7"/>
    </row>
    <row r="106" spans="4:5" x14ac:dyDescent="0.2">
      <c r="D106" s="7"/>
      <c r="E106" s="7"/>
    </row>
    <row r="107" spans="4:5" x14ac:dyDescent="0.2">
      <c r="D107" s="7"/>
      <c r="E107" s="7"/>
    </row>
    <row r="108" spans="4:5" x14ac:dyDescent="0.2">
      <c r="D108" s="7"/>
      <c r="E108" s="7"/>
    </row>
    <row r="109" spans="4:5" x14ac:dyDescent="0.2">
      <c r="D109" s="7"/>
      <c r="E109" s="7"/>
    </row>
    <row r="110" spans="4:5" x14ac:dyDescent="0.2">
      <c r="D110" s="7"/>
      <c r="E110" s="7"/>
    </row>
    <row r="111" spans="4:5" x14ac:dyDescent="0.2">
      <c r="D111" s="7"/>
      <c r="E111" s="7"/>
    </row>
    <row r="112" spans="4:5" x14ac:dyDescent="0.2">
      <c r="D112" s="7"/>
      <c r="E112" s="7"/>
    </row>
    <row r="113" spans="3:5" x14ac:dyDescent="0.2">
      <c r="D113" s="7"/>
      <c r="E113" s="7"/>
    </row>
    <row r="114" spans="3:5" x14ac:dyDescent="0.2">
      <c r="D114" s="7"/>
      <c r="E114" s="7"/>
    </row>
    <row r="115" spans="3:5" x14ac:dyDescent="0.2">
      <c r="D115" s="7"/>
      <c r="E115" s="7"/>
    </row>
    <row r="116" spans="3:5" x14ac:dyDescent="0.2">
      <c r="D116" s="7"/>
      <c r="E116" s="7"/>
    </row>
    <row r="117" spans="3:5" x14ac:dyDescent="0.2">
      <c r="D117" s="7"/>
      <c r="E117" s="7"/>
    </row>
    <row r="118" spans="3:5" x14ac:dyDescent="0.2">
      <c r="D118" s="7"/>
      <c r="E118" s="7"/>
    </row>
    <row r="119" spans="3:5" x14ac:dyDescent="0.2">
      <c r="C119" s="53"/>
    </row>
    <row r="120" spans="3:5" x14ac:dyDescent="0.2">
      <c r="C120" s="53"/>
    </row>
    <row r="121" spans="3:5" x14ac:dyDescent="0.2">
      <c r="C121" s="7"/>
    </row>
  </sheetData>
  <sheetProtection sort="0"/>
  <mergeCells count="3">
    <mergeCell ref="A1:C1"/>
    <mergeCell ref="F1:H1"/>
    <mergeCell ref="A24:C24"/>
  </mergeCells>
  <phoneticPr fontId="0" type="noConversion"/>
  <pageMargins left="0.70866141732283472" right="0.70866141732283472" top="0.74803149606299213" bottom="0.74803149606299213" header="0.31496062992125984" footer="0.31496062992125984"/>
  <pageSetup paperSize="5" orientation="landscape" r:id="rId1"/>
  <ignoredErrors>
    <ignoredError sqref="H18 C18" formulaRange="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7"/>
  <dimension ref="A1:AH14"/>
  <sheetViews>
    <sheetView zoomScale="90" zoomScaleNormal="90" workbookViewId="0">
      <selection activeCell="A13" sqref="A13:XFD13"/>
    </sheetView>
  </sheetViews>
  <sheetFormatPr baseColWidth="10" defaultRowHeight="20.100000000000001" customHeight="1" x14ac:dyDescent="0.2"/>
  <cols>
    <col min="1" max="1" width="22" style="1" bestFit="1" customWidth="1"/>
    <col min="2" max="2" width="24.140625" style="1" bestFit="1" customWidth="1"/>
    <col min="3" max="3" width="15.28515625" style="1" bestFit="1" customWidth="1"/>
    <col min="4" max="4" width="24.7109375" style="1" bestFit="1" customWidth="1"/>
    <col min="5" max="5" width="17.42578125" style="1" bestFit="1" customWidth="1"/>
    <col min="6" max="6" width="21.42578125" style="1" bestFit="1" customWidth="1"/>
    <col min="7" max="7" width="18.140625" style="1" bestFit="1" customWidth="1"/>
    <col min="8" max="8" width="17.140625" style="1" bestFit="1" customWidth="1"/>
    <col min="9" max="9" width="16.42578125" style="1" bestFit="1" customWidth="1"/>
    <col min="10" max="10" width="14.85546875" style="1" bestFit="1" customWidth="1"/>
    <col min="11" max="11" width="19.85546875" style="1" bestFit="1" customWidth="1"/>
    <col min="12" max="12" width="14.85546875" style="1" bestFit="1" customWidth="1"/>
    <col min="13" max="13" width="24" style="1" bestFit="1" customWidth="1"/>
    <col min="14" max="14" width="21.7109375" style="1" bestFit="1" customWidth="1"/>
    <col min="15" max="15" width="17.42578125" style="1" bestFit="1" customWidth="1"/>
    <col min="16" max="16" width="19" style="1" bestFit="1" customWidth="1"/>
    <col min="17" max="17" width="15.5703125" style="1" bestFit="1" customWidth="1"/>
    <col min="18" max="18" width="15" style="1" bestFit="1" customWidth="1"/>
    <col min="19" max="19" width="9.5703125" style="1" bestFit="1" customWidth="1"/>
    <col min="20" max="20" width="19" style="1" bestFit="1" customWidth="1"/>
    <col min="21" max="21" width="24.140625" style="1" bestFit="1" customWidth="1"/>
    <col min="22" max="22" width="18.140625" style="1" bestFit="1" customWidth="1"/>
    <col min="23" max="23" width="17" style="1" bestFit="1" customWidth="1"/>
    <col min="24" max="24" width="18.28515625" style="1" bestFit="1" customWidth="1"/>
    <col min="25" max="25" width="27.5703125" style="1" bestFit="1" customWidth="1"/>
    <col min="26" max="26" width="11.28515625" style="1" bestFit="1" customWidth="1"/>
    <col min="27" max="27" width="20" style="1" bestFit="1" customWidth="1"/>
    <col min="28" max="28" width="24" style="1" bestFit="1" customWidth="1"/>
    <col min="29" max="29" width="22.85546875" style="1" bestFit="1" customWidth="1"/>
    <col min="30" max="30" width="14" style="1" bestFit="1" customWidth="1"/>
    <col min="31" max="31" width="15.85546875" style="1" bestFit="1" customWidth="1"/>
    <col min="32" max="32" width="24" style="1" bestFit="1" customWidth="1"/>
    <col min="33" max="33" width="16.7109375" style="1" bestFit="1" customWidth="1"/>
    <col min="34" max="34" width="14.5703125" style="1" bestFit="1" customWidth="1"/>
    <col min="35" max="16384" width="11.42578125" style="1"/>
  </cols>
  <sheetData>
    <row r="1" spans="1:34" ht="20.100000000000001" customHeight="1" x14ac:dyDescent="0.2">
      <c r="A1" s="154" t="s">
        <v>351</v>
      </c>
      <c r="B1" s="154"/>
      <c r="C1" s="154"/>
      <c r="D1" s="154"/>
      <c r="E1" s="154"/>
      <c r="F1" s="154"/>
      <c r="G1" s="154"/>
      <c r="H1" s="154"/>
      <c r="I1" s="154"/>
      <c r="J1" s="154"/>
      <c r="K1" s="154"/>
      <c r="L1" s="154"/>
      <c r="M1" s="154"/>
      <c r="N1" s="154"/>
      <c r="O1" s="154"/>
      <c r="P1" s="154"/>
      <c r="Q1" s="154"/>
      <c r="R1" s="154"/>
      <c r="S1" s="154"/>
      <c r="T1" s="154"/>
      <c r="U1" s="154"/>
      <c r="V1" s="154"/>
      <c r="W1" s="154"/>
      <c r="X1" s="154"/>
      <c r="Y1" s="154"/>
      <c r="Z1" s="154"/>
      <c r="AA1" s="154"/>
      <c r="AB1" s="154"/>
      <c r="AC1" s="154"/>
      <c r="AD1" s="154"/>
      <c r="AE1" s="154"/>
      <c r="AF1" s="154"/>
      <c r="AG1" s="154"/>
      <c r="AH1" s="154"/>
    </row>
    <row r="3" spans="1:34" ht="20.100000000000001" customHeight="1" x14ac:dyDescent="0.2">
      <c r="A3" s="158" t="s">
        <v>259</v>
      </c>
      <c r="B3" s="159"/>
      <c r="C3" s="159"/>
      <c r="D3" s="159"/>
      <c r="E3" s="159"/>
      <c r="F3" s="159"/>
      <c r="G3" s="159"/>
      <c r="H3" s="159"/>
      <c r="I3" s="159"/>
      <c r="J3" s="159"/>
      <c r="K3" s="159"/>
      <c r="L3" s="159"/>
      <c r="M3" s="159"/>
      <c r="N3" s="159"/>
      <c r="O3" s="159"/>
      <c r="P3" s="159"/>
      <c r="Q3" s="159"/>
      <c r="R3" s="159"/>
      <c r="S3" s="159"/>
      <c r="T3" s="159"/>
      <c r="U3" s="159"/>
      <c r="V3" s="159"/>
      <c r="W3" s="159"/>
      <c r="X3" s="159"/>
      <c r="Y3" s="159"/>
      <c r="Z3" s="159"/>
      <c r="AA3" s="159"/>
      <c r="AB3" s="159"/>
      <c r="AC3" s="159"/>
      <c r="AD3" s="159"/>
      <c r="AE3" s="159"/>
      <c r="AF3" s="159"/>
      <c r="AG3" s="159"/>
      <c r="AH3" s="159"/>
    </row>
    <row r="4" spans="1:34" ht="20.100000000000001" customHeight="1" x14ac:dyDescent="0.2">
      <c r="A4" s="86"/>
      <c r="B4" s="86" t="s">
        <v>453</v>
      </c>
      <c r="C4" s="86" t="s">
        <v>454</v>
      </c>
      <c r="D4" s="86" t="s">
        <v>455</v>
      </c>
      <c r="E4" s="86" t="s">
        <v>456</v>
      </c>
      <c r="F4" s="86" t="s">
        <v>445</v>
      </c>
      <c r="G4" s="86" t="s">
        <v>395</v>
      </c>
      <c r="H4" s="86" t="s">
        <v>396</v>
      </c>
      <c r="I4" s="86" t="s">
        <v>457</v>
      </c>
      <c r="J4" s="86" t="s">
        <v>397</v>
      </c>
      <c r="K4" s="86" t="s">
        <v>398</v>
      </c>
      <c r="L4" s="86" t="s">
        <v>399</v>
      </c>
      <c r="M4" s="86" t="s">
        <v>400</v>
      </c>
      <c r="N4" s="86" t="s">
        <v>401</v>
      </c>
      <c r="O4" s="86" t="s">
        <v>402</v>
      </c>
      <c r="P4" s="86" t="s">
        <v>437</v>
      </c>
      <c r="Q4" s="86" t="s">
        <v>404</v>
      </c>
      <c r="R4" s="86" t="s">
        <v>405</v>
      </c>
      <c r="S4" s="86" t="s">
        <v>407</v>
      </c>
      <c r="T4" s="86" t="s">
        <v>406</v>
      </c>
      <c r="U4" s="86" t="s">
        <v>415</v>
      </c>
      <c r="V4" s="86" t="s">
        <v>444</v>
      </c>
      <c r="W4" s="86" t="s">
        <v>321</v>
      </c>
      <c r="X4" s="86" t="s">
        <v>411</v>
      </c>
      <c r="Y4" s="86" t="s">
        <v>458</v>
      </c>
      <c r="Z4" s="86" t="s">
        <v>412</v>
      </c>
      <c r="AA4" s="86" t="s">
        <v>440</v>
      </c>
      <c r="AB4" s="86" t="s">
        <v>439</v>
      </c>
      <c r="AC4" s="86" t="s">
        <v>459</v>
      </c>
      <c r="AD4" s="86" t="s">
        <v>244</v>
      </c>
      <c r="AE4" s="86" t="s">
        <v>446</v>
      </c>
      <c r="AF4" s="86" t="s">
        <v>460</v>
      </c>
      <c r="AG4" s="86" t="s">
        <v>413</v>
      </c>
      <c r="AH4" s="86" t="s">
        <v>371</v>
      </c>
    </row>
    <row r="5" spans="1:34" ht="20.100000000000001" customHeight="1" x14ac:dyDescent="0.2">
      <c r="A5" s="86" t="s">
        <v>245</v>
      </c>
      <c r="B5" s="123">
        <v>8</v>
      </c>
      <c r="C5" s="123">
        <v>2</v>
      </c>
      <c r="D5" s="123">
        <v>16</v>
      </c>
      <c r="E5" s="123">
        <v>73</v>
      </c>
      <c r="F5" s="123">
        <v>8</v>
      </c>
      <c r="G5" s="123">
        <v>24</v>
      </c>
      <c r="H5" s="123">
        <v>158</v>
      </c>
      <c r="I5" s="123">
        <v>16</v>
      </c>
      <c r="J5" s="123">
        <v>160</v>
      </c>
      <c r="K5" s="123">
        <v>339</v>
      </c>
      <c r="L5" s="123">
        <v>152</v>
      </c>
      <c r="M5" s="123">
        <v>0</v>
      </c>
      <c r="N5" s="123">
        <v>24</v>
      </c>
      <c r="O5" s="123">
        <v>124</v>
      </c>
      <c r="P5" s="123">
        <v>91</v>
      </c>
      <c r="Q5" s="123">
        <v>593</v>
      </c>
      <c r="R5" s="123">
        <v>222</v>
      </c>
      <c r="S5" s="123">
        <v>0</v>
      </c>
      <c r="T5" s="123">
        <v>0</v>
      </c>
      <c r="U5" s="123">
        <v>8</v>
      </c>
      <c r="V5" s="123">
        <v>3</v>
      </c>
      <c r="W5" s="123">
        <v>0</v>
      </c>
      <c r="X5" s="123">
        <v>0</v>
      </c>
      <c r="Y5" s="123">
        <v>72</v>
      </c>
      <c r="Z5" s="123">
        <v>0</v>
      </c>
      <c r="AA5" s="123">
        <v>8</v>
      </c>
      <c r="AB5" s="123">
        <v>30</v>
      </c>
      <c r="AC5" s="123">
        <v>58</v>
      </c>
      <c r="AD5" s="123">
        <v>221</v>
      </c>
      <c r="AE5" s="123">
        <v>24</v>
      </c>
      <c r="AF5" s="123">
        <v>11</v>
      </c>
      <c r="AG5" s="123">
        <v>24</v>
      </c>
      <c r="AH5" s="123">
        <v>8</v>
      </c>
    </row>
    <row r="6" spans="1:34" s="52" customFormat="1" ht="20.100000000000001" customHeight="1" x14ac:dyDescent="0.2">
      <c r="A6" s="130" t="s">
        <v>246</v>
      </c>
      <c r="B6" s="123">
        <v>0</v>
      </c>
      <c r="C6" s="123">
        <v>1.5</v>
      </c>
      <c r="D6" s="123">
        <v>0</v>
      </c>
      <c r="E6" s="123">
        <v>0</v>
      </c>
      <c r="F6" s="123">
        <v>2</v>
      </c>
      <c r="G6" s="123">
        <v>17</v>
      </c>
      <c r="H6" s="123">
        <v>5</v>
      </c>
      <c r="I6" s="123">
        <v>1</v>
      </c>
      <c r="J6" s="123">
        <v>113</v>
      </c>
      <c r="K6" s="123">
        <v>47</v>
      </c>
      <c r="L6" s="123">
        <v>12</v>
      </c>
      <c r="M6" s="123">
        <v>1.5</v>
      </c>
      <c r="N6" s="123">
        <v>0</v>
      </c>
      <c r="O6" s="123">
        <v>2.5</v>
      </c>
      <c r="P6" s="123">
        <v>0.5</v>
      </c>
      <c r="Q6" s="123">
        <v>82</v>
      </c>
      <c r="R6" s="123">
        <v>1.5</v>
      </c>
      <c r="S6" s="123">
        <v>0</v>
      </c>
      <c r="T6" s="123">
        <v>0</v>
      </c>
      <c r="U6" s="123">
        <v>0.5</v>
      </c>
      <c r="V6" s="123">
        <v>0</v>
      </c>
      <c r="W6" s="123">
        <v>1</v>
      </c>
      <c r="X6" s="123">
        <v>0</v>
      </c>
      <c r="Y6" s="123">
        <v>0</v>
      </c>
      <c r="Z6" s="123">
        <v>9.5</v>
      </c>
      <c r="AA6" s="123">
        <v>0</v>
      </c>
      <c r="AB6" s="123">
        <v>10</v>
      </c>
      <c r="AC6" s="123">
        <v>18</v>
      </c>
      <c r="AD6" s="123">
        <v>8.5</v>
      </c>
      <c r="AE6" s="123">
        <v>0</v>
      </c>
      <c r="AF6" s="123">
        <v>9.5</v>
      </c>
      <c r="AG6" s="123">
        <v>1</v>
      </c>
      <c r="AH6" s="123">
        <v>0</v>
      </c>
    </row>
    <row r="7" spans="1:34" ht="20.100000000000001" customHeight="1" x14ac:dyDescent="0.2">
      <c r="A7" s="86" t="s">
        <v>247</v>
      </c>
      <c r="B7" s="123">
        <v>0</v>
      </c>
      <c r="C7" s="123">
        <v>0</v>
      </c>
      <c r="D7" s="123">
        <v>2</v>
      </c>
      <c r="E7" s="123">
        <v>0</v>
      </c>
      <c r="F7" s="123">
        <v>11</v>
      </c>
      <c r="G7" s="123">
        <v>30</v>
      </c>
      <c r="H7" s="123">
        <v>0</v>
      </c>
      <c r="I7" s="123">
        <v>23</v>
      </c>
      <c r="J7" s="123">
        <v>288</v>
      </c>
      <c r="K7" s="123">
        <v>398</v>
      </c>
      <c r="L7" s="123">
        <v>205</v>
      </c>
      <c r="M7" s="123">
        <v>0</v>
      </c>
      <c r="N7" s="123">
        <v>25</v>
      </c>
      <c r="O7" s="123">
        <v>79</v>
      </c>
      <c r="P7" s="123">
        <v>8</v>
      </c>
      <c r="Q7" s="123">
        <v>381</v>
      </c>
      <c r="R7" s="123">
        <v>160</v>
      </c>
      <c r="S7" s="123">
        <v>0</v>
      </c>
      <c r="T7" s="123">
        <v>7</v>
      </c>
      <c r="U7" s="123">
        <v>0</v>
      </c>
      <c r="V7" s="123">
        <v>0</v>
      </c>
      <c r="W7" s="123">
        <v>0</v>
      </c>
      <c r="X7" s="123">
        <v>7</v>
      </c>
      <c r="Y7" s="123">
        <v>13</v>
      </c>
      <c r="Z7" s="123">
        <v>11</v>
      </c>
      <c r="AA7" s="123">
        <v>0</v>
      </c>
      <c r="AB7" s="123">
        <v>0</v>
      </c>
      <c r="AC7" s="123">
        <v>53</v>
      </c>
      <c r="AD7" s="123">
        <v>159</v>
      </c>
      <c r="AE7" s="123">
        <v>20</v>
      </c>
      <c r="AF7" s="123">
        <v>9</v>
      </c>
      <c r="AG7" s="123">
        <v>116</v>
      </c>
      <c r="AH7" s="123">
        <v>0</v>
      </c>
    </row>
    <row r="8" spans="1:34" ht="20.100000000000001" customHeight="1" x14ac:dyDescent="0.2">
      <c r="A8" s="86" t="s">
        <v>248</v>
      </c>
      <c r="B8" s="123">
        <v>0</v>
      </c>
      <c r="C8" s="123">
        <v>0</v>
      </c>
      <c r="D8" s="123">
        <v>0</v>
      </c>
      <c r="E8" s="123">
        <v>0</v>
      </c>
      <c r="F8" s="123">
        <v>0</v>
      </c>
      <c r="G8" s="123">
        <v>0</v>
      </c>
      <c r="H8" s="123">
        <v>0</v>
      </c>
      <c r="I8" s="123">
        <v>0</v>
      </c>
      <c r="J8" s="123">
        <v>0</v>
      </c>
      <c r="K8" s="123">
        <v>219</v>
      </c>
      <c r="L8" s="123">
        <v>0</v>
      </c>
      <c r="M8" s="123">
        <v>0</v>
      </c>
      <c r="N8" s="123">
        <v>0</v>
      </c>
      <c r="O8" s="123">
        <v>0</v>
      </c>
      <c r="P8" s="123">
        <v>0</v>
      </c>
      <c r="Q8" s="123">
        <v>320</v>
      </c>
      <c r="R8" s="123">
        <v>96</v>
      </c>
      <c r="S8" s="123">
        <v>0</v>
      </c>
      <c r="T8" s="123">
        <v>0</v>
      </c>
      <c r="U8" s="123">
        <v>0</v>
      </c>
      <c r="V8" s="123">
        <v>0</v>
      </c>
      <c r="W8" s="123">
        <v>0</v>
      </c>
      <c r="X8" s="123">
        <v>0</v>
      </c>
      <c r="Y8" s="123">
        <v>0</v>
      </c>
      <c r="Z8" s="123">
        <v>0</v>
      </c>
      <c r="AA8" s="123">
        <v>0</v>
      </c>
      <c r="AB8" s="123">
        <v>0</v>
      </c>
      <c r="AC8" s="123">
        <v>245</v>
      </c>
      <c r="AD8" s="123">
        <v>0</v>
      </c>
      <c r="AE8" s="123">
        <v>0</v>
      </c>
      <c r="AF8" s="123">
        <v>0</v>
      </c>
      <c r="AG8" s="123">
        <v>0</v>
      </c>
      <c r="AH8" s="123">
        <v>0</v>
      </c>
    </row>
    <row r="9" spans="1:34" ht="20.100000000000001" customHeight="1" x14ac:dyDescent="0.2">
      <c r="A9" s="86" t="s">
        <v>249</v>
      </c>
      <c r="B9" s="123">
        <v>16</v>
      </c>
      <c r="C9" s="123">
        <v>0</v>
      </c>
      <c r="D9" s="123">
        <v>32</v>
      </c>
      <c r="E9" s="123">
        <v>0</v>
      </c>
      <c r="F9" s="123">
        <v>0</v>
      </c>
      <c r="G9" s="123">
        <v>120</v>
      </c>
      <c r="H9" s="123">
        <v>120</v>
      </c>
      <c r="I9" s="123">
        <v>208</v>
      </c>
      <c r="J9" s="123">
        <v>216</v>
      </c>
      <c r="K9" s="123">
        <v>1816</v>
      </c>
      <c r="L9" s="123">
        <v>360</v>
      </c>
      <c r="M9" s="123">
        <v>56</v>
      </c>
      <c r="N9" s="123">
        <v>0</v>
      </c>
      <c r="O9" s="123">
        <v>256</v>
      </c>
      <c r="P9" s="123">
        <v>168</v>
      </c>
      <c r="Q9" s="123">
        <v>768</v>
      </c>
      <c r="R9" s="123">
        <v>320</v>
      </c>
      <c r="S9" s="123">
        <v>0</v>
      </c>
      <c r="T9" s="123">
        <v>0</v>
      </c>
      <c r="U9" s="123">
        <v>0</v>
      </c>
      <c r="V9" s="123">
        <v>0</v>
      </c>
      <c r="W9" s="123">
        <v>0</v>
      </c>
      <c r="X9" s="123">
        <v>0</v>
      </c>
      <c r="Y9" s="123">
        <v>136</v>
      </c>
      <c r="Z9" s="123">
        <v>112</v>
      </c>
      <c r="AA9" s="123">
        <v>0</v>
      </c>
      <c r="AB9" s="123">
        <v>104</v>
      </c>
      <c r="AC9" s="123">
        <v>176</v>
      </c>
      <c r="AD9" s="123">
        <v>128</v>
      </c>
      <c r="AE9" s="123">
        <v>0</v>
      </c>
      <c r="AF9" s="123">
        <v>0</v>
      </c>
      <c r="AG9" s="123">
        <v>216</v>
      </c>
      <c r="AH9" s="123">
        <v>0</v>
      </c>
    </row>
    <row r="10" spans="1:34" ht="20.100000000000001" customHeight="1" x14ac:dyDescent="0.2">
      <c r="A10" s="86" t="s">
        <v>250</v>
      </c>
      <c r="B10" s="123">
        <v>0</v>
      </c>
      <c r="C10" s="123">
        <v>0</v>
      </c>
      <c r="D10" s="123">
        <v>0</v>
      </c>
      <c r="E10" s="123">
        <v>0</v>
      </c>
      <c r="F10" s="123">
        <v>0</v>
      </c>
      <c r="G10" s="123">
        <v>0</v>
      </c>
      <c r="H10" s="123">
        <v>0</v>
      </c>
      <c r="I10" s="123">
        <v>0</v>
      </c>
      <c r="J10" s="123">
        <v>0</v>
      </c>
      <c r="K10" s="123">
        <v>0</v>
      </c>
      <c r="L10" s="123">
        <v>0</v>
      </c>
      <c r="M10" s="123">
        <v>0</v>
      </c>
      <c r="N10" s="123">
        <v>0</v>
      </c>
      <c r="O10" s="123">
        <v>0</v>
      </c>
      <c r="P10" s="123">
        <v>0</v>
      </c>
      <c r="Q10" s="123">
        <v>0</v>
      </c>
      <c r="R10" s="123">
        <v>0</v>
      </c>
      <c r="S10" s="123">
        <v>0</v>
      </c>
      <c r="T10" s="123">
        <v>0</v>
      </c>
      <c r="U10" s="123">
        <v>0</v>
      </c>
      <c r="V10" s="123">
        <v>0</v>
      </c>
      <c r="W10" s="123">
        <v>0</v>
      </c>
      <c r="X10" s="123">
        <v>0</v>
      </c>
      <c r="Y10" s="123">
        <v>0</v>
      </c>
      <c r="Z10" s="123">
        <v>0</v>
      </c>
      <c r="AA10" s="123">
        <v>0</v>
      </c>
      <c r="AB10" s="123">
        <v>0</v>
      </c>
      <c r="AC10" s="123">
        <v>16</v>
      </c>
      <c r="AD10" s="123">
        <v>0</v>
      </c>
      <c r="AE10" s="123">
        <v>0</v>
      </c>
      <c r="AF10" s="123">
        <v>0</v>
      </c>
      <c r="AG10" s="123">
        <v>0</v>
      </c>
      <c r="AH10" s="123">
        <v>0</v>
      </c>
    </row>
    <row r="11" spans="1:34" ht="20.100000000000001" customHeight="1" x14ac:dyDescent="0.2">
      <c r="A11" s="86" t="s">
        <v>251</v>
      </c>
      <c r="B11" s="123">
        <v>0</v>
      </c>
      <c r="C11" s="123">
        <v>0</v>
      </c>
      <c r="D11" s="123">
        <v>0</v>
      </c>
      <c r="E11" s="123">
        <v>10</v>
      </c>
      <c r="F11" s="123">
        <v>0</v>
      </c>
      <c r="G11" s="123">
        <v>139</v>
      </c>
      <c r="H11" s="123">
        <v>0</v>
      </c>
      <c r="I11" s="123">
        <v>524</v>
      </c>
      <c r="J11" s="123">
        <v>747</v>
      </c>
      <c r="K11" s="123">
        <v>586</v>
      </c>
      <c r="L11" s="123">
        <v>549</v>
      </c>
      <c r="M11" s="123">
        <v>0</v>
      </c>
      <c r="N11" s="123">
        <v>9</v>
      </c>
      <c r="O11" s="123">
        <v>381</v>
      </c>
      <c r="P11" s="123">
        <v>15</v>
      </c>
      <c r="Q11" s="123">
        <v>610</v>
      </c>
      <c r="R11" s="123">
        <v>221</v>
      </c>
      <c r="S11" s="123">
        <v>0</v>
      </c>
      <c r="T11" s="123">
        <v>0</v>
      </c>
      <c r="U11" s="123">
        <v>0</v>
      </c>
      <c r="V11" s="123">
        <v>0</v>
      </c>
      <c r="W11" s="123">
        <v>0</v>
      </c>
      <c r="X11" s="123">
        <v>0</v>
      </c>
      <c r="Y11" s="123">
        <v>66</v>
      </c>
      <c r="Z11" s="123">
        <v>128</v>
      </c>
      <c r="AA11" s="123">
        <v>0</v>
      </c>
      <c r="AB11" s="123">
        <v>39</v>
      </c>
      <c r="AC11" s="123">
        <v>187</v>
      </c>
      <c r="AD11" s="123">
        <v>137</v>
      </c>
      <c r="AE11" s="123">
        <v>0</v>
      </c>
      <c r="AF11" s="123">
        <v>0</v>
      </c>
      <c r="AG11" s="123">
        <v>48</v>
      </c>
      <c r="AH11" s="123">
        <v>0</v>
      </c>
    </row>
    <row r="12" spans="1:34" ht="20.100000000000001" customHeight="1" x14ac:dyDescent="0.2">
      <c r="A12" s="86" t="s">
        <v>254</v>
      </c>
      <c r="B12" s="121">
        <f>SUM(B5:B11)</f>
        <v>24</v>
      </c>
      <c r="C12" s="121">
        <f>SUM(C5:C11)</f>
        <v>3.5</v>
      </c>
      <c r="D12" s="121">
        <f>SUM(D5:D11)</f>
        <v>50</v>
      </c>
      <c r="E12" s="121">
        <f>SUM(E5:E11)</f>
        <v>83</v>
      </c>
      <c r="F12" s="121">
        <f t="shared" ref="F12:AH12" si="0">SUM(F5:F11)</f>
        <v>21</v>
      </c>
      <c r="G12" s="121">
        <f t="shared" si="0"/>
        <v>330</v>
      </c>
      <c r="H12" s="121">
        <f t="shared" si="0"/>
        <v>283</v>
      </c>
      <c r="I12" s="121">
        <f t="shared" si="0"/>
        <v>772</v>
      </c>
      <c r="J12" s="121">
        <f t="shared" si="0"/>
        <v>1524</v>
      </c>
      <c r="K12" s="121">
        <f t="shared" si="0"/>
        <v>3405</v>
      </c>
      <c r="L12" s="121">
        <f>SUM(L5:L11)</f>
        <v>1278</v>
      </c>
      <c r="M12" s="121">
        <f>SUM(M5:M11)</f>
        <v>57.5</v>
      </c>
      <c r="N12" s="121">
        <f>SUM(N5:N11)</f>
        <v>58</v>
      </c>
      <c r="O12" s="121">
        <f>SUM(O5:O11)</f>
        <v>842.5</v>
      </c>
      <c r="P12" s="121">
        <f t="shared" si="0"/>
        <v>282.5</v>
      </c>
      <c r="Q12" s="121">
        <f>SUM(Q5:Q11)</f>
        <v>2754</v>
      </c>
      <c r="R12" s="121">
        <f>SUM(R5:R11)</f>
        <v>1020.5</v>
      </c>
      <c r="S12" s="121">
        <f>SUM(S5:S11)</f>
        <v>0</v>
      </c>
      <c r="T12" s="121">
        <f>SUM(T5:T11)</f>
        <v>7</v>
      </c>
      <c r="U12" s="121">
        <f>SUM(U5:U11)</f>
        <v>8.5</v>
      </c>
      <c r="V12" s="121">
        <f>SUM(V5:V11)</f>
        <v>3</v>
      </c>
      <c r="W12" s="121">
        <f>SUM(W5:W11)</f>
        <v>1</v>
      </c>
      <c r="X12" s="121">
        <f>SUM(X5:X11)</f>
        <v>7</v>
      </c>
      <c r="Y12" s="121">
        <f>SUM(Y5:Y11)</f>
        <v>287</v>
      </c>
      <c r="Z12" s="121">
        <f>SUM(Z5:Z11)</f>
        <v>260.5</v>
      </c>
      <c r="AA12" s="121">
        <f>SUM(AA5:AA11)</f>
        <v>8</v>
      </c>
      <c r="AB12" s="121">
        <f>SUM(AB5:AB11)</f>
        <v>183</v>
      </c>
      <c r="AC12" s="121">
        <f>SUM(AC5:AC11)</f>
        <v>753</v>
      </c>
      <c r="AD12" s="121">
        <f>SUM(AD5:AD11)</f>
        <v>653.5</v>
      </c>
      <c r="AE12" s="121">
        <f>SUM(AE5:AE11)</f>
        <v>44</v>
      </c>
      <c r="AF12" s="121">
        <f>SUM(AF5:AF11)</f>
        <v>29.5</v>
      </c>
      <c r="AG12" s="121">
        <f t="shared" si="0"/>
        <v>405</v>
      </c>
      <c r="AH12" s="121">
        <f t="shared" si="0"/>
        <v>8</v>
      </c>
    </row>
    <row r="13" spans="1:34" ht="20.100000000000001" customHeight="1" x14ac:dyDescent="0.2">
      <c r="A13" s="86" t="s">
        <v>252</v>
      </c>
      <c r="B13" s="88">
        <v>3</v>
      </c>
      <c r="C13" s="88">
        <v>1</v>
      </c>
      <c r="D13" s="88">
        <v>5</v>
      </c>
      <c r="E13" s="88">
        <v>7</v>
      </c>
      <c r="F13" s="88">
        <v>2</v>
      </c>
      <c r="G13" s="88">
        <v>9</v>
      </c>
      <c r="H13" s="88">
        <v>8</v>
      </c>
      <c r="I13" s="88">
        <v>14</v>
      </c>
      <c r="J13" s="88">
        <v>29</v>
      </c>
      <c r="K13" s="88">
        <v>65</v>
      </c>
      <c r="L13" s="88">
        <v>31</v>
      </c>
      <c r="M13" s="88">
        <v>1</v>
      </c>
      <c r="N13" s="88">
        <v>6</v>
      </c>
      <c r="O13" s="88">
        <v>22</v>
      </c>
      <c r="P13" s="88">
        <v>10</v>
      </c>
      <c r="Q13" s="88">
        <v>57</v>
      </c>
      <c r="R13" s="88">
        <v>19</v>
      </c>
      <c r="S13" s="88">
        <v>1</v>
      </c>
      <c r="T13" s="88">
        <v>2</v>
      </c>
      <c r="U13" s="88">
        <v>1</v>
      </c>
      <c r="V13" s="88">
        <v>1</v>
      </c>
      <c r="W13" s="88">
        <v>1</v>
      </c>
      <c r="X13" s="88">
        <v>1</v>
      </c>
      <c r="Y13" s="88">
        <v>10</v>
      </c>
      <c r="Z13" s="88">
        <v>7</v>
      </c>
      <c r="AA13" s="88">
        <v>2</v>
      </c>
      <c r="AB13" s="88">
        <v>8</v>
      </c>
      <c r="AC13" s="88">
        <v>21</v>
      </c>
      <c r="AD13" s="88">
        <v>20</v>
      </c>
      <c r="AE13" s="88">
        <v>1</v>
      </c>
      <c r="AF13" s="88">
        <v>3</v>
      </c>
      <c r="AG13" s="88">
        <v>7</v>
      </c>
      <c r="AH13" s="88">
        <v>3</v>
      </c>
    </row>
    <row r="14" spans="1:34" ht="20.100000000000001" customHeight="1" x14ac:dyDescent="0.2">
      <c r="B14" s="70"/>
      <c r="C14" s="70"/>
      <c r="D14" s="70"/>
      <c r="E14" s="70"/>
      <c r="F14" s="70"/>
      <c r="G14" s="70"/>
      <c r="H14" s="70"/>
      <c r="I14" s="70"/>
      <c r="J14" s="70"/>
      <c r="K14" s="70"/>
      <c r="L14" s="70"/>
      <c r="M14" s="70"/>
      <c r="N14" s="70"/>
      <c r="O14" s="70"/>
      <c r="P14" s="131"/>
      <c r="Q14" s="70"/>
      <c r="R14" s="70"/>
      <c r="S14" s="70"/>
      <c r="T14" s="70"/>
      <c r="U14" s="70"/>
      <c r="V14" s="70"/>
      <c r="W14" s="70"/>
      <c r="X14" s="70"/>
      <c r="Y14" s="70"/>
      <c r="Z14" s="70"/>
      <c r="AA14" s="70"/>
      <c r="AB14" s="70"/>
      <c r="AC14" s="70"/>
      <c r="AD14" s="70"/>
      <c r="AE14" s="70"/>
      <c r="AF14" s="70"/>
      <c r="AG14" s="131"/>
      <c r="AH14" s="131"/>
    </row>
  </sheetData>
  <mergeCells count="1">
    <mergeCell ref="A3:AH3"/>
  </mergeCells>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8"/>
  <dimension ref="A1:Z18"/>
  <sheetViews>
    <sheetView zoomScaleNormal="100" workbookViewId="0">
      <selection activeCell="C20" sqref="C20"/>
    </sheetView>
  </sheetViews>
  <sheetFormatPr baseColWidth="10" defaultRowHeight="12.75" x14ac:dyDescent="0.2"/>
  <cols>
    <col min="1" max="1" width="21.28515625" bestFit="1" customWidth="1"/>
    <col min="2" max="2" width="13.85546875" bestFit="1" customWidth="1"/>
    <col min="3" max="3" width="19.42578125" bestFit="1" customWidth="1"/>
    <col min="4" max="4" width="13.85546875" bestFit="1" customWidth="1"/>
    <col min="5" max="5" width="22.7109375" bestFit="1" customWidth="1"/>
    <col min="6" max="6" width="26" bestFit="1" customWidth="1"/>
    <col min="7" max="7" width="22.42578125" bestFit="1" customWidth="1"/>
    <col min="8" max="8" width="27.85546875" bestFit="1" customWidth="1"/>
    <col min="9" max="9" width="37.140625" bestFit="1" customWidth="1"/>
    <col min="10" max="10" width="32.140625" bestFit="1" customWidth="1"/>
    <col min="11" max="11" width="14.7109375" bestFit="1" customWidth="1"/>
    <col min="12" max="12" width="17.7109375" bestFit="1" customWidth="1"/>
    <col min="13" max="13" width="24.42578125" bestFit="1" customWidth="1"/>
    <col min="14" max="14" width="22.5703125" bestFit="1" customWidth="1"/>
    <col min="15" max="15" width="15.7109375" bestFit="1" customWidth="1"/>
    <col min="16" max="16" width="28.42578125" bestFit="1" customWidth="1"/>
    <col min="17" max="17" width="19.42578125" bestFit="1" customWidth="1"/>
    <col min="18" max="18" width="30.42578125" bestFit="1" customWidth="1"/>
    <col min="19" max="19" width="15.85546875" bestFit="1" customWidth="1"/>
    <col min="20" max="20" width="17.42578125" bestFit="1" customWidth="1"/>
    <col min="21" max="21" width="19.7109375" bestFit="1" customWidth="1"/>
    <col min="22" max="22" width="22.140625" bestFit="1" customWidth="1"/>
    <col min="23" max="23" width="13.140625" bestFit="1" customWidth="1"/>
    <col min="24" max="24" width="26" bestFit="1" customWidth="1"/>
    <col min="25" max="25" width="14" bestFit="1" customWidth="1"/>
    <col min="26" max="26" width="23.5703125" bestFit="1" customWidth="1"/>
    <col min="27" max="27" width="36.140625" bestFit="1" customWidth="1"/>
    <col min="28" max="28" width="36.7109375" bestFit="1" customWidth="1"/>
    <col min="29" max="29" width="13.140625" bestFit="1" customWidth="1"/>
    <col min="30" max="30" width="15.42578125" bestFit="1" customWidth="1"/>
    <col min="31" max="31" width="14" bestFit="1" customWidth="1"/>
  </cols>
  <sheetData>
    <row r="1" spans="1:26" ht="15.75" x14ac:dyDescent="0.2">
      <c r="A1" s="157" t="s">
        <v>352</v>
      </c>
      <c r="B1" s="157"/>
      <c r="C1" s="157"/>
      <c r="D1" s="157"/>
      <c r="E1" s="157"/>
      <c r="F1" s="157"/>
      <c r="G1" s="157"/>
      <c r="H1" s="157"/>
      <c r="I1" s="157"/>
      <c r="J1" s="157"/>
      <c r="K1" s="157"/>
      <c r="L1" s="157"/>
      <c r="M1" s="157"/>
      <c r="N1" s="157"/>
      <c r="O1" s="157"/>
      <c r="P1" s="157"/>
      <c r="Q1" s="157"/>
      <c r="R1" s="157"/>
      <c r="S1" s="157"/>
      <c r="T1" s="157"/>
      <c r="U1" s="157"/>
      <c r="V1" s="157"/>
      <c r="W1" s="157"/>
      <c r="X1" s="157"/>
      <c r="Y1" s="157"/>
      <c r="Z1" s="157"/>
    </row>
    <row r="3" spans="1:26" ht="15.75" customHeight="1" x14ac:dyDescent="0.2">
      <c r="A3" s="158" t="s">
        <v>258</v>
      </c>
      <c r="B3" s="159"/>
      <c r="C3" s="159"/>
      <c r="D3" s="159"/>
      <c r="E3" s="159"/>
      <c r="F3" s="159"/>
      <c r="G3" s="159"/>
      <c r="H3" s="159"/>
      <c r="I3" s="159"/>
      <c r="J3" s="159"/>
      <c r="K3" s="159"/>
      <c r="L3" s="159"/>
      <c r="M3" s="159"/>
      <c r="N3" s="159"/>
      <c r="O3" s="159"/>
      <c r="P3" s="159"/>
      <c r="Q3" s="159"/>
      <c r="R3" s="159"/>
      <c r="S3" s="159"/>
      <c r="T3" s="159"/>
      <c r="U3" s="159"/>
      <c r="V3" s="159"/>
      <c r="W3" s="159"/>
      <c r="X3" s="159"/>
      <c r="Y3" s="159"/>
      <c r="Z3" s="159"/>
    </row>
    <row r="4" spans="1:26" x14ac:dyDescent="0.2">
      <c r="A4" s="86"/>
      <c r="B4" s="86" t="s">
        <v>397</v>
      </c>
      <c r="C4" s="86" t="s">
        <v>398</v>
      </c>
      <c r="D4" s="86" t="s">
        <v>399</v>
      </c>
      <c r="E4" s="86" t="s">
        <v>400</v>
      </c>
      <c r="F4" s="86" t="s">
        <v>414</v>
      </c>
      <c r="G4" s="86" t="s">
        <v>436</v>
      </c>
      <c r="H4" s="86" t="s">
        <v>403</v>
      </c>
      <c r="I4" s="86" t="s">
        <v>432</v>
      </c>
      <c r="J4" s="86" t="s">
        <v>438</v>
      </c>
      <c r="K4" s="86" t="s">
        <v>405</v>
      </c>
      <c r="L4" s="86" t="s">
        <v>406</v>
      </c>
      <c r="M4" s="86" t="s">
        <v>394</v>
      </c>
      <c r="N4" s="86" t="s">
        <v>415</v>
      </c>
      <c r="O4" s="86" t="s">
        <v>421</v>
      </c>
      <c r="P4" s="86" t="s">
        <v>408</v>
      </c>
      <c r="Q4" s="86" t="s">
        <v>409</v>
      </c>
      <c r="R4" s="86" t="s">
        <v>410</v>
      </c>
      <c r="S4" s="86" t="s">
        <v>321</v>
      </c>
      <c r="T4" s="86" t="s">
        <v>411</v>
      </c>
      <c r="U4" s="86" t="s">
        <v>443</v>
      </c>
      <c r="V4" s="86" t="s">
        <v>439</v>
      </c>
      <c r="W4" s="86" t="s">
        <v>244</v>
      </c>
      <c r="X4" s="86" t="s">
        <v>447</v>
      </c>
      <c r="Y4" s="86" t="s">
        <v>371</v>
      </c>
      <c r="Z4" s="86" t="s">
        <v>416</v>
      </c>
    </row>
    <row r="5" spans="1:26" x14ac:dyDescent="0.2">
      <c r="A5" s="86" t="s">
        <v>245</v>
      </c>
      <c r="B5" s="124">
        <v>0</v>
      </c>
      <c r="C5" s="124">
        <v>2</v>
      </c>
      <c r="D5" s="124">
        <v>0</v>
      </c>
      <c r="E5" s="124">
        <v>4</v>
      </c>
      <c r="F5" s="124">
        <v>11</v>
      </c>
      <c r="G5" s="124">
        <v>0</v>
      </c>
      <c r="H5" s="124">
        <v>40</v>
      </c>
      <c r="I5" s="124">
        <v>0</v>
      </c>
      <c r="J5" s="124">
        <v>6</v>
      </c>
      <c r="K5" s="124">
        <v>5</v>
      </c>
      <c r="L5" s="124">
        <v>19</v>
      </c>
      <c r="M5" s="124">
        <v>0</v>
      </c>
      <c r="N5" s="124">
        <v>0</v>
      </c>
      <c r="O5" s="124">
        <v>0</v>
      </c>
      <c r="P5" s="124">
        <v>16</v>
      </c>
      <c r="Q5" s="124">
        <v>8</v>
      </c>
      <c r="R5" s="124">
        <v>24</v>
      </c>
      <c r="S5" s="124">
        <v>42</v>
      </c>
      <c r="T5" s="124">
        <v>21</v>
      </c>
      <c r="U5" s="124">
        <v>0</v>
      </c>
      <c r="V5" s="124">
        <v>0</v>
      </c>
      <c r="W5" s="124">
        <v>11</v>
      </c>
      <c r="X5" s="124">
        <v>0</v>
      </c>
      <c r="Y5" s="124">
        <v>0</v>
      </c>
      <c r="Z5" s="124">
        <v>0</v>
      </c>
    </row>
    <row r="6" spans="1:26" x14ac:dyDescent="0.2">
      <c r="A6" s="86" t="s">
        <v>246</v>
      </c>
      <c r="B6" s="124">
        <v>0</v>
      </c>
      <c r="C6" s="124">
        <v>0</v>
      </c>
      <c r="D6" s="124">
        <v>0</v>
      </c>
      <c r="E6" s="124">
        <v>2</v>
      </c>
      <c r="F6" s="124">
        <v>20</v>
      </c>
      <c r="G6" s="124">
        <v>0</v>
      </c>
      <c r="H6" s="124">
        <v>0</v>
      </c>
      <c r="I6" s="124">
        <v>5</v>
      </c>
      <c r="J6" s="124">
        <v>0</v>
      </c>
      <c r="K6" s="124">
        <v>0</v>
      </c>
      <c r="L6" s="124">
        <v>0</v>
      </c>
      <c r="M6" s="124">
        <v>0</v>
      </c>
      <c r="N6" s="124">
        <v>0</v>
      </c>
      <c r="O6" s="124">
        <v>0</v>
      </c>
      <c r="P6" s="124">
        <v>16</v>
      </c>
      <c r="Q6" s="124">
        <v>0</v>
      </c>
      <c r="R6" s="124">
        <v>5</v>
      </c>
      <c r="S6" s="124">
        <v>0</v>
      </c>
      <c r="T6" s="124">
        <v>0</v>
      </c>
      <c r="U6" s="124">
        <v>8</v>
      </c>
      <c r="V6" s="124">
        <v>0</v>
      </c>
      <c r="W6" s="124">
        <v>0</v>
      </c>
      <c r="X6" s="124">
        <v>4</v>
      </c>
      <c r="Y6" s="124">
        <v>0</v>
      </c>
      <c r="Z6" s="124">
        <v>0</v>
      </c>
    </row>
    <row r="7" spans="1:26" x14ac:dyDescent="0.2">
      <c r="A7" s="86" t="s">
        <v>247</v>
      </c>
      <c r="B7" s="124">
        <v>0</v>
      </c>
      <c r="C7" s="124">
        <v>0</v>
      </c>
      <c r="D7" s="124">
        <v>0</v>
      </c>
      <c r="E7" s="124">
        <v>0</v>
      </c>
      <c r="F7" s="124">
        <v>0</v>
      </c>
      <c r="G7" s="124">
        <v>4</v>
      </c>
      <c r="H7" s="124">
        <v>0</v>
      </c>
      <c r="I7" s="124">
        <v>0</v>
      </c>
      <c r="J7" s="124">
        <v>0</v>
      </c>
      <c r="K7" s="124">
        <v>0</v>
      </c>
      <c r="L7" s="124">
        <v>0</v>
      </c>
      <c r="M7" s="124">
        <v>0</v>
      </c>
      <c r="N7" s="124">
        <v>0</v>
      </c>
      <c r="O7" s="124">
        <v>0</v>
      </c>
      <c r="P7" s="124">
        <v>4</v>
      </c>
      <c r="Q7" s="124">
        <v>0</v>
      </c>
      <c r="R7" s="124">
        <v>21</v>
      </c>
      <c r="S7" s="124">
        <v>0</v>
      </c>
      <c r="T7" s="124">
        <v>5</v>
      </c>
      <c r="U7" s="124">
        <v>0</v>
      </c>
      <c r="V7" s="124">
        <v>40</v>
      </c>
      <c r="W7" s="124">
        <v>16</v>
      </c>
      <c r="X7" s="124">
        <v>0</v>
      </c>
      <c r="Y7" s="124">
        <v>0</v>
      </c>
      <c r="Z7" s="124">
        <v>0</v>
      </c>
    </row>
    <row r="8" spans="1:26" x14ac:dyDescent="0.2">
      <c r="A8" s="86" t="s">
        <v>248</v>
      </c>
      <c r="B8" s="124">
        <v>0</v>
      </c>
      <c r="C8" s="124">
        <v>0</v>
      </c>
      <c r="D8" s="124">
        <v>0</v>
      </c>
      <c r="E8" s="124">
        <v>0</v>
      </c>
      <c r="F8" s="124">
        <v>0</v>
      </c>
      <c r="G8" s="124">
        <v>0</v>
      </c>
      <c r="H8" s="124">
        <v>0</v>
      </c>
      <c r="I8" s="124">
        <v>0</v>
      </c>
      <c r="J8" s="124">
        <v>0</v>
      </c>
      <c r="K8" s="124">
        <v>0</v>
      </c>
      <c r="L8" s="124">
        <v>0</v>
      </c>
      <c r="M8" s="124">
        <v>0</v>
      </c>
      <c r="N8" s="124">
        <v>0</v>
      </c>
      <c r="O8" s="124">
        <v>0</v>
      </c>
      <c r="P8" s="124">
        <v>0</v>
      </c>
      <c r="Q8" s="124">
        <v>0</v>
      </c>
      <c r="R8" s="124">
        <v>0</v>
      </c>
      <c r="S8" s="124">
        <v>0</v>
      </c>
      <c r="T8" s="124">
        <v>0</v>
      </c>
      <c r="U8" s="124">
        <v>0</v>
      </c>
      <c r="V8" s="124">
        <v>0</v>
      </c>
      <c r="W8" s="124">
        <v>0</v>
      </c>
      <c r="X8" s="124">
        <v>0</v>
      </c>
      <c r="Y8" s="124">
        <v>0</v>
      </c>
      <c r="Z8" s="124">
        <v>0</v>
      </c>
    </row>
    <row r="9" spans="1:26" x14ac:dyDescent="0.2">
      <c r="A9" s="86" t="s">
        <v>249</v>
      </c>
      <c r="B9" s="124">
        <v>0</v>
      </c>
      <c r="C9" s="124">
        <v>0</v>
      </c>
      <c r="D9" s="124">
        <v>56</v>
      </c>
      <c r="E9" s="124">
        <v>0</v>
      </c>
      <c r="F9" s="124">
        <v>32</v>
      </c>
      <c r="G9" s="124">
        <v>80</v>
      </c>
      <c r="H9" s="124">
        <v>0</v>
      </c>
      <c r="I9" s="124">
        <v>0</v>
      </c>
      <c r="J9" s="124">
        <v>0</v>
      </c>
      <c r="K9" s="124">
        <v>80</v>
      </c>
      <c r="L9" s="124">
        <v>80</v>
      </c>
      <c r="M9" s="124">
        <v>0</v>
      </c>
      <c r="N9" s="124">
        <v>0</v>
      </c>
      <c r="O9" s="124">
        <v>0</v>
      </c>
      <c r="P9" s="124">
        <v>8</v>
      </c>
      <c r="Q9" s="124">
        <v>0</v>
      </c>
      <c r="R9" s="124">
        <v>0</v>
      </c>
      <c r="S9" s="124">
        <v>0</v>
      </c>
      <c r="T9" s="124">
        <v>104</v>
      </c>
      <c r="U9" s="124">
        <v>80</v>
      </c>
      <c r="V9" s="124">
        <v>0</v>
      </c>
      <c r="W9" s="124">
        <v>0</v>
      </c>
      <c r="X9" s="124">
        <v>0</v>
      </c>
      <c r="Y9" s="124">
        <v>0</v>
      </c>
      <c r="Z9" s="124">
        <v>0</v>
      </c>
    </row>
    <row r="10" spans="1:26" x14ac:dyDescent="0.2">
      <c r="A10" s="86" t="s">
        <v>250</v>
      </c>
      <c r="B10" s="124">
        <v>0</v>
      </c>
      <c r="C10" s="124">
        <v>0</v>
      </c>
      <c r="D10" s="124">
        <v>0</v>
      </c>
      <c r="E10" s="124">
        <v>0</v>
      </c>
      <c r="F10" s="124">
        <v>0</v>
      </c>
      <c r="G10" s="124">
        <v>0</v>
      </c>
      <c r="H10" s="124">
        <v>0</v>
      </c>
      <c r="I10" s="124">
        <v>0</v>
      </c>
      <c r="J10" s="124">
        <v>0</v>
      </c>
      <c r="K10" s="124">
        <v>0</v>
      </c>
      <c r="L10" s="124">
        <v>0</v>
      </c>
      <c r="M10" s="124">
        <v>0</v>
      </c>
      <c r="N10" s="124">
        <v>0</v>
      </c>
      <c r="O10" s="124">
        <v>0</v>
      </c>
      <c r="P10" s="124">
        <v>0</v>
      </c>
      <c r="Q10" s="124">
        <v>0</v>
      </c>
      <c r="R10" s="124">
        <v>0</v>
      </c>
      <c r="S10" s="124">
        <v>0</v>
      </c>
      <c r="T10" s="124">
        <v>0</v>
      </c>
      <c r="U10" s="124">
        <v>0</v>
      </c>
      <c r="V10" s="124">
        <v>0</v>
      </c>
      <c r="W10" s="124">
        <v>0</v>
      </c>
      <c r="X10" s="124">
        <v>0</v>
      </c>
      <c r="Y10" s="124">
        <v>0</v>
      </c>
      <c r="Z10" s="124">
        <v>0</v>
      </c>
    </row>
    <row r="11" spans="1:26" x14ac:dyDescent="0.2">
      <c r="A11" s="86" t="s">
        <v>251</v>
      </c>
      <c r="B11" s="124">
        <v>0</v>
      </c>
      <c r="C11" s="124">
        <v>2</v>
      </c>
      <c r="D11" s="124">
        <v>0</v>
      </c>
      <c r="E11" s="124">
        <v>0</v>
      </c>
      <c r="F11" s="124">
        <v>0</v>
      </c>
      <c r="G11" s="124">
        <v>0</v>
      </c>
      <c r="H11" s="124">
        <v>0</v>
      </c>
      <c r="I11" s="124">
        <v>0</v>
      </c>
      <c r="J11" s="124">
        <v>0</v>
      </c>
      <c r="K11" s="124">
        <v>0</v>
      </c>
      <c r="L11" s="124">
        <v>0</v>
      </c>
      <c r="M11" s="124">
        <v>0</v>
      </c>
      <c r="N11" s="124">
        <v>0</v>
      </c>
      <c r="O11" s="124">
        <v>0</v>
      </c>
      <c r="P11" s="124">
        <v>0</v>
      </c>
      <c r="Q11" s="124">
        <v>0</v>
      </c>
      <c r="R11" s="124">
        <v>0</v>
      </c>
      <c r="S11" s="124">
        <v>0</v>
      </c>
      <c r="T11" s="124">
        <v>0</v>
      </c>
      <c r="U11" s="124">
        <v>0</v>
      </c>
      <c r="V11" s="124">
        <v>0</v>
      </c>
      <c r="W11" s="124">
        <v>0</v>
      </c>
      <c r="X11" s="124">
        <v>0</v>
      </c>
      <c r="Y11" s="124">
        <v>0</v>
      </c>
      <c r="Z11" s="124">
        <v>0</v>
      </c>
    </row>
    <row r="12" spans="1:26" x14ac:dyDescent="0.2">
      <c r="A12" s="86" t="s">
        <v>254</v>
      </c>
      <c r="B12" s="122">
        <f t="shared" ref="B12:Z12" si="0">SUM(B5:B11)</f>
        <v>0</v>
      </c>
      <c r="C12" s="122">
        <f t="shared" si="0"/>
        <v>4</v>
      </c>
      <c r="D12" s="122">
        <f t="shared" si="0"/>
        <v>56</v>
      </c>
      <c r="E12" s="122">
        <f t="shared" si="0"/>
        <v>6</v>
      </c>
      <c r="F12" s="122">
        <f t="shared" si="0"/>
        <v>63</v>
      </c>
      <c r="G12" s="122">
        <f t="shared" si="0"/>
        <v>84</v>
      </c>
      <c r="H12" s="122">
        <f t="shared" si="0"/>
        <v>40</v>
      </c>
      <c r="I12" s="122">
        <f t="shared" si="0"/>
        <v>5</v>
      </c>
      <c r="J12" s="122">
        <f t="shared" si="0"/>
        <v>6</v>
      </c>
      <c r="K12" s="122">
        <f t="shared" si="0"/>
        <v>85</v>
      </c>
      <c r="L12" s="122">
        <f t="shared" si="0"/>
        <v>99</v>
      </c>
      <c r="M12" s="122">
        <f t="shared" si="0"/>
        <v>0</v>
      </c>
      <c r="N12" s="122">
        <f t="shared" si="0"/>
        <v>0</v>
      </c>
      <c r="O12" s="122">
        <f t="shared" si="0"/>
        <v>0</v>
      </c>
      <c r="P12" s="122">
        <f t="shared" si="0"/>
        <v>44</v>
      </c>
      <c r="Q12" s="122">
        <f t="shared" si="0"/>
        <v>8</v>
      </c>
      <c r="R12" s="122">
        <f t="shared" si="0"/>
        <v>50</v>
      </c>
      <c r="S12" s="122">
        <f t="shared" si="0"/>
        <v>42</v>
      </c>
      <c r="T12" s="122">
        <f t="shared" si="0"/>
        <v>130</v>
      </c>
      <c r="U12" s="122">
        <f t="shared" si="0"/>
        <v>88</v>
      </c>
      <c r="V12" s="122">
        <f t="shared" si="0"/>
        <v>40</v>
      </c>
      <c r="W12" s="122">
        <f t="shared" si="0"/>
        <v>27</v>
      </c>
      <c r="X12" s="122">
        <f t="shared" si="0"/>
        <v>4</v>
      </c>
      <c r="Y12" s="122">
        <f t="shared" si="0"/>
        <v>0</v>
      </c>
      <c r="Z12" s="122">
        <f t="shared" si="0"/>
        <v>0</v>
      </c>
    </row>
    <row r="13" spans="1:26" x14ac:dyDescent="0.2">
      <c r="A13" s="106" t="s">
        <v>253</v>
      </c>
      <c r="B13" s="87">
        <v>1</v>
      </c>
      <c r="C13" s="87">
        <v>1</v>
      </c>
      <c r="D13" s="87">
        <v>1</v>
      </c>
      <c r="E13" s="87">
        <v>1</v>
      </c>
      <c r="F13" s="87">
        <v>3</v>
      </c>
      <c r="G13" s="87">
        <v>1</v>
      </c>
      <c r="H13" s="87">
        <v>1</v>
      </c>
      <c r="I13" s="87">
        <v>1</v>
      </c>
      <c r="J13" s="87">
        <v>1</v>
      </c>
      <c r="K13" s="87">
        <v>1</v>
      </c>
      <c r="L13" s="87">
        <v>4</v>
      </c>
      <c r="M13" s="87">
        <v>1</v>
      </c>
      <c r="N13" s="87">
        <v>1</v>
      </c>
      <c r="O13" s="87">
        <v>2</v>
      </c>
      <c r="P13" s="87">
        <v>3</v>
      </c>
      <c r="Q13" s="87">
        <v>2</v>
      </c>
      <c r="R13" s="87">
        <v>2</v>
      </c>
      <c r="S13" s="87">
        <v>2</v>
      </c>
      <c r="T13" s="87">
        <v>3</v>
      </c>
      <c r="U13" s="87">
        <v>4</v>
      </c>
      <c r="V13" s="87">
        <v>1</v>
      </c>
      <c r="W13" s="87">
        <v>1</v>
      </c>
      <c r="X13" s="87">
        <v>1</v>
      </c>
      <c r="Y13" s="87">
        <v>1</v>
      </c>
      <c r="Z13" s="87">
        <v>1</v>
      </c>
    </row>
    <row r="14" spans="1:26" ht="15" x14ac:dyDescent="0.25">
      <c r="B14" s="66"/>
      <c r="C14" s="66"/>
      <c r="F14" s="66"/>
    </row>
    <row r="15" spans="1:26" ht="15" x14ac:dyDescent="0.25">
      <c r="B15" s="66"/>
      <c r="C15" s="66"/>
      <c r="F15" s="66"/>
    </row>
    <row r="16" spans="1:26" ht="15" x14ac:dyDescent="0.25">
      <c r="B16" s="66"/>
      <c r="C16" s="66"/>
    </row>
    <row r="17" spans="2:3" ht="15" x14ac:dyDescent="0.25">
      <c r="B17" s="66"/>
      <c r="C17" s="66"/>
    </row>
    <row r="18" spans="2:3" ht="15" x14ac:dyDescent="0.25">
      <c r="B18" s="66"/>
      <c r="C18" s="66"/>
    </row>
  </sheetData>
  <mergeCells count="2">
    <mergeCell ref="A3:Z3"/>
    <mergeCell ref="A1:Z1"/>
  </mergeCell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9"/>
  <dimension ref="A1:H202"/>
  <sheetViews>
    <sheetView zoomScaleNormal="100" workbookViewId="0">
      <selection activeCell="D162" sqref="D162"/>
    </sheetView>
  </sheetViews>
  <sheetFormatPr baseColWidth="10" defaultRowHeight="12.75" x14ac:dyDescent="0.2"/>
  <cols>
    <col min="1" max="1" width="5" customWidth="1"/>
    <col min="2" max="2" width="7.140625" bestFit="1" customWidth="1"/>
    <col min="3" max="3" width="13.140625" bestFit="1" customWidth="1"/>
    <col min="4" max="4" width="10.7109375" bestFit="1" customWidth="1"/>
    <col min="5" max="5" width="15.42578125" bestFit="1" customWidth="1"/>
    <col min="6" max="6" width="11.42578125" bestFit="1" customWidth="1"/>
    <col min="7" max="7" width="6.42578125" bestFit="1" customWidth="1"/>
  </cols>
  <sheetData>
    <row r="1" spans="2:8" ht="18" customHeight="1" x14ac:dyDescent="0.2">
      <c r="B1" s="177" t="s">
        <v>69</v>
      </c>
      <c r="C1" s="177"/>
      <c r="D1" s="177"/>
      <c r="E1" s="177"/>
      <c r="F1" s="177"/>
      <c r="G1" s="177"/>
    </row>
    <row r="2" spans="2:8" ht="12" customHeight="1" x14ac:dyDescent="0.2"/>
    <row r="3" spans="2:8" ht="21.75" customHeight="1" x14ac:dyDescent="0.2">
      <c r="B3" s="96" t="s">
        <v>39</v>
      </c>
      <c r="C3" s="96" t="s">
        <v>40</v>
      </c>
      <c r="D3" s="96" t="s">
        <v>41</v>
      </c>
      <c r="E3" s="96" t="s">
        <v>42</v>
      </c>
      <c r="F3" s="96" t="s">
        <v>43</v>
      </c>
      <c r="G3" s="96" t="s">
        <v>44</v>
      </c>
    </row>
    <row r="4" spans="2:8" ht="20.100000000000001" hidden="1" customHeight="1" x14ac:dyDescent="0.2">
      <c r="B4" s="17">
        <v>41275</v>
      </c>
      <c r="C4" s="5">
        <v>7</v>
      </c>
      <c r="D4" s="5">
        <v>0</v>
      </c>
      <c r="E4" s="5">
        <v>7</v>
      </c>
      <c r="F4" s="5">
        <v>0</v>
      </c>
      <c r="G4" s="5">
        <f t="shared" ref="G4:G41" si="0">SUM(C4:F4)</f>
        <v>14</v>
      </c>
      <c r="H4" s="1"/>
    </row>
    <row r="5" spans="2:8" ht="20.100000000000001" hidden="1" customHeight="1" x14ac:dyDescent="0.2">
      <c r="B5" s="17">
        <v>41306</v>
      </c>
      <c r="C5" s="5">
        <v>10</v>
      </c>
      <c r="D5" s="5">
        <v>0</v>
      </c>
      <c r="E5" s="5">
        <v>6</v>
      </c>
      <c r="F5" s="5">
        <v>0</v>
      </c>
      <c r="G5" s="5">
        <f t="shared" si="0"/>
        <v>16</v>
      </c>
      <c r="H5" s="1"/>
    </row>
    <row r="6" spans="2:8" ht="20.100000000000001" hidden="1" customHeight="1" x14ac:dyDescent="0.2">
      <c r="B6" s="17">
        <v>41334</v>
      </c>
      <c r="C6" s="5">
        <v>9</v>
      </c>
      <c r="D6" s="5">
        <v>0</v>
      </c>
      <c r="E6" s="5">
        <v>14</v>
      </c>
      <c r="F6" s="5">
        <v>0</v>
      </c>
      <c r="G6" s="5">
        <f t="shared" si="0"/>
        <v>23</v>
      </c>
      <c r="H6" s="1"/>
    </row>
    <row r="7" spans="2:8" ht="20.100000000000001" hidden="1" customHeight="1" x14ac:dyDescent="0.2">
      <c r="B7" s="18">
        <v>41365</v>
      </c>
      <c r="C7" s="5">
        <v>14</v>
      </c>
      <c r="D7" s="5">
        <v>0</v>
      </c>
      <c r="E7" s="5">
        <v>9</v>
      </c>
      <c r="F7" s="5">
        <v>0</v>
      </c>
      <c r="G7" s="5">
        <f t="shared" si="0"/>
        <v>23</v>
      </c>
      <c r="H7" s="1"/>
    </row>
    <row r="8" spans="2:8" ht="20.100000000000001" hidden="1" customHeight="1" x14ac:dyDescent="0.2">
      <c r="B8" s="18">
        <v>41395</v>
      </c>
      <c r="C8" s="19">
        <v>10</v>
      </c>
      <c r="D8" s="19">
        <v>0</v>
      </c>
      <c r="E8" s="19">
        <v>14</v>
      </c>
      <c r="F8" s="19">
        <v>0</v>
      </c>
      <c r="G8" s="5">
        <f t="shared" si="0"/>
        <v>24</v>
      </c>
      <c r="H8" s="1"/>
    </row>
    <row r="9" spans="2:8" ht="20.100000000000001" hidden="1" customHeight="1" x14ac:dyDescent="0.2">
      <c r="B9" s="17">
        <v>41426</v>
      </c>
      <c r="C9" s="5">
        <v>8</v>
      </c>
      <c r="D9" s="5">
        <v>0</v>
      </c>
      <c r="E9" s="5">
        <v>14</v>
      </c>
      <c r="F9" s="5">
        <v>0</v>
      </c>
      <c r="G9" s="5">
        <f t="shared" si="0"/>
        <v>22</v>
      </c>
      <c r="H9" s="1"/>
    </row>
    <row r="10" spans="2:8" ht="20.100000000000001" hidden="1" customHeight="1" x14ac:dyDescent="0.2">
      <c r="B10" s="17">
        <v>41456</v>
      </c>
      <c r="C10" s="5">
        <v>10</v>
      </c>
      <c r="D10" s="5">
        <v>0</v>
      </c>
      <c r="E10" s="5">
        <v>5</v>
      </c>
      <c r="F10" s="5">
        <v>0</v>
      </c>
      <c r="G10" s="5">
        <f t="shared" si="0"/>
        <v>15</v>
      </c>
      <c r="H10" s="1"/>
    </row>
    <row r="11" spans="2:8" ht="20.100000000000001" hidden="1" customHeight="1" x14ac:dyDescent="0.2">
      <c r="B11" s="17">
        <v>41487</v>
      </c>
      <c r="C11" s="5">
        <v>8</v>
      </c>
      <c r="D11" s="5">
        <v>2</v>
      </c>
      <c r="E11" s="5">
        <v>7</v>
      </c>
      <c r="F11" s="5">
        <v>0</v>
      </c>
      <c r="G11" s="5">
        <f t="shared" si="0"/>
        <v>17</v>
      </c>
      <c r="H11" s="1"/>
    </row>
    <row r="12" spans="2:8" ht="20.100000000000001" hidden="1" customHeight="1" x14ac:dyDescent="0.2">
      <c r="B12" s="17">
        <v>41518</v>
      </c>
      <c r="C12" s="5">
        <v>7</v>
      </c>
      <c r="D12" s="5">
        <v>0</v>
      </c>
      <c r="E12" s="5">
        <v>3</v>
      </c>
      <c r="F12" s="5">
        <v>0</v>
      </c>
      <c r="G12" s="5">
        <f t="shared" si="0"/>
        <v>10</v>
      </c>
      <c r="H12" s="1"/>
    </row>
    <row r="13" spans="2:8" ht="20.100000000000001" hidden="1" customHeight="1" x14ac:dyDescent="0.2">
      <c r="B13" s="17">
        <v>41548</v>
      </c>
      <c r="C13" s="5">
        <v>7</v>
      </c>
      <c r="D13" s="5">
        <v>0</v>
      </c>
      <c r="E13" s="5">
        <v>7</v>
      </c>
      <c r="F13" s="5">
        <v>0</v>
      </c>
      <c r="G13" s="5">
        <f t="shared" si="0"/>
        <v>14</v>
      </c>
      <c r="H13" s="1"/>
    </row>
    <row r="14" spans="2:8" ht="20.100000000000001" hidden="1" customHeight="1" x14ac:dyDescent="0.2">
      <c r="B14" s="17">
        <v>41579</v>
      </c>
      <c r="C14" s="5">
        <v>14</v>
      </c>
      <c r="D14" s="5">
        <v>0</v>
      </c>
      <c r="E14" s="5">
        <v>7</v>
      </c>
      <c r="F14" s="5">
        <v>0</v>
      </c>
      <c r="G14" s="5">
        <f t="shared" si="0"/>
        <v>21</v>
      </c>
      <c r="H14" s="1"/>
    </row>
    <row r="15" spans="2:8" ht="20.100000000000001" hidden="1" customHeight="1" x14ac:dyDescent="0.2">
      <c r="B15" s="17">
        <v>41609</v>
      </c>
      <c r="C15" s="5">
        <v>9</v>
      </c>
      <c r="D15" s="5">
        <v>0</v>
      </c>
      <c r="E15" s="5">
        <v>10</v>
      </c>
      <c r="F15" s="5">
        <v>0</v>
      </c>
      <c r="G15" s="5">
        <f t="shared" si="0"/>
        <v>19</v>
      </c>
      <c r="H15" s="1"/>
    </row>
    <row r="16" spans="2:8" ht="20.100000000000001" hidden="1" customHeight="1" x14ac:dyDescent="0.2">
      <c r="B16" s="17">
        <v>41640</v>
      </c>
      <c r="C16" s="5">
        <v>16</v>
      </c>
      <c r="D16" s="5">
        <v>12</v>
      </c>
      <c r="E16" s="5">
        <v>0</v>
      </c>
      <c r="F16" s="5">
        <v>0</v>
      </c>
      <c r="G16" s="5">
        <f t="shared" si="0"/>
        <v>28</v>
      </c>
      <c r="H16" s="1"/>
    </row>
    <row r="17" spans="2:8" ht="20.100000000000001" hidden="1" customHeight="1" x14ac:dyDescent="0.2">
      <c r="B17" s="17">
        <v>41671</v>
      </c>
      <c r="C17" s="5">
        <v>15</v>
      </c>
      <c r="D17" s="5">
        <v>4</v>
      </c>
      <c r="E17" s="5">
        <v>0</v>
      </c>
      <c r="F17" s="5">
        <v>0</v>
      </c>
      <c r="G17" s="5">
        <f t="shared" si="0"/>
        <v>19</v>
      </c>
      <c r="H17" s="1"/>
    </row>
    <row r="18" spans="2:8" ht="20.100000000000001" hidden="1" customHeight="1" x14ac:dyDescent="0.2">
      <c r="B18" s="17">
        <v>41699</v>
      </c>
      <c r="C18" s="5">
        <v>7</v>
      </c>
      <c r="D18" s="5">
        <v>14</v>
      </c>
      <c r="E18" s="5">
        <v>0</v>
      </c>
      <c r="F18" s="5">
        <v>0</v>
      </c>
      <c r="G18" s="5">
        <f t="shared" si="0"/>
        <v>21</v>
      </c>
      <c r="H18" s="1"/>
    </row>
    <row r="19" spans="2:8" ht="20.100000000000001" hidden="1" customHeight="1" x14ac:dyDescent="0.2">
      <c r="B19" s="17">
        <v>41730</v>
      </c>
      <c r="C19" s="5">
        <v>7</v>
      </c>
      <c r="D19" s="5">
        <v>11</v>
      </c>
      <c r="E19" s="5">
        <v>0</v>
      </c>
      <c r="F19" s="5">
        <v>0</v>
      </c>
      <c r="G19" s="5">
        <f t="shared" si="0"/>
        <v>18</v>
      </c>
      <c r="H19" s="1"/>
    </row>
    <row r="20" spans="2:8" ht="20.100000000000001" hidden="1" customHeight="1" x14ac:dyDescent="0.2">
      <c r="B20" s="17">
        <v>41760</v>
      </c>
      <c r="C20" s="5">
        <v>6</v>
      </c>
      <c r="D20" s="5">
        <v>5</v>
      </c>
      <c r="E20" s="5">
        <v>0</v>
      </c>
      <c r="F20" s="5">
        <v>1</v>
      </c>
      <c r="G20" s="5">
        <f t="shared" si="0"/>
        <v>12</v>
      </c>
      <c r="H20" s="1"/>
    </row>
    <row r="21" spans="2:8" ht="20.100000000000001" hidden="1" customHeight="1" x14ac:dyDescent="0.2">
      <c r="B21" s="17">
        <v>41791</v>
      </c>
      <c r="C21" s="5">
        <v>10</v>
      </c>
      <c r="D21" s="5">
        <v>10</v>
      </c>
      <c r="E21" s="5">
        <v>1</v>
      </c>
      <c r="F21" s="5">
        <v>0</v>
      </c>
      <c r="G21" s="5">
        <f t="shared" si="0"/>
        <v>21</v>
      </c>
      <c r="H21" s="1"/>
    </row>
    <row r="22" spans="2:8" ht="20.100000000000001" hidden="1" customHeight="1" x14ac:dyDescent="0.2">
      <c r="B22" s="17">
        <v>41821</v>
      </c>
      <c r="C22" s="5">
        <v>3</v>
      </c>
      <c r="D22" s="5">
        <v>12</v>
      </c>
      <c r="E22" s="5">
        <v>3</v>
      </c>
      <c r="F22" s="5">
        <v>0</v>
      </c>
      <c r="G22" s="5">
        <f t="shared" si="0"/>
        <v>18</v>
      </c>
      <c r="H22" s="1"/>
    </row>
    <row r="23" spans="2:8" ht="20.100000000000001" hidden="1" customHeight="1" x14ac:dyDescent="0.2">
      <c r="B23" s="17">
        <v>41852</v>
      </c>
      <c r="C23" s="5">
        <v>5</v>
      </c>
      <c r="D23" s="5">
        <v>11</v>
      </c>
      <c r="E23" s="5">
        <v>0</v>
      </c>
      <c r="F23" s="5">
        <v>0</v>
      </c>
      <c r="G23" s="5">
        <f t="shared" si="0"/>
        <v>16</v>
      </c>
      <c r="H23" s="1"/>
    </row>
    <row r="24" spans="2:8" ht="20.100000000000001" hidden="1" customHeight="1" x14ac:dyDescent="0.2">
      <c r="B24" s="17">
        <v>41883</v>
      </c>
      <c r="C24" s="5">
        <v>6</v>
      </c>
      <c r="D24" s="5">
        <v>5</v>
      </c>
      <c r="E24" s="5">
        <v>0</v>
      </c>
      <c r="F24" s="5">
        <v>0</v>
      </c>
      <c r="G24" s="5">
        <f t="shared" si="0"/>
        <v>11</v>
      </c>
      <c r="H24" s="1"/>
    </row>
    <row r="25" spans="2:8" ht="20.100000000000001" hidden="1" customHeight="1" x14ac:dyDescent="0.2">
      <c r="B25" s="17">
        <v>41913</v>
      </c>
      <c r="C25" s="5">
        <v>2</v>
      </c>
      <c r="D25" s="5">
        <v>7</v>
      </c>
      <c r="E25" s="5">
        <v>0</v>
      </c>
      <c r="F25" s="5">
        <v>0</v>
      </c>
      <c r="G25" s="5">
        <f t="shared" si="0"/>
        <v>9</v>
      </c>
      <c r="H25" s="1"/>
    </row>
    <row r="26" spans="2:8" ht="20.100000000000001" hidden="1" customHeight="1" x14ac:dyDescent="0.2">
      <c r="B26" s="17">
        <v>41944</v>
      </c>
      <c r="C26" s="5">
        <v>7</v>
      </c>
      <c r="D26" s="5">
        <v>10</v>
      </c>
      <c r="E26" s="5">
        <v>0</v>
      </c>
      <c r="F26" s="5">
        <v>0</v>
      </c>
      <c r="G26" s="5">
        <f t="shared" si="0"/>
        <v>17</v>
      </c>
      <c r="H26" s="1"/>
    </row>
    <row r="27" spans="2:8" ht="20.100000000000001" hidden="1" customHeight="1" x14ac:dyDescent="0.2">
      <c r="B27" s="17">
        <v>41974</v>
      </c>
      <c r="C27" s="5">
        <v>2</v>
      </c>
      <c r="D27" s="5">
        <v>9</v>
      </c>
      <c r="E27" s="5">
        <v>1</v>
      </c>
      <c r="F27" s="5">
        <v>0</v>
      </c>
      <c r="G27" s="5">
        <f t="shared" si="0"/>
        <v>12</v>
      </c>
      <c r="H27" s="1"/>
    </row>
    <row r="28" spans="2:8" ht="20.100000000000001" hidden="1" customHeight="1" x14ac:dyDescent="0.2">
      <c r="B28" s="17">
        <v>42005</v>
      </c>
      <c r="C28" s="5">
        <v>4</v>
      </c>
      <c r="D28" s="5">
        <v>6</v>
      </c>
      <c r="E28" s="5">
        <v>0</v>
      </c>
      <c r="F28" s="5">
        <v>0</v>
      </c>
      <c r="G28" s="5">
        <f t="shared" si="0"/>
        <v>10</v>
      </c>
      <c r="H28" s="1"/>
    </row>
    <row r="29" spans="2:8" ht="20.100000000000001" hidden="1" customHeight="1" x14ac:dyDescent="0.2">
      <c r="B29" s="17">
        <v>42036</v>
      </c>
      <c r="C29" s="5">
        <v>2</v>
      </c>
      <c r="D29" s="5">
        <v>7</v>
      </c>
      <c r="E29" s="5">
        <v>0</v>
      </c>
      <c r="F29" s="5">
        <v>0</v>
      </c>
      <c r="G29" s="5">
        <f t="shared" si="0"/>
        <v>9</v>
      </c>
      <c r="H29" s="1"/>
    </row>
    <row r="30" spans="2:8" ht="20.100000000000001" hidden="1" customHeight="1" x14ac:dyDescent="0.2">
      <c r="B30" s="17">
        <v>42064</v>
      </c>
      <c r="C30" s="5">
        <v>5</v>
      </c>
      <c r="D30" s="5">
        <v>14</v>
      </c>
      <c r="E30" s="5">
        <v>0</v>
      </c>
      <c r="F30" s="5">
        <v>0</v>
      </c>
      <c r="G30" s="5">
        <f t="shared" si="0"/>
        <v>19</v>
      </c>
      <c r="H30" s="1"/>
    </row>
    <row r="31" spans="2:8" ht="20.100000000000001" hidden="1" customHeight="1" x14ac:dyDescent="0.2">
      <c r="B31" s="17">
        <v>42095</v>
      </c>
      <c r="C31" s="5">
        <v>1</v>
      </c>
      <c r="D31" s="5">
        <v>14</v>
      </c>
      <c r="E31" s="5">
        <v>1</v>
      </c>
      <c r="F31" s="5">
        <v>0</v>
      </c>
      <c r="G31" s="5">
        <f t="shared" si="0"/>
        <v>16</v>
      </c>
      <c r="H31" s="1"/>
    </row>
    <row r="32" spans="2:8" ht="20.100000000000001" hidden="1" customHeight="1" x14ac:dyDescent="0.2">
      <c r="B32" s="17">
        <v>42125</v>
      </c>
      <c r="C32" s="5">
        <v>0</v>
      </c>
      <c r="D32" s="5">
        <v>10</v>
      </c>
      <c r="E32" s="5">
        <v>1</v>
      </c>
      <c r="F32" s="5">
        <v>0</v>
      </c>
      <c r="G32" s="5">
        <f t="shared" si="0"/>
        <v>11</v>
      </c>
      <c r="H32" s="1"/>
    </row>
    <row r="33" spans="2:8" ht="20.100000000000001" hidden="1" customHeight="1" x14ac:dyDescent="0.2">
      <c r="B33" s="17">
        <v>42186</v>
      </c>
      <c r="C33" s="5">
        <v>0</v>
      </c>
      <c r="D33" s="5">
        <v>14</v>
      </c>
      <c r="E33" s="5">
        <v>0</v>
      </c>
      <c r="F33" s="5">
        <v>0</v>
      </c>
      <c r="G33" s="5">
        <f t="shared" si="0"/>
        <v>14</v>
      </c>
      <c r="H33" s="1"/>
    </row>
    <row r="34" spans="2:8" ht="20.100000000000001" hidden="1" customHeight="1" x14ac:dyDescent="0.2">
      <c r="B34" s="17">
        <v>42186</v>
      </c>
      <c r="C34" s="5">
        <v>0</v>
      </c>
      <c r="D34" s="5">
        <v>4</v>
      </c>
      <c r="E34" s="5">
        <v>0</v>
      </c>
      <c r="F34" s="5">
        <v>0</v>
      </c>
      <c r="G34" s="5">
        <f t="shared" si="0"/>
        <v>4</v>
      </c>
      <c r="H34" s="1"/>
    </row>
    <row r="35" spans="2:8" ht="20.100000000000001" hidden="1" customHeight="1" x14ac:dyDescent="0.2">
      <c r="B35" s="17">
        <v>42217</v>
      </c>
      <c r="C35" s="5">
        <v>3</v>
      </c>
      <c r="D35" s="5">
        <v>14</v>
      </c>
      <c r="E35" s="5">
        <v>0</v>
      </c>
      <c r="F35" s="5">
        <v>0</v>
      </c>
      <c r="G35" s="5">
        <f t="shared" si="0"/>
        <v>17</v>
      </c>
      <c r="H35" s="1"/>
    </row>
    <row r="36" spans="2:8" ht="20.100000000000001" hidden="1" customHeight="1" x14ac:dyDescent="0.2">
      <c r="B36" s="17">
        <v>42248</v>
      </c>
      <c r="C36" s="5">
        <v>2</v>
      </c>
      <c r="D36" s="5">
        <v>10</v>
      </c>
      <c r="E36" s="5">
        <v>0</v>
      </c>
      <c r="F36" s="5">
        <v>0</v>
      </c>
      <c r="G36" s="5">
        <f t="shared" si="0"/>
        <v>12</v>
      </c>
      <c r="H36" s="1"/>
    </row>
    <row r="37" spans="2:8" ht="20.100000000000001" hidden="1" customHeight="1" x14ac:dyDescent="0.2">
      <c r="B37" s="17">
        <v>42278</v>
      </c>
      <c r="C37" s="5">
        <v>2</v>
      </c>
      <c r="D37" s="5">
        <v>10</v>
      </c>
      <c r="E37" s="5">
        <v>0</v>
      </c>
      <c r="F37" s="5">
        <v>0</v>
      </c>
      <c r="G37" s="5">
        <f t="shared" si="0"/>
        <v>12</v>
      </c>
      <c r="H37" s="1"/>
    </row>
    <row r="38" spans="2:8" ht="20.100000000000001" hidden="1" customHeight="1" x14ac:dyDescent="0.2">
      <c r="B38" s="17">
        <v>42309</v>
      </c>
      <c r="C38" s="5">
        <v>5</v>
      </c>
      <c r="D38" s="5">
        <v>6</v>
      </c>
      <c r="E38" s="5">
        <v>0</v>
      </c>
      <c r="F38" s="5">
        <v>0</v>
      </c>
      <c r="G38" s="5">
        <f t="shared" si="0"/>
        <v>11</v>
      </c>
      <c r="H38" s="1"/>
    </row>
    <row r="39" spans="2:8" ht="20.100000000000001" hidden="1" customHeight="1" x14ac:dyDescent="0.2">
      <c r="B39" s="17">
        <v>42339</v>
      </c>
      <c r="C39" s="5">
        <v>5</v>
      </c>
      <c r="D39" s="5">
        <v>7</v>
      </c>
      <c r="E39" s="5">
        <v>0</v>
      </c>
      <c r="F39" s="5">
        <v>0</v>
      </c>
      <c r="G39" s="5">
        <f t="shared" si="0"/>
        <v>12</v>
      </c>
      <c r="H39" s="1"/>
    </row>
    <row r="40" spans="2:8" ht="20.100000000000001" hidden="1" customHeight="1" x14ac:dyDescent="0.2">
      <c r="B40" s="17">
        <v>42370</v>
      </c>
      <c r="C40" s="5">
        <v>1</v>
      </c>
      <c r="D40" s="5">
        <v>8</v>
      </c>
      <c r="E40" s="5">
        <v>1</v>
      </c>
      <c r="F40" s="5">
        <v>1</v>
      </c>
      <c r="G40" s="5">
        <f t="shared" si="0"/>
        <v>11</v>
      </c>
      <c r="H40" s="1"/>
    </row>
    <row r="41" spans="2:8" ht="20.100000000000001" hidden="1" customHeight="1" x14ac:dyDescent="0.2">
      <c r="B41" s="17">
        <v>42401</v>
      </c>
      <c r="C41" s="5">
        <v>2</v>
      </c>
      <c r="D41" s="5">
        <v>6</v>
      </c>
      <c r="E41" s="5">
        <v>0</v>
      </c>
      <c r="F41" s="5">
        <v>0</v>
      </c>
      <c r="G41" s="5">
        <f t="shared" si="0"/>
        <v>8</v>
      </c>
      <c r="H41" s="1"/>
    </row>
    <row r="42" spans="2:8" ht="20.100000000000001" hidden="1" customHeight="1" x14ac:dyDescent="0.2">
      <c r="B42" s="17">
        <v>42430</v>
      </c>
      <c r="C42" s="5">
        <v>0</v>
      </c>
      <c r="D42" s="5">
        <v>6</v>
      </c>
      <c r="E42" s="5">
        <v>0</v>
      </c>
      <c r="F42" s="5">
        <v>0</v>
      </c>
      <c r="G42" s="5">
        <f t="shared" ref="G42:G51" si="1">SUM(C42:F42)</f>
        <v>6</v>
      </c>
      <c r="H42" s="1"/>
    </row>
    <row r="43" spans="2:8" ht="20.100000000000001" hidden="1" customHeight="1" x14ac:dyDescent="0.2">
      <c r="B43" s="17">
        <v>42461</v>
      </c>
      <c r="C43" s="5">
        <v>2</v>
      </c>
      <c r="D43" s="5">
        <v>6</v>
      </c>
      <c r="E43" s="5">
        <v>0</v>
      </c>
      <c r="F43" s="5">
        <v>0</v>
      </c>
      <c r="G43" s="5">
        <f t="shared" si="1"/>
        <v>8</v>
      </c>
      <c r="H43" s="1"/>
    </row>
    <row r="44" spans="2:8" ht="20.100000000000001" hidden="1" customHeight="1" x14ac:dyDescent="0.2">
      <c r="B44" s="17">
        <v>42491</v>
      </c>
      <c r="C44" s="5">
        <v>4</v>
      </c>
      <c r="D44" s="5">
        <v>18</v>
      </c>
      <c r="E44" s="5">
        <v>0</v>
      </c>
      <c r="F44" s="5">
        <v>0</v>
      </c>
      <c r="G44" s="5">
        <f t="shared" si="1"/>
        <v>22</v>
      </c>
      <c r="H44" s="1"/>
    </row>
    <row r="45" spans="2:8" ht="20.100000000000001" hidden="1" customHeight="1" x14ac:dyDescent="0.2">
      <c r="B45" s="17">
        <v>42522</v>
      </c>
      <c r="C45" s="5">
        <v>3</v>
      </c>
      <c r="D45" s="5">
        <v>4</v>
      </c>
      <c r="E45" s="5">
        <v>0</v>
      </c>
      <c r="F45" s="5">
        <v>0</v>
      </c>
      <c r="G45" s="5">
        <f t="shared" si="1"/>
        <v>7</v>
      </c>
      <c r="H45" s="1"/>
    </row>
    <row r="46" spans="2:8" ht="20.100000000000001" hidden="1" customHeight="1" x14ac:dyDescent="0.2">
      <c r="B46" s="18">
        <v>42552</v>
      </c>
      <c r="C46" s="19">
        <v>0</v>
      </c>
      <c r="D46" s="19">
        <v>16</v>
      </c>
      <c r="E46" s="19">
        <v>0</v>
      </c>
      <c r="F46" s="19">
        <v>0</v>
      </c>
      <c r="G46" s="19">
        <f t="shared" si="1"/>
        <v>16</v>
      </c>
      <c r="H46" s="1"/>
    </row>
    <row r="47" spans="2:8" ht="20.100000000000001" hidden="1" customHeight="1" x14ac:dyDescent="0.2">
      <c r="B47" s="18">
        <v>42583</v>
      </c>
      <c r="C47" s="62">
        <v>0</v>
      </c>
      <c r="D47" s="19">
        <v>14</v>
      </c>
      <c r="E47" s="19">
        <v>0</v>
      </c>
      <c r="F47" s="63">
        <v>0</v>
      </c>
      <c r="G47" s="63">
        <f t="shared" si="1"/>
        <v>14</v>
      </c>
      <c r="H47" s="1"/>
    </row>
    <row r="48" spans="2:8" ht="20.100000000000001" hidden="1" customHeight="1" x14ac:dyDescent="0.2">
      <c r="B48" s="17">
        <v>42614</v>
      </c>
      <c r="C48" s="5">
        <v>0</v>
      </c>
      <c r="D48" s="5">
        <v>21</v>
      </c>
      <c r="E48" s="5">
        <v>0</v>
      </c>
      <c r="F48" s="5">
        <v>0</v>
      </c>
      <c r="G48" s="5">
        <f t="shared" si="1"/>
        <v>21</v>
      </c>
      <c r="H48" s="1"/>
    </row>
    <row r="49" spans="2:8" ht="20.100000000000001" hidden="1" customHeight="1" x14ac:dyDescent="0.2">
      <c r="B49" s="17">
        <v>42644</v>
      </c>
      <c r="C49" s="5">
        <v>0</v>
      </c>
      <c r="D49" s="5">
        <v>16</v>
      </c>
      <c r="E49" s="5">
        <v>0</v>
      </c>
      <c r="F49" s="5">
        <v>0</v>
      </c>
      <c r="G49" s="5">
        <f t="shared" si="1"/>
        <v>16</v>
      </c>
      <c r="H49" s="1"/>
    </row>
    <row r="50" spans="2:8" ht="20.100000000000001" hidden="1" customHeight="1" x14ac:dyDescent="0.2">
      <c r="B50" s="17">
        <v>42675</v>
      </c>
      <c r="C50" s="5">
        <v>0</v>
      </c>
      <c r="D50" s="5">
        <v>18</v>
      </c>
      <c r="E50" s="5">
        <v>0</v>
      </c>
      <c r="F50" s="5">
        <v>0</v>
      </c>
      <c r="G50" s="5">
        <f t="shared" si="1"/>
        <v>18</v>
      </c>
      <c r="H50" s="1"/>
    </row>
    <row r="51" spans="2:8" ht="20.100000000000001" hidden="1" customHeight="1" x14ac:dyDescent="0.2">
      <c r="B51" s="17">
        <v>42705</v>
      </c>
      <c r="C51" s="5">
        <v>0</v>
      </c>
      <c r="D51" s="5">
        <v>9</v>
      </c>
      <c r="E51" s="5">
        <v>0</v>
      </c>
      <c r="F51" s="5">
        <v>0</v>
      </c>
      <c r="G51" s="5">
        <f t="shared" si="1"/>
        <v>9</v>
      </c>
      <c r="H51" s="1"/>
    </row>
    <row r="52" spans="2:8" ht="20.100000000000001" hidden="1" customHeight="1" x14ac:dyDescent="0.2">
      <c r="B52" s="17">
        <v>42736</v>
      </c>
      <c r="C52" s="5">
        <v>0</v>
      </c>
      <c r="D52" s="5">
        <v>11</v>
      </c>
      <c r="E52" s="5">
        <v>0</v>
      </c>
      <c r="F52" s="5">
        <v>0</v>
      </c>
      <c r="G52" s="5">
        <f t="shared" ref="G52:G57" si="2">SUM(C52:F52)</f>
        <v>11</v>
      </c>
      <c r="H52" s="1"/>
    </row>
    <row r="53" spans="2:8" ht="20.100000000000001" hidden="1" customHeight="1" x14ac:dyDescent="0.2">
      <c r="B53" s="17">
        <v>42767</v>
      </c>
      <c r="C53" s="5">
        <v>0</v>
      </c>
      <c r="D53" s="5">
        <v>7</v>
      </c>
      <c r="E53" s="5">
        <v>0</v>
      </c>
      <c r="F53" s="5">
        <v>0</v>
      </c>
      <c r="G53" s="5">
        <f t="shared" si="2"/>
        <v>7</v>
      </c>
      <c r="H53" s="1"/>
    </row>
    <row r="54" spans="2:8" ht="20.100000000000001" hidden="1" customHeight="1" x14ac:dyDescent="0.2">
      <c r="B54" s="17">
        <v>42795</v>
      </c>
      <c r="C54" s="5">
        <v>0</v>
      </c>
      <c r="D54" s="5">
        <v>18</v>
      </c>
      <c r="E54" s="5">
        <v>0</v>
      </c>
      <c r="F54" s="5">
        <v>0</v>
      </c>
      <c r="G54" s="5">
        <f t="shared" si="2"/>
        <v>18</v>
      </c>
      <c r="H54" s="1"/>
    </row>
    <row r="55" spans="2:8" ht="20.100000000000001" hidden="1" customHeight="1" x14ac:dyDescent="0.2">
      <c r="B55" s="17">
        <v>42826</v>
      </c>
      <c r="C55" s="5">
        <v>0</v>
      </c>
      <c r="D55" s="5">
        <v>8</v>
      </c>
      <c r="E55" s="5">
        <v>0</v>
      </c>
      <c r="F55" s="5">
        <v>0</v>
      </c>
      <c r="G55" s="5">
        <f t="shared" si="2"/>
        <v>8</v>
      </c>
      <c r="H55" s="1"/>
    </row>
    <row r="56" spans="2:8" ht="20.100000000000001" hidden="1" customHeight="1" x14ac:dyDescent="0.2">
      <c r="B56" s="17">
        <v>42856</v>
      </c>
      <c r="C56" s="5">
        <v>0</v>
      </c>
      <c r="D56" s="5">
        <v>12</v>
      </c>
      <c r="E56" s="5">
        <v>0</v>
      </c>
      <c r="F56" s="5">
        <v>0</v>
      </c>
      <c r="G56" s="5">
        <f t="shared" si="2"/>
        <v>12</v>
      </c>
      <c r="H56" s="1"/>
    </row>
    <row r="57" spans="2:8" ht="20.100000000000001" hidden="1" customHeight="1" x14ac:dyDescent="0.2">
      <c r="B57" s="17">
        <v>42887</v>
      </c>
      <c r="C57" s="5">
        <v>0</v>
      </c>
      <c r="D57" s="5">
        <v>10</v>
      </c>
      <c r="E57" s="5">
        <v>0</v>
      </c>
      <c r="F57" s="5">
        <v>0</v>
      </c>
      <c r="G57" s="5">
        <f t="shared" si="2"/>
        <v>10</v>
      </c>
      <c r="H57" s="1"/>
    </row>
    <row r="58" spans="2:8" ht="20.100000000000001" hidden="1" customHeight="1" x14ac:dyDescent="0.2">
      <c r="B58" s="17">
        <v>42917</v>
      </c>
      <c r="C58" s="5">
        <v>0</v>
      </c>
      <c r="D58" s="5">
        <v>11</v>
      </c>
      <c r="E58" s="5">
        <v>0</v>
      </c>
      <c r="F58" s="5">
        <v>1</v>
      </c>
      <c r="G58" s="5">
        <f t="shared" ref="G58:G89" si="3">SUM(C58:F58)</f>
        <v>12</v>
      </c>
      <c r="H58" s="1"/>
    </row>
    <row r="59" spans="2:8" ht="20.100000000000001" hidden="1" customHeight="1" x14ac:dyDescent="0.2">
      <c r="B59" s="17">
        <v>42948</v>
      </c>
      <c r="C59" s="5">
        <v>0</v>
      </c>
      <c r="D59" s="5">
        <v>9</v>
      </c>
      <c r="E59" s="5">
        <v>1</v>
      </c>
      <c r="F59" s="5">
        <v>0</v>
      </c>
      <c r="G59" s="5">
        <f t="shared" si="3"/>
        <v>10</v>
      </c>
      <c r="H59" s="1"/>
    </row>
    <row r="60" spans="2:8" ht="20.100000000000001" hidden="1" customHeight="1" x14ac:dyDescent="0.2">
      <c r="B60" s="17">
        <v>42979</v>
      </c>
      <c r="C60" s="5">
        <v>0</v>
      </c>
      <c r="D60" s="5">
        <v>20</v>
      </c>
      <c r="E60" s="5">
        <v>0</v>
      </c>
      <c r="F60" s="5">
        <v>0</v>
      </c>
      <c r="G60" s="5">
        <f t="shared" si="3"/>
        <v>20</v>
      </c>
      <c r="H60" s="1"/>
    </row>
    <row r="61" spans="2:8" ht="20.100000000000001" hidden="1" customHeight="1" x14ac:dyDescent="0.2">
      <c r="B61" s="17">
        <v>43009</v>
      </c>
      <c r="C61" s="5">
        <v>0</v>
      </c>
      <c r="D61" s="5">
        <v>11</v>
      </c>
      <c r="E61" s="5">
        <v>0</v>
      </c>
      <c r="F61" s="5">
        <v>0</v>
      </c>
      <c r="G61" s="5">
        <f t="shared" si="3"/>
        <v>11</v>
      </c>
      <c r="H61" s="1"/>
    </row>
    <row r="62" spans="2:8" ht="20.100000000000001" hidden="1" customHeight="1" x14ac:dyDescent="0.2">
      <c r="B62" s="17">
        <v>43040</v>
      </c>
      <c r="C62" s="5">
        <v>0</v>
      </c>
      <c r="D62" s="5">
        <v>19</v>
      </c>
      <c r="E62" s="5">
        <v>0</v>
      </c>
      <c r="F62" s="5">
        <v>0</v>
      </c>
      <c r="G62" s="5">
        <f t="shared" si="3"/>
        <v>19</v>
      </c>
      <c r="H62" s="1"/>
    </row>
    <row r="63" spans="2:8" ht="20.100000000000001" hidden="1" customHeight="1" x14ac:dyDescent="0.2">
      <c r="B63" s="17">
        <v>43070</v>
      </c>
      <c r="C63" s="5">
        <v>0</v>
      </c>
      <c r="D63" s="5">
        <v>13</v>
      </c>
      <c r="E63" s="5">
        <v>0</v>
      </c>
      <c r="F63" s="5">
        <v>0</v>
      </c>
      <c r="G63" s="5">
        <f t="shared" si="3"/>
        <v>13</v>
      </c>
      <c r="H63" s="1"/>
    </row>
    <row r="64" spans="2:8" ht="20.100000000000001" hidden="1" customHeight="1" x14ac:dyDescent="0.2">
      <c r="B64" s="17">
        <v>43101</v>
      </c>
      <c r="C64" s="5">
        <v>0</v>
      </c>
      <c r="D64" s="5">
        <v>4</v>
      </c>
      <c r="E64" s="5">
        <v>0</v>
      </c>
      <c r="F64" s="5">
        <v>0</v>
      </c>
      <c r="G64" s="5">
        <f t="shared" si="3"/>
        <v>4</v>
      </c>
      <c r="H64" s="1"/>
    </row>
    <row r="65" spans="2:8" ht="20.100000000000001" hidden="1" customHeight="1" x14ac:dyDescent="0.2">
      <c r="B65" s="17">
        <v>43132</v>
      </c>
      <c r="C65" s="5">
        <v>0</v>
      </c>
      <c r="D65" s="5">
        <v>10</v>
      </c>
      <c r="E65" s="5">
        <v>0</v>
      </c>
      <c r="F65" s="5">
        <v>0</v>
      </c>
      <c r="G65" s="5">
        <f t="shared" si="3"/>
        <v>10</v>
      </c>
      <c r="H65" s="1"/>
    </row>
    <row r="66" spans="2:8" ht="20.100000000000001" hidden="1" customHeight="1" x14ac:dyDescent="0.2">
      <c r="B66" s="17">
        <v>43160</v>
      </c>
      <c r="C66" s="5">
        <v>0</v>
      </c>
      <c r="D66" s="5">
        <v>14</v>
      </c>
      <c r="E66" s="5">
        <v>0</v>
      </c>
      <c r="F66" s="5">
        <v>0</v>
      </c>
      <c r="G66" s="5">
        <f t="shared" si="3"/>
        <v>14</v>
      </c>
      <c r="H66" s="1"/>
    </row>
    <row r="67" spans="2:8" ht="20.100000000000001" hidden="1" customHeight="1" x14ac:dyDescent="0.2">
      <c r="B67" s="17">
        <v>43191</v>
      </c>
      <c r="C67" s="5">
        <v>0</v>
      </c>
      <c r="D67" s="5">
        <v>19</v>
      </c>
      <c r="E67" s="5">
        <v>0</v>
      </c>
      <c r="F67" s="5">
        <v>0</v>
      </c>
      <c r="G67" s="5">
        <f t="shared" si="3"/>
        <v>19</v>
      </c>
      <c r="H67" s="1"/>
    </row>
    <row r="68" spans="2:8" ht="20.100000000000001" hidden="1" customHeight="1" x14ac:dyDescent="0.2">
      <c r="B68" s="17">
        <v>43221</v>
      </c>
      <c r="C68" s="5">
        <v>12</v>
      </c>
      <c r="D68" s="5">
        <v>0</v>
      </c>
      <c r="E68" s="5">
        <v>0</v>
      </c>
      <c r="F68" s="5">
        <v>1</v>
      </c>
      <c r="G68" s="5">
        <f t="shared" si="3"/>
        <v>13</v>
      </c>
      <c r="H68" s="1"/>
    </row>
    <row r="69" spans="2:8" ht="20.100000000000001" hidden="1" customHeight="1" x14ac:dyDescent="0.2">
      <c r="B69" s="17">
        <v>43252</v>
      </c>
      <c r="C69" s="5">
        <v>12</v>
      </c>
      <c r="D69" s="5">
        <v>0</v>
      </c>
      <c r="E69" s="5">
        <v>0</v>
      </c>
      <c r="F69" s="5">
        <v>0</v>
      </c>
      <c r="G69" s="5">
        <f t="shared" si="3"/>
        <v>12</v>
      </c>
      <c r="H69" s="1"/>
    </row>
    <row r="70" spans="2:8" ht="20.100000000000001" hidden="1" customHeight="1" x14ac:dyDescent="0.2">
      <c r="B70" s="17">
        <v>43282</v>
      </c>
      <c r="C70" s="5">
        <v>0</v>
      </c>
      <c r="D70" s="5">
        <v>12</v>
      </c>
      <c r="E70" s="5">
        <v>0</v>
      </c>
      <c r="F70" s="5">
        <v>0</v>
      </c>
      <c r="G70" s="5">
        <f t="shared" si="3"/>
        <v>12</v>
      </c>
      <c r="H70" s="1"/>
    </row>
    <row r="71" spans="2:8" ht="20.100000000000001" hidden="1" customHeight="1" x14ac:dyDescent="0.2">
      <c r="B71" s="17">
        <v>43313</v>
      </c>
      <c r="C71" s="5">
        <v>0</v>
      </c>
      <c r="D71" s="5">
        <v>7</v>
      </c>
      <c r="E71" s="5">
        <v>0</v>
      </c>
      <c r="F71" s="5">
        <v>0</v>
      </c>
      <c r="G71" s="5">
        <f t="shared" si="3"/>
        <v>7</v>
      </c>
      <c r="H71" s="1"/>
    </row>
    <row r="72" spans="2:8" ht="20.100000000000001" hidden="1" customHeight="1" x14ac:dyDescent="0.2">
      <c r="B72" s="17">
        <v>43344</v>
      </c>
      <c r="C72" s="5">
        <v>0</v>
      </c>
      <c r="D72" s="5">
        <v>6</v>
      </c>
      <c r="E72" s="5">
        <v>0</v>
      </c>
      <c r="F72" s="5">
        <v>0</v>
      </c>
      <c r="G72" s="5">
        <f t="shared" si="3"/>
        <v>6</v>
      </c>
      <c r="H72" s="1"/>
    </row>
    <row r="73" spans="2:8" ht="20.100000000000001" hidden="1" customHeight="1" x14ac:dyDescent="0.2">
      <c r="B73" s="17">
        <v>43374</v>
      </c>
      <c r="C73" s="5">
        <v>0</v>
      </c>
      <c r="D73" s="5">
        <v>11</v>
      </c>
      <c r="E73" s="5">
        <v>0</v>
      </c>
      <c r="F73" s="5">
        <v>0</v>
      </c>
      <c r="G73" s="5">
        <f t="shared" si="3"/>
        <v>11</v>
      </c>
      <c r="H73" s="1"/>
    </row>
    <row r="74" spans="2:8" ht="20.100000000000001" hidden="1" customHeight="1" x14ac:dyDescent="0.2">
      <c r="B74" s="17">
        <v>43405</v>
      </c>
      <c r="C74" s="5">
        <v>0</v>
      </c>
      <c r="D74" s="5">
        <v>6</v>
      </c>
      <c r="E74" s="5">
        <v>0</v>
      </c>
      <c r="F74" s="5">
        <v>0</v>
      </c>
      <c r="G74" s="5">
        <f t="shared" si="3"/>
        <v>6</v>
      </c>
      <c r="H74" s="1"/>
    </row>
    <row r="75" spans="2:8" ht="20.100000000000001" hidden="1" customHeight="1" x14ac:dyDescent="0.2">
      <c r="B75" s="17">
        <v>43435</v>
      </c>
      <c r="C75" s="5">
        <v>0</v>
      </c>
      <c r="D75" s="5">
        <v>6</v>
      </c>
      <c r="E75" s="5">
        <v>0</v>
      </c>
      <c r="F75" s="5">
        <v>0</v>
      </c>
      <c r="G75" s="5">
        <f t="shared" si="3"/>
        <v>6</v>
      </c>
      <c r="H75" s="1"/>
    </row>
    <row r="76" spans="2:8" ht="20.100000000000001" hidden="1" customHeight="1" x14ac:dyDescent="0.2">
      <c r="B76" s="17">
        <v>43466</v>
      </c>
      <c r="C76" s="5">
        <v>0</v>
      </c>
      <c r="D76" s="5">
        <v>0</v>
      </c>
      <c r="E76" s="5">
        <v>0</v>
      </c>
      <c r="F76" s="5">
        <v>0</v>
      </c>
      <c r="G76" s="5">
        <f t="shared" si="3"/>
        <v>0</v>
      </c>
      <c r="H76" s="1"/>
    </row>
    <row r="77" spans="2:8" ht="20.100000000000001" hidden="1" customHeight="1" x14ac:dyDescent="0.2">
      <c r="B77" s="17">
        <v>43497</v>
      </c>
      <c r="C77" s="5">
        <v>0</v>
      </c>
      <c r="D77" s="5">
        <v>5</v>
      </c>
      <c r="E77" s="5">
        <v>0</v>
      </c>
      <c r="F77" s="5">
        <v>0</v>
      </c>
      <c r="G77" s="5">
        <f t="shared" si="3"/>
        <v>5</v>
      </c>
      <c r="H77" s="1"/>
    </row>
    <row r="78" spans="2:8" ht="20.100000000000001" hidden="1" customHeight="1" x14ac:dyDescent="0.2">
      <c r="B78" s="17">
        <v>43525</v>
      </c>
      <c r="C78" s="5">
        <v>0</v>
      </c>
      <c r="D78" s="5">
        <v>9</v>
      </c>
      <c r="E78" s="5">
        <v>0</v>
      </c>
      <c r="F78" s="5">
        <v>0</v>
      </c>
      <c r="G78" s="5">
        <f t="shared" si="3"/>
        <v>9</v>
      </c>
      <c r="H78" s="1"/>
    </row>
    <row r="79" spans="2:8" ht="20.100000000000001" hidden="1" customHeight="1" x14ac:dyDescent="0.2">
      <c r="B79" s="17">
        <v>43556</v>
      </c>
      <c r="C79" s="5">
        <v>0</v>
      </c>
      <c r="D79" s="5">
        <v>8</v>
      </c>
      <c r="E79" s="5">
        <v>0</v>
      </c>
      <c r="F79" s="5">
        <v>0</v>
      </c>
      <c r="G79" s="5">
        <f t="shared" si="3"/>
        <v>8</v>
      </c>
      <c r="H79" s="1"/>
    </row>
    <row r="80" spans="2:8" ht="20.100000000000001" hidden="1" customHeight="1" x14ac:dyDescent="0.2">
      <c r="B80" s="17">
        <v>43586</v>
      </c>
      <c r="C80" s="5">
        <v>0</v>
      </c>
      <c r="D80" s="5">
        <v>14</v>
      </c>
      <c r="E80" s="5">
        <v>0</v>
      </c>
      <c r="F80" s="5">
        <v>0</v>
      </c>
      <c r="G80" s="5">
        <f t="shared" si="3"/>
        <v>14</v>
      </c>
      <c r="H80" s="1"/>
    </row>
    <row r="81" spans="2:8" ht="20.100000000000001" hidden="1" customHeight="1" x14ac:dyDescent="0.2">
      <c r="B81" s="17">
        <v>43617</v>
      </c>
      <c r="C81" s="5">
        <v>0</v>
      </c>
      <c r="D81" s="5">
        <v>6</v>
      </c>
      <c r="E81" s="5">
        <v>0</v>
      </c>
      <c r="F81" s="5">
        <v>0</v>
      </c>
      <c r="G81" s="5">
        <f t="shared" si="3"/>
        <v>6</v>
      </c>
      <c r="H81" s="1"/>
    </row>
    <row r="82" spans="2:8" ht="20.100000000000001" hidden="1" customHeight="1" x14ac:dyDescent="0.2">
      <c r="B82" s="17">
        <v>43647</v>
      </c>
      <c r="C82" s="5">
        <v>0</v>
      </c>
      <c r="D82" s="5">
        <v>7</v>
      </c>
      <c r="E82" s="5">
        <v>1</v>
      </c>
      <c r="F82" s="5">
        <v>0</v>
      </c>
      <c r="G82" s="5">
        <f t="shared" si="3"/>
        <v>8</v>
      </c>
      <c r="H82" s="1"/>
    </row>
    <row r="83" spans="2:8" ht="20.100000000000001" hidden="1" customHeight="1" x14ac:dyDescent="0.2">
      <c r="B83" s="17">
        <v>43678</v>
      </c>
      <c r="C83" s="5">
        <v>0</v>
      </c>
      <c r="D83" s="5">
        <v>5</v>
      </c>
      <c r="E83" s="5">
        <v>0</v>
      </c>
      <c r="F83" s="5">
        <v>0</v>
      </c>
      <c r="G83" s="5">
        <f t="shared" si="3"/>
        <v>5</v>
      </c>
      <c r="H83" s="1"/>
    </row>
    <row r="84" spans="2:8" ht="20.100000000000001" hidden="1" customHeight="1" x14ac:dyDescent="0.2">
      <c r="B84" s="17">
        <v>43709</v>
      </c>
      <c r="C84" s="5">
        <v>0</v>
      </c>
      <c r="D84" s="5">
        <v>2</v>
      </c>
      <c r="E84" s="5">
        <v>3</v>
      </c>
      <c r="F84" s="5">
        <v>0</v>
      </c>
      <c r="G84" s="5">
        <f t="shared" si="3"/>
        <v>5</v>
      </c>
      <c r="H84" s="1"/>
    </row>
    <row r="85" spans="2:8" ht="20.100000000000001" hidden="1" customHeight="1" x14ac:dyDescent="0.2">
      <c r="B85" s="17">
        <v>43739</v>
      </c>
      <c r="C85" s="5">
        <v>0</v>
      </c>
      <c r="D85" s="5">
        <v>4</v>
      </c>
      <c r="E85" s="5">
        <v>1</v>
      </c>
      <c r="F85" s="5">
        <v>0</v>
      </c>
      <c r="G85" s="5">
        <f t="shared" si="3"/>
        <v>5</v>
      </c>
      <c r="H85" s="1"/>
    </row>
    <row r="86" spans="2:8" ht="20.100000000000001" hidden="1" customHeight="1" x14ac:dyDescent="0.2">
      <c r="B86" s="17">
        <v>43770</v>
      </c>
      <c r="C86" s="5">
        <v>0</v>
      </c>
      <c r="D86" s="5">
        <v>8</v>
      </c>
      <c r="E86" s="5">
        <v>0</v>
      </c>
      <c r="F86" s="5">
        <v>0</v>
      </c>
      <c r="G86" s="5">
        <f t="shared" si="3"/>
        <v>8</v>
      </c>
      <c r="H86" s="1"/>
    </row>
    <row r="87" spans="2:8" ht="20.100000000000001" hidden="1" customHeight="1" x14ac:dyDescent="0.2">
      <c r="B87" s="17">
        <v>43800</v>
      </c>
      <c r="C87" s="5">
        <v>0</v>
      </c>
      <c r="D87" s="5">
        <v>6</v>
      </c>
      <c r="E87" s="5">
        <v>0</v>
      </c>
      <c r="F87" s="5">
        <v>0</v>
      </c>
      <c r="G87" s="5">
        <f t="shared" si="3"/>
        <v>6</v>
      </c>
      <c r="H87" s="1"/>
    </row>
    <row r="88" spans="2:8" ht="20.100000000000001" hidden="1" customHeight="1" x14ac:dyDescent="0.2">
      <c r="B88" s="17">
        <v>43831</v>
      </c>
      <c r="C88" s="5">
        <v>0</v>
      </c>
      <c r="D88" s="5">
        <v>4</v>
      </c>
      <c r="E88" s="5">
        <v>3</v>
      </c>
      <c r="F88" s="5">
        <v>0</v>
      </c>
      <c r="G88" s="5">
        <f>SUM(C88:F88)</f>
        <v>7</v>
      </c>
      <c r="H88" s="1"/>
    </row>
    <row r="89" spans="2:8" ht="20.100000000000001" hidden="1" customHeight="1" x14ac:dyDescent="0.2">
      <c r="B89" s="17">
        <v>43862</v>
      </c>
      <c r="C89" s="5">
        <v>0</v>
      </c>
      <c r="D89" s="5">
        <v>4</v>
      </c>
      <c r="E89" s="5">
        <v>1</v>
      </c>
      <c r="F89" s="5">
        <v>0</v>
      </c>
      <c r="G89" s="5">
        <f t="shared" si="3"/>
        <v>5</v>
      </c>
      <c r="H89" s="1"/>
    </row>
    <row r="90" spans="2:8" ht="20.100000000000001" hidden="1" customHeight="1" x14ac:dyDescent="0.2">
      <c r="B90" s="17">
        <v>43891</v>
      </c>
      <c r="C90" s="5">
        <v>0</v>
      </c>
      <c r="D90" s="5">
        <v>1</v>
      </c>
      <c r="E90" s="5">
        <v>0</v>
      </c>
      <c r="F90" s="5">
        <v>0</v>
      </c>
      <c r="G90" s="5">
        <f t="shared" ref="G90:G95" si="4">SUM(C90:F90)</f>
        <v>1</v>
      </c>
      <c r="H90" s="1"/>
    </row>
    <row r="91" spans="2:8" ht="20.100000000000001" hidden="1" customHeight="1" x14ac:dyDescent="0.2">
      <c r="B91" s="17">
        <v>43922</v>
      </c>
      <c r="C91" s="5">
        <v>0</v>
      </c>
      <c r="D91" s="5">
        <v>0</v>
      </c>
      <c r="E91" s="5">
        <v>0</v>
      </c>
      <c r="F91" s="5">
        <v>0</v>
      </c>
      <c r="G91" s="5">
        <f t="shared" si="4"/>
        <v>0</v>
      </c>
      <c r="H91" s="1"/>
    </row>
    <row r="92" spans="2:8" ht="20.100000000000001" hidden="1" customHeight="1" x14ac:dyDescent="0.2">
      <c r="B92" s="17">
        <v>43952</v>
      </c>
      <c r="C92" s="5">
        <v>0</v>
      </c>
      <c r="D92" s="5">
        <v>3</v>
      </c>
      <c r="E92" s="5">
        <v>0</v>
      </c>
      <c r="F92" s="5">
        <v>0</v>
      </c>
      <c r="G92" s="5">
        <f t="shared" si="4"/>
        <v>3</v>
      </c>
      <c r="H92" s="1"/>
    </row>
    <row r="93" spans="2:8" ht="20.100000000000001" hidden="1" customHeight="1" x14ac:dyDescent="0.2">
      <c r="B93" s="17">
        <v>44018</v>
      </c>
      <c r="C93" s="5">
        <v>0</v>
      </c>
      <c r="D93" s="5">
        <v>2</v>
      </c>
      <c r="E93" s="5">
        <v>0</v>
      </c>
      <c r="F93" s="5">
        <v>0</v>
      </c>
      <c r="G93" s="5">
        <f t="shared" si="4"/>
        <v>2</v>
      </c>
      <c r="H93" s="1"/>
    </row>
    <row r="94" spans="2:8" ht="20.100000000000001" hidden="1" customHeight="1" x14ac:dyDescent="0.2">
      <c r="B94" s="17">
        <v>44013</v>
      </c>
      <c r="C94" s="5">
        <v>0</v>
      </c>
      <c r="D94" s="5">
        <v>0</v>
      </c>
      <c r="E94" s="5">
        <v>2</v>
      </c>
      <c r="F94" s="5">
        <v>0</v>
      </c>
      <c r="G94" s="5">
        <f t="shared" si="4"/>
        <v>2</v>
      </c>
      <c r="H94" s="1"/>
    </row>
    <row r="95" spans="2:8" ht="20.100000000000001" hidden="1" customHeight="1" x14ac:dyDescent="0.2">
      <c r="B95" s="17">
        <v>44044</v>
      </c>
      <c r="C95" s="5">
        <v>0</v>
      </c>
      <c r="D95" s="5">
        <v>0</v>
      </c>
      <c r="E95" s="5">
        <v>2</v>
      </c>
      <c r="F95" s="5">
        <v>0</v>
      </c>
      <c r="G95" s="5">
        <f t="shared" si="4"/>
        <v>2</v>
      </c>
      <c r="H95" s="1"/>
    </row>
    <row r="96" spans="2:8" ht="20.100000000000001" hidden="1" customHeight="1" x14ac:dyDescent="0.2">
      <c r="B96" s="17">
        <v>44075</v>
      </c>
      <c r="C96" s="5">
        <v>0</v>
      </c>
      <c r="D96" s="5">
        <v>1</v>
      </c>
      <c r="E96" s="5">
        <v>1</v>
      </c>
      <c r="F96" s="5">
        <v>0</v>
      </c>
      <c r="G96" s="5">
        <f t="shared" ref="G96:G101" si="5">SUM(C96:F96)</f>
        <v>2</v>
      </c>
      <c r="H96" s="1"/>
    </row>
    <row r="97" spans="2:8" ht="20.100000000000001" hidden="1" customHeight="1" x14ac:dyDescent="0.2">
      <c r="B97" s="17">
        <v>44105</v>
      </c>
      <c r="C97" s="5">
        <v>0</v>
      </c>
      <c r="D97" s="5">
        <v>2</v>
      </c>
      <c r="E97" s="5">
        <v>2</v>
      </c>
      <c r="F97" s="5">
        <v>0</v>
      </c>
      <c r="G97" s="5">
        <f t="shared" si="5"/>
        <v>4</v>
      </c>
      <c r="H97" s="1"/>
    </row>
    <row r="98" spans="2:8" ht="20.100000000000001" hidden="1" customHeight="1" x14ac:dyDescent="0.2">
      <c r="B98" s="17">
        <v>44136</v>
      </c>
      <c r="C98" s="5">
        <v>0</v>
      </c>
      <c r="D98" s="5">
        <v>0</v>
      </c>
      <c r="E98" s="5">
        <v>0</v>
      </c>
      <c r="F98" s="5">
        <v>0</v>
      </c>
      <c r="G98" s="5">
        <f t="shared" si="5"/>
        <v>0</v>
      </c>
      <c r="H98" s="1"/>
    </row>
    <row r="99" spans="2:8" ht="20.100000000000001" hidden="1" customHeight="1" x14ac:dyDescent="0.2">
      <c r="B99" s="17">
        <v>44166</v>
      </c>
      <c r="C99" s="5">
        <v>0</v>
      </c>
      <c r="D99" s="5">
        <v>2</v>
      </c>
      <c r="E99" s="5">
        <v>0</v>
      </c>
      <c r="F99" s="5">
        <v>0</v>
      </c>
      <c r="G99" s="5">
        <f t="shared" si="5"/>
        <v>2</v>
      </c>
      <c r="H99" s="1"/>
    </row>
    <row r="100" spans="2:8" ht="20.100000000000001" hidden="1" customHeight="1" x14ac:dyDescent="0.2">
      <c r="B100" s="17">
        <v>44197</v>
      </c>
      <c r="C100" s="5">
        <v>0</v>
      </c>
      <c r="D100" s="5">
        <v>3</v>
      </c>
      <c r="E100" s="5">
        <v>0</v>
      </c>
      <c r="F100" s="5">
        <v>0</v>
      </c>
      <c r="G100" s="5">
        <f t="shared" si="5"/>
        <v>3</v>
      </c>
      <c r="H100" s="1"/>
    </row>
    <row r="101" spans="2:8" ht="20.100000000000001" hidden="1" customHeight="1" x14ac:dyDescent="0.2">
      <c r="B101" s="17">
        <v>44228</v>
      </c>
      <c r="C101" s="5">
        <v>0</v>
      </c>
      <c r="D101" s="5">
        <v>1</v>
      </c>
      <c r="E101" s="5">
        <v>0</v>
      </c>
      <c r="F101" s="5">
        <v>0</v>
      </c>
      <c r="G101" s="5">
        <f t="shared" si="5"/>
        <v>1</v>
      </c>
      <c r="H101" s="1"/>
    </row>
    <row r="102" spans="2:8" ht="20.100000000000001" hidden="1" customHeight="1" x14ac:dyDescent="0.2">
      <c r="B102" s="17">
        <v>44256</v>
      </c>
      <c r="C102" s="5">
        <v>0</v>
      </c>
      <c r="D102" s="5">
        <v>11</v>
      </c>
      <c r="E102" s="5">
        <v>2</v>
      </c>
      <c r="F102" s="5">
        <v>2</v>
      </c>
      <c r="G102" s="5">
        <f t="shared" ref="G102:G111" si="6">SUM(C102:F102)</f>
        <v>15</v>
      </c>
      <c r="H102" s="1"/>
    </row>
    <row r="103" spans="2:8" ht="20.100000000000001" hidden="1" customHeight="1" x14ac:dyDescent="0.2">
      <c r="B103" s="17">
        <v>44287</v>
      </c>
      <c r="C103" s="5">
        <v>0</v>
      </c>
      <c r="D103" s="5">
        <v>33</v>
      </c>
      <c r="E103" s="5">
        <v>2</v>
      </c>
      <c r="F103" s="5">
        <v>1</v>
      </c>
      <c r="G103" s="5">
        <f t="shared" si="6"/>
        <v>36</v>
      </c>
      <c r="H103" s="1"/>
    </row>
    <row r="104" spans="2:8" ht="20.100000000000001" hidden="1" customHeight="1" x14ac:dyDescent="0.2">
      <c r="B104" s="17">
        <v>44317</v>
      </c>
      <c r="C104" s="5">
        <v>0</v>
      </c>
      <c r="D104" s="5">
        <v>13</v>
      </c>
      <c r="E104" s="5">
        <v>0</v>
      </c>
      <c r="F104" s="5">
        <v>0</v>
      </c>
      <c r="G104" s="5">
        <f t="shared" si="6"/>
        <v>13</v>
      </c>
      <c r="H104" s="1"/>
    </row>
    <row r="105" spans="2:8" ht="20.100000000000001" hidden="1" customHeight="1" x14ac:dyDescent="0.2">
      <c r="B105" s="17">
        <v>44348</v>
      </c>
      <c r="C105" s="5">
        <v>0</v>
      </c>
      <c r="D105" s="5">
        <v>13</v>
      </c>
      <c r="E105" s="5">
        <v>0</v>
      </c>
      <c r="F105" s="5">
        <v>0</v>
      </c>
      <c r="G105" s="5">
        <f t="shared" si="6"/>
        <v>13</v>
      </c>
      <c r="H105" s="1"/>
    </row>
    <row r="106" spans="2:8" ht="20.100000000000001" hidden="1" customHeight="1" x14ac:dyDescent="0.2">
      <c r="B106" s="17">
        <v>44378</v>
      </c>
      <c r="C106" s="5">
        <v>0</v>
      </c>
      <c r="D106" s="5">
        <v>7</v>
      </c>
      <c r="E106" s="5">
        <v>0</v>
      </c>
      <c r="F106" s="5">
        <v>0</v>
      </c>
      <c r="G106" s="5">
        <f t="shared" si="6"/>
        <v>7</v>
      </c>
      <c r="H106" s="1"/>
    </row>
    <row r="107" spans="2:8" ht="20.100000000000001" hidden="1" customHeight="1" x14ac:dyDescent="0.2">
      <c r="B107" s="17">
        <v>44409</v>
      </c>
      <c r="C107" s="5">
        <v>0</v>
      </c>
      <c r="D107" s="5">
        <v>6</v>
      </c>
      <c r="E107" s="5">
        <v>0</v>
      </c>
      <c r="F107" s="5">
        <v>0</v>
      </c>
      <c r="G107" s="5">
        <f t="shared" si="6"/>
        <v>6</v>
      </c>
      <c r="H107" s="1"/>
    </row>
    <row r="108" spans="2:8" ht="20.100000000000001" hidden="1" customHeight="1" x14ac:dyDescent="0.2">
      <c r="B108" s="17">
        <v>44440</v>
      </c>
      <c r="C108" s="5">
        <v>1</v>
      </c>
      <c r="D108" s="5">
        <v>2</v>
      </c>
      <c r="E108" s="5">
        <v>0</v>
      </c>
      <c r="F108" s="5">
        <v>0</v>
      </c>
      <c r="G108" s="5">
        <f t="shared" si="6"/>
        <v>3</v>
      </c>
      <c r="H108" s="1"/>
    </row>
    <row r="109" spans="2:8" ht="20.100000000000001" hidden="1" customHeight="1" x14ac:dyDescent="0.2">
      <c r="B109" s="17">
        <v>44470</v>
      </c>
      <c r="C109" s="5">
        <v>0</v>
      </c>
      <c r="D109" s="5">
        <v>6</v>
      </c>
      <c r="E109" s="5">
        <v>1</v>
      </c>
      <c r="F109" s="5">
        <v>0</v>
      </c>
      <c r="G109" s="5">
        <f t="shared" si="6"/>
        <v>7</v>
      </c>
      <c r="H109" s="1"/>
    </row>
    <row r="110" spans="2:8" ht="20.100000000000001" hidden="1" customHeight="1" x14ac:dyDescent="0.2">
      <c r="B110" s="17">
        <v>44501</v>
      </c>
      <c r="C110" s="5">
        <v>3</v>
      </c>
      <c r="D110" s="5">
        <v>5</v>
      </c>
      <c r="E110" s="5">
        <v>1</v>
      </c>
      <c r="F110" s="5">
        <v>1</v>
      </c>
      <c r="G110" s="5">
        <f t="shared" si="6"/>
        <v>10</v>
      </c>
      <c r="H110" s="1"/>
    </row>
    <row r="111" spans="2:8" ht="20.100000000000001" hidden="1" customHeight="1" x14ac:dyDescent="0.2">
      <c r="B111" s="17">
        <v>44531</v>
      </c>
      <c r="C111" s="5">
        <v>2</v>
      </c>
      <c r="D111" s="5">
        <v>8</v>
      </c>
      <c r="E111" s="5">
        <v>0</v>
      </c>
      <c r="F111" s="5">
        <v>0</v>
      </c>
      <c r="G111" s="5">
        <f t="shared" si="6"/>
        <v>10</v>
      </c>
      <c r="H111" s="1"/>
    </row>
    <row r="112" spans="2:8" ht="20.100000000000001" hidden="1" customHeight="1" x14ac:dyDescent="0.2">
      <c r="B112" s="17">
        <v>44562</v>
      </c>
      <c r="C112" s="5">
        <v>1</v>
      </c>
      <c r="D112" s="5">
        <v>1</v>
      </c>
      <c r="E112" s="5">
        <v>1</v>
      </c>
      <c r="F112" s="5">
        <v>0</v>
      </c>
      <c r="G112" s="5">
        <f t="shared" ref="G112:G138" si="7">SUM(C112:F112)</f>
        <v>3</v>
      </c>
      <c r="H112" s="1"/>
    </row>
    <row r="113" spans="2:8" ht="20.100000000000001" hidden="1" customHeight="1" x14ac:dyDescent="0.2">
      <c r="B113" s="17">
        <v>44593</v>
      </c>
      <c r="C113" s="5">
        <v>1</v>
      </c>
      <c r="D113" s="5">
        <v>5</v>
      </c>
      <c r="E113" s="5">
        <v>0</v>
      </c>
      <c r="F113" s="5">
        <v>0</v>
      </c>
      <c r="G113" s="5">
        <f t="shared" si="7"/>
        <v>6</v>
      </c>
      <c r="H113" s="1"/>
    </row>
    <row r="114" spans="2:8" ht="20.100000000000001" hidden="1" customHeight="1" x14ac:dyDescent="0.2">
      <c r="B114" s="17">
        <v>44621</v>
      </c>
      <c r="C114" s="5">
        <v>4</v>
      </c>
      <c r="D114" s="5">
        <v>3</v>
      </c>
      <c r="E114" s="5">
        <v>5</v>
      </c>
      <c r="F114" s="5">
        <v>1</v>
      </c>
      <c r="G114" s="5">
        <f t="shared" si="7"/>
        <v>13</v>
      </c>
      <c r="H114" s="1"/>
    </row>
    <row r="115" spans="2:8" ht="20.100000000000001" hidden="1" customHeight="1" x14ac:dyDescent="0.2">
      <c r="B115" s="17">
        <v>44652</v>
      </c>
      <c r="C115" s="5">
        <v>2</v>
      </c>
      <c r="D115" s="5">
        <v>6</v>
      </c>
      <c r="E115" s="5">
        <v>2</v>
      </c>
      <c r="F115" s="5">
        <v>0</v>
      </c>
      <c r="G115" s="5">
        <f t="shared" si="7"/>
        <v>10</v>
      </c>
      <c r="H115" s="1"/>
    </row>
    <row r="116" spans="2:8" ht="20.100000000000001" hidden="1" customHeight="1" x14ac:dyDescent="0.2">
      <c r="B116" s="17">
        <v>44682</v>
      </c>
      <c r="C116" s="5">
        <v>2</v>
      </c>
      <c r="D116" s="5">
        <v>2</v>
      </c>
      <c r="E116" s="5">
        <v>1</v>
      </c>
      <c r="F116" s="5">
        <v>0</v>
      </c>
      <c r="G116" s="5">
        <f t="shared" si="7"/>
        <v>5</v>
      </c>
      <c r="H116" s="1"/>
    </row>
    <row r="117" spans="2:8" ht="20.100000000000001" hidden="1" customHeight="1" x14ac:dyDescent="0.2">
      <c r="B117" s="17">
        <v>44713</v>
      </c>
      <c r="C117" s="5">
        <v>1</v>
      </c>
      <c r="D117" s="5">
        <v>6</v>
      </c>
      <c r="E117" s="5">
        <v>2</v>
      </c>
      <c r="F117" s="5">
        <v>0</v>
      </c>
      <c r="G117" s="5">
        <f t="shared" si="7"/>
        <v>9</v>
      </c>
      <c r="H117" s="1"/>
    </row>
    <row r="118" spans="2:8" ht="20.100000000000001" hidden="1" customHeight="1" x14ac:dyDescent="0.2">
      <c r="B118" s="17">
        <v>44743</v>
      </c>
      <c r="C118" s="5">
        <v>3</v>
      </c>
      <c r="D118" s="5">
        <v>5</v>
      </c>
      <c r="E118" s="5">
        <v>0</v>
      </c>
      <c r="F118" s="5">
        <v>0</v>
      </c>
      <c r="G118" s="5">
        <f t="shared" si="7"/>
        <v>8</v>
      </c>
      <c r="H118" s="1"/>
    </row>
    <row r="119" spans="2:8" ht="20.100000000000001" hidden="1" customHeight="1" x14ac:dyDescent="0.2">
      <c r="B119" s="17">
        <v>44774</v>
      </c>
      <c r="C119" s="5">
        <v>1</v>
      </c>
      <c r="D119" s="5">
        <v>4</v>
      </c>
      <c r="E119" s="5">
        <v>0</v>
      </c>
      <c r="F119" s="5">
        <v>0</v>
      </c>
      <c r="G119" s="5">
        <f t="shared" si="7"/>
        <v>5</v>
      </c>
      <c r="H119" s="1"/>
    </row>
    <row r="120" spans="2:8" ht="20.100000000000001" hidden="1" customHeight="1" x14ac:dyDescent="0.2">
      <c r="B120" s="17">
        <v>44805</v>
      </c>
      <c r="C120" s="5">
        <v>0</v>
      </c>
      <c r="D120" s="5">
        <v>3</v>
      </c>
      <c r="E120" s="5">
        <v>1</v>
      </c>
      <c r="F120" s="5">
        <v>0</v>
      </c>
      <c r="G120" s="5">
        <f t="shared" si="7"/>
        <v>4</v>
      </c>
      <c r="H120" s="1"/>
    </row>
    <row r="121" spans="2:8" ht="20.100000000000001" hidden="1" customHeight="1" x14ac:dyDescent="0.2">
      <c r="B121" s="17">
        <v>44835</v>
      </c>
      <c r="C121" s="5">
        <v>0</v>
      </c>
      <c r="D121" s="5">
        <v>7</v>
      </c>
      <c r="E121" s="5">
        <v>1</v>
      </c>
      <c r="F121" s="5">
        <v>0</v>
      </c>
      <c r="G121" s="5">
        <f t="shared" si="7"/>
        <v>8</v>
      </c>
      <c r="H121" s="1"/>
    </row>
    <row r="122" spans="2:8" ht="20.100000000000001" hidden="1" customHeight="1" x14ac:dyDescent="0.2">
      <c r="B122" s="17">
        <v>44866</v>
      </c>
      <c r="C122" s="5">
        <v>2</v>
      </c>
      <c r="D122" s="5">
        <v>2</v>
      </c>
      <c r="E122" s="5">
        <v>0</v>
      </c>
      <c r="F122" s="5">
        <v>0</v>
      </c>
      <c r="G122" s="5">
        <f t="shared" si="7"/>
        <v>4</v>
      </c>
      <c r="H122" s="1"/>
    </row>
    <row r="123" spans="2:8" ht="20.100000000000001" hidden="1" customHeight="1" x14ac:dyDescent="0.2">
      <c r="B123" s="17">
        <v>44896</v>
      </c>
      <c r="C123" s="5">
        <v>0</v>
      </c>
      <c r="D123" s="5">
        <v>3</v>
      </c>
      <c r="E123" s="5">
        <v>0</v>
      </c>
      <c r="F123" s="5">
        <v>0</v>
      </c>
      <c r="G123" s="5">
        <f t="shared" si="7"/>
        <v>3</v>
      </c>
      <c r="H123" s="1"/>
    </row>
    <row r="124" spans="2:8" ht="20.100000000000001" hidden="1" customHeight="1" x14ac:dyDescent="0.2">
      <c r="B124" s="17">
        <v>44927</v>
      </c>
      <c r="C124" s="5">
        <v>2</v>
      </c>
      <c r="D124" s="5">
        <v>5</v>
      </c>
      <c r="E124" s="5">
        <v>1</v>
      </c>
      <c r="F124" s="5">
        <v>0</v>
      </c>
      <c r="G124" s="5">
        <f t="shared" si="7"/>
        <v>8</v>
      </c>
      <c r="H124" s="1"/>
    </row>
    <row r="125" spans="2:8" ht="20.100000000000001" hidden="1" customHeight="1" x14ac:dyDescent="0.2">
      <c r="B125" s="17">
        <v>44958</v>
      </c>
      <c r="C125" s="5">
        <v>0</v>
      </c>
      <c r="D125" s="5">
        <v>0</v>
      </c>
      <c r="E125" s="5">
        <v>1</v>
      </c>
      <c r="F125" s="5">
        <v>0</v>
      </c>
      <c r="G125" s="5">
        <f t="shared" si="7"/>
        <v>1</v>
      </c>
      <c r="H125" s="1"/>
    </row>
    <row r="126" spans="2:8" ht="20.100000000000001" hidden="1" customHeight="1" x14ac:dyDescent="0.2">
      <c r="B126" s="17">
        <v>44986</v>
      </c>
      <c r="C126" s="5">
        <v>2</v>
      </c>
      <c r="D126" s="5">
        <v>4</v>
      </c>
      <c r="E126" s="5">
        <v>3</v>
      </c>
      <c r="F126" s="5">
        <v>0</v>
      </c>
      <c r="G126" s="5">
        <f t="shared" si="7"/>
        <v>9</v>
      </c>
      <c r="H126" s="1"/>
    </row>
    <row r="127" spans="2:8" ht="20.100000000000001" hidden="1" customHeight="1" x14ac:dyDescent="0.2">
      <c r="B127" s="17">
        <v>45017</v>
      </c>
      <c r="C127" s="5">
        <v>2</v>
      </c>
      <c r="D127" s="5">
        <v>6</v>
      </c>
      <c r="E127" s="5">
        <v>2</v>
      </c>
      <c r="F127" s="5">
        <v>0</v>
      </c>
      <c r="G127" s="5">
        <f t="shared" si="7"/>
        <v>10</v>
      </c>
      <c r="H127" s="1"/>
    </row>
    <row r="128" spans="2:8" ht="20.100000000000001" hidden="1" customHeight="1" x14ac:dyDescent="0.2">
      <c r="B128" s="17">
        <v>45047</v>
      </c>
      <c r="C128" s="5">
        <v>1</v>
      </c>
      <c r="D128" s="5">
        <v>0</v>
      </c>
      <c r="E128" s="5">
        <v>1</v>
      </c>
      <c r="F128" s="5">
        <v>0</v>
      </c>
      <c r="G128" s="5">
        <f t="shared" si="7"/>
        <v>2</v>
      </c>
      <c r="H128" s="1"/>
    </row>
    <row r="129" spans="2:8" ht="20.100000000000001" hidden="1" customHeight="1" x14ac:dyDescent="0.2">
      <c r="B129" s="17">
        <v>45078</v>
      </c>
      <c r="C129" s="5">
        <v>1</v>
      </c>
      <c r="D129" s="5">
        <v>2</v>
      </c>
      <c r="E129" s="5">
        <v>1</v>
      </c>
      <c r="F129" s="5">
        <v>0</v>
      </c>
      <c r="G129" s="5">
        <f t="shared" si="7"/>
        <v>4</v>
      </c>
      <c r="H129" s="1"/>
    </row>
    <row r="130" spans="2:8" ht="20.100000000000001" hidden="1" customHeight="1" x14ac:dyDescent="0.2">
      <c r="B130" s="17">
        <v>45108</v>
      </c>
      <c r="C130" s="5">
        <v>1</v>
      </c>
      <c r="D130" s="5">
        <v>3</v>
      </c>
      <c r="E130" s="5">
        <v>1</v>
      </c>
      <c r="F130" s="5">
        <v>0</v>
      </c>
      <c r="G130" s="5">
        <f t="shared" si="7"/>
        <v>5</v>
      </c>
      <c r="H130" s="1"/>
    </row>
    <row r="131" spans="2:8" ht="20.100000000000001" hidden="1" customHeight="1" x14ac:dyDescent="0.2">
      <c r="B131" s="17">
        <v>45139</v>
      </c>
      <c r="C131" s="5">
        <v>0</v>
      </c>
      <c r="D131" s="5">
        <v>5</v>
      </c>
      <c r="E131" s="5">
        <v>2</v>
      </c>
      <c r="F131" s="5">
        <v>0</v>
      </c>
      <c r="G131" s="5">
        <f t="shared" si="7"/>
        <v>7</v>
      </c>
      <c r="H131" s="1"/>
    </row>
    <row r="132" spans="2:8" ht="20.100000000000001" hidden="1" customHeight="1" x14ac:dyDescent="0.2">
      <c r="B132" s="17">
        <v>45170</v>
      </c>
      <c r="C132" s="5">
        <v>0</v>
      </c>
      <c r="D132" s="5">
        <v>7</v>
      </c>
      <c r="E132" s="5">
        <v>0</v>
      </c>
      <c r="F132" s="5">
        <v>0</v>
      </c>
      <c r="G132" s="5">
        <f t="shared" si="7"/>
        <v>7</v>
      </c>
      <c r="H132" s="1"/>
    </row>
    <row r="133" spans="2:8" ht="20.100000000000001" hidden="1" customHeight="1" x14ac:dyDescent="0.2">
      <c r="B133" s="17">
        <v>45200</v>
      </c>
      <c r="C133" s="5">
        <v>2</v>
      </c>
      <c r="D133" s="5">
        <v>5</v>
      </c>
      <c r="E133" s="5">
        <v>2</v>
      </c>
      <c r="F133" s="5">
        <v>0</v>
      </c>
      <c r="G133" s="5">
        <f t="shared" si="7"/>
        <v>9</v>
      </c>
      <c r="H133" s="1"/>
    </row>
    <row r="134" spans="2:8" ht="20.100000000000001" hidden="1" customHeight="1" x14ac:dyDescent="0.2">
      <c r="B134" s="17">
        <v>45231</v>
      </c>
      <c r="C134" s="5">
        <v>2</v>
      </c>
      <c r="D134" s="5">
        <v>4</v>
      </c>
      <c r="E134" s="5">
        <v>1</v>
      </c>
      <c r="F134" s="5">
        <v>0</v>
      </c>
      <c r="G134" s="5">
        <f t="shared" si="7"/>
        <v>7</v>
      </c>
      <c r="H134" s="1"/>
    </row>
    <row r="135" spans="2:8" ht="20.100000000000001" hidden="1" customHeight="1" x14ac:dyDescent="0.2">
      <c r="B135" s="17">
        <v>45261</v>
      </c>
      <c r="C135" s="5">
        <v>0</v>
      </c>
      <c r="D135" s="5">
        <v>3</v>
      </c>
      <c r="E135" s="5">
        <v>0</v>
      </c>
      <c r="F135" s="5">
        <v>0</v>
      </c>
      <c r="G135" s="5">
        <f t="shared" si="7"/>
        <v>3</v>
      </c>
      <c r="H135" s="1"/>
    </row>
    <row r="136" spans="2:8" ht="20.100000000000001" hidden="1" customHeight="1" x14ac:dyDescent="0.2">
      <c r="B136" s="17">
        <v>45292</v>
      </c>
      <c r="C136" s="5">
        <v>1</v>
      </c>
      <c r="D136" s="5">
        <v>4</v>
      </c>
      <c r="E136" s="5">
        <v>0</v>
      </c>
      <c r="F136" s="5">
        <v>0</v>
      </c>
      <c r="G136" s="5">
        <f t="shared" si="7"/>
        <v>5</v>
      </c>
      <c r="H136" s="1"/>
    </row>
    <row r="137" spans="2:8" ht="20.100000000000001" hidden="1" customHeight="1" x14ac:dyDescent="0.2">
      <c r="B137" s="17">
        <v>45323</v>
      </c>
      <c r="C137" s="5">
        <v>0</v>
      </c>
      <c r="D137" s="5">
        <v>4</v>
      </c>
      <c r="E137" s="5">
        <v>0</v>
      </c>
      <c r="F137" s="5">
        <v>0</v>
      </c>
      <c r="G137" s="5">
        <f t="shared" si="7"/>
        <v>4</v>
      </c>
      <c r="H137" s="1"/>
    </row>
    <row r="138" spans="2:8" ht="20.100000000000001" hidden="1" customHeight="1" x14ac:dyDescent="0.2">
      <c r="B138" s="17">
        <v>45352</v>
      </c>
      <c r="C138" s="5">
        <v>2</v>
      </c>
      <c r="D138" s="5">
        <v>4</v>
      </c>
      <c r="E138" s="5">
        <v>1</v>
      </c>
      <c r="F138" s="5">
        <v>0</v>
      </c>
      <c r="G138" s="5">
        <f t="shared" si="7"/>
        <v>7</v>
      </c>
      <c r="H138" s="1"/>
    </row>
    <row r="139" spans="2:8" ht="20.100000000000001" hidden="1" customHeight="1" x14ac:dyDescent="0.2">
      <c r="B139" s="17">
        <v>45383</v>
      </c>
      <c r="C139" s="5">
        <v>1</v>
      </c>
      <c r="D139" s="5">
        <v>0</v>
      </c>
      <c r="E139" s="5">
        <v>2</v>
      </c>
      <c r="F139" s="5">
        <v>1</v>
      </c>
      <c r="G139" s="5">
        <f t="shared" ref="G139:G158" si="8">SUM(C139:F139)</f>
        <v>4</v>
      </c>
      <c r="H139" s="1"/>
    </row>
    <row r="140" spans="2:8" ht="20.100000000000001" hidden="1" customHeight="1" x14ac:dyDescent="0.2">
      <c r="B140" s="17">
        <v>45413</v>
      </c>
      <c r="C140" s="5">
        <v>0</v>
      </c>
      <c r="D140" s="5">
        <v>3</v>
      </c>
      <c r="E140" s="5">
        <v>0</v>
      </c>
      <c r="F140" s="5">
        <v>0</v>
      </c>
      <c r="G140" s="5">
        <f t="shared" si="8"/>
        <v>3</v>
      </c>
      <c r="H140" s="1"/>
    </row>
    <row r="141" spans="2:8" ht="20.100000000000001" hidden="1" customHeight="1" x14ac:dyDescent="0.2">
      <c r="B141" s="17">
        <v>45444</v>
      </c>
      <c r="C141" s="5">
        <v>0</v>
      </c>
      <c r="D141" s="5">
        <v>5</v>
      </c>
      <c r="E141" s="5">
        <v>2</v>
      </c>
      <c r="F141" s="5">
        <v>0</v>
      </c>
      <c r="G141" s="5">
        <f t="shared" si="8"/>
        <v>7</v>
      </c>
      <c r="H141" s="1"/>
    </row>
    <row r="142" spans="2:8" ht="20.100000000000001" hidden="1" customHeight="1" x14ac:dyDescent="0.2">
      <c r="B142" s="17">
        <v>45474</v>
      </c>
      <c r="C142" s="5">
        <v>1</v>
      </c>
      <c r="D142" s="5">
        <v>4</v>
      </c>
      <c r="E142" s="5">
        <v>3</v>
      </c>
      <c r="F142" s="5">
        <v>1</v>
      </c>
      <c r="G142" s="5">
        <f t="shared" si="8"/>
        <v>9</v>
      </c>
      <c r="H142" s="1"/>
    </row>
    <row r="143" spans="2:8" ht="20.100000000000001" hidden="1" customHeight="1" x14ac:dyDescent="0.2">
      <c r="B143" s="17">
        <v>45505</v>
      </c>
      <c r="C143" s="5">
        <v>2</v>
      </c>
      <c r="D143" s="5">
        <v>9</v>
      </c>
      <c r="E143" s="5">
        <v>0</v>
      </c>
      <c r="F143" s="5">
        <v>1</v>
      </c>
      <c r="G143" s="5">
        <f t="shared" si="8"/>
        <v>12</v>
      </c>
      <c r="H143" s="1"/>
    </row>
    <row r="144" spans="2:8" ht="20.100000000000001" hidden="1" customHeight="1" x14ac:dyDescent="0.2">
      <c r="B144" s="17">
        <v>45536</v>
      </c>
      <c r="C144" s="5">
        <v>4</v>
      </c>
      <c r="D144" s="5">
        <v>3</v>
      </c>
      <c r="E144" s="5">
        <v>1</v>
      </c>
      <c r="F144" s="5">
        <v>0</v>
      </c>
      <c r="G144" s="5">
        <f t="shared" si="8"/>
        <v>8</v>
      </c>
      <c r="H144" s="1"/>
    </row>
    <row r="145" spans="2:8" ht="20.100000000000001" hidden="1" customHeight="1" x14ac:dyDescent="0.2">
      <c r="B145" s="17">
        <v>45566</v>
      </c>
      <c r="C145" s="5">
        <v>3</v>
      </c>
      <c r="D145" s="5">
        <v>3</v>
      </c>
      <c r="E145" s="5">
        <v>0</v>
      </c>
      <c r="F145" s="5">
        <v>1</v>
      </c>
      <c r="G145" s="5">
        <f t="shared" si="8"/>
        <v>7</v>
      </c>
      <c r="H145" s="1"/>
    </row>
    <row r="146" spans="2:8" ht="20.100000000000001" hidden="1" customHeight="1" x14ac:dyDescent="0.2">
      <c r="B146" s="17">
        <v>45597</v>
      </c>
      <c r="C146" s="5">
        <v>2</v>
      </c>
      <c r="D146" s="5">
        <v>1</v>
      </c>
      <c r="E146" s="5">
        <v>0</v>
      </c>
      <c r="F146" s="5">
        <v>0</v>
      </c>
      <c r="G146" s="5">
        <f t="shared" si="8"/>
        <v>3</v>
      </c>
      <c r="H146" s="1"/>
    </row>
    <row r="147" spans="2:8" ht="20.100000000000001" hidden="1" customHeight="1" x14ac:dyDescent="0.2">
      <c r="B147" s="17">
        <v>45627</v>
      </c>
      <c r="C147" s="5">
        <v>2</v>
      </c>
      <c r="D147" s="5">
        <v>1</v>
      </c>
      <c r="E147" s="5">
        <v>1</v>
      </c>
      <c r="F147" s="5">
        <v>2</v>
      </c>
      <c r="G147" s="5">
        <f t="shared" si="8"/>
        <v>6</v>
      </c>
      <c r="H147" s="1"/>
    </row>
    <row r="148" spans="2:8" ht="20.100000000000001" hidden="1" customHeight="1" x14ac:dyDescent="0.2">
      <c r="B148" s="17">
        <v>45658</v>
      </c>
      <c r="C148" s="5">
        <v>3</v>
      </c>
      <c r="D148" s="5">
        <v>1</v>
      </c>
      <c r="E148" s="5">
        <v>0</v>
      </c>
      <c r="F148" s="5">
        <v>0</v>
      </c>
      <c r="G148" s="5">
        <f t="shared" si="8"/>
        <v>4</v>
      </c>
      <c r="H148" s="1"/>
    </row>
    <row r="149" spans="2:8" ht="20.100000000000001" hidden="1" customHeight="1" x14ac:dyDescent="0.2">
      <c r="B149" s="17">
        <v>45689</v>
      </c>
      <c r="C149" s="5">
        <v>2</v>
      </c>
      <c r="D149" s="5">
        <v>3</v>
      </c>
      <c r="E149" s="5">
        <v>1</v>
      </c>
      <c r="F149" s="5">
        <v>0</v>
      </c>
      <c r="G149" s="5">
        <f t="shared" si="8"/>
        <v>6</v>
      </c>
      <c r="H149" s="1"/>
    </row>
    <row r="150" spans="2:8" ht="20.100000000000001" customHeight="1" x14ac:dyDescent="0.2">
      <c r="B150" s="17">
        <v>45717</v>
      </c>
      <c r="C150" s="5">
        <v>0</v>
      </c>
      <c r="D150" s="5">
        <v>1</v>
      </c>
      <c r="E150" s="5">
        <v>4</v>
      </c>
      <c r="F150" s="5">
        <v>0</v>
      </c>
      <c r="G150" s="5">
        <f t="shared" si="8"/>
        <v>5</v>
      </c>
      <c r="H150" s="1"/>
    </row>
    <row r="151" spans="2:8" ht="20.100000000000001" customHeight="1" x14ac:dyDescent="0.2">
      <c r="B151" s="17">
        <v>45748</v>
      </c>
      <c r="C151" s="5">
        <v>0</v>
      </c>
      <c r="D151" s="5">
        <v>2</v>
      </c>
      <c r="E151" s="5">
        <v>1</v>
      </c>
      <c r="F151" s="5">
        <v>0</v>
      </c>
      <c r="G151" s="5">
        <f t="shared" si="8"/>
        <v>3</v>
      </c>
      <c r="H151" s="1"/>
    </row>
    <row r="152" spans="2:8" ht="20.100000000000001" customHeight="1" x14ac:dyDescent="0.2">
      <c r="B152" s="17">
        <v>45778</v>
      </c>
      <c r="C152" s="5">
        <v>0</v>
      </c>
      <c r="D152" s="5">
        <v>2</v>
      </c>
      <c r="E152" s="5">
        <v>2</v>
      </c>
      <c r="F152" s="5">
        <v>0</v>
      </c>
      <c r="G152" s="5">
        <f t="shared" si="8"/>
        <v>4</v>
      </c>
      <c r="H152" s="1"/>
    </row>
    <row r="153" spans="2:8" ht="20.100000000000001" customHeight="1" x14ac:dyDescent="0.2">
      <c r="B153" s="17">
        <v>45809</v>
      </c>
      <c r="C153" s="5">
        <v>1</v>
      </c>
      <c r="D153" s="5">
        <v>4</v>
      </c>
      <c r="E153" s="5">
        <v>2</v>
      </c>
      <c r="F153" s="5">
        <v>0</v>
      </c>
      <c r="G153" s="5">
        <f t="shared" si="8"/>
        <v>7</v>
      </c>
      <c r="H153" s="1"/>
    </row>
    <row r="154" spans="2:8" ht="20.100000000000001" customHeight="1" x14ac:dyDescent="0.2">
      <c r="B154" s="17">
        <v>45839</v>
      </c>
      <c r="C154" s="5">
        <v>2</v>
      </c>
      <c r="D154" s="5">
        <v>8</v>
      </c>
      <c r="E154" s="5">
        <v>2</v>
      </c>
      <c r="F154" s="5">
        <v>0</v>
      </c>
      <c r="G154" s="5">
        <f t="shared" si="8"/>
        <v>12</v>
      </c>
      <c r="H154" s="1"/>
    </row>
    <row r="155" spans="2:8" ht="20.100000000000001" customHeight="1" x14ac:dyDescent="0.2">
      <c r="B155" s="17">
        <v>45870</v>
      </c>
      <c r="C155" s="5">
        <v>0</v>
      </c>
      <c r="D155" s="5">
        <v>14</v>
      </c>
      <c r="E155" s="5">
        <v>2</v>
      </c>
      <c r="F155" s="5">
        <v>0</v>
      </c>
      <c r="G155" s="5">
        <f t="shared" si="8"/>
        <v>16</v>
      </c>
      <c r="H155" s="1"/>
    </row>
    <row r="156" spans="2:8" ht="20.100000000000001" customHeight="1" x14ac:dyDescent="0.2">
      <c r="B156" s="17">
        <v>45901</v>
      </c>
      <c r="C156" s="5">
        <v>0</v>
      </c>
      <c r="D156" s="5">
        <v>4</v>
      </c>
      <c r="E156" s="5">
        <v>4</v>
      </c>
      <c r="F156" s="5">
        <v>0</v>
      </c>
      <c r="G156" s="5">
        <f t="shared" si="8"/>
        <v>8</v>
      </c>
      <c r="H156" s="1"/>
    </row>
    <row r="157" spans="2:8" ht="20.100000000000001" customHeight="1" x14ac:dyDescent="0.2">
      <c r="B157" s="17">
        <v>45931</v>
      </c>
      <c r="C157" s="5">
        <v>0</v>
      </c>
      <c r="D157" s="5">
        <v>3</v>
      </c>
      <c r="E157" s="5">
        <v>1</v>
      </c>
      <c r="F157" s="5">
        <v>1</v>
      </c>
      <c r="G157" s="5">
        <f t="shared" si="8"/>
        <v>5</v>
      </c>
      <c r="H157" s="1"/>
    </row>
    <row r="158" spans="2:8" ht="20.100000000000001" customHeight="1" x14ac:dyDescent="0.2">
      <c r="B158" s="17">
        <v>45962</v>
      </c>
      <c r="C158" s="5">
        <v>1</v>
      </c>
      <c r="D158" s="5">
        <v>7</v>
      </c>
      <c r="E158" s="5">
        <v>0</v>
      </c>
      <c r="F158" s="5">
        <v>0</v>
      </c>
      <c r="G158" s="5">
        <f t="shared" si="8"/>
        <v>8</v>
      </c>
      <c r="H158" s="1"/>
    </row>
    <row r="159" spans="2:8" ht="20.100000000000001" customHeight="1" x14ac:dyDescent="0.2">
      <c r="B159" s="17">
        <v>45992</v>
      </c>
      <c r="C159" s="5">
        <v>3</v>
      </c>
      <c r="D159" s="5">
        <v>10</v>
      </c>
      <c r="E159" s="5">
        <v>2</v>
      </c>
      <c r="F159" s="5">
        <v>0</v>
      </c>
      <c r="G159" s="5">
        <f>SUM(C159:F159)</f>
        <v>15</v>
      </c>
      <c r="H159" s="1"/>
    </row>
    <row r="160" spans="2:8" ht="20.100000000000001" customHeight="1" x14ac:dyDescent="0.2">
      <c r="B160" s="17">
        <v>46023</v>
      </c>
      <c r="C160" s="5">
        <v>0</v>
      </c>
      <c r="D160" s="5">
        <v>1</v>
      </c>
      <c r="E160" s="5">
        <v>1</v>
      </c>
      <c r="F160" s="5">
        <v>0</v>
      </c>
      <c r="G160" s="5">
        <f>SUM(C160:F160)</f>
        <v>2</v>
      </c>
      <c r="H160" s="1"/>
    </row>
    <row r="161" spans="2:8" ht="20.100000000000001" customHeight="1" x14ac:dyDescent="0.2">
      <c r="B161" s="17">
        <v>46054</v>
      </c>
      <c r="C161" s="5">
        <v>3</v>
      </c>
      <c r="D161" s="5">
        <v>3</v>
      </c>
      <c r="E161" s="5">
        <v>1</v>
      </c>
      <c r="F161" s="5">
        <v>0</v>
      </c>
      <c r="G161" s="5">
        <f>SUM(C161:F161)</f>
        <v>7</v>
      </c>
      <c r="H161" s="1"/>
    </row>
    <row r="162" spans="2:8" ht="20.100000000000001" customHeight="1" x14ac:dyDescent="0.2">
      <c r="B162" s="17">
        <v>46082</v>
      </c>
      <c r="C162" s="5">
        <v>1</v>
      </c>
      <c r="D162" s="5">
        <v>5</v>
      </c>
      <c r="E162" s="5">
        <v>1</v>
      </c>
      <c r="F162" s="5">
        <v>0</v>
      </c>
      <c r="G162" s="5">
        <f>SUM(C162:F162)</f>
        <v>7</v>
      </c>
      <c r="H162" s="1"/>
    </row>
    <row r="163" spans="2:8" ht="20.100000000000001" customHeight="1" x14ac:dyDescent="0.25">
      <c r="B163" s="95" t="s">
        <v>44</v>
      </c>
      <c r="C163" s="95">
        <f>SUM(C4:C162)</f>
        <v>334</v>
      </c>
      <c r="D163" s="95">
        <f t="shared" ref="D163:G163" si="9">SUM(D4:D162)</f>
        <v>1015</v>
      </c>
      <c r="E163" s="95">
        <f t="shared" si="9"/>
        <v>196</v>
      </c>
      <c r="F163" s="95">
        <f t="shared" si="9"/>
        <v>16</v>
      </c>
      <c r="G163" s="95">
        <f t="shared" si="9"/>
        <v>1561</v>
      </c>
    </row>
    <row r="164" spans="2:8" x14ac:dyDescent="0.2">
      <c r="B164" s="1"/>
      <c r="C164" s="1"/>
      <c r="D164" s="1"/>
      <c r="E164" s="1"/>
      <c r="F164" s="1"/>
      <c r="G164" s="1"/>
    </row>
    <row r="173" spans="2:8" ht="10.5" customHeight="1" x14ac:dyDescent="0.2"/>
    <row r="189" spans="1:8" x14ac:dyDescent="0.2">
      <c r="B189" s="93"/>
      <c r="C189" s="93"/>
      <c r="D189" s="93"/>
      <c r="E189" s="93"/>
      <c r="F189" s="93"/>
      <c r="G189" s="93"/>
    </row>
    <row r="190" spans="1:8" x14ac:dyDescent="0.2">
      <c r="A190" s="94"/>
      <c r="B190" s="165" t="s">
        <v>45</v>
      </c>
      <c r="C190" s="166"/>
      <c r="D190" s="166"/>
      <c r="E190" s="166"/>
      <c r="F190" s="166"/>
      <c r="G190" s="167"/>
    </row>
    <row r="191" spans="1:8" x14ac:dyDescent="0.2">
      <c r="A191" s="94"/>
      <c r="B191" s="168"/>
      <c r="C191" s="169"/>
      <c r="D191" s="169"/>
      <c r="E191" s="169"/>
      <c r="F191" s="169"/>
      <c r="G191" s="170"/>
    </row>
    <row r="192" spans="1:8" x14ac:dyDescent="0.2">
      <c r="A192" s="94"/>
      <c r="B192" s="172" t="s">
        <v>78</v>
      </c>
      <c r="C192" s="172"/>
      <c r="D192" s="172"/>
      <c r="E192" s="172"/>
      <c r="F192" s="172"/>
      <c r="G192" s="173"/>
      <c r="H192" s="89"/>
    </row>
    <row r="193" spans="2:7" ht="12.75" customHeight="1" x14ac:dyDescent="0.2">
      <c r="B193" s="171"/>
      <c r="C193" s="172"/>
      <c r="D193" s="172"/>
      <c r="E193" s="172"/>
      <c r="F193" s="172"/>
      <c r="G193" s="173"/>
    </row>
    <row r="194" spans="2:7" x14ac:dyDescent="0.2">
      <c r="B194" s="171"/>
      <c r="C194" s="172"/>
      <c r="D194" s="172"/>
      <c r="E194" s="172"/>
      <c r="F194" s="172"/>
      <c r="G194" s="173"/>
    </row>
    <row r="195" spans="2:7" x14ac:dyDescent="0.2">
      <c r="B195" s="90"/>
      <c r="C195" s="91"/>
      <c r="D195" s="91"/>
      <c r="E195" s="91"/>
      <c r="F195" s="91"/>
      <c r="G195" s="92"/>
    </row>
    <row r="196" spans="2:7" x14ac:dyDescent="0.2">
      <c r="B196" s="171" t="s">
        <v>255</v>
      </c>
      <c r="C196" s="172"/>
      <c r="D196" s="172"/>
      <c r="E196" s="172"/>
      <c r="F196" s="172"/>
      <c r="G196" s="173"/>
    </row>
    <row r="197" spans="2:7" x14ac:dyDescent="0.2">
      <c r="B197" s="90"/>
      <c r="C197" s="91"/>
      <c r="D197" s="91"/>
      <c r="E197" s="91"/>
      <c r="F197" s="91"/>
      <c r="G197" s="92"/>
    </row>
    <row r="198" spans="2:7" x14ac:dyDescent="0.2">
      <c r="B198" s="171" t="s">
        <v>87</v>
      </c>
      <c r="C198" s="172"/>
      <c r="D198" s="172"/>
      <c r="E198" s="172"/>
      <c r="F198" s="172"/>
      <c r="G198" s="173"/>
    </row>
    <row r="199" spans="2:7" ht="12.75" customHeight="1" x14ac:dyDescent="0.2">
      <c r="B199" s="171"/>
      <c r="C199" s="172"/>
      <c r="D199" s="172"/>
      <c r="E199" s="172"/>
      <c r="F199" s="172"/>
      <c r="G199" s="173"/>
    </row>
    <row r="200" spans="2:7" ht="15" customHeight="1" x14ac:dyDescent="0.2">
      <c r="B200" s="171"/>
      <c r="C200" s="172"/>
      <c r="D200" s="172"/>
      <c r="E200" s="172"/>
      <c r="F200" s="172"/>
      <c r="G200" s="173"/>
    </row>
    <row r="201" spans="2:7" x14ac:dyDescent="0.2">
      <c r="B201" s="174"/>
      <c r="C201" s="175"/>
      <c r="D201" s="175"/>
      <c r="E201" s="175"/>
      <c r="F201" s="175"/>
      <c r="G201" s="176"/>
    </row>
    <row r="202" spans="2:7" ht="15" customHeight="1" x14ac:dyDescent="0.2"/>
  </sheetData>
  <mergeCells count="5">
    <mergeCell ref="B190:G191"/>
    <mergeCell ref="B196:G196"/>
    <mergeCell ref="B192:G194"/>
    <mergeCell ref="B198:G201"/>
    <mergeCell ref="B1:G1"/>
  </mergeCells>
  <phoneticPr fontId="0" type="noConversion"/>
  <pageMargins left="0.31496062992125984" right="0.31496062992125984" top="0.59055118110236227" bottom="0.39370078740157483" header="0.31496062992125984" footer="0.31496062992125984"/>
  <pageSetup paperSize="5" scale="90" orientation="portrait" r:id="rId1"/>
  <ignoredErrors>
    <ignoredError sqref="G4:G14 G16:G22 G30:G162" formulaRange="1"/>
  </ignoredErrors>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Hoja10"/>
  <dimension ref="A2:H164"/>
  <sheetViews>
    <sheetView zoomScale="75" zoomScaleNormal="100" workbookViewId="0">
      <selection activeCell="C164" sqref="C164"/>
    </sheetView>
  </sheetViews>
  <sheetFormatPr baseColWidth="10" defaultRowHeight="12.75" x14ac:dyDescent="0.2"/>
  <cols>
    <col min="1" max="1" width="8.85546875" bestFit="1" customWidth="1"/>
    <col min="2" max="2" width="26.28515625" bestFit="1" customWidth="1"/>
    <col min="3" max="3" width="20" bestFit="1" customWidth="1"/>
    <col min="4" max="4" width="14" bestFit="1" customWidth="1"/>
    <col min="5" max="5" width="27.5703125" bestFit="1" customWidth="1"/>
    <col min="6" max="6" width="34.85546875" customWidth="1"/>
    <col min="7" max="7" width="18.7109375" customWidth="1"/>
    <col min="8" max="8" width="12.7109375" bestFit="1" customWidth="1"/>
  </cols>
  <sheetData>
    <row r="2" spans="1:6" ht="20.100000000000001" customHeight="1" x14ac:dyDescent="0.2">
      <c r="A2" s="178" t="s">
        <v>256</v>
      </c>
      <c r="B2" s="179"/>
      <c r="C2" s="179"/>
      <c r="D2" s="179"/>
      <c r="E2" s="179"/>
      <c r="F2" s="179"/>
    </row>
    <row r="3" spans="1:6" ht="20.100000000000001" customHeight="1" x14ac:dyDescent="0.2">
      <c r="A3" s="178"/>
      <c r="B3" s="179"/>
      <c r="C3" s="179"/>
      <c r="D3" s="179"/>
      <c r="E3" s="179"/>
      <c r="F3" s="179"/>
    </row>
    <row r="4" spans="1:6" ht="20.100000000000001" customHeight="1" x14ac:dyDescent="0.2">
      <c r="A4" s="105" t="s">
        <v>35</v>
      </c>
      <c r="B4" s="105" t="s">
        <v>36</v>
      </c>
      <c r="C4" s="105" t="s">
        <v>34</v>
      </c>
      <c r="D4" s="105" t="s">
        <v>37</v>
      </c>
      <c r="E4" s="105" t="s">
        <v>38</v>
      </c>
      <c r="F4" s="105" t="s">
        <v>257</v>
      </c>
    </row>
    <row r="5" spans="1:6" ht="20.100000000000001" hidden="1" customHeight="1" x14ac:dyDescent="0.2">
      <c r="A5" s="9">
        <v>41275</v>
      </c>
      <c r="B5" s="5">
        <v>7</v>
      </c>
      <c r="C5" s="5">
        <v>7</v>
      </c>
      <c r="D5" s="5">
        <v>595</v>
      </c>
      <c r="E5" s="21">
        <f t="shared" ref="E5:E17" si="0">B5/D5</f>
        <v>1.1764705882352941E-2</v>
      </c>
      <c r="F5" s="4"/>
    </row>
    <row r="6" spans="1:6" ht="20.100000000000001" hidden="1" customHeight="1" x14ac:dyDescent="0.2">
      <c r="A6" s="9">
        <v>41306</v>
      </c>
      <c r="B6" s="5">
        <v>6</v>
      </c>
      <c r="C6" s="5">
        <v>10</v>
      </c>
      <c r="D6" s="5">
        <v>598</v>
      </c>
      <c r="E6" s="21">
        <f t="shared" si="0"/>
        <v>1.0033444816053512E-2</v>
      </c>
      <c r="F6" s="4"/>
    </row>
    <row r="7" spans="1:6" ht="20.100000000000001" hidden="1" customHeight="1" x14ac:dyDescent="0.2">
      <c r="A7" s="9">
        <v>41334</v>
      </c>
      <c r="B7" s="5">
        <v>14</v>
      </c>
      <c r="C7" s="5">
        <v>9</v>
      </c>
      <c r="D7" s="5">
        <v>593</v>
      </c>
      <c r="E7" s="21">
        <f t="shared" si="0"/>
        <v>2.3608768971332208E-2</v>
      </c>
      <c r="F7" s="4"/>
    </row>
    <row r="8" spans="1:6" ht="20.100000000000001" hidden="1" customHeight="1" x14ac:dyDescent="0.2">
      <c r="A8" s="9">
        <v>41365</v>
      </c>
      <c r="B8" s="5">
        <v>9</v>
      </c>
      <c r="C8" s="5">
        <v>14</v>
      </c>
      <c r="D8" s="5">
        <v>599</v>
      </c>
      <c r="E8" s="21">
        <f t="shared" si="0"/>
        <v>1.5025041736227046E-2</v>
      </c>
      <c r="F8" s="97"/>
    </row>
    <row r="9" spans="1:6" ht="20.100000000000001" hidden="1" customHeight="1" x14ac:dyDescent="0.2">
      <c r="A9" s="9">
        <v>41395</v>
      </c>
      <c r="B9" s="5">
        <v>14</v>
      </c>
      <c r="C9" s="5">
        <v>10</v>
      </c>
      <c r="D9" s="5">
        <v>600</v>
      </c>
      <c r="E9" s="21">
        <f t="shared" si="0"/>
        <v>2.3333333333333334E-2</v>
      </c>
      <c r="F9" s="98"/>
    </row>
    <row r="10" spans="1:6" ht="20.100000000000001" hidden="1" customHeight="1" x14ac:dyDescent="0.2">
      <c r="A10" s="9">
        <v>41426</v>
      </c>
      <c r="B10" s="5">
        <v>14</v>
      </c>
      <c r="C10" s="5">
        <v>14</v>
      </c>
      <c r="D10" s="5">
        <v>601</v>
      </c>
      <c r="E10" s="21">
        <f t="shared" si="0"/>
        <v>2.329450915141431E-2</v>
      </c>
      <c r="F10" s="4"/>
    </row>
    <row r="11" spans="1:6" ht="20.100000000000001" hidden="1" customHeight="1" x14ac:dyDescent="0.2">
      <c r="A11" s="9">
        <v>41456</v>
      </c>
      <c r="B11" s="5">
        <v>5</v>
      </c>
      <c r="C11" s="5">
        <v>10</v>
      </c>
      <c r="D11" s="5">
        <v>602</v>
      </c>
      <c r="E11" s="21">
        <f t="shared" si="0"/>
        <v>8.3056478405315621E-3</v>
      </c>
      <c r="F11" s="4"/>
    </row>
    <row r="12" spans="1:6" ht="20.100000000000001" hidden="1" customHeight="1" x14ac:dyDescent="0.2">
      <c r="A12" s="9">
        <v>41487</v>
      </c>
      <c r="B12" s="5">
        <v>7</v>
      </c>
      <c r="C12" s="5">
        <v>10</v>
      </c>
      <c r="D12" s="5">
        <v>601</v>
      </c>
      <c r="E12" s="21">
        <f t="shared" si="0"/>
        <v>1.1647254575707155E-2</v>
      </c>
      <c r="F12" s="4"/>
    </row>
    <row r="13" spans="1:6" ht="20.100000000000001" hidden="1" customHeight="1" x14ac:dyDescent="0.2">
      <c r="A13" s="9">
        <v>41518</v>
      </c>
      <c r="B13" s="5">
        <v>3</v>
      </c>
      <c r="C13" s="5">
        <v>7</v>
      </c>
      <c r="D13" s="5">
        <v>594</v>
      </c>
      <c r="E13" s="21">
        <f t="shared" si="0"/>
        <v>5.0505050505050509E-3</v>
      </c>
      <c r="F13" s="4"/>
    </row>
    <row r="14" spans="1:6" ht="20.100000000000001" hidden="1" customHeight="1" x14ac:dyDescent="0.2">
      <c r="A14" s="9">
        <v>41548</v>
      </c>
      <c r="B14" s="5">
        <v>7</v>
      </c>
      <c r="C14" s="5">
        <v>7</v>
      </c>
      <c r="D14" s="5">
        <v>594</v>
      </c>
      <c r="E14" s="21">
        <f t="shared" si="0"/>
        <v>1.1784511784511785E-2</v>
      </c>
      <c r="F14" s="4"/>
    </row>
    <row r="15" spans="1:6" ht="20.100000000000001" hidden="1" customHeight="1" x14ac:dyDescent="0.2">
      <c r="A15" s="9">
        <v>41579</v>
      </c>
      <c r="B15" s="5">
        <v>7</v>
      </c>
      <c r="C15" s="5">
        <v>14</v>
      </c>
      <c r="D15" s="5">
        <v>595</v>
      </c>
      <c r="E15" s="21">
        <f t="shared" si="0"/>
        <v>1.1764705882352941E-2</v>
      </c>
      <c r="F15" s="4"/>
    </row>
    <row r="16" spans="1:6" ht="20.100000000000001" hidden="1" customHeight="1" x14ac:dyDescent="0.2">
      <c r="A16" s="9">
        <v>41609</v>
      </c>
      <c r="B16" s="5">
        <v>5</v>
      </c>
      <c r="C16" s="5">
        <v>14</v>
      </c>
      <c r="D16" s="5">
        <v>595</v>
      </c>
      <c r="E16" s="21">
        <f t="shared" si="0"/>
        <v>8.4033613445378148E-3</v>
      </c>
      <c r="F16" s="4"/>
    </row>
    <row r="17" spans="1:7" ht="20.100000000000001" hidden="1" customHeight="1" x14ac:dyDescent="0.2">
      <c r="A17" s="9">
        <v>41640</v>
      </c>
      <c r="B17" s="5">
        <v>4</v>
      </c>
      <c r="C17" s="5">
        <v>24</v>
      </c>
      <c r="D17" s="5">
        <v>604</v>
      </c>
      <c r="E17" s="21">
        <f t="shared" si="0"/>
        <v>6.6225165562913907E-3</v>
      </c>
      <c r="F17" s="4"/>
    </row>
    <row r="18" spans="1:7" ht="20.100000000000001" hidden="1" customHeight="1" x14ac:dyDescent="0.2">
      <c r="A18" s="9">
        <v>41671</v>
      </c>
      <c r="B18" s="5">
        <v>4</v>
      </c>
      <c r="C18" s="5">
        <v>15</v>
      </c>
      <c r="D18" s="5">
        <v>596</v>
      </c>
      <c r="E18" s="21">
        <f t="shared" ref="E18:E50" si="1">B18/D18</f>
        <v>6.7114093959731542E-3</v>
      </c>
      <c r="F18" s="4"/>
    </row>
    <row r="19" spans="1:7" ht="20.100000000000001" hidden="1" customHeight="1" x14ac:dyDescent="0.2">
      <c r="A19" s="9">
        <v>41699</v>
      </c>
      <c r="B19" s="5">
        <v>10</v>
      </c>
      <c r="C19" s="5">
        <v>11</v>
      </c>
      <c r="D19" s="5">
        <v>599</v>
      </c>
      <c r="E19" s="21">
        <f t="shared" si="1"/>
        <v>1.6694490818030049E-2</v>
      </c>
      <c r="F19" s="4"/>
    </row>
    <row r="20" spans="1:7" ht="20.100000000000001" hidden="1" customHeight="1" x14ac:dyDescent="0.2">
      <c r="A20" s="9">
        <v>41730</v>
      </c>
      <c r="B20" s="5">
        <v>5</v>
      </c>
      <c r="C20" s="5">
        <v>13</v>
      </c>
      <c r="D20" s="5">
        <v>606</v>
      </c>
      <c r="E20" s="21">
        <f t="shared" si="1"/>
        <v>8.2508250825082501E-3</v>
      </c>
      <c r="F20" s="99" t="s">
        <v>93</v>
      </c>
    </row>
    <row r="21" spans="1:7" ht="20.100000000000001" hidden="1" customHeight="1" x14ac:dyDescent="0.2">
      <c r="A21" s="9">
        <v>41760</v>
      </c>
      <c r="B21" s="5">
        <v>5</v>
      </c>
      <c r="C21" s="5">
        <v>7</v>
      </c>
      <c r="D21" s="5">
        <v>609</v>
      </c>
      <c r="E21" s="21">
        <f t="shared" si="1"/>
        <v>8.2101806239737278E-3</v>
      </c>
      <c r="F21" s="4"/>
    </row>
    <row r="22" spans="1:7" ht="20.100000000000001" hidden="1" customHeight="1" x14ac:dyDescent="0.2">
      <c r="A22" s="9">
        <v>41791</v>
      </c>
      <c r="B22" s="5">
        <v>8</v>
      </c>
      <c r="C22" s="5">
        <v>13</v>
      </c>
      <c r="D22" s="5">
        <v>610</v>
      </c>
      <c r="E22" s="21">
        <f t="shared" si="1"/>
        <v>1.3114754098360656E-2</v>
      </c>
      <c r="F22" s="100" t="s">
        <v>93</v>
      </c>
    </row>
    <row r="23" spans="1:7" ht="20.100000000000001" hidden="1" customHeight="1" x14ac:dyDescent="0.2">
      <c r="A23" s="9">
        <v>41821</v>
      </c>
      <c r="B23" s="5">
        <v>12</v>
      </c>
      <c r="C23" s="5">
        <v>6</v>
      </c>
      <c r="D23" s="5">
        <v>609</v>
      </c>
      <c r="E23" s="21">
        <f t="shared" si="1"/>
        <v>1.9704433497536946E-2</v>
      </c>
      <c r="F23" s="99" t="s">
        <v>98</v>
      </c>
      <c r="G23" s="25" t="s">
        <v>99</v>
      </c>
    </row>
    <row r="24" spans="1:7" ht="20.100000000000001" hidden="1" customHeight="1" x14ac:dyDescent="0.2">
      <c r="A24" s="9">
        <v>41852</v>
      </c>
      <c r="B24" s="5">
        <v>5</v>
      </c>
      <c r="C24" s="5">
        <v>11</v>
      </c>
      <c r="D24" s="5">
        <v>568</v>
      </c>
      <c r="E24" s="21">
        <f t="shared" si="1"/>
        <v>8.8028169014084511E-3</v>
      </c>
      <c r="F24" s="99" t="s">
        <v>98</v>
      </c>
      <c r="G24" s="25" t="s">
        <v>143</v>
      </c>
    </row>
    <row r="25" spans="1:7" ht="20.100000000000001" hidden="1" customHeight="1" x14ac:dyDescent="0.2">
      <c r="A25" s="9">
        <v>41883</v>
      </c>
      <c r="B25" s="5">
        <v>4</v>
      </c>
      <c r="C25" s="5">
        <v>7</v>
      </c>
      <c r="D25" s="5">
        <v>606</v>
      </c>
      <c r="E25" s="21">
        <f t="shared" si="1"/>
        <v>6.6006600660066007E-3</v>
      </c>
      <c r="F25" s="99" t="s">
        <v>93</v>
      </c>
      <c r="G25" s="25" t="s">
        <v>145</v>
      </c>
    </row>
    <row r="26" spans="1:7" ht="20.100000000000001" hidden="1" customHeight="1" x14ac:dyDescent="0.2">
      <c r="A26" s="9">
        <v>41913</v>
      </c>
      <c r="B26" s="5">
        <v>6</v>
      </c>
      <c r="C26" s="5">
        <v>3</v>
      </c>
      <c r="D26" s="5">
        <v>607</v>
      </c>
      <c r="E26" s="21">
        <f t="shared" si="1"/>
        <v>9.8846787479406912E-3</v>
      </c>
      <c r="F26" s="99" t="s">
        <v>147</v>
      </c>
    </row>
    <row r="27" spans="1:7" ht="20.100000000000001" hidden="1" customHeight="1" x14ac:dyDescent="0.2">
      <c r="A27" s="9">
        <v>41944</v>
      </c>
      <c r="B27" s="5">
        <v>9</v>
      </c>
      <c r="C27" s="5">
        <v>8</v>
      </c>
      <c r="D27" s="5">
        <v>614</v>
      </c>
      <c r="E27" s="21">
        <f t="shared" si="1"/>
        <v>1.4657980456026058E-2</v>
      </c>
      <c r="F27" s="99" t="s">
        <v>93</v>
      </c>
      <c r="G27" s="25" t="s">
        <v>143</v>
      </c>
    </row>
    <row r="28" spans="1:7" ht="20.100000000000001" hidden="1" customHeight="1" x14ac:dyDescent="0.2">
      <c r="A28" s="9">
        <v>41974</v>
      </c>
      <c r="B28" s="5">
        <v>4</v>
      </c>
      <c r="C28" s="5">
        <v>8</v>
      </c>
      <c r="D28" s="5">
        <v>621</v>
      </c>
      <c r="E28" s="21">
        <f t="shared" si="1"/>
        <v>6.4412238325281803E-3</v>
      </c>
      <c r="F28" s="99" t="s">
        <v>150</v>
      </c>
      <c r="G28" s="25"/>
    </row>
    <row r="29" spans="1:7" ht="20.100000000000001" hidden="1" customHeight="1" x14ac:dyDescent="0.2">
      <c r="A29" s="9">
        <v>42005</v>
      </c>
      <c r="B29" s="5">
        <v>5</v>
      </c>
      <c r="C29" s="5">
        <v>5</v>
      </c>
      <c r="D29" s="5">
        <v>619</v>
      </c>
      <c r="E29" s="21">
        <f t="shared" si="1"/>
        <v>8.0775444264943458E-3</v>
      </c>
      <c r="F29" s="99" t="s">
        <v>150</v>
      </c>
      <c r="G29" s="25" t="s">
        <v>145</v>
      </c>
    </row>
    <row r="30" spans="1:7" ht="20.100000000000001" hidden="1" customHeight="1" x14ac:dyDescent="0.2">
      <c r="A30" s="9">
        <v>42036</v>
      </c>
      <c r="B30" s="5">
        <v>2</v>
      </c>
      <c r="C30" s="5">
        <v>7</v>
      </c>
      <c r="D30" s="5">
        <v>625</v>
      </c>
      <c r="E30" s="21">
        <f t="shared" si="1"/>
        <v>3.2000000000000002E-3</v>
      </c>
      <c r="F30" s="97"/>
    </row>
    <row r="31" spans="1:7" ht="20.100000000000001" hidden="1" customHeight="1" x14ac:dyDescent="0.2">
      <c r="A31" s="9">
        <v>42064</v>
      </c>
      <c r="B31" s="5">
        <v>11</v>
      </c>
      <c r="C31" s="5">
        <v>8</v>
      </c>
      <c r="D31" s="5">
        <v>626</v>
      </c>
      <c r="E31" s="21">
        <f t="shared" si="1"/>
        <v>1.7571884984025558E-2</v>
      </c>
      <c r="F31" s="99" t="s">
        <v>157</v>
      </c>
      <c r="G31" s="25" t="s">
        <v>158</v>
      </c>
    </row>
    <row r="32" spans="1:7" ht="20.100000000000001" hidden="1" customHeight="1" x14ac:dyDescent="0.2">
      <c r="A32" s="9">
        <v>42095</v>
      </c>
      <c r="B32" s="5">
        <v>9</v>
      </c>
      <c r="C32" s="5">
        <v>7</v>
      </c>
      <c r="D32" s="5">
        <v>628</v>
      </c>
      <c r="E32" s="21">
        <f t="shared" si="1"/>
        <v>1.4331210191082803E-2</v>
      </c>
      <c r="F32" s="99" t="s">
        <v>98</v>
      </c>
      <c r="G32" s="25"/>
    </row>
    <row r="33" spans="1:8" ht="20.100000000000001" hidden="1" customHeight="1" x14ac:dyDescent="0.2">
      <c r="A33" s="9">
        <v>42125</v>
      </c>
      <c r="B33" s="5">
        <v>7</v>
      </c>
      <c r="C33" s="5">
        <v>4</v>
      </c>
      <c r="D33" s="5">
        <v>630</v>
      </c>
      <c r="E33" s="21">
        <f t="shared" si="1"/>
        <v>1.1111111111111112E-2</v>
      </c>
      <c r="F33" s="99" t="s">
        <v>162</v>
      </c>
      <c r="G33" s="25" t="s">
        <v>143</v>
      </c>
    </row>
    <row r="34" spans="1:8" ht="20.100000000000001" hidden="1" customHeight="1" x14ac:dyDescent="0.2">
      <c r="A34" s="9">
        <v>42156</v>
      </c>
      <c r="B34" s="5">
        <v>9</v>
      </c>
      <c r="C34" s="5">
        <v>5</v>
      </c>
      <c r="D34" s="5">
        <v>635</v>
      </c>
      <c r="E34" s="21">
        <f t="shared" si="1"/>
        <v>1.4173228346456693E-2</v>
      </c>
      <c r="F34" s="99" t="s">
        <v>98</v>
      </c>
      <c r="G34" s="25" t="s">
        <v>164</v>
      </c>
    </row>
    <row r="35" spans="1:8" ht="20.100000000000001" hidden="1" customHeight="1" x14ac:dyDescent="0.2">
      <c r="A35" s="9">
        <v>42186</v>
      </c>
      <c r="B35" s="5">
        <v>4</v>
      </c>
      <c r="C35" s="5">
        <v>0</v>
      </c>
      <c r="D35" s="5">
        <v>631</v>
      </c>
      <c r="E35" s="21">
        <f t="shared" si="1"/>
        <v>6.3391442155309036E-3</v>
      </c>
      <c r="F35" s="97"/>
    </row>
    <row r="36" spans="1:8" ht="20.100000000000001" hidden="1" customHeight="1" x14ac:dyDescent="0.2">
      <c r="A36" s="9">
        <v>42217</v>
      </c>
      <c r="B36" s="5">
        <v>9</v>
      </c>
      <c r="C36" s="5">
        <v>8</v>
      </c>
      <c r="D36" s="5">
        <v>630</v>
      </c>
      <c r="E36" s="21">
        <f t="shared" si="1"/>
        <v>1.4285714285714285E-2</v>
      </c>
      <c r="F36" s="99" t="s">
        <v>93</v>
      </c>
    </row>
    <row r="37" spans="1:8" ht="20.100000000000001" hidden="1" customHeight="1" x14ac:dyDescent="0.2">
      <c r="A37" s="9">
        <v>42248</v>
      </c>
      <c r="B37" s="5">
        <v>6</v>
      </c>
      <c r="C37" s="5">
        <v>6</v>
      </c>
      <c r="D37" s="5">
        <v>631</v>
      </c>
      <c r="E37" s="21">
        <f t="shared" si="1"/>
        <v>9.5087163232963554E-3</v>
      </c>
      <c r="F37" s="99" t="s">
        <v>98</v>
      </c>
    </row>
    <row r="38" spans="1:8" ht="20.100000000000001" hidden="1" customHeight="1" x14ac:dyDescent="0.2">
      <c r="A38" s="9">
        <v>42278</v>
      </c>
      <c r="B38" s="5">
        <v>4</v>
      </c>
      <c r="C38" s="5">
        <v>8</v>
      </c>
      <c r="D38" s="5">
        <v>631</v>
      </c>
      <c r="E38" s="21">
        <f t="shared" si="1"/>
        <v>6.3391442155309036E-3</v>
      </c>
      <c r="F38" s="99" t="s">
        <v>93</v>
      </c>
    </row>
    <row r="39" spans="1:8" ht="19.5" hidden="1" customHeight="1" x14ac:dyDescent="0.2">
      <c r="A39" s="9">
        <v>42309</v>
      </c>
      <c r="B39" s="5">
        <v>3</v>
      </c>
      <c r="C39" s="5">
        <v>8</v>
      </c>
      <c r="D39" s="5">
        <v>632</v>
      </c>
      <c r="E39" s="21">
        <f t="shared" si="1"/>
        <v>4.7468354430379748E-3</v>
      </c>
      <c r="F39" s="99" t="s">
        <v>98</v>
      </c>
    </row>
    <row r="40" spans="1:8" ht="19.5" hidden="1" customHeight="1" x14ac:dyDescent="0.2">
      <c r="A40" s="9">
        <v>42339</v>
      </c>
      <c r="B40" s="5">
        <v>5</v>
      </c>
      <c r="C40" s="5">
        <v>7</v>
      </c>
      <c r="D40" s="5">
        <v>641</v>
      </c>
      <c r="E40" s="21">
        <f t="shared" si="1"/>
        <v>7.8003120124804995E-3</v>
      </c>
      <c r="F40" s="99" t="s">
        <v>98</v>
      </c>
      <c r="G40" s="59" t="s">
        <v>143</v>
      </c>
      <c r="H40" s="59" t="s">
        <v>171</v>
      </c>
    </row>
    <row r="41" spans="1:8" ht="19.5" hidden="1" customHeight="1" x14ac:dyDescent="0.2">
      <c r="A41" s="9">
        <v>42370</v>
      </c>
      <c r="B41" s="5">
        <v>7</v>
      </c>
      <c r="C41" s="5">
        <v>4</v>
      </c>
      <c r="D41" s="5">
        <v>636</v>
      </c>
      <c r="E41" s="21">
        <f t="shared" si="1"/>
        <v>1.10062893081761E-2</v>
      </c>
      <c r="F41" s="99" t="s">
        <v>162</v>
      </c>
    </row>
    <row r="42" spans="1:8" ht="19.5" hidden="1" customHeight="1" x14ac:dyDescent="0.2">
      <c r="A42" s="9">
        <v>42401</v>
      </c>
      <c r="B42" s="5">
        <v>1</v>
      </c>
      <c r="C42" s="5">
        <v>7</v>
      </c>
      <c r="D42" s="5">
        <v>631</v>
      </c>
      <c r="E42" s="21">
        <f t="shared" si="1"/>
        <v>1.5847860538827259E-3</v>
      </c>
      <c r="F42" s="99" t="s">
        <v>93</v>
      </c>
      <c r="G42" s="61" t="s">
        <v>174</v>
      </c>
    </row>
    <row r="43" spans="1:8" ht="19.5" hidden="1" customHeight="1" x14ac:dyDescent="0.2">
      <c r="A43" s="9">
        <v>42430</v>
      </c>
      <c r="B43" s="5">
        <v>4</v>
      </c>
      <c r="C43" s="5">
        <v>2</v>
      </c>
      <c r="D43" s="5">
        <v>629</v>
      </c>
      <c r="E43" s="21">
        <f t="shared" si="1"/>
        <v>6.3593004769475362E-3</v>
      </c>
      <c r="F43" s="99" t="s">
        <v>98</v>
      </c>
      <c r="G43" s="10"/>
    </row>
    <row r="44" spans="1:8" ht="19.5" hidden="1" customHeight="1" x14ac:dyDescent="0.2">
      <c r="A44" s="9">
        <v>42461</v>
      </c>
      <c r="B44" s="5">
        <v>2</v>
      </c>
      <c r="C44" s="5">
        <v>6</v>
      </c>
      <c r="D44" s="5">
        <v>635</v>
      </c>
      <c r="E44" s="21">
        <f t="shared" si="1"/>
        <v>3.1496062992125984E-3</v>
      </c>
      <c r="F44" s="99" t="s">
        <v>147</v>
      </c>
      <c r="G44" s="10"/>
    </row>
    <row r="45" spans="1:8" ht="19.5" hidden="1" customHeight="1" x14ac:dyDescent="0.2">
      <c r="A45" s="9">
        <v>42491</v>
      </c>
      <c r="B45" s="5">
        <v>11</v>
      </c>
      <c r="C45" s="5">
        <v>11</v>
      </c>
      <c r="D45" s="5">
        <v>632</v>
      </c>
      <c r="E45" s="21">
        <f t="shared" si="1"/>
        <v>1.740506329113924E-2</v>
      </c>
      <c r="F45" s="99" t="s">
        <v>174</v>
      </c>
      <c r="G45" s="10"/>
    </row>
    <row r="46" spans="1:8" ht="19.5" hidden="1" customHeight="1" x14ac:dyDescent="0.2">
      <c r="A46" s="9">
        <v>42522</v>
      </c>
      <c r="B46" s="5">
        <v>1</v>
      </c>
      <c r="C46" s="5">
        <v>6</v>
      </c>
      <c r="D46" s="5">
        <v>631</v>
      </c>
      <c r="E46" s="21">
        <f t="shared" si="1"/>
        <v>1.5847860538827259E-3</v>
      </c>
      <c r="F46" s="99" t="s">
        <v>93</v>
      </c>
      <c r="G46" s="10"/>
    </row>
    <row r="47" spans="1:8" ht="19.5" hidden="1" customHeight="1" x14ac:dyDescent="0.2">
      <c r="A47" s="9">
        <v>42552</v>
      </c>
      <c r="B47" s="5">
        <v>10</v>
      </c>
      <c r="C47" s="5">
        <v>6</v>
      </c>
      <c r="D47" s="5">
        <v>625</v>
      </c>
      <c r="E47" s="21">
        <f t="shared" si="1"/>
        <v>1.6E-2</v>
      </c>
      <c r="F47" s="99" t="s">
        <v>157</v>
      </c>
      <c r="G47" s="61" t="s">
        <v>174</v>
      </c>
    </row>
    <row r="48" spans="1:8" ht="19.5" hidden="1" customHeight="1" x14ac:dyDescent="0.2">
      <c r="A48" s="9">
        <v>42583</v>
      </c>
      <c r="B48" s="5">
        <v>7</v>
      </c>
      <c r="C48" s="5">
        <v>7</v>
      </c>
      <c r="D48" s="5">
        <v>622</v>
      </c>
      <c r="E48" s="21">
        <f t="shared" si="1"/>
        <v>1.1254019292604502E-2</v>
      </c>
      <c r="F48" s="99" t="s">
        <v>157</v>
      </c>
      <c r="G48" s="61" t="s">
        <v>174</v>
      </c>
    </row>
    <row r="49" spans="1:7" ht="19.5" hidden="1" customHeight="1" x14ac:dyDescent="0.2">
      <c r="A49" s="9">
        <v>42614</v>
      </c>
      <c r="B49" s="5">
        <v>13</v>
      </c>
      <c r="C49" s="5">
        <v>8</v>
      </c>
      <c r="D49" s="5">
        <v>619</v>
      </c>
      <c r="E49" s="21">
        <f t="shared" si="1"/>
        <v>2.10016155088853E-2</v>
      </c>
      <c r="F49" s="99" t="s">
        <v>93</v>
      </c>
    </row>
    <row r="50" spans="1:7" ht="19.5" hidden="1" customHeight="1" x14ac:dyDescent="0.2">
      <c r="A50" s="9">
        <v>42644</v>
      </c>
      <c r="B50" s="5">
        <v>6</v>
      </c>
      <c r="C50" s="5">
        <v>10</v>
      </c>
      <c r="D50" s="5">
        <v>616</v>
      </c>
      <c r="E50" s="21">
        <f t="shared" si="1"/>
        <v>9.74025974025974E-3</v>
      </c>
      <c r="F50" s="99" t="s">
        <v>147</v>
      </c>
    </row>
    <row r="51" spans="1:7" ht="19.5" hidden="1" customHeight="1" x14ac:dyDescent="0.2">
      <c r="A51" s="9">
        <v>42675</v>
      </c>
      <c r="B51" s="5">
        <v>3</v>
      </c>
      <c r="C51" s="5">
        <v>15</v>
      </c>
      <c r="D51" s="5">
        <v>613</v>
      </c>
      <c r="E51" s="21">
        <f t="shared" ref="E51:E61" si="2">B51/D51</f>
        <v>4.8939641109298528E-3</v>
      </c>
      <c r="F51" s="99" t="s">
        <v>98</v>
      </c>
    </row>
    <row r="52" spans="1:7" ht="19.5" hidden="1" customHeight="1" x14ac:dyDescent="0.2">
      <c r="A52" s="9">
        <v>42705</v>
      </c>
      <c r="B52" s="5">
        <v>3</v>
      </c>
      <c r="C52" s="5">
        <v>6</v>
      </c>
      <c r="D52" s="5">
        <v>611</v>
      </c>
      <c r="E52" s="21">
        <f t="shared" si="2"/>
        <v>4.9099836333878887E-3</v>
      </c>
      <c r="F52" s="99" t="s">
        <v>147</v>
      </c>
    </row>
    <row r="53" spans="1:7" ht="19.5" hidden="1" customHeight="1" x14ac:dyDescent="0.2">
      <c r="A53" s="9">
        <v>42736</v>
      </c>
      <c r="B53" s="5">
        <v>5</v>
      </c>
      <c r="C53" s="5">
        <v>6</v>
      </c>
      <c r="D53" s="5">
        <v>561</v>
      </c>
      <c r="E53" s="21">
        <f t="shared" si="2"/>
        <v>8.9126559714795012E-3</v>
      </c>
      <c r="F53" s="99" t="s">
        <v>98</v>
      </c>
      <c r="G53" s="59" t="s">
        <v>191</v>
      </c>
    </row>
    <row r="54" spans="1:7" ht="19.5" hidden="1" customHeight="1" x14ac:dyDescent="0.2">
      <c r="A54" s="9">
        <v>42767</v>
      </c>
      <c r="B54" s="5">
        <v>2</v>
      </c>
      <c r="C54" s="5">
        <v>5</v>
      </c>
      <c r="D54" s="5">
        <v>564</v>
      </c>
      <c r="E54" s="21">
        <f t="shared" si="2"/>
        <v>3.5460992907801418E-3</v>
      </c>
      <c r="F54" s="99" t="s">
        <v>98</v>
      </c>
      <c r="G54" s="59"/>
    </row>
    <row r="55" spans="1:7" ht="19.5" hidden="1" customHeight="1" x14ac:dyDescent="0.2">
      <c r="A55" s="9">
        <v>42795</v>
      </c>
      <c r="B55" s="5">
        <v>7</v>
      </c>
      <c r="C55" s="5">
        <v>11</v>
      </c>
      <c r="D55" s="5">
        <v>559</v>
      </c>
      <c r="E55" s="21">
        <f t="shared" si="2"/>
        <v>1.2522361359570662E-2</v>
      </c>
      <c r="F55" s="99" t="s">
        <v>157</v>
      </c>
      <c r="G55" s="59"/>
    </row>
    <row r="56" spans="1:7" ht="19.5" hidden="1" customHeight="1" x14ac:dyDescent="0.2">
      <c r="A56" s="9">
        <v>42826</v>
      </c>
      <c r="B56" s="5">
        <v>5</v>
      </c>
      <c r="C56" s="5">
        <v>3</v>
      </c>
      <c r="D56" s="5">
        <v>556</v>
      </c>
      <c r="E56" s="21">
        <f t="shared" si="2"/>
        <v>8.9928057553956831E-3</v>
      </c>
      <c r="F56" s="99" t="s">
        <v>195</v>
      </c>
      <c r="G56" s="59"/>
    </row>
    <row r="57" spans="1:7" ht="19.5" hidden="1" customHeight="1" x14ac:dyDescent="0.2">
      <c r="A57" s="9">
        <v>42856</v>
      </c>
      <c r="B57" s="5">
        <v>9</v>
      </c>
      <c r="C57" s="5">
        <v>3</v>
      </c>
      <c r="D57" s="5">
        <v>551</v>
      </c>
      <c r="E57" s="21">
        <f t="shared" si="2"/>
        <v>1.6333938294010888E-2</v>
      </c>
      <c r="F57" s="99" t="s">
        <v>98</v>
      </c>
      <c r="G57" s="59"/>
    </row>
    <row r="58" spans="1:7" ht="19.5" hidden="1" customHeight="1" x14ac:dyDescent="0.2">
      <c r="A58" s="9">
        <v>42887</v>
      </c>
      <c r="B58" s="5">
        <v>9</v>
      </c>
      <c r="C58" s="5">
        <v>1</v>
      </c>
      <c r="D58" s="5">
        <v>549</v>
      </c>
      <c r="E58" s="21">
        <f t="shared" si="2"/>
        <v>1.6393442622950821E-2</v>
      </c>
      <c r="F58" s="99" t="s">
        <v>98</v>
      </c>
      <c r="G58" s="61" t="s">
        <v>198</v>
      </c>
    </row>
    <row r="59" spans="1:7" ht="19.5" hidden="1" customHeight="1" x14ac:dyDescent="0.2">
      <c r="A59" s="9">
        <v>42917</v>
      </c>
      <c r="B59" s="5">
        <v>9</v>
      </c>
      <c r="C59" s="5">
        <v>3</v>
      </c>
      <c r="D59" s="5">
        <v>544</v>
      </c>
      <c r="E59" s="21">
        <f t="shared" si="2"/>
        <v>1.6544117647058824E-2</v>
      </c>
      <c r="F59" s="99" t="s">
        <v>147</v>
      </c>
      <c r="G59" s="61"/>
    </row>
    <row r="60" spans="1:7" ht="19.5" hidden="1" customHeight="1" x14ac:dyDescent="0.2">
      <c r="A60" s="9">
        <v>42948</v>
      </c>
      <c r="B60" s="5">
        <v>6</v>
      </c>
      <c r="C60" s="5">
        <v>4</v>
      </c>
      <c r="D60" s="5">
        <v>540</v>
      </c>
      <c r="E60" s="21">
        <f t="shared" si="2"/>
        <v>1.1111111111111112E-2</v>
      </c>
      <c r="F60" s="99" t="s">
        <v>147</v>
      </c>
      <c r="G60" s="61" t="s">
        <v>201</v>
      </c>
    </row>
    <row r="61" spans="1:7" ht="19.5" hidden="1" customHeight="1" x14ac:dyDescent="0.2">
      <c r="A61" s="9">
        <v>42979</v>
      </c>
      <c r="B61" s="5">
        <v>8</v>
      </c>
      <c r="C61" s="5">
        <v>12</v>
      </c>
      <c r="D61" s="5">
        <v>536</v>
      </c>
      <c r="E61" s="21">
        <f t="shared" si="2"/>
        <v>1.4925373134328358E-2</v>
      </c>
      <c r="F61" s="99" t="s">
        <v>147</v>
      </c>
      <c r="G61" s="61"/>
    </row>
    <row r="62" spans="1:7" ht="19.5" hidden="1" customHeight="1" x14ac:dyDescent="0.2">
      <c r="A62" s="9">
        <v>43009</v>
      </c>
      <c r="B62" s="5">
        <v>8</v>
      </c>
      <c r="C62" s="5">
        <v>3</v>
      </c>
      <c r="D62" s="5">
        <v>535</v>
      </c>
      <c r="E62" s="21">
        <f t="shared" ref="E62:E87" si="3">B62/D62</f>
        <v>1.4953271028037384E-2</v>
      </c>
      <c r="F62" s="99" t="s">
        <v>157</v>
      </c>
      <c r="G62" s="61"/>
    </row>
    <row r="63" spans="1:7" ht="19.5" hidden="1" customHeight="1" x14ac:dyDescent="0.2">
      <c r="A63" s="9">
        <v>43040</v>
      </c>
      <c r="B63" s="5">
        <v>13</v>
      </c>
      <c r="C63" s="5">
        <v>6</v>
      </c>
      <c r="D63" s="5">
        <v>528</v>
      </c>
      <c r="E63" s="21">
        <f t="shared" si="3"/>
        <v>2.462121212121212E-2</v>
      </c>
      <c r="F63" s="99" t="s">
        <v>157</v>
      </c>
      <c r="G63" s="61"/>
    </row>
    <row r="64" spans="1:7" ht="19.5" hidden="1" customHeight="1" x14ac:dyDescent="0.2">
      <c r="A64" s="9">
        <v>43070</v>
      </c>
      <c r="B64" s="5">
        <v>5</v>
      </c>
      <c r="C64" s="5">
        <v>8</v>
      </c>
      <c r="D64" s="5">
        <v>523</v>
      </c>
      <c r="E64" s="21">
        <f t="shared" si="3"/>
        <v>9.5602294455066923E-3</v>
      </c>
      <c r="F64" s="99" t="s">
        <v>157</v>
      </c>
      <c r="G64" s="61"/>
    </row>
    <row r="65" spans="1:7" ht="19.5" hidden="1" customHeight="1" x14ac:dyDescent="0.2">
      <c r="A65" s="9">
        <v>43101</v>
      </c>
      <c r="B65" s="5">
        <v>2</v>
      </c>
      <c r="C65" s="5">
        <v>2</v>
      </c>
      <c r="D65" s="5">
        <v>517</v>
      </c>
      <c r="E65" s="21">
        <f t="shared" si="3"/>
        <v>3.8684719535783366E-3</v>
      </c>
      <c r="F65" s="99" t="s">
        <v>98</v>
      </c>
      <c r="G65" s="61" t="s">
        <v>198</v>
      </c>
    </row>
    <row r="66" spans="1:7" ht="19.5" hidden="1" customHeight="1" x14ac:dyDescent="0.2">
      <c r="A66" s="9">
        <v>43132</v>
      </c>
      <c r="B66" s="5">
        <v>5</v>
      </c>
      <c r="C66" s="5">
        <v>5</v>
      </c>
      <c r="D66" s="5">
        <v>515</v>
      </c>
      <c r="E66" s="21">
        <f t="shared" si="3"/>
        <v>9.7087378640776691E-3</v>
      </c>
      <c r="F66" s="99" t="s">
        <v>98</v>
      </c>
      <c r="G66" s="61"/>
    </row>
    <row r="67" spans="1:7" ht="19.5" hidden="1" customHeight="1" x14ac:dyDescent="0.2">
      <c r="A67" s="9">
        <v>43160</v>
      </c>
      <c r="B67" s="5">
        <v>4</v>
      </c>
      <c r="C67" s="5">
        <v>10</v>
      </c>
      <c r="D67" s="5">
        <v>512</v>
      </c>
      <c r="E67" s="21">
        <f t="shared" si="3"/>
        <v>7.8125E-3</v>
      </c>
      <c r="F67" s="97"/>
      <c r="G67" s="10"/>
    </row>
    <row r="68" spans="1:7" ht="19.5" hidden="1" customHeight="1" x14ac:dyDescent="0.2">
      <c r="A68" s="9">
        <v>43191</v>
      </c>
      <c r="B68" s="5">
        <v>12</v>
      </c>
      <c r="C68" s="5">
        <v>7</v>
      </c>
      <c r="D68" s="5">
        <v>509</v>
      </c>
      <c r="E68" s="21">
        <f t="shared" si="3"/>
        <v>2.3575638506876228E-2</v>
      </c>
      <c r="F68" s="99" t="s">
        <v>93</v>
      </c>
      <c r="G68" s="61" t="s">
        <v>198</v>
      </c>
    </row>
    <row r="69" spans="1:7" ht="19.5" hidden="1" customHeight="1" x14ac:dyDescent="0.2">
      <c r="A69" s="9">
        <v>43221</v>
      </c>
      <c r="B69" s="5">
        <v>8</v>
      </c>
      <c r="C69" s="5">
        <v>5</v>
      </c>
      <c r="D69" s="5">
        <v>503</v>
      </c>
      <c r="E69" s="21">
        <f t="shared" si="3"/>
        <v>1.5904572564612324E-2</v>
      </c>
      <c r="F69" s="99" t="s">
        <v>147</v>
      </c>
      <c r="G69" s="61"/>
    </row>
    <row r="70" spans="1:7" ht="19.5" hidden="1" customHeight="1" x14ac:dyDescent="0.2">
      <c r="A70" s="9">
        <v>43252</v>
      </c>
      <c r="B70" s="5">
        <v>10</v>
      </c>
      <c r="C70" s="5">
        <v>2</v>
      </c>
      <c r="D70" s="5">
        <v>500</v>
      </c>
      <c r="E70" s="21">
        <f t="shared" si="3"/>
        <v>0.02</v>
      </c>
      <c r="F70" s="97"/>
      <c r="G70" s="10"/>
    </row>
    <row r="71" spans="1:7" ht="19.5" hidden="1" customHeight="1" x14ac:dyDescent="0.2">
      <c r="A71" s="9">
        <v>43282</v>
      </c>
      <c r="B71" s="5">
        <v>4</v>
      </c>
      <c r="C71" s="5">
        <v>8</v>
      </c>
      <c r="D71" s="5">
        <v>498</v>
      </c>
      <c r="E71" s="21">
        <f t="shared" si="3"/>
        <v>8.0321285140562242E-3</v>
      </c>
      <c r="F71" s="99" t="s">
        <v>93</v>
      </c>
      <c r="G71" s="61"/>
    </row>
    <row r="72" spans="1:7" ht="19.5" hidden="1" customHeight="1" x14ac:dyDescent="0.2">
      <c r="A72" s="9">
        <v>43313</v>
      </c>
      <c r="B72" s="5">
        <v>3</v>
      </c>
      <c r="C72" s="5">
        <v>4</v>
      </c>
      <c r="D72" s="5">
        <v>467</v>
      </c>
      <c r="E72" s="21">
        <f t="shared" si="3"/>
        <v>6.4239828693790149E-3</v>
      </c>
      <c r="F72" s="97"/>
      <c r="G72" s="10"/>
    </row>
    <row r="73" spans="1:7" ht="19.5" hidden="1" customHeight="1" x14ac:dyDescent="0.2">
      <c r="A73" s="9">
        <v>43344</v>
      </c>
      <c r="B73" s="5">
        <v>4</v>
      </c>
      <c r="C73" s="5">
        <v>2</v>
      </c>
      <c r="D73" s="5">
        <v>468</v>
      </c>
      <c r="E73" s="21">
        <f t="shared" si="3"/>
        <v>8.5470085470085479E-3</v>
      </c>
      <c r="F73" s="97"/>
      <c r="G73" s="10"/>
    </row>
    <row r="74" spans="1:7" ht="19.5" hidden="1" customHeight="1" x14ac:dyDescent="0.2">
      <c r="A74" s="9">
        <v>43374</v>
      </c>
      <c r="B74" s="5">
        <v>5</v>
      </c>
      <c r="C74" s="5">
        <v>6</v>
      </c>
      <c r="D74" s="5">
        <v>465</v>
      </c>
      <c r="E74" s="21">
        <f t="shared" si="3"/>
        <v>1.0752688172043012E-2</v>
      </c>
      <c r="F74" s="101" t="s">
        <v>98</v>
      </c>
      <c r="G74" s="10"/>
    </row>
    <row r="75" spans="1:7" ht="19.5" hidden="1" customHeight="1" x14ac:dyDescent="0.2">
      <c r="A75" s="9">
        <v>43405</v>
      </c>
      <c r="B75" s="5">
        <v>3</v>
      </c>
      <c r="C75" s="5">
        <v>3</v>
      </c>
      <c r="D75" s="5">
        <v>463</v>
      </c>
      <c r="E75" s="21">
        <f t="shared" si="3"/>
        <v>6.4794816414686825E-3</v>
      </c>
      <c r="F75" s="101" t="s">
        <v>93</v>
      </c>
      <c r="G75" s="10"/>
    </row>
    <row r="76" spans="1:7" ht="19.5" hidden="1" customHeight="1" x14ac:dyDescent="0.2">
      <c r="A76" s="9">
        <v>43435</v>
      </c>
      <c r="B76" s="5">
        <v>3</v>
      </c>
      <c r="C76" s="5">
        <v>3</v>
      </c>
      <c r="D76" s="5">
        <v>461</v>
      </c>
      <c r="E76" s="21">
        <f t="shared" si="3"/>
        <v>6.5075921908893707E-3</v>
      </c>
      <c r="F76" s="97"/>
      <c r="G76" s="10"/>
    </row>
    <row r="77" spans="1:7" ht="19.5" hidden="1" customHeight="1" x14ac:dyDescent="0.2">
      <c r="A77" s="9">
        <v>43466</v>
      </c>
      <c r="B77" s="5">
        <v>0</v>
      </c>
      <c r="C77" s="5">
        <v>0</v>
      </c>
      <c r="D77" s="5">
        <v>0</v>
      </c>
      <c r="E77" s="21">
        <v>0</v>
      </c>
      <c r="F77" s="97"/>
      <c r="G77" s="10"/>
    </row>
    <row r="78" spans="1:7" ht="19.5" hidden="1" customHeight="1" x14ac:dyDescent="0.2">
      <c r="A78" s="9">
        <v>43497</v>
      </c>
      <c r="B78" s="5">
        <v>1</v>
      </c>
      <c r="C78" s="5">
        <v>4</v>
      </c>
      <c r="D78" s="5">
        <v>456</v>
      </c>
      <c r="E78" s="21">
        <f>B78/D78</f>
        <v>2.1929824561403508E-3</v>
      </c>
      <c r="F78" s="101" t="s">
        <v>93</v>
      </c>
      <c r="G78" s="10"/>
    </row>
    <row r="79" spans="1:7" ht="19.5" hidden="1" customHeight="1" x14ac:dyDescent="0.2">
      <c r="A79" s="9">
        <v>43525</v>
      </c>
      <c r="B79" s="5">
        <v>2</v>
      </c>
      <c r="C79" s="5">
        <v>7</v>
      </c>
      <c r="D79" s="5">
        <v>452</v>
      </c>
      <c r="E79" s="21">
        <f t="shared" si="3"/>
        <v>4.4247787610619468E-3</v>
      </c>
      <c r="F79" s="101" t="s">
        <v>93</v>
      </c>
      <c r="G79" s="10"/>
    </row>
    <row r="80" spans="1:7" ht="19.5" hidden="1" customHeight="1" x14ac:dyDescent="0.2">
      <c r="A80" s="9">
        <v>43556</v>
      </c>
      <c r="B80" s="5">
        <v>1</v>
      </c>
      <c r="C80" s="5">
        <v>7</v>
      </c>
      <c r="D80" s="5">
        <v>452</v>
      </c>
      <c r="E80" s="21">
        <f t="shared" si="3"/>
        <v>2.2123893805309734E-3</v>
      </c>
      <c r="F80" s="101" t="s">
        <v>93</v>
      </c>
      <c r="G80" s="10"/>
    </row>
    <row r="81" spans="1:7" ht="19.5" hidden="1" customHeight="1" x14ac:dyDescent="0.2">
      <c r="A81" s="9">
        <v>43586</v>
      </c>
      <c r="B81" s="5">
        <v>7</v>
      </c>
      <c r="C81" s="5">
        <v>7</v>
      </c>
      <c r="D81" s="5">
        <v>451</v>
      </c>
      <c r="E81" s="21">
        <f t="shared" si="3"/>
        <v>1.5521064301552107E-2</v>
      </c>
      <c r="F81" s="97"/>
      <c r="G81" s="10"/>
    </row>
    <row r="82" spans="1:7" ht="19.5" hidden="1" customHeight="1" x14ac:dyDescent="0.2">
      <c r="A82" s="9">
        <v>43617</v>
      </c>
      <c r="B82" s="5">
        <v>5</v>
      </c>
      <c r="C82" s="5">
        <v>1</v>
      </c>
      <c r="D82" s="5">
        <v>450</v>
      </c>
      <c r="E82" s="21">
        <f t="shared" si="3"/>
        <v>1.1111111111111112E-2</v>
      </c>
      <c r="F82" s="101" t="s">
        <v>93</v>
      </c>
      <c r="G82" s="10"/>
    </row>
    <row r="83" spans="1:7" ht="19.5" hidden="1" customHeight="1" x14ac:dyDescent="0.2">
      <c r="A83" s="9">
        <v>43647</v>
      </c>
      <c r="B83" s="5">
        <v>6</v>
      </c>
      <c r="C83" s="5">
        <v>2</v>
      </c>
      <c r="D83" s="5">
        <v>442</v>
      </c>
      <c r="E83" s="21">
        <f t="shared" si="3"/>
        <v>1.3574660633484163E-2</v>
      </c>
      <c r="F83" s="101" t="s">
        <v>226</v>
      </c>
      <c r="G83" s="10"/>
    </row>
    <row r="84" spans="1:7" ht="19.5" hidden="1" customHeight="1" x14ac:dyDescent="0.2">
      <c r="A84" s="9">
        <v>43678</v>
      </c>
      <c r="B84" s="5">
        <v>2</v>
      </c>
      <c r="C84" s="5">
        <v>3</v>
      </c>
      <c r="D84" s="5">
        <v>446</v>
      </c>
      <c r="E84" s="21">
        <f t="shared" si="3"/>
        <v>4.4843049327354259E-3</v>
      </c>
      <c r="F84" s="97"/>
      <c r="G84" s="10"/>
    </row>
    <row r="85" spans="1:7" ht="19.5" hidden="1" customHeight="1" x14ac:dyDescent="0.2">
      <c r="A85" s="9">
        <v>43709</v>
      </c>
      <c r="B85" s="5">
        <v>5</v>
      </c>
      <c r="C85" s="5">
        <v>1</v>
      </c>
      <c r="D85" s="5">
        <v>446</v>
      </c>
      <c r="E85" s="21">
        <f t="shared" si="3"/>
        <v>1.1210762331838564E-2</v>
      </c>
      <c r="F85" s="101" t="s">
        <v>98</v>
      </c>
      <c r="G85" s="10"/>
    </row>
    <row r="86" spans="1:7" ht="19.5" hidden="1" customHeight="1" x14ac:dyDescent="0.2">
      <c r="A86" s="9">
        <v>43739</v>
      </c>
      <c r="B86" s="5">
        <v>4</v>
      </c>
      <c r="C86" s="5">
        <v>15</v>
      </c>
      <c r="D86" s="5">
        <v>443</v>
      </c>
      <c r="E86" s="21">
        <f t="shared" si="3"/>
        <v>9.0293453724604959E-3</v>
      </c>
      <c r="F86" s="101" t="s">
        <v>93</v>
      </c>
      <c r="G86" s="10"/>
    </row>
    <row r="87" spans="1:7" ht="19.5" hidden="1" customHeight="1" x14ac:dyDescent="0.2">
      <c r="A87" s="9">
        <v>43770</v>
      </c>
      <c r="B87" s="5">
        <v>2</v>
      </c>
      <c r="C87" s="5">
        <v>6</v>
      </c>
      <c r="D87" s="5">
        <v>440</v>
      </c>
      <c r="E87" s="21">
        <f t="shared" si="3"/>
        <v>4.5454545454545452E-3</v>
      </c>
      <c r="F87" s="101" t="s">
        <v>93</v>
      </c>
      <c r="G87" s="10"/>
    </row>
    <row r="88" spans="1:7" ht="19.5" hidden="1" customHeight="1" x14ac:dyDescent="0.2">
      <c r="A88" s="9">
        <v>43800</v>
      </c>
      <c r="B88" s="5">
        <v>3</v>
      </c>
      <c r="C88" s="5">
        <v>3</v>
      </c>
      <c r="D88" s="5">
        <v>436</v>
      </c>
      <c r="E88" s="21">
        <f t="shared" ref="E88:E99" si="4">B88/D88</f>
        <v>6.8807339449541288E-3</v>
      </c>
      <c r="F88" s="97"/>
      <c r="G88" s="10"/>
    </row>
    <row r="89" spans="1:7" ht="19.5" hidden="1" customHeight="1" x14ac:dyDescent="0.2">
      <c r="A89" s="9">
        <v>43831</v>
      </c>
      <c r="B89" s="5">
        <v>6</v>
      </c>
      <c r="C89" s="5">
        <v>1</v>
      </c>
      <c r="D89" s="5">
        <v>437</v>
      </c>
      <c r="E89" s="21">
        <f t="shared" si="4"/>
        <v>1.3729977116704805E-2</v>
      </c>
      <c r="F89" s="101" t="s">
        <v>98</v>
      </c>
      <c r="G89" s="10"/>
    </row>
    <row r="90" spans="1:7" ht="19.5" hidden="1" customHeight="1" x14ac:dyDescent="0.2">
      <c r="A90" s="9">
        <v>43862</v>
      </c>
      <c r="B90" s="5">
        <v>4</v>
      </c>
      <c r="C90" s="5">
        <v>1</v>
      </c>
      <c r="D90" s="5">
        <v>431</v>
      </c>
      <c r="E90" s="21">
        <f t="shared" si="4"/>
        <v>9.2807424593967514E-3</v>
      </c>
      <c r="F90" s="97"/>
      <c r="G90" s="10"/>
    </row>
    <row r="91" spans="1:7" ht="19.5" hidden="1" customHeight="1" x14ac:dyDescent="0.2">
      <c r="A91" s="9">
        <v>43891</v>
      </c>
      <c r="B91" s="5">
        <v>1</v>
      </c>
      <c r="C91" s="5">
        <v>0</v>
      </c>
      <c r="D91" s="5">
        <v>431</v>
      </c>
      <c r="E91" s="21">
        <f t="shared" si="4"/>
        <v>2.3201856148491878E-3</v>
      </c>
      <c r="F91" s="101" t="s">
        <v>93</v>
      </c>
      <c r="G91" s="10"/>
    </row>
    <row r="92" spans="1:7" ht="19.5" hidden="1" customHeight="1" x14ac:dyDescent="0.2">
      <c r="A92" s="9">
        <v>43922</v>
      </c>
      <c r="B92" s="5">
        <v>0</v>
      </c>
      <c r="C92" s="5">
        <v>0</v>
      </c>
      <c r="D92" s="5">
        <v>429</v>
      </c>
      <c r="E92" s="21">
        <f t="shared" si="4"/>
        <v>0</v>
      </c>
      <c r="F92" s="97"/>
      <c r="G92" s="10"/>
    </row>
    <row r="93" spans="1:7" ht="19.5" hidden="1" customHeight="1" x14ac:dyDescent="0.2">
      <c r="A93" s="9">
        <v>43952</v>
      </c>
      <c r="B93" s="5">
        <v>3</v>
      </c>
      <c r="C93" s="5">
        <v>0</v>
      </c>
      <c r="D93" s="5">
        <v>429</v>
      </c>
      <c r="E93" s="21">
        <f t="shared" si="4"/>
        <v>6.993006993006993E-3</v>
      </c>
      <c r="F93" s="97"/>
      <c r="G93" s="10"/>
    </row>
    <row r="94" spans="1:7" ht="19.5" hidden="1" customHeight="1" x14ac:dyDescent="0.2">
      <c r="A94" s="9">
        <v>43983</v>
      </c>
      <c r="B94" s="5">
        <v>2</v>
      </c>
      <c r="C94" s="5">
        <v>0</v>
      </c>
      <c r="D94" s="5">
        <v>430</v>
      </c>
      <c r="E94" s="21">
        <f t="shared" si="4"/>
        <v>4.6511627906976744E-3</v>
      </c>
      <c r="F94" s="101" t="s">
        <v>174</v>
      </c>
      <c r="G94" s="10"/>
    </row>
    <row r="95" spans="1:7" ht="19.5" hidden="1" customHeight="1" x14ac:dyDescent="0.2">
      <c r="A95" s="9">
        <v>44013</v>
      </c>
      <c r="B95" s="5">
        <v>2</v>
      </c>
      <c r="C95" s="5">
        <v>0</v>
      </c>
      <c r="D95" s="5">
        <v>432</v>
      </c>
      <c r="E95" s="21">
        <f t="shared" si="4"/>
        <v>4.6296296296296294E-3</v>
      </c>
      <c r="F95" s="97"/>
      <c r="G95" s="10"/>
    </row>
    <row r="96" spans="1:7" ht="19.5" hidden="1" customHeight="1" x14ac:dyDescent="0.2">
      <c r="A96" s="9">
        <v>44044</v>
      </c>
      <c r="B96" s="5">
        <v>2</v>
      </c>
      <c r="C96" s="5">
        <v>0</v>
      </c>
      <c r="D96" s="5">
        <v>431</v>
      </c>
      <c r="E96" s="21">
        <f t="shared" si="4"/>
        <v>4.6403712296983757E-3</v>
      </c>
      <c r="F96" s="97"/>
      <c r="G96" s="10"/>
    </row>
    <row r="97" spans="1:7" ht="19.5" hidden="1" customHeight="1" x14ac:dyDescent="0.2">
      <c r="A97" s="9">
        <v>44075</v>
      </c>
      <c r="B97" s="5">
        <v>2</v>
      </c>
      <c r="C97" s="5">
        <v>0</v>
      </c>
      <c r="D97" s="5">
        <v>436</v>
      </c>
      <c r="E97" s="21">
        <f t="shared" si="4"/>
        <v>4.5871559633027525E-3</v>
      </c>
      <c r="F97" s="101" t="s">
        <v>262</v>
      </c>
      <c r="G97" s="10"/>
    </row>
    <row r="98" spans="1:7" ht="19.5" hidden="1" customHeight="1" x14ac:dyDescent="0.2">
      <c r="A98" s="9">
        <v>44105</v>
      </c>
      <c r="B98" s="5">
        <v>3</v>
      </c>
      <c r="C98" s="5">
        <v>1</v>
      </c>
      <c r="D98" s="5">
        <v>435</v>
      </c>
      <c r="E98" s="21">
        <f t="shared" si="4"/>
        <v>6.8965517241379309E-3</v>
      </c>
      <c r="F98" s="97"/>
      <c r="G98" s="10"/>
    </row>
    <row r="99" spans="1:7" ht="19.5" hidden="1" customHeight="1" x14ac:dyDescent="0.2">
      <c r="A99" s="9">
        <v>44136</v>
      </c>
      <c r="B99" s="5">
        <v>0</v>
      </c>
      <c r="C99" s="5">
        <v>0</v>
      </c>
      <c r="D99" s="5">
        <v>434</v>
      </c>
      <c r="E99" s="21">
        <f t="shared" si="4"/>
        <v>0</v>
      </c>
      <c r="F99" s="97"/>
      <c r="G99" s="10"/>
    </row>
    <row r="100" spans="1:7" ht="19.5" hidden="1" customHeight="1" x14ac:dyDescent="0.2">
      <c r="A100" s="9">
        <v>44166</v>
      </c>
      <c r="B100" s="5">
        <v>2</v>
      </c>
      <c r="C100" s="5">
        <v>0</v>
      </c>
      <c r="D100" s="5">
        <v>439</v>
      </c>
      <c r="E100" s="21">
        <f t="shared" ref="E100:E122" si="5">B100/D100</f>
        <v>4.5558086560364463E-3</v>
      </c>
      <c r="F100" s="97"/>
      <c r="G100" s="10"/>
    </row>
    <row r="101" spans="1:7" ht="19.5" hidden="1" customHeight="1" x14ac:dyDescent="0.2">
      <c r="A101" s="9">
        <v>44197</v>
      </c>
      <c r="B101" s="5">
        <v>3</v>
      </c>
      <c r="C101" s="5">
        <v>0</v>
      </c>
      <c r="D101" s="5">
        <v>444</v>
      </c>
      <c r="E101" s="21">
        <f t="shared" si="5"/>
        <v>6.7567567567567571E-3</v>
      </c>
      <c r="F101" s="101" t="s">
        <v>93</v>
      </c>
      <c r="G101" s="10"/>
    </row>
    <row r="102" spans="1:7" ht="19.5" hidden="1" customHeight="1" x14ac:dyDescent="0.2">
      <c r="A102" s="9">
        <v>44228</v>
      </c>
      <c r="B102" s="5">
        <v>1</v>
      </c>
      <c r="C102" s="5">
        <v>0</v>
      </c>
      <c r="D102" s="5">
        <v>441</v>
      </c>
      <c r="E102" s="21">
        <f t="shared" si="5"/>
        <v>2.2675736961451248E-3</v>
      </c>
      <c r="F102" s="97"/>
      <c r="G102" s="10"/>
    </row>
    <row r="103" spans="1:7" ht="19.5" hidden="1" customHeight="1" x14ac:dyDescent="0.2">
      <c r="A103" s="9">
        <v>44256</v>
      </c>
      <c r="B103" s="5">
        <v>15</v>
      </c>
      <c r="C103" s="5">
        <v>0</v>
      </c>
      <c r="D103" s="5">
        <v>446</v>
      </c>
      <c r="E103" s="21">
        <f t="shared" si="5"/>
        <v>3.3632286995515695E-2</v>
      </c>
      <c r="F103" s="101" t="s">
        <v>278</v>
      </c>
      <c r="G103" s="10"/>
    </row>
    <row r="104" spans="1:7" ht="19.5" hidden="1" customHeight="1" x14ac:dyDescent="0.2">
      <c r="A104" s="9">
        <v>44287</v>
      </c>
      <c r="B104" s="5">
        <v>36</v>
      </c>
      <c r="C104" s="5">
        <v>2</v>
      </c>
      <c r="D104" s="5">
        <v>450</v>
      </c>
      <c r="E104" s="21">
        <f t="shared" si="5"/>
        <v>0.08</v>
      </c>
      <c r="F104" s="101" t="s">
        <v>174</v>
      </c>
      <c r="G104" s="10"/>
    </row>
    <row r="105" spans="1:7" ht="19.5" hidden="1" customHeight="1" x14ac:dyDescent="0.2">
      <c r="A105" s="9">
        <v>44317</v>
      </c>
      <c r="B105" s="5">
        <v>13</v>
      </c>
      <c r="C105" s="5">
        <v>0</v>
      </c>
      <c r="D105" s="5">
        <v>461</v>
      </c>
      <c r="E105" s="21">
        <f t="shared" si="5"/>
        <v>2.8199566160520606E-2</v>
      </c>
      <c r="F105" s="97"/>
      <c r="G105" s="10"/>
    </row>
    <row r="106" spans="1:7" ht="19.5" hidden="1" customHeight="1" x14ac:dyDescent="0.2">
      <c r="A106" s="9">
        <v>44348</v>
      </c>
      <c r="B106" s="5">
        <v>13</v>
      </c>
      <c r="C106" s="5">
        <v>0</v>
      </c>
      <c r="D106" s="5">
        <v>461</v>
      </c>
      <c r="E106" s="21">
        <f t="shared" si="5"/>
        <v>2.8199566160520606E-2</v>
      </c>
      <c r="F106" s="97" t="s">
        <v>285</v>
      </c>
      <c r="G106" s="10"/>
    </row>
    <row r="107" spans="1:7" ht="19.5" hidden="1" customHeight="1" x14ac:dyDescent="0.2">
      <c r="A107" s="9">
        <v>44378</v>
      </c>
      <c r="B107" s="5">
        <v>7</v>
      </c>
      <c r="C107" s="5">
        <v>0</v>
      </c>
      <c r="D107" s="5">
        <v>474</v>
      </c>
      <c r="E107" s="21">
        <f t="shared" si="5"/>
        <v>1.4767932489451477E-2</v>
      </c>
      <c r="F107" s="97" t="s">
        <v>292</v>
      </c>
      <c r="G107" s="10"/>
    </row>
    <row r="108" spans="1:7" ht="19.5" hidden="1" customHeight="1" x14ac:dyDescent="0.2">
      <c r="A108" s="9">
        <v>44409</v>
      </c>
      <c r="B108" s="5">
        <v>6</v>
      </c>
      <c r="C108" s="5">
        <v>0</v>
      </c>
      <c r="D108" s="5">
        <v>478</v>
      </c>
      <c r="E108" s="21">
        <f t="shared" si="5"/>
        <v>1.2552301255230125E-2</v>
      </c>
      <c r="F108" s="97" t="s">
        <v>291</v>
      </c>
      <c r="G108" s="10"/>
    </row>
    <row r="109" spans="1:7" ht="19.5" hidden="1" customHeight="1" x14ac:dyDescent="0.2">
      <c r="A109" s="9">
        <v>44440</v>
      </c>
      <c r="B109" s="5">
        <v>2</v>
      </c>
      <c r="C109" s="5">
        <v>1</v>
      </c>
      <c r="D109" s="5">
        <v>476</v>
      </c>
      <c r="E109" s="21">
        <f t="shared" si="5"/>
        <v>4.2016806722689074E-3</v>
      </c>
      <c r="F109" s="97" t="s">
        <v>295</v>
      </c>
      <c r="G109" s="10"/>
    </row>
    <row r="110" spans="1:7" ht="19.5" hidden="1" customHeight="1" x14ac:dyDescent="0.2">
      <c r="A110" s="9">
        <v>44470</v>
      </c>
      <c r="B110" s="5">
        <v>7</v>
      </c>
      <c r="C110" s="5">
        <v>0</v>
      </c>
      <c r="D110" s="5">
        <v>490</v>
      </c>
      <c r="E110" s="21">
        <f t="shared" si="5"/>
        <v>1.4285714285714285E-2</v>
      </c>
      <c r="F110" s="97" t="s">
        <v>292</v>
      </c>
      <c r="G110" s="10"/>
    </row>
    <row r="111" spans="1:7" ht="19.5" hidden="1" customHeight="1" x14ac:dyDescent="0.2">
      <c r="A111" s="9">
        <v>44501</v>
      </c>
      <c r="B111" s="5">
        <v>7</v>
      </c>
      <c r="C111" s="5">
        <v>3</v>
      </c>
      <c r="D111" s="5">
        <v>492</v>
      </c>
      <c r="E111" s="21">
        <f t="shared" si="5"/>
        <v>1.4227642276422764E-2</v>
      </c>
      <c r="F111" s="97" t="s">
        <v>301</v>
      </c>
      <c r="G111" s="10"/>
    </row>
    <row r="112" spans="1:7" ht="19.5" hidden="1" customHeight="1" x14ac:dyDescent="0.2">
      <c r="A112" s="9">
        <v>44531</v>
      </c>
      <c r="B112" s="5">
        <v>8</v>
      </c>
      <c r="C112" s="5">
        <v>2</v>
      </c>
      <c r="D112" s="5">
        <v>494</v>
      </c>
      <c r="E112" s="21">
        <f t="shared" si="5"/>
        <v>1.6194331983805668E-2</v>
      </c>
      <c r="F112" s="97" t="s">
        <v>304</v>
      </c>
      <c r="G112" s="10"/>
    </row>
    <row r="113" spans="1:7" ht="19.5" hidden="1" customHeight="1" x14ac:dyDescent="0.2">
      <c r="A113" s="9">
        <v>44562</v>
      </c>
      <c r="B113" s="5">
        <v>2</v>
      </c>
      <c r="C113" s="5">
        <v>1</v>
      </c>
      <c r="D113" s="5">
        <v>495</v>
      </c>
      <c r="E113" s="21">
        <f t="shared" si="5"/>
        <v>4.0404040404040404E-3</v>
      </c>
      <c r="F113" s="97" t="s">
        <v>305</v>
      </c>
      <c r="G113" s="10"/>
    </row>
    <row r="114" spans="1:7" ht="19.5" hidden="1" customHeight="1" x14ac:dyDescent="0.2">
      <c r="A114" s="9">
        <v>44593</v>
      </c>
      <c r="B114" s="5">
        <v>5</v>
      </c>
      <c r="C114" s="5">
        <v>1</v>
      </c>
      <c r="D114" s="5">
        <v>493</v>
      </c>
      <c r="E114" s="21">
        <f t="shared" si="5"/>
        <v>1.0141987829614604E-2</v>
      </c>
      <c r="F114" s="97" t="s">
        <v>306</v>
      </c>
      <c r="G114" s="10"/>
    </row>
    <row r="115" spans="1:7" ht="19.5" hidden="1" customHeight="1" x14ac:dyDescent="0.2">
      <c r="A115" s="9">
        <v>44621</v>
      </c>
      <c r="B115" s="5">
        <v>9</v>
      </c>
      <c r="C115" s="5">
        <v>4</v>
      </c>
      <c r="D115" s="5">
        <v>493</v>
      </c>
      <c r="E115" s="21">
        <f t="shared" si="5"/>
        <v>1.8255578093306288E-2</v>
      </c>
      <c r="F115" s="97" t="s">
        <v>307</v>
      </c>
      <c r="G115" s="10"/>
    </row>
    <row r="116" spans="1:7" ht="19.5" hidden="1" customHeight="1" x14ac:dyDescent="0.2">
      <c r="A116" s="9">
        <v>44652</v>
      </c>
      <c r="B116" s="5">
        <v>8</v>
      </c>
      <c r="C116" s="5">
        <v>2</v>
      </c>
      <c r="D116" s="5">
        <v>492</v>
      </c>
      <c r="E116" s="21">
        <f t="shared" si="5"/>
        <v>1.6260162601626018E-2</v>
      </c>
      <c r="F116" s="97" t="s">
        <v>311</v>
      </c>
      <c r="G116" s="10"/>
    </row>
    <row r="117" spans="1:7" ht="19.5" hidden="1" customHeight="1" x14ac:dyDescent="0.2">
      <c r="A117" s="9">
        <v>44682</v>
      </c>
      <c r="B117" s="5">
        <v>3</v>
      </c>
      <c r="C117" s="5">
        <v>2</v>
      </c>
      <c r="D117" s="5">
        <v>492</v>
      </c>
      <c r="E117" s="21">
        <f t="shared" si="5"/>
        <v>6.0975609756097563E-3</v>
      </c>
      <c r="F117" s="97"/>
      <c r="G117" s="10"/>
    </row>
    <row r="118" spans="1:7" ht="19.5" hidden="1" customHeight="1" x14ac:dyDescent="0.2">
      <c r="A118" s="9">
        <v>44713</v>
      </c>
      <c r="B118" s="5">
        <v>8</v>
      </c>
      <c r="C118" s="5">
        <v>1</v>
      </c>
      <c r="D118" s="5">
        <v>493</v>
      </c>
      <c r="E118" s="21">
        <f t="shared" si="5"/>
        <v>1.6227180527383367E-2</v>
      </c>
      <c r="F118" s="97" t="s">
        <v>314</v>
      </c>
      <c r="G118" s="10"/>
    </row>
    <row r="119" spans="1:7" ht="19.5" hidden="1" customHeight="1" x14ac:dyDescent="0.2">
      <c r="A119" s="9">
        <v>44743</v>
      </c>
      <c r="B119" s="5">
        <v>5</v>
      </c>
      <c r="C119" s="5">
        <v>3</v>
      </c>
      <c r="D119" s="5">
        <v>492</v>
      </c>
      <c r="E119" s="21">
        <f t="shared" si="5"/>
        <v>1.016260162601626E-2</v>
      </c>
      <c r="F119" s="97" t="s">
        <v>316</v>
      </c>
      <c r="G119" s="10"/>
    </row>
    <row r="120" spans="1:7" ht="19.5" hidden="1" customHeight="1" x14ac:dyDescent="0.2">
      <c r="A120" s="9">
        <v>44774</v>
      </c>
      <c r="B120" s="5">
        <v>4</v>
      </c>
      <c r="C120" s="5">
        <v>1</v>
      </c>
      <c r="D120" s="5">
        <v>496</v>
      </c>
      <c r="E120" s="21">
        <f t="shared" si="5"/>
        <v>8.0645161290322578E-3</v>
      </c>
      <c r="F120" s="97" t="s">
        <v>317</v>
      </c>
      <c r="G120" s="10"/>
    </row>
    <row r="121" spans="1:7" ht="19.5" hidden="1" customHeight="1" x14ac:dyDescent="0.2">
      <c r="A121" s="9">
        <v>44805</v>
      </c>
      <c r="B121" s="5">
        <v>4</v>
      </c>
      <c r="C121" s="5">
        <v>0</v>
      </c>
      <c r="D121" s="5">
        <v>501</v>
      </c>
      <c r="E121" s="21">
        <f t="shared" si="5"/>
        <v>7.9840319361277438E-3</v>
      </c>
      <c r="F121" s="97" t="s">
        <v>93</v>
      </c>
      <c r="G121" s="10"/>
    </row>
    <row r="122" spans="1:7" ht="19.5" hidden="1" customHeight="1" x14ac:dyDescent="0.2">
      <c r="A122" s="9">
        <v>44835</v>
      </c>
      <c r="B122" s="5">
        <v>8</v>
      </c>
      <c r="C122" s="5">
        <v>1</v>
      </c>
      <c r="D122" s="5">
        <v>502</v>
      </c>
      <c r="E122" s="21">
        <f t="shared" si="5"/>
        <v>1.5936254980079681E-2</v>
      </c>
      <c r="F122" s="97" t="s">
        <v>314</v>
      </c>
      <c r="G122" s="10"/>
    </row>
    <row r="123" spans="1:7" ht="19.5" hidden="1" customHeight="1" x14ac:dyDescent="0.2">
      <c r="A123" s="9">
        <v>44866</v>
      </c>
      <c r="B123" s="5">
        <v>2</v>
      </c>
      <c r="C123" s="5">
        <v>2</v>
      </c>
      <c r="D123" s="5">
        <v>501</v>
      </c>
      <c r="E123" s="21">
        <f t="shared" ref="E123:E146" si="6">B123/D123</f>
        <v>3.9920159680638719E-3</v>
      </c>
      <c r="F123" s="97" t="s">
        <v>324</v>
      </c>
      <c r="G123" s="10"/>
    </row>
    <row r="124" spans="1:7" ht="19.5" hidden="1" customHeight="1" x14ac:dyDescent="0.2">
      <c r="A124" s="9">
        <v>44896</v>
      </c>
      <c r="B124" s="5">
        <v>3</v>
      </c>
      <c r="C124" s="5">
        <v>0</v>
      </c>
      <c r="D124" s="5">
        <v>501</v>
      </c>
      <c r="E124" s="21">
        <f t="shared" si="6"/>
        <v>5.9880239520958087E-3</v>
      </c>
      <c r="F124" s="97" t="s">
        <v>93</v>
      </c>
      <c r="G124" s="10"/>
    </row>
    <row r="125" spans="1:7" ht="19.5" hidden="1" customHeight="1" x14ac:dyDescent="0.2">
      <c r="A125" s="9">
        <v>44927</v>
      </c>
      <c r="B125" s="5">
        <v>6</v>
      </c>
      <c r="C125" s="5">
        <v>2</v>
      </c>
      <c r="D125" s="5">
        <v>503</v>
      </c>
      <c r="E125" s="21">
        <f t="shared" si="6"/>
        <v>1.1928429423459244E-2</v>
      </c>
      <c r="F125" s="97" t="s">
        <v>93</v>
      </c>
      <c r="G125" s="10"/>
    </row>
    <row r="126" spans="1:7" ht="19.5" hidden="1" customHeight="1" x14ac:dyDescent="0.2">
      <c r="A126" s="9">
        <v>44958</v>
      </c>
      <c r="B126" s="5">
        <v>1</v>
      </c>
      <c r="C126" s="5">
        <v>0</v>
      </c>
      <c r="D126" s="5">
        <v>501</v>
      </c>
      <c r="E126" s="21">
        <f t="shared" si="6"/>
        <v>1.996007984031936E-3</v>
      </c>
      <c r="F126" s="97"/>
      <c r="G126" s="10"/>
    </row>
    <row r="127" spans="1:7" ht="19.5" hidden="1" customHeight="1" x14ac:dyDescent="0.2">
      <c r="A127" s="9">
        <v>44986</v>
      </c>
      <c r="B127" s="5">
        <v>7</v>
      </c>
      <c r="C127" s="5">
        <v>2</v>
      </c>
      <c r="D127" s="5">
        <v>500</v>
      </c>
      <c r="E127" s="21">
        <f t="shared" si="6"/>
        <v>1.4E-2</v>
      </c>
      <c r="F127" s="97" t="s">
        <v>330</v>
      </c>
      <c r="G127" s="10"/>
    </row>
    <row r="128" spans="1:7" ht="19.5" hidden="1" customHeight="1" x14ac:dyDescent="0.2">
      <c r="A128" s="9">
        <v>45017</v>
      </c>
      <c r="B128" s="5">
        <v>8</v>
      </c>
      <c r="C128" s="5">
        <v>2</v>
      </c>
      <c r="D128" s="5">
        <v>504</v>
      </c>
      <c r="E128" s="21">
        <f t="shared" si="6"/>
        <v>1.5873015873015872E-2</v>
      </c>
      <c r="F128" s="97" t="s">
        <v>332</v>
      </c>
      <c r="G128" s="10"/>
    </row>
    <row r="129" spans="1:7" ht="19.5" hidden="1" customHeight="1" x14ac:dyDescent="0.2">
      <c r="A129" s="9">
        <v>45047</v>
      </c>
      <c r="B129" s="5">
        <v>1</v>
      </c>
      <c r="C129" s="5">
        <v>1</v>
      </c>
      <c r="D129" s="5">
        <v>503</v>
      </c>
      <c r="E129" s="21">
        <f t="shared" si="6"/>
        <v>1.9880715705765406E-3</v>
      </c>
      <c r="F129" s="97" t="s">
        <v>232</v>
      </c>
      <c r="G129" s="10"/>
    </row>
    <row r="130" spans="1:7" ht="19.5" hidden="1" customHeight="1" x14ac:dyDescent="0.2">
      <c r="A130" s="9">
        <v>45078</v>
      </c>
      <c r="B130" s="5">
        <v>2</v>
      </c>
      <c r="C130" s="5">
        <v>2</v>
      </c>
      <c r="D130" s="5">
        <v>502</v>
      </c>
      <c r="E130" s="21">
        <f t="shared" si="6"/>
        <v>3.9840637450199202E-3</v>
      </c>
      <c r="F130" s="97" t="s">
        <v>232</v>
      </c>
      <c r="G130" s="10"/>
    </row>
    <row r="131" spans="1:7" ht="19.5" hidden="1" customHeight="1" x14ac:dyDescent="0.2">
      <c r="A131" s="9">
        <v>45108</v>
      </c>
      <c r="B131" s="5">
        <v>4</v>
      </c>
      <c r="C131" s="5">
        <v>1</v>
      </c>
      <c r="D131" s="5">
        <v>505</v>
      </c>
      <c r="E131" s="21">
        <f t="shared" si="6"/>
        <v>7.9207920792079209E-3</v>
      </c>
      <c r="F131" s="97" t="s">
        <v>336</v>
      </c>
      <c r="G131" s="10"/>
    </row>
    <row r="132" spans="1:7" ht="19.5" hidden="1" customHeight="1" x14ac:dyDescent="0.2">
      <c r="A132" s="9">
        <v>45139</v>
      </c>
      <c r="B132" s="5">
        <v>7</v>
      </c>
      <c r="C132" s="5">
        <v>0</v>
      </c>
      <c r="D132" s="5">
        <v>505</v>
      </c>
      <c r="E132" s="21">
        <f t="shared" si="6"/>
        <v>1.3861386138613862E-2</v>
      </c>
      <c r="F132" s="97" t="s">
        <v>338</v>
      </c>
      <c r="G132" s="10"/>
    </row>
    <row r="133" spans="1:7" ht="19.5" hidden="1" customHeight="1" x14ac:dyDescent="0.2">
      <c r="A133" s="9">
        <v>45170</v>
      </c>
      <c r="B133" s="5">
        <v>7</v>
      </c>
      <c r="C133" s="5">
        <v>0</v>
      </c>
      <c r="D133" s="5">
        <v>507</v>
      </c>
      <c r="E133" s="21">
        <f t="shared" si="6"/>
        <v>1.3806706114398421E-2</v>
      </c>
      <c r="F133" s="97" t="s">
        <v>324</v>
      </c>
      <c r="G133" s="10"/>
    </row>
    <row r="134" spans="1:7" ht="19.5" hidden="1" customHeight="1" x14ac:dyDescent="0.2">
      <c r="A134" s="9">
        <v>45200</v>
      </c>
      <c r="B134" s="5">
        <v>7</v>
      </c>
      <c r="C134" s="5">
        <v>2</v>
      </c>
      <c r="D134" s="5">
        <v>506</v>
      </c>
      <c r="E134" s="21">
        <f t="shared" si="6"/>
        <v>1.383399209486166E-2</v>
      </c>
      <c r="F134" s="97" t="s">
        <v>341</v>
      </c>
      <c r="G134" s="10"/>
    </row>
    <row r="135" spans="1:7" ht="19.5" hidden="1" customHeight="1" x14ac:dyDescent="0.2">
      <c r="A135" s="9">
        <v>45231</v>
      </c>
      <c r="B135" s="5">
        <v>5</v>
      </c>
      <c r="C135" s="5">
        <v>2</v>
      </c>
      <c r="D135" s="5">
        <v>506</v>
      </c>
      <c r="E135" s="21">
        <f t="shared" si="6"/>
        <v>9.881422924901186E-3</v>
      </c>
      <c r="F135" s="97" t="s">
        <v>343</v>
      </c>
      <c r="G135" s="10"/>
    </row>
    <row r="136" spans="1:7" ht="19.5" hidden="1" customHeight="1" x14ac:dyDescent="0.2">
      <c r="A136" s="9">
        <v>45261</v>
      </c>
      <c r="B136" s="5">
        <v>3</v>
      </c>
      <c r="C136" s="5">
        <v>0</v>
      </c>
      <c r="D136" s="5">
        <v>513</v>
      </c>
      <c r="E136" s="21">
        <f t="shared" si="6"/>
        <v>5.8479532163742687E-3</v>
      </c>
      <c r="F136" s="97" t="s">
        <v>295</v>
      </c>
      <c r="G136" s="10"/>
    </row>
    <row r="137" spans="1:7" ht="19.5" hidden="1" customHeight="1" x14ac:dyDescent="0.2">
      <c r="A137" s="9">
        <v>45292</v>
      </c>
      <c r="B137" s="5">
        <v>4</v>
      </c>
      <c r="C137" s="5">
        <v>1</v>
      </c>
      <c r="D137" s="5">
        <v>514</v>
      </c>
      <c r="E137" s="21">
        <f t="shared" si="6"/>
        <v>7.7821011673151752E-3</v>
      </c>
      <c r="F137" s="97" t="s">
        <v>150</v>
      </c>
      <c r="G137" s="10"/>
    </row>
    <row r="138" spans="1:7" ht="19.5" hidden="1" customHeight="1" x14ac:dyDescent="0.2">
      <c r="A138" s="9">
        <v>45323</v>
      </c>
      <c r="B138" s="5">
        <v>4</v>
      </c>
      <c r="C138" s="5">
        <v>0</v>
      </c>
      <c r="D138" s="5">
        <v>504</v>
      </c>
      <c r="E138" s="21">
        <f t="shared" si="6"/>
        <v>7.9365079365079361E-3</v>
      </c>
      <c r="F138" s="97" t="s">
        <v>324</v>
      </c>
      <c r="G138" s="10"/>
    </row>
    <row r="139" spans="1:7" ht="19.5" hidden="1" customHeight="1" x14ac:dyDescent="0.2">
      <c r="A139" s="9">
        <v>45352</v>
      </c>
      <c r="B139" s="5">
        <v>5</v>
      </c>
      <c r="C139" s="5">
        <v>2</v>
      </c>
      <c r="D139" s="5">
        <v>504</v>
      </c>
      <c r="E139" s="21">
        <f t="shared" si="6"/>
        <v>9.9206349206349201E-3</v>
      </c>
      <c r="F139" s="97" t="s">
        <v>355</v>
      </c>
      <c r="G139" s="10"/>
    </row>
    <row r="140" spans="1:7" ht="19.5" hidden="1" customHeight="1" x14ac:dyDescent="0.2">
      <c r="A140" s="9">
        <v>45383</v>
      </c>
      <c r="B140" s="5">
        <v>3</v>
      </c>
      <c r="C140" s="5">
        <v>1</v>
      </c>
      <c r="D140" s="5">
        <v>504</v>
      </c>
      <c r="E140" s="21">
        <f t="shared" si="6"/>
        <v>5.9523809523809521E-3</v>
      </c>
      <c r="F140" s="97" t="s">
        <v>232</v>
      </c>
      <c r="G140" s="10"/>
    </row>
    <row r="141" spans="1:7" ht="19.5" hidden="1" customHeight="1" x14ac:dyDescent="0.2">
      <c r="A141" s="9">
        <v>45413</v>
      </c>
      <c r="B141" s="5">
        <v>3</v>
      </c>
      <c r="C141" s="5">
        <v>0</v>
      </c>
      <c r="D141" s="5">
        <v>455</v>
      </c>
      <c r="E141" s="21">
        <f t="shared" si="6"/>
        <v>6.5934065934065934E-3</v>
      </c>
      <c r="F141" s="97" t="s">
        <v>358</v>
      </c>
      <c r="G141" s="10"/>
    </row>
    <row r="142" spans="1:7" ht="19.5" hidden="1" customHeight="1" x14ac:dyDescent="0.2">
      <c r="A142" s="9">
        <v>45444</v>
      </c>
      <c r="B142" s="5">
        <v>7</v>
      </c>
      <c r="C142" s="5">
        <v>0</v>
      </c>
      <c r="D142" s="5">
        <v>449</v>
      </c>
      <c r="E142" s="21">
        <f t="shared" si="6"/>
        <v>1.5590200445434299E-2</v>
      </c>
      <c r="F142" s="97" t="s">
        <v>360</v>
      </c>
      <c r="G142" s="10"/>
    </row>
    <row r="143" spans="1:7" ht="19.5" hidden="1" customHeight="1" x14ac:dyDescent="0.2">
      <c r="A143" s="9">
        <v>45474</v>
      </c>
      <c r="B143" s="5">
        <v>8</v>
      </c>
      <c r="C143" s="5">
        <v>1</v>
      </c>
      <c r="D143" s="5">
        <v>440</v>
      </c>
      <c r="E143" s="21">
        <f t="shared" si="6"/>
        <v>1.8181818181818181E-2</v>
      </c>
      <c r="F143" s="97" t="s">
        <v>362</v>
      </c>
      <c r="G143" s="10"/>
    </row>
    <row r="144" spans="1:7" ht="19.5" hidden="1" customHeight="1" x14ac:dyDescent="0.2">
      <c r="A144" s="9">
        <v>45505</v>
      </c>
      <c r="B144" s="5">
        <v>10</v>
      </c>
      <c r="C144" s="5">
        <v>2</v>
      </c>
      <c r="D144" s="5">
        <v>440</v>
      </c>
      <c r="E144" s="21">
        <f t="shared" si="6"/>
        <v>2.2727272727272728E-2</v>
      </c>
      <c r="F144" s="97" t="s">
        <v>364</v>
      </c>
      <c r="G144" s="10"/>
    </row>
    <row r="145" spans="1:7" ht="19.5" hidden="1" customHeight="1" x14ac:dyDescent="0.2">
      <c r="A145" s="9">
        <v>45536</v>
      </c>
      <c r="B145" s="5">
        <v>4</v>
      </c>
      <c r="C145" s="5">
        <v>4</v>
      </c>
      <c r="D145" s="5">
        <v>431</v>
      </c>
      <c r="E145" s="21">
        <f t="shared" si="6"/>
        <v>9.2807424593967514E-3</v>
      </c>
      <c r="F145" s="97" t="s">
        <v>366</v>
      </c>
      <c r="G145" s="10"/>
    </row>
    <row r="146" spans="1:7" ht="19.5" hidden="1" customHeight="1" x14ac:dyDescent="0.2">
      <c r="A146" s="9">
        <v>45566</v>
      </c>
      <c r="B146" s="5">
        <v>4</v>
      </c>
      <c r="C146" s="5">
        <v>3</v>
      </c>
      <c r="D146" s="5">
        <v>428</v>
      </c>
      <c r="E146" s="21">
        <f t="shared" si="6"/>
        <v>9.3457943925233638E-3</v>
      </c>
      <c r="F146" s="97" t="s">
        <v>355</v>
      </c>
      <c r="G146" s="10"/>
    </row>
    <row r="147" spans="1:7" ht="19.5" hidden="1" customHeight="1" x14ac:dyDescent="0.2">
      <c r="A147" s="9">
        <v>45597</v>
      </c>
      <c r="B147" s="5">
        <v>1</v>
      </c>
      <c r="C147" s="5">
        <v>2</v>
      </c>
      <c r="D147" s="5">
        <v>424</v>
      </c>
      <c r="E147" s="21">
        <f t="shared" ref="E147:E155" si="7">B147/D147</f>
        <v>2.3584905660377358E-3</v>
      </c>
      <c r="F147" s="97" t="s">
        <v>232</v>
      </c>
      <c r="G147" s="10"/>
    </row>
    <row r="148" spans="1:7" ht="19.5" hidden="1" customHeight="1" x14ac:dyDescent="0.2">
      <c r="A148" s="9">
        <v>45627</v>
      </c>
      <c r="B148" s="5">
        <v>4</v>
      </c>
      <c r="C148" s="5">
        <v>2</v>
      </c>
      <c r="D148" s="5">
        <v>423</v>
      </c>
      <c r="E148" s="21">
        <f t="shared" si="7"/>
        <v>9.4562647754137114E-3</v>
      </c>
      <c r="F148" s="97" t="s">
        <v>143</v>
      </c>
      <c r="G148" s="10"/>
    </row>
    <row r="149" spans="1:7" ht="19.5" hidden="1" customHeight="1" x14ac:dyDescent="0.2">
      <c r="A149" s="9">
        <v>45658</v>
      </c>
      <c r="B149" s="5">
        <v>1</v>
      </c>
      <c r="C149" s="5">
        <v>3</v>
      </c>
      <c r="D149" s="5">
        <v>421</v>
      </c>
      <c r="E149" s="21">
        <f t="shared" si="7"/>
        <v>2.3752969121140144E-3</v>
      </c>
      <c r="F149" s="97" t="s">
        <v>232</v>
      </c>
      <c r="G149" s="10"/>
    </row>
    <row r="150" spans="1:7" ht="19.5" hidden="1" customHeight="1" x14ac:dyDescent="0.2">
      <c r="A150" s="9">
        <v>45689</v>
      </c>
      <c r="B150" s="5">
        <v>4</v>
      </c>
      <c r="C150" s="5">
        <v>2</v>
      </c>
      <c r="D150" s="5">
        <v>419</v>
      </c>
      <c r="E150" s="21">
        <f t="shared" si="7"/>
        <v>9.5465393794749408E-3</v>
      </c>
      <c r="F150" s="97" t="s">
        <v>232</v>
      </c>
      <c r="G150" s="10"/>
    </row>
    <row r="151" spans="1:7" ht="19.5" customHeight="1" x14ac:dyDescent="0.2">
      <c r="A151" s="9">
        <v>45717</v>
      </c>
      <c r="B151" s="5">
        <v>5</v>
      </c>
      <c r="C151" s="5">
        <v>0</v>
      </c>
      <c r="D151" s="5">
        <v>420</v>
      </c>
      <c r="E151" s="21">
        <f t="shared" si="7"/>
        <v>1.1904761904761904E-2</v>
      </c>
      <c r="F151" s="97" t="s">
        <v>232</v>
      </c>
      <c r="G151" s="10"/>
    </row>
    <row r="152" spans="1:7" ht="19.5" customHeight="1" x14ac:dyDescent="0.2">
      <c r="A152" s="9">
        <v>45748</v>
      </c>
      <c r="B152" s="5">
        <v>3</v>
      </c>
      <c r="C152" s="5">
        <v>0</v>
      </c>
      <c r="D152" s="5">
        <v>422</v>
      </c>
      <c r="E152" s="21">
        <f t="shared" si="7"/>
        <v>7.1090047393364926E-3</v>
      </c>
      <c r="F152" s="97" t="s">
        <v>232</v>
      </c>
      <c r="G152" s="10"/>
    </row>
    <row r="153" spans="1:7" ht="19.5" customHeight="1" x14ac:dyDescent="0.2">
      <c r="A153" s="9">
        <v>45778</v>
      </c>
      <c r="B153" s="5">
        <v>4</v>
      </c>
      <c r="C153" s="5">
        <v>0</v>
      </c>
      <c r="D153" s="5">
        <v>423</v>
      </c>
      <c r="E153" s="21">
        <f t="shared" si="7"/>
        <v>9.4562647754137114E-3</v>
      </c>
      <c r="F153" s="97" t="s">
        <v>232</v>
      </c>
      <c r="G153" s="10"/>
    </row>
    <row r="154" spans="1:7" ht="19.5" customHeight="1" x14ac:dyDescent="0.2">
      <c r="A154" s="9">
        <v>45809</v>
      </c>
      <c r="B154" s="5">
        <v>6</v>
      </c>
      <c r="C154" s="5">
        <v>1</v>
      </c>
      <c r="D154" s="5">
        <v>423</v>
      </c>
      <c r="E154" s="21">
        <f t="shared" si="7"/>
        <v>1.4184397163120567E-2</v>
      </c>
      <c r="F154" s="97" t="s">
        <v>143</v>
      </c>
      <c r="G154" s="10"/>
    </row>
    <row r="155" spans="1:7" ht="19.5" customHeight="1" x14ac:dyDescent="0.2">
      <c r="A155" s="9">
        <v>45839</v>
      </c>
      <c r="B155" s="5">
        <v>10</v>
      </c>
      <c r="C155" s="5">
        <v>2</v>
      </c>
      <c r="D155" s="5">
        <v>422</v>
      </c>
      <c r="E155" s="21">
        <f t="shared" si="7"/>
        <v>2.3696682464454975E-2</v>
      </c>
      <c r="F155" s="97" t="s">
        <v>426</v>
      </c>
      <c r="G155" s="10"/>
    </row>
    <row r="156" spans="1:7" ht="19.5" customHeight="1" x14ac:dyDescent="0.2">
      <c r="A156" s="9">
        <v>45870</v>
      </c>
      <c r="B156" s="5">
        <v>16</v>
      </c>
      <c r="C156" s="5">
        <v>0</v>
      </c>
      <c r="D156" s="5">
        <v>420</v>
      </c>
      <c r="E156" s="21">
        <f t="shared" ref="E156:E163" si="8">B156/D156</f>
        <v>3.8095238095238099E-2</v>
      </c>
      <c r="F156" s="97" t="s">
        <v>428</v>
      </c>
      <c r="G156" s="10"/>
    </row>
    <row r="157" spans="1:7" ht="19.5" customHeight="1" x14ac:dyDescent="0.2">
      <c r="A157" s="9">
        <v>45901</v>
      </c>
      <c r="B157" s="5">
        <v>8</v>
      </c>
      <c r="C157" s="5">
        <v>0</v>
      </c>
      <c r="D157" s="5">
        <v>423</v>
      </c>
      <c r="E157" s="21">
        <f t="shared" si="8"/>
        <v>1.8912529550827423E-2</v>
      </c>
      <c r="F157" s="97" t="s">
        <v>431</v>
      </c>
      <c r="G157" s="10"/>
    </row>
    <row r="158" spans="1:7" ht="19.5" customHeight="1" x14ac:dyDescent="0.2">
      <c r="A158" s="9">
        <v>45931</v>
      </c>
      <c r="B158" s="5">
        <v>5</v>
      </c>
      <c r="C158" s="5">
        <v>0</v>
      </c>
      <c r="D158" s="5">
        <v>425</v>
      </c>
      <c r="E158" s="21">
        <f t="shared" si="8"/>
        <v>1.1764705882352941E-2</v>
      </c>
      <c r="F158" s="97" t="s">
        <v>150</v>
      </c>
      <c r="G158" s="10"/>
    </row>
    <row r="159" spans="1:7" ht="19.5" customHeight="1" x14ac:dyDescent="0.2">
      <c r="A159" s="9">
        <v>45962</v>
      </c>
      <c r="B159" s="5">
        <v>7</v>
      </c>
      <c r="C159" s="5">
        <v>1</v>
      </c>
      <c r="D159" s="5">
        <v>422</v>
      </c>
      <c r="E159" s="21">
        <f t="shared" si="8"/>
        <v>1.6587677725118485E-2</v>
      </c>
      <c r="F159" s="97" t="s">
        <v>435</v>
      </c>
      <c r="G159" s="10"/>
    </row>
    <row r="160" spans="1:7" ht="19.5" customHeight="1" x14ac:dyDescent="0.2">
      <c r="A160" s="9">
        <v>45992</v>
      </c>
      <c r="B160" s="5">
        <v>12</v>
      </c>
      <c r="C160" s="5">
        <v>3</v>
      </c>
      <c r="D160" s="5">
        <v>426</v>
      </c>
      <c r="E160" s="21">
        <f t="shared" si="8"/>
        <v>2.8169014084507043E-2</v>
      </c>
      <c r="F160" s="97" t="s">
        <v>442</v>
      </c>
      <c r="G160" s="10"/>
    </row>
    <row r="161" spans="1:7" ht="19.5" customHeight="1" x14ac:dyDescent="0.2">
      <c r="A161" s="9">
        <v>46023</v>
      </c>
      <c r="B161" s="5">
        <v>2</v>
      </c>
      <c r="C161" s="5">
        <v>0</v>
      </c>
      <c r="D161" s="5">
        <v>427</v>
      </c>
      <c r="E161" s="21">
        <f t="shared" si="8"/>
        <v>4.6838407494145199E-3</v>
      </c>
      <c r="F161" s="97" t="s">
        <v>449</v>
      </c>
      <c r="G161" s="10"/>
    </row>
    <row r="162" spans="1:7" ht="19.5" customHeight="1" x14ac:dyDescent="0.2">
      <c r="A162" s="9">
        <v>46054</v>
      </c>
      <c r="B162" s="5">
        <v>4</v>
      </c>
      <c r="C162" s="5">
        <v>3</v>
      </c>
      <c r="D162" s="5">
        <v>423</v>
      </c>
      <c r="E162" s="21">
        <f t="shared" si="8"/>
        <v>9.4562647754137114E-3</v>
      </c>
      <c r="F162" s="97" t="s">
        <v>451</v>
      </c>
      <c r="G162" s="10"/>
    </row>
    <row r="163" spans="1:7" ht="19.5" customHeight="1" x14ac:dyDescent="0.2">
      <c r="A163" s="9">
        <v>46082</v>
      </c>
      <c r="B163" s="5">
        <v>6</v>
      </c>
      <c r="C163" s="5">
        <v>1</v>
      </c>
      <c r="D163" s="5">
        <v>419</v>
      </c>
      <c r="E163" s="21">
        <f t="shared" si="8"/>
        <v>1.4319809069212411E-2</v>
      </c>
      <c r="F163" s="97" t="s">
        <v>451</v>
      </c>
      <c r="G163" s="10"/>
    </row>
    <row r="164" spans="1:7" ht="18.75" customHeight="1" x14ac:dyDescent="0.2">
      <c r="A164" s="102" t="s">
        <v>32</v>
      </c>
      <c r="B164" s="103">
        <f>SUM(B5:B163)</f>
        <v>917</v>
      </c>
      <c r="C164" s="103">
        <f t="shared" ref="C164:E164" si="9">SUM(C5:C163)</f>
        <v>668</v>
      </c>
      <c r="D164" s="103">
        <f t="shared" si="9"/>
        <v>81471</v>
      </c>
      <c r="E164" s="126">
        <f t="shared" si="9"/>
        <v>1.7883330352688045</v>
      </c>
      <c r="F164" s="104"/>
    </row>
  </sheetData>
  <mergeCells count="1">
    <mergeCell ref="A2:F3"/>
  </mergeCells>
  <phoneticPr fontId="0" type="noConversion"/>
  <pageMargins left="0.78740157480314965" right="0.70866141732283472" top="0.15748031496062992" bottom="0.15748031496062992" header="0.31496062992125984" footer="0.31496062992125984"/>
  <pageSetup paperSize="5" scale="95"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Hoja11"/>
  <dimension ref="A1:F12"/>
  <sheetViews>
    <sheetView topLeftCell="A2" workbookViewId="0">
      <selection activeCell="E15" sqref="E15"/>
    </sheetView>
  </sheetViews>
  <sheetFormatPr baseColWidth="10" defaultRowHeight="12.75" x14ac:dyDescent="0.2"/>
  <cols>
    <col min="1" max="1" width="3" bestFit="1" customWidth="1"/>
    <col min="2" max="2" width="5.28515625" style="1" bestFit="1" customWidth="1"/>
    <col min="3" max="3" width="34.7109375" bestFit="1" customWidth="1"/>
    <col min="4" max="4" width="16.28515625" bestFit="1" customWidth="1"/>
    <col min="5" max="5" width="44.140625" bestFit="1" customWidth="1"/>
    <col min="6" max="6" width="25" bestFit="1" customWidth="1"/>
  </cols>
  <sheetData>
    <row r="1" spans="1:6" ht="20.25" customHeight="1" x14ac:dyDescent="0.2">
      <c r="A1" s="183" t="s">
        <v>68</v>
      </c>
      <c r="B1" s="183"/>
      <c r="C1" s="183"/>
      <c r="D1" s="183"/>
      <c r="E1" s="183"/>
      <c r="F1" s="183"/>
    </row>
    <row r="2" spans="1:6" ht="13.5" thickBot="1" x14ac:dyDescent="0.25"/>
    <row r="3" spans="1:6" ht="18" customHeight="1" thickBot="1" x14ac:dyDescent="0.3">
      <c r="A3" s="180" t="s">
        <v>461</v>
      </c>
      <c r="B3" s="181"/>
      <c r="C3" s="181"/>
      <c r="D3" s="181"/>
      <c r="E3" s="181"/>
      <c r="F3" s="182"/>
    </row>
    <row r="4" spans="1:6" ht="13.5" thickBot="1" x14ac:dyDescent="0.25">
      <c r="A4" s="6"/>
      <c r="D4" s="1"/>
      <c r="E4" s="1"/>
      <c r="F4" s="2"/>
    </row>
    <row r="5" spans="1:6" s="64" customFormat="1" ht="18" customHeight="1" x14ac:dyDescent="0.2">
      <c r="A5" s="111" t="s">
        <v>26</v>
      </c>
      <c r="B5" s="112" t="s">
        <v>27</v>
      </c>
      <c r="C5" s="113" t="s">
        <v>28</v>
      </c>
      <c r="D5" s="112" t="s">
        <v>46</v>
      </c>
      <c r="E5" s="113" t="s">
        <v>29</v>
      </c>
      <c r="F5" s="114" t="s">
        <v>30</v>
      </c>
    </row>
    <row r="6" spans="1:6" s="64" customFormat="1" ht="15" x14ac:dyDescent="0.2">
      <c r="A6" s="48">
        <v>1</v>
      </c>
      <c r="B6" s="115">
        <v>8951</v>
      </c>
      <c r="C6" s="120" t="s">
        <v>463</v>
      </c>
      <c r="D6" s="71">
        <v>46082</v>
      </c>
      <c r="E6" s="115" t="s">
        <v>465</v>
      </c>
      <c r="F6" s="120" t="s">
        <v>466</v>
      </c>
    </row>
    <row r="7" spans="1:6" s="64" customFormat="1" ht="15" x14ac:dyDescent="0.2">
      <c r="A7" s="48">
        <v>2</v>
      </c>
      <c r="B7" s="115">
        <v>8952</v>
      </c>
      <c r="C7" s="120" t="s">
        <v>464</v>
      </c>
      <c r="D7" s="71">
        <v>46111</v>
      </c>
      <c r="E7" s="115" t="s">
        <v>404</v>
      </c>
      <c r="F7" s="120" t="s">
        <v>452</v>
      </c>
    </row>
    <row r="8" spans="1:6" ht="12.95" customHeight="1" thickBot="1" x14ac:dyDescent="0.25">
      <c r="A8" s="26"/>
      <c r="B8" s="67"/>
      <c r="C8" s="55"/>
      <c r="D8" s="27"/>
      <c r="E8" s="27"/>
      <c r="F8" s="28"/>
    </row>
    <row r="9" spans="1:6" ht="15.75" thickBot="1" x14ac:dyDescent="0.3">
      <c r="A9" s="180" t="s">
        <v>462</v>
      </c>
      <c r="B9" s="184"/>
      <c r="C9" s="184"/>
      <c r="D9" s="184"/>
      <c r="E9" s="184"/>
      <c r="F9" s="185"/>
    </row>
    <row r="10" spans="1:6" ht="15" x14ac:dyDescent="0.25">
      <c r="A10" s="29"/>
      <c r="B10" s="30"/>
      <c r="C10" s="30"/>
      <c r="D10" s="30"/>
      <c r="E10" s="30"/>
      <c r="F10" s="30"/>
    </row>
    <row r="11" spans="1:6" s="64" customFormat="1" ht="18" customHeight="1" x14ac:dyDescent="0.2">
      <c r="A11" s="116" t="s">
        <v>26</v>
      </c>
      <c r="B11" s="116" t="s">
        <v>27</v>
      </c>
      <c r="C11" s="116" t="s">
        <v>28</v>
      </c>
      <c r="D11" s="116" t="s">
        <v>97</v>
      </c>
      <c r="E11" s="116" t="s">
        <v>29</v>
      </c>
      <c r="F11" s="116" t="s">
        <v>30</v>
      </c>
    </row>
    <row r="12" spans="1:6" s="1" customFormat="1" ht="15" x14ac:dyDescent="0.2">
      <c r="A12" s="49">
        <v>1</v>
      </c>
      <c r="B12" s="115">
        <v>8943</v>
      </c>
      <c r="C12" s="120" t="s">
        <v>467</v>
      </c>
      <c r="D12" s="71">
        <v>46108</v>
      </c>
      <c r="E12" s="115" t="s">
        <v>404</v>
      </c>
      <c r="F12" s="69" t="s">
        <v>452</v>
      </c>
    </row>
  </sheetData>
  <mergeCells count="3">
    <mergeCell ref="A3:F3"/>
    <mergeCell ref="A1:F1"/>
    <mergeCell ref="A9:F9"/>
  </mergeCells>
  <phoneticPr fontId="0" type="noConversion"/>
  <pageMargins left="0.74803149606299213" right="0.74803149606299213" top="0.39370078740157483" bottom="0.19685039370078741" header="0" footer="0"/>
  <pageSetup paperSize="5" orientation="landscape"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BO140"/>
  <sheetViews>
    <sheetView zoomScaleNormal="100" workbookViewId="0">
      <selection activeCell="BO4" sqref="BO4:BO7"/>
    </sheetView>
  </sheetViews>
  <sheetFormatPr baseColWidth="10" defaultRowHeight="12.75" x14ac:dyDescent="0.2"/>
  <cols>
    <col min="1" max="1" width="36.140625" customWidth="1"/>
    <col min="2" max="2" width="6.5703125" hidden="1" customWidth="1"/>
    <col min="3" max="3" width="18.85546875" hidden="1" customWidth="1"/>
    <col min="4" max="4" width="12.7109375" hidden="1" customWidth="1"/>
    <col min="5" max="5" width="11.7109375" hidden="1" customWidth="1"/>
    <col min="6" max="6" width="12.7109375" hidden="1" customWidth="1"/>
    <col min="7" max="7" width="13.7109375" hidden="1" customWidth="1"/>
    <col min="8" max="8" width="6.5703125" hidden="1" customWidth="1"/>
    <col min="9" max="9" width="18.85546875" hidden="1" customWidth="1"/>
    <col min="10" max="10" width="12.7109375" hidden="1" customWidth="1"/>
    <col min="11" max="11" width="10.140625" hidden="1" customWidth="1"/>
    <col min="12" max="12" width="13.7109375" hidden="1" customWidth="1"/>
    <col min="13" max="13" width="6.5703125" hidden="1" customWidth="1"/>
    <col min="14" max="14" width="18.85546875" hidden="1" customWidth="1"/>
    <col min="15" max="15" width="12.7109375" hidden="1" customWidth="1"/>
    <col min="16" max="16" width="13.7109375" hidden="1" customWidth="1"/>
    <col min="17" max="17" width="6.5703125" hidden="1" customWidth="1"/>
    <col min="18" max="18" width="18.85546875" hidden="1" customWidth="1"/>
    <col min="19" max="19" width="12.7109375" hidden="1" customWidth="1"/>
    <col min="20" max="20" width="11.7109375" hidden="1" customWidth="1"/>
    <col min="21" max="21" width="13.7109375" hidden="1" customWidth="1"/>
    <col min="22" max="22" width="6.5703125" hidden="1" customWidth="1"/>
    <col min="23" max="23" width="18.85546875" hidden="1" customWidth="1"/>
    <col min="24" max="24" width="12.7109375" hidden="1" customWidth="1"/>
    <col min="25" max="25" width="11.7109375" hidden="1" customWidth="1"/>
    <col min="26" max="26" width="13.7109375" hidden="1" customWidth="1"/>
    <col min="27" max="27" width="6.5703125" hidden="1" customWidth="1"/>
    <col min="28" max="28" width="18.85546875" hidden="1" customWidth="1"/>
    <col min="29" max="30" width="13.7109375" hidden="1" customWidth="1"/>
    <col min="31" max="31" width="19.7109375" hidden="1" customWidth="1"/>
    <col min="32" max="32" width="13.7109375" hidden="1" customWidth="1"/>
    <col min="33" max="33" width="6.5703125" hidden="1" customWidth="1"/>
    <col min="34" max="34" width="18.85546875" hidden="1" customWidth="1"/>
    <col min="35" max="35" width="13.7109375" hidden="1" customWidth="1"/>
    <col min="36" max="36" width="11.7109375" hidden="1" customWidth="1"/>
    <col min="37" max="37" width="19.7109375" hidden="1" customWidth="1"/>
    <col min="38" max="38" width="13.7109375" hidden="1" customWidth="1"/>
    <col min="39" max="39" width="6.5703125" hidden="1" customWidth="1"/>
    <col min="40" max="40" width="18.85546875" hidden="1" customWidth="1"/>
    <col min="41" max="41" width="13.7109375" hidden="1" customWidth="1"/>
    <col min="42" max="42" width="11.7109375" hidden="1" customWidth="1"/>
    <col min="43" max="43" width="19.7109375" hidden="1" customWidth="1"/>
    <col min="44" max="44" width="13.7109375" hidden="1" customWidth="1"/>
    <col min="45" max="45" width="6.5703125" hidden="1" customWidth="1"/>
    <col min="46" max="46" width="18.85546875" hidden="1" customWidth="1"/>
    <col min="47" max="47" width="12.7109375" hidden="1" customWidth="1"/>
    <col min="48" max="48" width="10.140625" hidden="1" customWidth="1"/>
    <col min="49" max="49" width="13.7109375" hidden="1" customWidth="1"/>
    <col min="50" max="50" width="6.5703125" hidden="1" customWidth="1"/>
    <col min="51" max="51" width="18.85546875" hidden="1" customWidth="1"/>
    <col min="52" max="52" width="12.7109375" hidden="1" customWidth="1"/>
    <col min="53" max="53" width="11.7109375" hidden="1" customWidth="1"/>
    <col min="54" max="54" width="13.7109375" hidden="1" customWidth="1"/>
    <col min="55" max="55" width="6.5703125" hidden="1" customWidth="1"/>
    <col min="56" max="56" width="18.85546875" hidden="1" customWidth="1"/>
    <col min="57" max="57" width="12.7109375" hidden="1" customWidth="1"/>
    <col min="58" max="58" width="14.5703125" hidden="1" customWidth="1"/>
    <col min="59" max="59" width="11.7109375" hidden="1" customWidth="1"/>
    <col min="60" max="60" width="13.7109375" hidden="1" customWidth="1"/>
    <col min="61" max="61" width="6.5703125" bestFit="1" customWidth="1"/>
    <col min="62" max="62" width="18.85546875" bestFit="1" customWidth="1"/>
    <col min="63" max="63" width="12.7109375" bestFit="1" customWidth="1"/>
    <col min="64" max="64" width="14.5703125" bestFit="1" customWidth="1"/>
    <col min="65" max="66" width="13.7109375" bestFit="1" customWidth="1"/>
  </cols>
  <sheetData>
    <row r="1" spans="1:67" ht="17.25" customHeight="1" x14ac:dyDescent="0.2">
      <c r="A1" s="186" t="s">
        <v>100</v>
      </c>
      <c r="B1" s="186"/>
      <c r="C1" s="186"/>
      <c r="D1" s="186"/>
      <c r="E1" s="186"/>
      <c r="F1" s="186"/>
      <c r="G1" s="186"/>
      <c r="H1" s="186"/>
      <c r="I1" s="186"/>
      <c r="J1" s="186"/>
      <c r="K1" s="186"/>
      <c r="L1" s="186"/>
      <c r="M1" s="186"/>
      <c r="N1" s="186"/>
      <c r="O1" s="186"/>
      <c r="P1" s="186"/>
      <c r="Q1" s="186"/>
      <c r="R1" s="186"/>
      <c r="S1" s="186"/>
      <c r="T1" s="186"/>
      <c r="U1" s="186"/>
      <c r="V1" s="186"/>
      <c r="W1" s="186"/>
      <c r="X1" s="186"/>
      <c r="Y1" s="186"/>
      <c r="Z1" s="186"/>
      <c r="AA1" s="186"/>
      <c r="AB1" s="186"/>
      <c r="AC1" s="186"/>
      <c r="AD1" s="186"/>
      <c r="AE1" s="186"/>
      <c r="AF1" s="186"/>
      <c r="AG1" s="186"/>
      <c r="AH1" s="186"/>
      <c r="AI1" s="186"/>
      <c r="AJ1" s="186"/>
      <c r="AK1" s="186"/>
      <c r="AL1" s="186"/>
      <c r="AM1" s="186"/>
      <c r="AN1" s="186"/>
      <c r="AO1" s="186"/>
      <c r="AP1" s="186"/>
      <c r="AQ1" s="186"/>
      <c r="AR1" s="186"/>
      <c r="AS1" s="186"/>
      <c r="AT1" s="186"/>
      <c r="AU1" s="186"/>
      <c r="AV1" s="186"/>
      <c r="AW1" s="186"/>
      <c r="AX1" s="186"/>
      <c r="AY1" s="186"/>
      <c r="AZ1" s="186"/>
      <c r="BA1" s="186"/>
      <c r="BB1" s="186"/>
      <c r="BC1" s="186"/>
      <c r="BD1" s="186"/>
      <c r="BE1" s="186"/>
      <c r="BF1" s="186"/>
      <c r="BG1" s="186"/>
      <c r="BH1" s="186"/>
      <c r="BI1" s="186"/>
      <c r="BJ1" s="186"/>
      <c r="BK1" s="186"/>
      <c r="BL1" s="186"/>
      <c r="BM1" s="186"/>
      <c r="BN1" s="186"/>
    </row>
    <row r="3" spans="1:67" x14ac:dyDescent="0.2">
      <c r="A3" s="31"/>
      <c r="B3" s="189">
        <v>2024</v>
      </c>
      <c r="C3" s="189"/>
      <c r="D3" s="189"/>
      <c r="E3" s="189"/>
      <c r="F3" s="189"/>
      <c r="G3" s="189"/>
      <c r="H3" s="189"/>
      <c r="I3" s="189"/>
      <c r="J3" s="189"/>
      <c r="K3" s="189"/>
      <c r="L3" s="189"/>
      <c r="M3" s="189"/>
      <c r="N3" s="189"/>
      <c r="O3" s="189"/>
      <c r="P3" s="189"/>
      <c r="Q3" s="189"/>
      <c r="R3" s="189"/>
      <c r="S3" s="189"/>
      <c r="T3" s="189"/>
      <c r="U3" s="189"/>
      <c r="V3" s="189"/>
      <c r="W3" s="189"/>
      <c r="X3" s="189"/>
      <c r="Y3" s="189"/>
      <c r="Z3" s="189"/>
      <c r="AA3" s="189"/>
      <c r="AB3" s="189"/>
      <c r="AC3" s="189"/>
      <c r="AD3" s="189"/>
      <c r="AE3" s="189"/>
      <c r="AF3" s="189"/>
      <c r="AG3" s="189"/>
      <c r="AH3" s="189"/>
      <c r="AI3" s="189"/>
      <c r="AJ3" s="189"/>
      <c r="AK3" s="189"/>
      <c r="AL3" s="189"/>
      <c r="AM3" s="189"/>
      <c r="AN3" s="189"/>
      <c r="AO3" s="189"/>
      <c r="AP3" s="189"/>
      <c r="AQ3" s="189"/>
      <c r="AR3" s="189"/>
      <c r="AS3" s="189"/>
      <c r="AT3" s="189"/>
      <c r="AU3" s="189"/>
      <c r="AV3" s="189"/>
      <c r="AW3" s="189"/>
      <c r="AX3" s="189"/>
      <c r="AY3" s="189"/>
      <c r="AZ3" s="189"/>
      <c r="BA3" s="189"/>
      <c r="BB3" s="189"/>
      <c r="BC3" s="189"/>
      <c r="BD3" s="189"/>
      <c r="BE3" s="189"/>
      <c r="BF3" s="189"/>
      <c r="BG3" s="189"/>
      <c r="BH3" s="189"/>
      <c r="BI3" s="189"/>
      <c r="BJ3" s="189"/>
      <c r="BK3" s="189"/>
      <c r="BL3" s="189"/>
      <c r="BM3" s="189"/>
      <c r="BN3" s="189"/>
      <c r="BO3" s="152">
        <v>2025</v>
      </c>
    </row>
    <row r="4" spans="1:67" ht="15.75" x14ac:dyDescent="0.2">
      <c r="A4" s="32" t="s">
        <v>101</v>
      </c>
      <c r="B4" s="187" t="s">
        <v>105</v>
      </c>
      <c r="C4" s="188"/>
      <c r="D4" s="188"/>
      <c r="E4" s="188"/>
      <c r="F4" s="188"/>
      <c r="G4" s="188"/>
      <c r="H4" s="187" t="s">
        <v>106</v>
      </c>
      <c r="I4" s="188"/>
      <c r="J4" s="188"/>
      <c r="K4" s="188"/>
      <c r="L4" s="188"/>
      <c r="M4" s="187" t="s">
        <v>107</v>
      </c>
      <c r="N4" s="188"/>
      <c r="O4" s="188"/>
      <c r="P4" s="188"/>
      <c r="Q4" s="187" t="s">
        <v>108</v>
      </c>
      <c r="R4" s="188"/>
      <c r="S4" s="188"/>
      <c r="T4" s="188"/>
      <c r="U4" s="188"/>
      <c r="V4" s="187" t="s">
        <v>109</v>
      </c>
      <c r="W4" s="188"/>
      <c r="X4" s="188"/>
      <c r="Y4" s="188"/>
      <c r="Z4" s="188"/>
      <c r="AA4" s="187" t="s">
        <v>110</v>
      </c>
      <c r="AB4" s="188"/>
      <c r="AC4" s="188"/>
      <c r="AD4" s="188"/>
      <c r="AE4" s="188"/>
      <c r="AF4" s="188"/>
      <c r="AG4" s="187" t="s">
        <v>111</v>
      </c>
      <c r="AH4" s="188"/>
      <c r="AI4" s="188"/>
      <c r="AJ4" s="188"/>
      <c r="AK4" s="188"/>
      <c r="AL4" s="188"/>
      <c r="AM4" s="187" t="s">
        <v>112</v>
      </c>
      <c r="AN4" s="188"/>
      <c r="AO4" s="188"/>
      <c r="AP4" s="188"/>
      <c r="AQ4" s="188"/>
      <c r="AR4" s="188"/>
      <c r="AS4" s="187" t="s">
        <v>113</v>
      </c>
      <c r="AT4" s="188"/>
      <c r="AU4" s="188"/>
      <c r="AV4" s="188"/>
      <c r="AW4" s="188"/>
      <c r="AX4" s="187" t="s">
        <v>102</v>
      </c>
      <c r="AY4" s="188"/>
      <c r="AZ4" s="188"/>
      <c r="BA4" s="188"/>
      <c r="BB4" s="188"/>
      <c r="BC4" s="187" t="s">
        <v>103</v>
      </c>
      <c r="BD4" s="188"/>
      <c r="BE4" s="188"/>
      <c r="BF4" s="188"/>
      <c r="BG4" s="188"/>
      <c r="BH4" s="188"/>
      <c r="BI4" s="187" t="s">
        <v>104</v>
      </c>
      <c r="BJ4" s="188"/>
      <c r="BK4" s="188"/>
      <c r="BL4" s="188"/>
      <c r="BM4" s="188"/>
      <c r="BN4" s="188"/>
    </row>
    <row r="5" spans="1:67" ht="15" x14ac:dyDescent="0.2">
      <c r="A5" s="32" t="s">
        <v>297</v>
      </c>
      <c r="B5" s="132" t="s">
        <v>114</v>
      </c>
      <c r="C5" s="44" t="s">
        <v>115</v>
      </c>
      <c r="D5" s="133" t="s">
        <v>116</v>
      </c>
      <c r="E5" s="44" t="s">
        <v>372</v>
      </c>
      <c r="F5" s="44" t="s">
        <v>373</v>
      </c>
      <c r="G5" s="44" t="s">
        <v>44</v>
      </c>
      <c r="H5" s="132" t="s">
        <v>114</v>
      </c>
      <c r="I5" s="44" t="s">
        <v>115</v>
      </c>
      <c r="J5" s="133" t="s">
        <v>116</v>
      </c>
      <c r="K5" s="44" t="s">
        <v>372</v>
      </c>
      <c r="L5" s="44" t="s">
        <v>44</v>
      </c>
      <c r="M5" s="132" t="s">
        <v>114</v>
      </c>
      <c r="N5" s="44" t="s">
        <v>115</v>
      </c>
      <c r="O5" s="133" t="s">
        <v>116</v>
      </c>
      <c r="P5" s="44" t="s">
        <v>44</v>
      </c>
      <c r="Q5" s="132" t="s">
        <v>114</v>
      </c>
      <c r="R5" s="44" t="s">
        <v>115</v>
      </c>
      <c r="S5" s="133" t="s">
        <v>116</v>
      </c>
      <c r="T5" s="44" t="s">
        <v>372</v>
      </c>
      <c r="U5" s="44" t="s">
        <v>44</v>
      </c>
      <c r="V5" s="132" t="s">
        <v>114</v>
      </c>
      <c r="W5" s="44" t="s">
        <v>115</v>
      </c>
      <c r="X5" s="133" t="s">
        <v>116</v>
      </c>
      <c r="Y5" s="44" t="s">
        <v>372</v>
      </c>
      <c r="Z5" s="44" t="s">
        <v>44</v>
      </c>
      <c r="AA5" s="132" t="s">
        <v>114</v>
      </c>
      <c r="AB5" s="44" t="s">
        <v>115</v>
      </c>
      <c r="AC5" s="133" t="s">
        <v>116</v>
      </c>
      <c r="AD5" s="44" t="s">
        <v>372</v>
      </c>
      <c r="AE5" s="44" t="s">
        <v>374</v>
      </c>
      <c r="AF5" s="44" t="s">
        <v>44</v>
      </c>
      <c r="AG5" s="132" t="s">
        <v>114</v>
      </c>
      <c r="AH5" s="44" t="s">
        <v>115</v>
      </c>
      <c r="AI5" s="133" t="s">
        <v>116</v>
      </c>
      <c r="AJ5" s="44" t="s">
        <v>372</v>
      </c>
      <c r="AK5" s="44" t="s">
        <v>374</v>
      </c>
      <c r="AL5" s="44" t="s">
        <v>44</v>
      </c>
      <c r="AM5" s="132" t="s">
        <v>114</v>
      </c>
      <c r="AN5" s="44" t="s">
        <v>115</v>
      </c>
      <c r="AO5" s="133" t="s">
        <v>116</v>
      </c>
      <c r="AP5" s="44" t="s">
        <v>372</v>
      </c>
      <c r="AQ5" s="44" t="s">
        <v>374</v>
      </c>
      <c r="AR5" s="44" t="s">
        <v>44</v>
      </c>
      <c r="AS5" s="132" t="s">
        <v>114</v>
      </c>
      <c r="AT5" s="44" t="s">
        <v>115</v>
      </c>
      <c r="AU5" s="133" t="s">
        <v>116</v>
      </c>
      <c r="AV5" s="44" t="s">
        <v>372</v>
      </c>
      <c r="AW5" s="44" t="s">
        <v>44</v>
      </c>
      <c r="AX5" s="132" t="s">
        <v>114</v>
      </c>
      <c r="AY5" s="44" t="s">
        <v>115</v>
      </c>
      <c r="AZ5" s="133" t="s">
        <v>116</v>
      </c>
      <c r="BA5" s="44" t="s">
        <v>372</v>
      </c>
      <c r="BB5" s="44" t="s">
        <v>44</v>
      </c>
      <c r="BC5" s="132" t="s">
        <v>114</v>
      </c>
      <c r="BD5" s="44" t="s">
        <v>115</v>
      </c>
      <c r="BE5" s="133" t="s">
        <v>116</v>
      </c>
      <c r="BF5" s="44" t="s">
        <v>375</v>
      </c>
      <c r="BG5" s="44" t="s">
        <v>372</v>
      </c>
      <c r="BH5" s="44" t="s">
        <v>44</v>
      </c>
      <c r="BI5" s="132" t="s">
        <v>114</v>
      </c>
      <c r="BJ5" s="133" t="s">
        <v>115</v>
      </c>
      <c r="BK5" s="133" t="s">
        <v>116</v>
      </c>
      <c r="BL5" s="44" t="s">
        <v>375</v>
      </c>
      <c r="BM5" s="44" t="s">
        <v>372</v>
      </c>
      <c r="BN5" s="44" t="s">
        <v>44</v>
      </c>
    </row>
    <row r="6" spans="1:67" ht="15" x14ac:dyDescent="0.25">
      <c r="A6" s="54" t="s">
        <v>298</v>
      </c>
      <c r="B6" s="107">
        <v>11</v>
      </c>
      <c r="C6" s="38">
        <v>20579443.930000003</v>
      </c>
      <c r="D6" s="38">
        <v>249219.27</v>
      </c>
      <c r="E6" s="38">
        <v>0</v>
      </c>
      <c r="F6" s="38">
        <v>1080000</v>
      </c>
      <c r="G6" s="38">
        <f>SUM(C6:F6)</f>
        <v>21908663.200000003</v>
      </c>
      <c r="H6" s="107">
        <v>11</v>
      </c>
      <c r="I6" s="38">
        <v>15873852.270000001</v>
      </c>
      <c r="J6" s="38">
        <v>374014.44999999995</v>
      </c>
      <c r="K6" s="38">
        <v>0</v>
      </c>
      <c r="L6" s="38">
        <f>SUM(I6:K6)</f>
        <v>16247866.720000001</v>
      </c>
      <c r="M6" s="107">
        <v>11</v>
      </c>
      <c r="N6" s="38">
        <v>18136857.530000005</v>
      </c>
      <c r="O6" s="38">
        <v>209478.52</v>
      </c>
      <c r="P6" s="38">
        <f>SUM(N6:O6)</f>
        <v>18346336.050000004</v>
      </c>
      <c r="Q6" s="107">
        <v>11</v>
      </c>
      <c r="R6" s="38">
        <v>19319951.049999997</v>
      </c>
      <c r="S6" s="38">
        <v>300047.89</v>
      </c>
      <c r="T6" s="38">
        <v>0</v>
      </c>
      <c r="U6" s="38">
        <f>SUM(R6:T6)</f>
        <v>19619998.939999998</v>
      </c>
      <c r="V6" s="107">
        <v>10</v>
      </c>
      <c r="W6" s="38">
        <v>20132797.520000003</v>
      </c>
      <c r="X6" s="38">
        <v>239810.97</v>
      </c>
      <c r="Y6" s="38">
        <v>0</v>
      </c>
      <c r="Z6" s="38">
        <f>SUM(W6:Y6)</f>
        <v>20372608.490000002</v>
      </c>
      <c r="AA6" s="107">
        <v>10</v>
      </c>
      <c r="AB6" s="38">
        <v>20043001.490000002</v>
      </c>
      <c r="AC6" s="38">
        <v>186372.15</v>
      </c>
      <c r="AD6" s="38">
        <v>10550919.77</v>
      </c>
      <c r="AE6" s="38">
        <v>500000</v>
      </c>
      <c r="AF6" s="38">
        <f>SUM(AB6:AE6)</f>
        <v>31280293.41</v>
      </c>
      <c r="AG6" s="107">
        <v>10</v>
      </c>
      <c r="AH6" s="38">
        <v>21944207.310000006</v>
      </c>
      <c r="AI6" s="38">
        <v>114270.79</v>
      </c>
      <c r="AJ6" s="38">
        <v>0</v>
      </c>
      <c r="AK6" s="38">
        <v>500000</v>
      </c>
      <c r="AL6" s="38">
        <f>SUM(AH6:AK6)</f>
        <v>22558478.100000005</v>
      </c>
      <c r="AM6" s="107">
        <v>9</v>
      </c>
      <c r="AN6" s="38">
        <v>30934839.730000004</v>
      </c>
      <c r="AO6" s="38">
        <v>152244.12</v>
      </c>
      <c r="AP6" s="38">
        <v>586781.34000000008</v>
      </c>
      <c r="AQ6" s="38">
        <v>320000</v>
      </c>
      <c r="AR6" s="38">
        <f>SUM(AN6:AQ6)</f>
        <v>31993865.190000005</v>
      </c>
      <c r="AS6" s="107">
        <v>8</v>
      </c>
      <c r="AT6" s="38">
        <v>20420507.810000002</v>
      </c>
      <c r="AU6" s="38">
        <v>778833.05</v>
      </c>
      <c r="AV6" s="38">
        <v>0</v>
      </c>
      <c r="AW6" s="38">
        <f>SUM(AT6:AV6)</f>
        <v>21199340.860000003</v>
      </c>
      <c r="AX6" s="107">
        <v>8</v>
      </c>
      <c r="AY6" s="38">
        <v>35534326.739999995</v>
      </c>
      <c r="AZ6" s="38">
        <v>266102.13</v>
      </c>
      <c r="BA6" s="38">
        <v>0</v>
      </c>
      <c r="BB6" s="38">
        <f>SUM(AY6:BA6)</f>
        <v>35800428.869999997</v>
      </c>
      <c r="BC6" s="107">
        <v>8</v>
      </c>
      <c r="BD6">
        <v>22677803.890000004</v>
      </c>
      <c r="BE6" s="38">
        <v>132249.04</v>
      </c>
      <c r="BF6" s="38">
        <v>400000</v>
      </c>
      <c r="BG6" s="38">
        <v>0</v>
      </c>
      <c r="BH6" s="38">
        <f>SUM(BD6:BG6)</f>
        <v>23210052.930000003</v>
      </c>
      <c r="BI6" s="107">
        <v>8</v>
      </c>
      <c r="BJ6" s="151">
        <v>21061634.84</v>
      </c>
      <c r="BK6" s="38">
        <v>36978.550000000003</v>
      </c>
      <c r="BL6" s="38"/>
      <c r="BM6" s="38">
        <v>11567515.93</v>
      </c>
      <c r="BN6" s="38">
        <f>SUM(BJ6:BM6)</f>
        <v>32666129.32</v>
      </c>
    </row>
    <row r="7" spans="1:67" ht="15" x14ac:dyDescent="0.25">
      <c r="A7" s="33" t="s">
        <v>8</v>
      </c>
      <c r="B7" s="107">
        <v>11</v>
      </c>
      <c r="C7" s="38">
        <v>21016508.299999997</v>
      </c>
      <c r="D7" s="38">
        <v>1640139.6600000001</v>
      </c>
      <c r="E7" s="38">
        <v>0</v>
      </c>
      <c r="F7" s="38">
        <v>1320000</v>
      </c>
      <c r="G7" s="38">
        <f>SUM(C7:F7)</f>
        <v>23976647.959999997</v>
      </c>
      <c r="H7" s="107">
        <v>11</v>
      </c>
      <c r="I7" s="38">
        <v>17661423.350000005</v>
      </c>
      <c r="J7" s="38">
        <v>2674979.46</v>
      </c>
      <c r="K7" s="38">
        <v>0</v>
      </c>
      <c r="L7" s="38">
        <f>SUM(I7:K7)</f>
        <v>20336402.810000006</v>
      </c>
      <c r="M7" s="107">
        <v>11</v>
      </c>
      <c r="N7" s="38">
        <v>16464489.249999989</v>
      </c>
      <c r="O7" s="38">
        <v>1919491.5500000003</v>
      </c>
      <c r="P7" s="38">
        <f>SUM(N7:O7)</f>
        <v>18383980.79999999</v>
      </c>
      <c r="Q7" s="107">
        <v>11</v>
      </c>
      <c r="R7" s="38">
        <v>85330550.050000012</v>
      </c>
      <c r="S7" s="38">
        <v>1305938.33</v>
      </c>
      <c r="T7" s="38">
        <v>1415989.1799999997</v>
      </c>
      <c r="U7" s="38">
        <f>SUM(R7:T7)</f>
        <v>88052477.560000002</v>
      </c>
      <c r="V7" s="107">
        <v>9</v>
      </c>
      <c r="W7" s="38">
        <v>16367787.409999998</v>
      </c>
      <c r="X7" s="38">
        <v>1937754.1600000001</v>
      </c>
      <c r="Y7" s="38">
        <v>0</v>
      </c>
      <c r="Z7" s="38">
        <f>SUM(W7:Y7)</f>
        <v>18305541.57</v>
      </c>
      <c r="AA7" s="107">
        <v>9</v>
      </c>
      <c r="AB7" s="38">
        <v>16385710.869999999</v>
      </c>
      <c r="AC7" s="38">
        <v>5580502</v>
      </c>
      <c r="AD7" s="38">
        <v>11054295.689999999</v>
      </c>
      <c r="AE7" s="38">
        <v>450000</v>
      </c>
      <c r="AF7" s="38">
        <f>SUM(AB7:AE7)</f>
        <v>33470508.559999995</v>
      </c>
      <c r="AG7" s="107">
        <v>9</v>
      </c>
      <c r="AH7" s="38">
        <v>18145161.200000003</v>
      </c>
      <c r="AI7" s="38">
        <v>3767016.66</v>
      </c>
      <c r="AJ7" s="38">
        <v>0</v>
      </c>
      <c r="AK7" s="38">
        <v>450000</v>
      </c>
      <c r="AL7" s="38">
        <f>SUM(AH7:AK7)</f>
        <v>22362177.860000003</v>
      </c>
      <c r="AM7" s="107">
        <v>9</v>
      </c>
      <c r="AN7" s="38">
        <v>22401902.160000004</v>
      </c>
      <c r="AO7" s="38">
        <v>4203405.7699999996</v>
      </c>
      <c r="AP7" s="38">
        <v>660743.80000000005</v>
      </c>
      <c r="AQ7" s="38">
        <v>636713</v>
      </c>
      <c r="AR7" s="38">
        <f>SUM(AN7:AQ7)</f>
        <v>27902764.730000004</v>
      </c>
      <c r="AS7" s="107">
        <v>8</v>
      </c>
      <c r="AT7" s="38">
        <v>21976083.93</v>
      </c>
      <c r="AU7" s="38">
        <v>2424049.04</v>
      </c>
      <c r="AV7" s="38">
        <v>1014694.3300000001</v>
      </c>
      <c r="AW7" s="38">
        <f>SUM(AT7:AV7)</f>
        <v>25414827.299999997</v>
      </c>
      <c r="AX7" s="107">
        <v>8</v>
      </c>
      <c r="AY7" s="38">
        <v>26557208.469999999</v>
      </c>
      <c r="AZ7" s="38">
        <v>1006225.64</v>
      </c>
      <c r="BA7" s="38">
        <v>0</v>
      </c>
      <c r="BB7" s="38">
        <f>SUM(AY7:BA7)</f>
        <v>27563434.109999999</v>
      </c>
      <c r="BC7" s="107">
        <v>8</v>
      </c>
      <c r="BD7" s="38">
        <v>16483200.950000001</v>
      </c>
      <c r="BE7" s="38">
        <v>3093308.49</v>
      </c>
      <c r="BF7" s="38">
        <v>350000</v>
      </c>
      <c r="BG7" s="38">
        <v>0</v>
      </c>
      <c r="BH7" s="38">
        <f>SUM(BD7:BG7)</f>
        <v>19926509.440000001</v>
      </c>
      <c r="BI7" s="107">
        <v>7</v>
      </c>
      <c r="BJ7" s="38">
        <v>16206332.32</v>
      </c>
      <c r="BK7" s="38">
        <v>2482826.34</v>
      </c>
      <c r="BL7" s="38"/>
      <c r="BM7" s="38">
        <v>10109514.33</v>
      </c>
      <c r="BN7" s="38">
        <f>SUM(BJ7:BM7)</f>
        <v>28798672.990000002</v>
      </c>
    </row>
    <row r="8" spans="1:67" ht="15" x14ac:dyDescent="0.25">
      <c r="A8" s="54" t="s">
        <v>327</v>
      </c>
      <c r="B8" s="107">
        <v>7</v>
      </c>
      <c r="C8" s="38">
        <v>16724300.76</v>
      </c>
      <c r="D8" s="38">
        <v>451822.32</v>
      </c>
      <c r="E8" s="38">
        <v>0</v>
      </c>
      <c r="F8" s="38">
        <v>840000</v>
      </c>
      <c r="G8" s="38">
        <f>SUM(C8:F8)</f>
        <v>18016123.079999998</v>
      </c>
      <c r="H8" s="107">
        <v>7</v>
      </c>
      <c r="I8" s="38">
        <v>16182437.370000001</v>
      </c>
      <c r="J8" s="38">
        <v>763774.88</v>
      </c>
      <c r="K8" s="38">
        <v>0</v>
      </c>
      <c r="L8" s="38">
        <f>SUM(I8:K8)</f>
        <v>16946212.25</v>
      </c>
      <c r="M8" s="107">
        <v>7</v>
      </c>
      <c r="N8" s="38">
        <v>16083015.340000004</v>
      </c>
      <c r="O8" s="38">
        <v>984529.36</v>
      </c>
      <c r="P8" s="38">
        <f>SUM(N8:O8)</f>
        <v>17067544.700000003</v>
      </c>
      <c r="Q8" s="107">
        <v>7</v>
      </c>
      <c r="R8" s="38">
        <v>25991439.34</v>
      </c>
      <c r="S8" s="38">
        <v>1118463.46</v>
      </c>
      <c r="T8" s="38">
        <v>817106.88</v>
      </c>
      <c r="U8" s="38">
        <f>SUM(R8:T8)</f>
        <v>27927009.68</v>
      </c>
      <c r="V8" s="107">
        <v>7</v>
      </c>
      <c r="W8" s="38">
        <v>14993671.599999998</v>
      </c>
      <c r="X8" s="38">
        <v>886888.4</v>
      </c>
      <c r="Y8" s="38">
        <v>0</v>
      </c>
      <c r="Z8" s="38">
        <f>SUM(W8:Y8)</f>
        <v>15880559.999999998</v>
      </c>
      <c r="AA8" s="107">
        <v>7</v>
      </c>
      <c r="AB8" s="38">
        <v>15428976.739999998</v>
      </c>
      <c r="AC8" s="38">
        <v>1410764.56</v>
      </c>
      <c r="AD8" s="38">
        <v>8536755.4299999997</v>
      </c>
      <c r="AE8" s="38">
        <v>350000</v>
      </c>
      <c r="AF8" s="38">
        <f>SUM(AB8:AE8)</f>
        <v>25726496.729999997</v>
      </c>
      <c r="AG8" s="107">
        <v>7</v>
      </c>
      <c r="AH8" s="38">
        <v>17065457.330000002</v>
      </c>
      <c r="AI8" s="38">
        <v>365403.76</v>
      </c>
      <c r="AJ8" s="38">
        <v>0</v>
      </c>
      <c r="AK8" s="38">
        <v>350000</v>
      </c>
      <c r="AL8" s="38">
        <f>SUM(AH8:AK8)</f>
        <v>17780861.090000004</v>
      </c>
      <c r="AM8" s="107">
        <v>7</v>
      </c>
      <c r="AN8" s="38">
        <v>18655487.360000003</v>
      </c>
      <c r="AO8" s="38">
        <v>186665.44</v>
      </c>
      <c r="AP8" s="38">
        <v>180525</v>
      </c>
      <c r="AQ8" s="38">
        <v>0</v>
      </c>
      <c r="AR8" s="38">
        <f>SUM(AN8:AQ8)</f>
        <v>19022677.800000004</v>
      </c>
      <c r="AS8" s="107">
        <v>9</v>
      </c>
      <c r="AT8" s="38">
        <v>22185587.550000001</v>
      </c>
      <c r="AU8" s="38">
        <v>1204130.3600000001</v>
      </c>
      <c r="AV8" s="38">
        <v>0</v>
      </c>
      <c r="AW8" s="38">
        <f>SUM(AT8:AV8)</f>
        <v>23389717.91</v>
      </c>
      <c r="AX8" s="107">
        <v>9</v>
      </c>
      <c r="AY8" s="38">
        <v>35901535.549999997</v>
      </c>
      <c r="AZ8" s="38">
        <v>1112777.28</v>
      </c>
      <c r="BA8" s="38">
        <v>0</v>
      </c>
      <c r="BB8" s="38">
        <f>SUM(AY8:BA8)</f>
        <v>37014312.829999998</v>
      </c>
      <c r="BC8" s="107">
        <v>9</v>
      </c>
      <c r="BD8" s="38">
        <v>21671520.549999997</v>
      </c>
      <c r="BE8" s="38">
        <v>533802.14</v>
      </c>
      <c r="BF8" s="38">
        <v>400000</v>
      </c>
      <c r="BG8" s="38">
        <v>0</v>
      </c>
      <c r="BH8" s="38">
        <f>SUM(BD8:BG8)</f>
        <v>22605322.689999998</v>
      </c>
      <c r="BI8" s="107">
        <v>8</v>
      </c>
      <c r="BJ8" s="38">
        <v>21543810.969999999</v>
      </c>
      <c r="BK8" s="38">
        <v>2756911.44</v>
      </c>
      <c r="BL8" s="38"/>
      <c r="BM8" s="38">
        <v>12289521.27</v>
      </c>
      <c r="BN8" s="38">
        <f>SUM(BJ8:BM8)</f>
        <v>36590243.68</v>
      </c>
    </row>
    <row r="9" spans="1:67" ht="15" x14ac:dyDescent="0.25">
      <c r="A9" s="33" t="s">
        <v>117</v>
      </c>
      <c r="B9" s="107">
        <v>4</v>
      </c>
      <c r="C9" s="38">
        <v>8597101.1699999999</v>
      </c>
      <c r="D9" s="38">
        <v>198395.47</v>
      </c>
      <c r="E9" s="38">
        <v>0</v>
      </c>
      <c r="F9" s="38">
        <v>480000</v>
      </c>
      <c r="G9" s="38">
        <f>SUM(C9:F9)</f>
        <v>9275496.6400000006</v>
      </c>
      <c r="H9" s="107">
        <v>4</v>
      </c>
      <c r="I9" s="38">
        <v>5839905.1300000008</v>
      </c>
      <c r="J9" s="38">
        <v>173215.14</v>
      </c>
      <c r="K9" s="38">
        <v>0</v>
      </c>
      <c r="L9" s="38">
        <f>SUM(I9:K9)</f>
        <v>6013120.2700000005</v>
      </c>
      <c r="M9" s="107">
        <v>4</v>
      </c>
      <c r="N9" s="38">
        <v>5427261.5999999996</v>
      </c>
      <c r="O9" s="38">
        <v>0</v>
      </c>
      <c r="P9" s="38">
        <f>SUM(N9:O9)</f>
        <v>5427261.5999999996</v>
      </c>
      <c r="Q9" s="107">
        <v>4</v>
      </c>
      <c r="R9" s="38">
        <v>5960480.5200000014</v>
      </c>
      <c r="S9" s="38">
        <v>134837.70000000001</v>
      </c>
      <c r="T9" s="38">
        <v>0</v>
      </c>
      <c r="U9" s="38">
        <f>SUM(R9:T9)</f>
        <v>6095318.2200000016</v>
      </c>
      <c r="V9" s="107">
        <v>3</v>
      </c>
      <c r="W9" s="38">
        <v>6513683.3200000003</v>
      </c>
      <c r="X9" s="38">
        <v>126945.92</v>
      </c>
      <c r="Y9" s="38">
        <v>0</v>
      </c>
      <c r="Z9" s="38">
        <f>SUM(W9:Y9)</f>
        <v>6640629.2400000002</v>
      </c>
      <c r="AA9" s="107">
        <v>3</v>
      </c>
      <c r="AB9" s="38">
        <v>6501773.7800000012</v>
      </c>
      <c r="AC9" s="38">
        <v>612199.98</v>
      </c>
      <c r="AD9" s="38">
        <v>2907724.7</v>
      </c>
      <c r="AE9" s="38">
        <v>150000</v>
      </c>
      <c r="AF9" s="38">
        <f>SUM(AB9:AE9)</f>
        <v>10171698.460000001</v>
      </c>
      <c r="AG9" s="107">
        <v>3</v>
      </c>
      <c r="AH9" s="38">
        <v>6422108.8699999992</v>
      </c>
      <c r="AI9" s="38">
        <v>832279.58000000007</v>
      </c>
      <c r="AJ9" s="38">
        <v>0</v>
      </c>
      <c r="AK9" s="38">
        <v>150000</v>
      </c>
      <c r="AL9" s="38">
        <f>SUM(AH9:AK9)</f>
        <v>7404388.4499999993</v>
      </c>
      <c r="AM9" s="107">
        <v>3</v>
      </c>
      <c r="AN9" s="38">
        <v>7130792.6400000006</v>
      </c>
      <c r="AO9" s="38">
        <v>192603.72</v>
      </c>
      <c r="AP9" s="38">
        <v>42939</v>
      </c>
      <c r="AQ9" s="38">
        <v>160000</v>
      </c>
      <c r="AR9" s="38">
        <f>SUM(AN9:AQ9)</f>
        <v>7526335.3600000003</v>
      </c>
      <c r="AS9" s="107">
        <v>3</v>
      </c>
      <c r="AT9" s="38">
        <v>7061259.4199999999</v>
      </c>
      <c r="AU9" s="38">
        <v>224251.97</v>
      </c>
      <c r="AV9" s="38">
        <v>0</v>
      </c>
      <c r="AW9" s="38">
        <f>SUM(AT9:AV9)</f>
        <v>7285511.3899999997</v>
      </c>
      <c r="AX9" s="107">
        <v>3</v>
      </c>
      <c r="AY9" s="38">
        <v>14181731.770000001</v>
      </c>
      <c r="AZ9" s="38">
        <v>139417.74</v>
      </c>
      <c r="BA9" s="38">
        <v>0</v>
      </c>
      <c r="BB9" s="38">
        <f>SUM(AY9:BA9)</f>
        <v>14321149.510000002</v>
      </c>
      <c r="BC9" s="107">
        <v>3</v>
      </c>
      <c r="BD9" s="38">
        <v>7812158.450000003</v>
      </c>
      <c r="BE9" s="38">
        <v>577578.11</v>
      </c>
      <c r="BF9" s="38">
        <v>150000</v>
      </c>
      <c r="BG9" s="38">
        <v>0</v>
      </c>
      <c r="BH9" s="38">
        <f>SUM(BD9:BG9)</f>
        <v>8539736.5600000024</v>
      </c>
      <c r="BI9" s="107">
        <v>3</v>
      </c>
      <c r="BJ9" s="38">
        <v>5970185.7400000002</v>
      </c>
      <c r="BK9" s="38">
        <v>400580.11</v>
      </c>
      <c r="BL9" s="38"/>
      <c r="BM9" s="38">
        <v>4415054.3099999996</v>
      </c>
      <c r="BN9" s="38">
        <f>SUM(BJ9:BM9)</f>
        <v>10785820.16</v>
      </c>
    </row>
    <row r="10" spans="1:67" ht="15" x14ac:dyDescent="0.25">
      <c r="A10" s="33" t="s">
        <v>15</v>
      </c>
      <c r="B10" s="107">
        <v>18</v>
      </c>
      <c r="C10" s="38">
        <v>33204149.959999997</v>
      </c>
      <c r="D10" s="38">
        <v>0</v>
      </c>
      <c r="E10" s="38">
        <v>0</v>
      </c>
      <c r="F10" s="38">
        <v>2160000</v>
      </c>
      <c r="G10" s="38">
        <f>SUM(C10:F10)</f>
        <v>35364149.959999993</v>
      </c>
      <c r="H10" s="107">
        <v>18</v>
      </c>
      <c r="I10" s="38">
        <v>29739449.300000012</v>
      </c>
      <c r="J10" s="38">
        <v>105785.18</v>
      </c>
      <c r="K10" s="38">
        <v>0</v>
      </c>
      <c r="L10" s="38">
        <f>SUM(I10:K10)</f>
        <v>29845234.480000012</v>
      </c>
      <c r="M10" s="107">
        <v>18</v>
      </c>
      <c r="N10" s="38">
        <v>28146804.449999999</v>
      </c>
      <c r="O10" s="38">
        <v>0</v>
      </c>
      <c r="P10" s="38">
        <f>SUM(N10:O10)</f>
        <v>28146804.449999999</v>
      </c>
      <c r="Q10" s="107">
        <v>18</v>
      </c>
      <c r="R10" s="38">
        <v>28092684.200000003</v>
      </c>
      <c r="S10" s="38">
        <v>9278.1</v>
      </c>
      <c r="T10" s="38">
        <v>0</v>
      </c>
      <c r="U10" s="38">
        <f>SUM(R10:T10)</f>
        <v>28101962.300000004</v>
      </c>
      <c r="V10" s="107">
        <v>20</v>
      </c>
      <c r="W10" s="38">
        <v>33222494.109999996</v>
      </c>
      <c r="X10" s="38">
        <v>0</v>
      </c>
      <c r="Y10" s="38">
        <v>0</v>
      </c>
      <c r="Z10" s="38">
        <f>SUM(W10:Y10)</f>
        <v>33222494.109999996</v>
      </c>
      <c r="AA10" s="107">
        <v>20</v>
      </c>
      <c r="AB10" s="38">
        <v>31609576.359999996</v>
      </c>
      <c r="AC10" s="38">
        <v>0</v>
      </c>
      <c r="AD10" s="38">
        <v>19119830.489999998</v>
      </c>
      <c r="AE10" s="38">
        <v>1000000</v>
      </c>
      <c r="AF10" s="38">
        <f>SUM(AB10:AE10)</f>
        <v>51729406.849999994</v>
      </c>
      <c r="AG10" s="107">
        <v>20</v>
      </c>
      <c r="AH10" s="38">
        <v>33132634.090000007</v>
      </c>
      <c r="AI10" s="38">
        <v>0</v>
      </c>
      <c r="AJ10" s="38">
        <v>0</v>
      </c>
      <c r="AK10" s="38">
        <v>1000000</v>
      </c>
      <c r="AL10" s="38">
        <f>SUM(AH10:AK10)</f>
        <v>34132634.090000004</v>
      </c>
      <c r="AM10" s="107">
        <v>20</v>
      </c>
      <c r="AN10" s="38">
        <v>38249588.359999999</v>
      </c>
      <c r="AO10" s="38">
        <v>1580905.46</v>
      </c>
      <c r="AP10" s="38">
        <v>23841</v>
      </c>
      <c r="AQ10" s="38">
        <v>0</v>
      </c>
      <c r="AR10" s="38">
        <f>SUM(AN10:AQ10)</f>
        <v>39854334.82</v>
      </c>
      <c r="AS10" s="107">
        <v>20</v>
      </c>
      <c r="AT10" s="38">
        <v>37800981.520000003</v>
      </c>
      <c r="AU10" s="38">
        <v>0</v>
      </c>
      <c r="AV10" s="38">
        <v>0</v>
      </c>
      <c r="AW10" s="38">
        <f>SUM(AT10:AV10)</f>
        <v>37800981.520000003</v>
      </c>
      <c r="AX10" s="107">
        <v>20</v>
      </c>
      <c r="AY10" s="38">
        <v>65116248.949999996</v>
      </c>
      <c r="AZ10" s="38">
        <v>0</v>
      </c>
      <c r="BA10" s="38">
        <v>0</v>
      </c>
      <c r="BB10" s="38">
        <f>SUM(AY10:BA10)</f>
        <v>65116248.949999996</v>
      </c>
      <c r="BC10" s="107">
        <v>20</v>
      </c>
      <c r="BD10" s="38">
        <v>40871338.31000001</v>
      </c>
      <c r="BE10" s="38">
        <v>138015.79999999999</v>
      </c>
      <c r="BF10" s="38">
        <v>1000000</v>
      </c>
      <c r="BG10" s="38">
        <v>0</v>
      </c>
      <c r="BH10" s="38">
        <f>SUM(BD10:BG10)</f>
        <v>42009354.110000007</v>
      </c>
      <c r="BI10" s="107">
        <v>20</v>
      </c>
      <c r="BJ10" s="38">
        <v>42083151.869999997</v>
      </c>
      <c r="BK10" s="38"/>
      <c r="BL10" s="38"/>
      <c r="BM10" s="38">
        <v>21898545.640000001</v>
      </c>
      <c r="BN10" s="38">
        <f>SUM(BJ10:BM10)</f>
        <v>63981697.509999998</v>
      </c>
    </row>
    <row r="11" spans="1:67" ht="15" x14ac:dyDescent="0.2">
      <c r="A11" s="32" t="s">
        <v>118</v>
      </c>
      <c r="B11" s="117">
        <f t="shared" ref="B11:BG11" si="0">SUM(B6:B10)</f>
        <v>51</v>
      </c>
      <c r="C11" s="117">
        <f t="shared" si="0"/>
        <v>100121504.12</v>
      </c>
      <c r="D11" s="117">
        <f t="shared" si="0"/>
        <v>2539576.7200000002</v>
      </c>
      <c r="E11" s="117">
        <f t="shared" si="0"/>
        <v>0</v>
      </c>
      <c r="F11" s="117">
        <f t="shared" si="0"/>
        <v>5880000</v>
      </c>
      <c r="G11" s="117">
        <f t="shared" si="0"/>
        <v>108541080.83999999</v>
      </c>
      <c r="H11" s="117">
        <f t="shared" si="0"/>
        <v>51</v>
      </c>
      <c r="I11" s="117">
        <f t="shared" si="0"/>
        <v>85297067.420000017</v>
      </c>
      <c r="J11" s="117">
        <f t="shared" si="0"/>
        <v>4091769.1100000003</v>
      </c>
      <c r="K11" s="117">
        <f t="shared" si="0"/>
        <v>0</v>
      </c>
      <c r="L11" s="117">
        <f t="shared" si="0"/>
        <v>89388836.530000031</v>
      </c>
      <c r="M11" s="117">
        <f t="shared" si="0"/>
        <v>51</v>
      </c>
      <c r="N11" s="117">
        <f t="shared" si="0"/>
        <v>84258428.170000002</v>
      </c>
      <c r="O11" s="117">
        <f t="shared" si="0"/>
        <v>3113499.43</v>
      </c>
      <c r="P11" s="117">
        <f t="shared" si="0"/>
        <v>87371927.599999994</v>
      </c>
      <c r="Q11" s="117">
        <f t="shared" si="0"/>
        <v>51</v>
      </c>
      <c r="R11" s="117">
        <f t="shared" si="0"/>
        <v>164695105.16000003</v>
      </c>
      <c r="S11" s="117">
        <f t="shared" si="0"/>
        <v>2868565.4800000004</v>
      </c>
      <c r="T11" s="117">
        <f t="shared" si="0"/>
        <v>2233096.0599999996</v>
      </c>
      <c r="U11" s="117">
        <f t="shared" si="0"/>
        <v>169796766.70000002</v>
      </c>
      <c r="V11" s="117">
        <f t="shared" si="0"/>
        <v>49</v>
      </c>
      <c r="W11" s="117">
        <f t="shared" si="0"/>
        <v>91230433.959999993</v>
      </c>
      <c r="X11" s="117">
        <f t="shared" si="0"/>
        <v>3191399.45</v>
      </c>
      <c r="Y11" s="117">
        <f t="shared" si="0"/>
        <v>0</v>
      </c>
      <c r="Z11" s="117">
        <f t="shared" si="0"/>
        <v>94421833.409999996</v>
      </c>
      <c r="AA11" s="117">
        <f t="shared" si="0"/>
        <v>49</v>
      </c>
      <c r="AB11" s="117">
        <f t="shared" si="0"/>
        <v>89969039.239999995</v>
      </c>
      <c r="AC11" s="117">
        <f t="shared" si="0"/>
        <v>7789838.6900000013</v>
      </c>
      <c r="AD11" s="117">
        <f t="shared" si="0"/>
        <v>52169526.079999998</v>
      </c>
      <c r="AE11" s="117">
        <f t="shared" si="0"/>
        <v>2450000</v>
      </c>
      <c r="AF11" s="117">
        <f t="shared" si="0"/>
        <v>152378404.00999999</v>
      </c>
      <c r="AG11" s="117">
        <f t="shared" si="0"/>
        <v>49</v>
      </c>
      <c r="AH11" s="117">
        <f t="shared" si="0"/>
        <v>96709568.800000012</v>
      </c>
      <c r="AI11" s="117">
        <f t="shared" si="0"/>
        <v>5078970.79</v>
      </c>
      <c r="AJ11" s="117">
        <f t="shared" si="0"/>
        <v>0</v>
      </c>
      <c r="AK11" s="117">
        <f t="shared" si="0"/>
        <v>2450000</v>
      </c>
      <c r="AL11" s="117">
        <f t="shared" si="0"/>
        <v>104238539.59000002</v>
      </c>
      <c r="AM11" s="117">
        <f t="shared" si="0"/>
        <v>48</v>
      </c>
      <c r="AN11" s="117">
        <f t="shared" si="0"/>
        <v>117372610.25000001</v>
      </c>
      <c r="AO11" s="117">
        <f t="shared" si="0"/>
        <v>6315824.5099999998</v>
      </c>
      <c r="AP11" s="117">
        <f t="shared" si="0"/>
        <v>1494830.1400000001</v>
      </c>
      <c r="AQ11" s="117">
        <f t="shared" si="0"/>
        <v>1116713</v>
      </c>
      <c r="AR11" s="117">
        <f t="shared" si="0"/>
        <v>126299977.90000001</v>
      </c>
      <c r="AS11" s="117">
        <f t="shared" si="0"/>
        <v>48</v>
      </c>
      <c r="AT11" s="117">
        <f t="shared" si="0"/>
        <v>109444420.23000002</v>
      </c>
      <c r="AU11" s="117">
        <f t="shared" si="0"/>
        <v>4631264.42</v>
      </c>
      <c r="AV11" s="117">
        <f t="shared" si="0"/>
        <v>1014694.3300000001</v>
      </c>
      <c r="AW11" s="117">
        <f t="shared" si="0"/>
        <v>115090378.97999999</v>
      </c>
      <c r="AX11" s="117">
        <f t="shared" si="0"/>
        <v>48</v>
      </c>
      <c r="AY11" s="117">
        <f t="shared" si="0"/>
        <v>177291051.47999999</v>
      </c>
      <c r="AZ11" s="117">
        <f t="shared" si="0"/>
        <v>2524522.79</v>
      </c>
      <c r="BA11" s="117">
        <f t="shared" si="0"/>
        <v>0</v>
      </c>
      <c r="BB11" s="117">
        <f t="shared" si="0"/>
        <v>179815574.27000001</v>
      </c>
      <c r="BC11" s="117">
        <f t="shared" si="0"/>
        <v>48</v>
      </c>
      <c r="BD11" s="117">
        <f t="shared" si="0"/>
        <v>109516022.15000001</v>
      </c>
      <c r="BE11" s="117">
        <f t="shared" si="0"/>
        <v>4474953.58</v>
      </c>
      <c r="BF11" s="117">
        <f t="shared" si="0"/>
        <v>2300000</v>
      </c>
      <c r="BG11" s="117">
        <f t="shared" si="0"/>
        <v>0</v>
      </c>
      <c r="BH11" s="36">
        <f t="shared" ref="BH11:BN11" si="1">SUM(BH6:BH10)</f>
        <v>116290975.73000002</v>
      </c>
      <c r="BI11" s="117">
        <f t="shared" si="1"/>
        <v>46</v>
      </c>
      <c r="BJ11" s="117">
        <f t="shared" si="1"/>
        <v>106865115.73999999</v>
      </c>
      <c r="BK11" s="117">
        <f t="shared" si="1"/>
        <v>5677296.4400000004</v>
      </c>
      <c r="BL11" s="117">
        <f t="shared" si="1"/>
        <v>0</v>
      </c>
      <c r="BM11" s="117">
        <f t="shared" si="1"/>
        <v>60280151.480000004</v>
      </c>
      <c r="BN11" s="36">
        <f t="shared" si="1"/>
        <v>172822563.66</v>
      </c>
    </row>
    <row r="12" spans="1:67" x14ac:dyDescent="0.2">
      <c r="A12" s="33"/>
      <c r="B12" s="37"/>
      <c r="C12" s="37"/>
      <c r="D12" s="37"/>
      <c r="E12" s="37"/>
      <c r="F12" s="37"/>
      <c r="G12" s="37"/>
      <c r="H12" s="37"/>
      <c r="I12" s="37"/>
      <c r="J12" s="37"/>
      <c r="K12" s="37"/>
      <c r="L12" s="37"/>
      <c r="M12" s="37"/>
      <c r="N12" s="37"/>
      <c r="O12" s="37"/>
      <c r="P12" s="37"/>
      <c r="Q12" s="37"/>
      <c r="R12" s="37"/>
      <c r="S12" s="37"/>
      <c r="T12" s="37"/>
      <c r="U12" s="37"/>
      <c r="V12" s="37"/>
      <c r="W12" s="37"/>
      <c r="X12" s="37"/>
      <c r="Y12" s="37"/>
      <c r="Z12" s="37"/>
      <c r="AA12" s="37"/>
      <c r="AB12" s="37"/>
      <c r="AC12" s="37"/>
      <c r="AD12" s="37"/>
      <c r="AE12" s="37"/>
      <c r="AF12" s="37"/>
      <c r="AG12" s="37"/>
      <c r="AH12" s="37"/>
      <c r="AI12" s="37"/>
      <c r="AJ12" s="37"/>
      <c r="AK12" s="37"/>
      <c r="AL12" s="37"/>
      <c r="AM12" s="37"/>
      <c r="AN12" s="37"/>
      <c r="AO12" s="37"/>
      <c r="AP12" s="37"/>
      <c r="AQ12" s="37"/>
      <c r="AR12" s="37"/>
      <c r="AS12" s="37"/>
      <c r="AT12" s="37"/>
      <c r="AU12" s="37"/>
      <c r="AV12" s="37"/>
      <c r="AW12" s="37"/>
      <c r="AX12" s="37"/>
      <c r="AY12" s="37"/>
      <c r="AZ12" s="37"/>
      <c r="BA12" s="37"/>
      <c r="BB12" s="37"/>
      <c r="BC12" s="37"/>
      <c r="BD12" s="37"/>
      <c r="BE12" s="37"/>
      <c r="BF12" s="37"/>
      <c r="BG12" s="37"/>
      <c r="BH12" s="37"/>
      <c r="BI12" s="37"/>
      <c r="BJ12" s="37"/>
      <c r="BK12" s="37"/>
      <c r="BL12" s="37"/>
      <c r="BM12" s="37"/>
      <c r="BN12" s="37"/>
    </row>
    <row r="13" spans="1:67" ht="15" x14ac:dyDescent="0.2">
      <c r="A13" s="32" t="s">
        <v>101</v>
      </c>
      <c r="B13" s="132" t="s">
        <v>114</v>
      </c>
      <c r="C13" s="44" t="s">
        <v>115</v>
      </c>
      <c r="D13" s="133" t="s">
        <v>116</v>
      </c>
      <c r="E13" s="44" t="s">
        <v>372</v>
      </c>
      <c r="F13" s="44" t="s">
        <v>373</v>
      </c>
      <c r="G13" s="44" t="s">
        <v>44</v>
      </c>
      <c r="H13" s="132" t="s">
        <v>114</v>
      </c>
      <c r="I13" s="44" t="s">
        <v>115</v>
      </c>
      <c r="J13" s="133" t="s">
        <v>116</v>
      </c>
      <c r="K13" s="44" t="s">
        <v>372</v>
      </c>
      <c r="L13" s="44" t="s">
        <v>44</v>
      </c>
      <c r="M13" s="132" t="s">
        <v>114</v>
      </c>
      <c r="N13" s="44" t="s">
        <v>115</v>
      </c>
      <c r="O13" s="133" t="s">
        <v>116</v>
      </c>
      <c r="P13" s="44" t="s">
        <v>44</v>
      </c>
      <c r="Q13" s="132" t="s">
        <v>114</v>
      </c>
      <c r="R13" s="44" t="s">
        <v>115</v>
      </c>
      <c r="S13" s="133" t="s">
        <v>116</v>
      </c>
      <c r="T13" s="44" t="s">
        <v>372</v>
      </c>
      <c r="U13" s="44" t="s">
        <v>44</v>
      </c>
      <c r="V13" s="132" t="s">
        <v>114</v>
      </c>
      <c r="W13" s="44" t="s">
        <v>115</v>
      </c>
      <c r="X13" s="133" t="s">
        <v>116</v>
      </c>
      <c r="Y13" s="44" t="s">
        <v>372</v>
      </c>
      <c r="Z13" s="44" t="s">
        <v>44</v>
      </c>
      <c r="AA13" s="132" t="s">
        <v>114</v>
      </c>
      <c r="AB13" s="44" t="s">
        <v>115</v>
      </c>
      <c r="AC13" s="133" t="s">
        <v>116</v>
      </c>
      <c r="AD13" s="44" t="s">
        <v>372</v>
      </c>
      <c r="AE13" s="44" t="s">
        <v>374</v>
      </c>
      <c r="AF13" s="44" t="s">
        <v>44</v>
      </c>
      <c r="AG13" s="132" t="s">
        <v>114</v>
      </c>
      <c r="AH13" s="44" t="s">
        <v>115</v>
      </c>
      <c r="AI13" s="133" t="s">
        <v>116</v>
      </c>
      <c r="AJ13" s="44" t="s">
        <v>372</v>
      </c>
      <c r="AK13" s="44" t="s">
        <v>374</v>
      </c>
      <c r="AL13" s="44" t="s">
        <v>44</v>
      </c>
      <c r="AM13" s="132" t="s">
        <v>114</v>
      </c>
      <c r="AN13" s="44" t="s">
        <v>115</v>
      </c>
      <c r="AO13" s="133" t="s">
        <v>116</v>
      </c>
      <c r="AP13" s="44" t="s">
        <v>372</v>
      </c>
      <c r="AQ13" s="44" t="s">
        <v>374</v>
      </c>
      <c r="AR13" s="44" t="s">
        <v>44</v>
      </c>
      <c r="AS13" s="132" t="s">
        <v>114</v>
      </c>
      <c r="AT13" s="44" t="s">
        <v>115</v>
      </c>
      <c r="AU13" s="133" t="s">
        <v>116</v>
      </c>
      <c r="AV13" s="44" t="s">
        <v>372</v>
      </c>
      <c r="AW13" s="44" t="s">
        <v>44</v>
      </c>
      <c r="AX13" s="132" t="s">
        <v>114</v>
      </c>
      <c r="AY13" s="44" t="s">
        <v>115</v>
      </c>
      <c r="AZ13" s="133" t="s">
        <v>116</v>
      </c>
      <c r="BA13" s="44" t="s">
        <v>372</v>
      </c>
      <c r="BB13" s="44" t="s">
        <v>44</v>
      </c>
      <c r="BC13" s="132" t="s">
        <v>114</v>
      </c>
      <c r="BD13" s="44" t="s">
        <v>115</v>
      </c>
      <c r="BE13" s="133" t="s">
        <v>116</v>
      </c>
      <c r="BF13" s="44" t="s">
        <v>375</v>
      </c>
      <c r="BG13" s="44" t="s">
        <v>372</v>
      </c>
      <c r="BH13" s="44" t="s">
        <v>44</v>
      </c>
      <c r="BI13" s="132" t="s">
        <v>114</v>
      </c>
      <c r="BJ13" s="44" t="s">
        <v>115</v>
      </c>
      <c r="BK13" s="133" t="s">
        <v>116</v>
      </c>
      <c r="BL13" s="44" t="s">
        <v>375</v>
      </c>
      <c r="BM13" s="44" t="s">
        <v>372</v>
      </c>
      <c r="BN13" s="44" t="s">
        <v>44</v>
      </c>
    </row>
    <row r="14" spans="1:67" ht="15" x14ac:dyDescent="0.2">
      <c r="A14" s="32" t="s">
        <v>280</v>
      </c>
      <c r="B14" s="134"/>
      <c r="C14" s="135"/>
      <c r="D14" s="135"/>
      <c r="E14" s="135"/>
      <c r="F14" s="135"/>
      <c r="G14" s="135"/>
      <c r="H14" s="134"/>
      <c r="I14" s="135"/>
      <c r="J14" s="135"/>
      <c r="K14" s="135"/>
      <c r="L14" s="135"/>
      <c r="M14" s="134"/>
      <c r="N14" s="135"/>
      <c r="O14" s="135"/>
      <c r="P14" s="135"/>
      <c r="Q14" s="134"/>
      <c r="R14" s="135"/>
      <c r="S14" s="135"/>
      <c r="T14" s="135"/>
      <c r="U14" s="135"/>
      <c r="V14" s="134"/>
      <c r="W14" s="135"/>
      <c r="X14" s="135"/>
      <c r="Y14" s="135"/>
      <c r="Z14" s="135"/>
      <c r="AA14" s="134"/>
      <c r="AB14" s="135"/>
      <c r="AC14" s="135"/>
      <c r="AD14" s="135"/>
      <c r="AE14" s="135"/>
      <c r="AF14" s="135"/>
      <c r="AG14" s="134"/>
      <c r="AH14" s="135"/>
      <c r="AI14" s="135"/>
      <c r="AJ14" s="135"/>
      <c r="AK14" s="135"/>
      <c r="AL14" s="135"/>
      <c r="AM14" s="134"/>
      <c r="AN14" s="135"/>
      <c r="AO14" s="135"/>
      <c r="AP14" s="135"/>
      <c r="AQ14" s="135"/>
      <c r="AR14" s="135"/>
      <c r="AS14" s="134"/>
      <c r="AT14" s="135"/>
      <c r="AU14" s="135"/>
      <c r="AV14" s="135"/>
      <c r="AW14" s="135"/>
      <c r="AX14" s="134"/>
      <c r="AY14" s="135"/>
      <c r="AZ14" s="135"/>
      <c r="BA14" s="135"/>
      <c r="BB14" s="135"/>
      <c r="BC14" s="134"/>
      <c r="BD14" s="135"/>
      <c r="BE14" s="135"/>
      <c r="BF14" s="135"/>
      <c r="BG14" s="135"/>
      <c r="BH14" s="135"/>
      <c r="BI14" s="134"/>
      <c r="BJ14" s="135"/>
      <c r="BK14" s="135"/>
      <c r="BL14" s="135"/>
      <c r="BM14" s="135"/>
      <c r="BN14" s="135"/>
    </row>
    <row r="15" spans="1:67" ht="15" x14ac:dyDescent="0.25">
      <c r="A15" s="33" t="s">
        <v>280</v>
      </c>
      <c r="B15" s="107">
        <v>2</v>
      </c>
      <c r="C15" s="38">
        <v>5636383.9400000004</v>
      </c>
      <c r="D15" s="38">
        <v>0</v>
      </c>
      <c r="E15" s="38">
        <v>0</v>
      </c>
      <c r="F15" s="38">
        <v>240000</v>
      </c>
      <c r="G15" s="38">
        <f>SUM(C15:F15)</f>
        <v>5876383.9400000004</v>
      </c>
      <c r="H15" s="107">
        <v>2</v>
      </c>
      <c r="I15" s="38">
        <v>5104913.58</v>
      </c>
      <c r="J15" s="38">
        <v>0</v>
      </c>
      <c r="K15" s="38">
        <v>0</v>
      </c>
      <c r="L15" s="38">
        <f>SUM(I15:K15)</f>
        <v>5104913.58</v>
      </c>
      <c r="M15" s="107">
        <v>2</v>
      </c>
      <c r="N15" s="38">
        <v>5418850.5999999987</v>
      </c>
      <c r="O15" s="38">
        <v>0</v>
      </c>
      <c r="P15" s="38">
        <f>SUM(N15:O15)</f>
        <v>5418850.5999999987</v>
      </c>
      <c r="Q15" s="107">
        <v>2</v>
      </c>
      <c r="R15" s="38">
        <v>5289809.0799999982</v>
      </c>
      <c r="S15" s="38">
        <v>0</v>
      </c>
      <c r="T15" s="38">
        <v>0</v>
      </c>
      <c r="U15" s="38">
        <f>SUM(R15:T15)</f>
        <v>5289809.0799999982</v>
      </c>
      <c r="V15" s="107">
        <v>2</v>
      </c>
      <c r="W15" s="38">
        <v>5799308.3799999999</v>
      </c>
      <c r="X15" s="38">
        <v>0</v>
      </c>
      <c r="Y15" s="38">
        <v>0</v>
      </c>
      <c r="Z15" s="38">
        <f>SUM(W15:Y15)</f>
        <v>5799308.3799999999</v>
      </c>
      <c r="AA15" s="107">
        <v>2</v>
      </c>
      <c r="AB15" s="38">
        <v>5800492.2899999991</v>
      </c>
      <c r="AC15" s="38">
        <v>0</v>
      </c>
      <c r="AD15" s="38">
        <v>2900245.51</v>
      </c>
      <c r="AE15" s="38">
        <v>100000</v>
      </c>
      <c r="AF15" s="38">
        <f>SUM(AB15:AE15)</f>
        <v>8800737.7999999989</v>
      </c>
      <c r="AG15" s="107">
        <v>2</v>
      </c>
      <c r="AH15" s="38">
        <v>8171148.7799999993</v>
      </c>
      <c r="AI15" s="38">
        <v>0</v>
      </c>
      <c r="AJ15" s="38">
        <v>0</v>
      </c>
      <c r="AK15" s="38">
        <v>150000</v>
      </c>
      <c r="AL15" s="38">
        <f>SUM(AH15:AK15)</f>
        <v>8321148.7799999993</v>
      </c>
      <c r="AM15" s="107">
        <v>2</v>
      </c>
      <c r="AN15" s="38">
        <v>6378676.4000000004</v>
      </c>
      <c r="AO15" s="38">
        <v>43526.92</v>
      </c>
      <c r="AP15" s="38">
        <v>34809</v>
      </c>
      <c r="AQ15" s="38">
        <v>160000</v>
      </c>
      <c r="AR15" s="38">
        <f>SUM(AN15:AQ15)</f>
        <v>6617012.3200000003</v>
      </c>
      <c r="AS15" s="107">
        <v>2</v>
      </c>
      <c r="AT15" s="38">
        <v>7093479.9500000011</v>
      </c>
      <c r="AU15" s="38">
        <v>244704.28999999998</v>
      </c>
      <c r="AV15" s="38">
        <v>0</v>
      </c>
      <c r="AW15" s="38">
        <f>SUM(AT15:AV15)</f>
        <v>7338184.2400000012</v>
      </c>
      <c r="AX15" s="107">
        <v>2</v>
      </c>
      <c r="AY15" s="38">
        <v>11856040.51</v>
      </c>
      <c r="AZ15" s="38">
        <v>56585.7</v>
      </c>
      <c r="BA15" s="38">
        <v>0</v>
      </c>
      <c r="BB15" s="38">
        <f>SUM(AY15:BA15)</f>
        <v>11912626.209999999</v>
      </c>
      <c r="BC15" s="107">
        <v>2</v>
      </c>
      <c r="BD15" s="38">
        <v>6786604.21</v>
      </c>
      <c r="BE15" s="38">
        <v>35610.54</v>
      </c>
      <c r="BF15" s="38">
        <v>100000</v>
      </c>
      <c r="BG15" s="38">
        <v>0</v>
      </c>
      <c r="BH15" s="38">
        <f>SUM(BD15:BG15)</f>
        <v>6922214.75</v>
      </c>
      <c r="BI15" s="107">
        <v>2</v>
      </c>
      <c r="BJ15" s="38">
        <v>6973336.8499999996</v>
      </c>
      <c r="BK15" s="38"/>
      <c r="BL15" s="38"/>
      <c r="BM15" s="38">
        <v>3732694.1</v>
      </c>
      <c r="BN15" s="38">
        <f>SUM(BJ15:BM15)</f>
        <v>10706030.949999999</v>
      </c>
    </row>
    <row r="16" spans="1:67" ht="15" x14ac:dyDescent="0.2">
      <c r="A16" s="32" t="s">
        <v>118</v>
      </c>
      <c r="B16" s="136">
        <f>+B15</f>
        <v>2</v>
      </c>
      <c r="C16" s="136">
        <f t="shared" ref="C16:BH16" si="2">+C15</f>
        <v>5636383.9400000004</v>
      </c>
      <c r="D16" s="136">
        <f t="shared" si="2"/>
        <v>0</v>
      </c>
      <c r="E16" s="136">
        <f t="shared" si="2"/>
        <v>0</v>
      </c>
      <c r="F16" s="136">
        <f t="shared" si="2"/>
        <v>240000</v>
      </c>
      <c r="G16" s="136">
        <f t="shared" si="2"/>
        <v>5876383.9400000004</v>
      </c>
      <c r="H16" s="136">
        <f t="shared" si="2"/>
        <v>2</v>
      </c>
      <c r="I16" s="136">
        <f t="shared" si="2"/>
        <v>5104913.58</v>
      </c>
      <c r="J16" s="136">
        <f t="shared" si="2"/>
        <v>0</v>
      </c>
      <c r="K16" s="136">
        <f t="shared" si="2"/>
        <v>0</v>
      </c>
      <c r="L16" s="136">
        <f t="shared" si="2"/>
        <v>5104913.58</v>
      </c>
      <c r="M16" s="136">
        <f t="shared" si="2"/>
        <v>2</v>
      </c>
      <c r="N16" s="136">
        <f t="shared" si="2"/>
        <v>5418850.5999999987</v>
      </c>
      <c r="O16" s="136">
        <f t="shared" si="2"/>
        <v>0</v>
      </c>
      <c r="P16" s="136">
        <f t="shared" si="2"/>
        <v>5418850.5999999987</v>
      </c>
      <c r="Q16" s="136">
        <f t="shared" si="2"/>
        <v>2</v>
      </c>
      <c r="R16" s="136">
        <f t="shared" si="2"/>
        <v>5289809.0799999982</v>
      </c>
      <c r="S16" s="136">
        <f t="shared" si="2"/>
        <v>0</v>
      </c>
      <c r="T16" s="136">
        <f t="shared" si="2"/>
        <v>0</v>
      </c>
      <c r="U16" s="136">
        <f t="shared" si="2"/>
        <v>5289809.0799999982</v>
      </c>
      <c r="V16" s="136">
        <f t="shared" si="2"/>
        <v>2</v>
      </c>
      <c r="W16" s="136">
        <f t="shared" si="2"/>
        <v>5799308.3799999999</v>
      </c>
      <c r="X16" s="136">
        <f t="shared" si="2"/>
        <v>0</v>
      </c>
      <c r="Y16" s="136">
        <f t="shared" si="2"/>
        <v>0</v>
      </c>
      <c r="Z16" s="136">
        <f t="shared" si="2"/>
        <v>5799308.3799999999</v>
      </c>
      <c r="AA16" s="136">
        <f t="shared" si="2"/>
        <v>2</v>
      </c>
      <c r="AB16" s="136">
        <f t="shared" si="2"/>
        <v>5800492.2899999991</v>
      </c>
      <c r="AC16" s="136">
        <f t="shared" si="2"/>
        <v>0</v>
      </c>
      <c r="AD16" s="136">
        <f t="shared" si="2"/>
        <v>2900245.51</v>
      </c>
      <c r="AE16" s="136">
        <f t="shared" si="2"/>
        <v>100000</v>
      </c>
      <c r="AF16" s="136">
        <f t="shared" si="2"/>
        <v>8800737.7999999989</v>
      </c>
      <c r="AG16" s="136">
        <f t="shared" si="2"/>
        <v>2</v>
      </c>
      <c r="AH16" s="136">
        <f t="shared" si="2"/>
        <v>8171148.7799999993</v>
      </c>
      <c r="AI16" s="136">
        <f t="shared" si="2"/>
        <v>0</v>
      </c>
      <c r="AJ16" s="136">
        <f t="shared" si="2"/>
        <v>0</v>
      </c>
      <c r="AK16" s="136">
        <f t="shared" si="2"/>
        <v>150000</v>
      </c>
      <c r="AL16" s="136">
        <f t="shared" si="2"/>
        <v>8321148.7799999993</v>
      </c>
      <c r="AM16" s="136">
        <f t="shared" si="2"/>
        <v>2</v>
      </c>
      <c r="AN16" s="136">
        <f t="shared" si="2"/>
        <v>6378676.4000000004</v>
      </c>
      <c r="AO16" s="136">
        <f t="shared" si="2"/>
        <v>43526.92</v>
      </c>
      <c r="AP16" s="136">
        <f t="shared" si="2"/>
        <v>34809</v>
      </c>
      <c r="AQ16" s="136">
        <f t="shared" si="2"/>
        <v>160000</v>
      </c>
      <c r="AR16" s="136">
        <f t="shared" si="2"/>
        <v>6617012.3200000003</v>
      </c>
      <c r="AS16" s="136">
        <f t="shared" si="2"/>
        <v>2</v>
      </c>
      <c r="AT16" s="136">
        <f t="shared" si="2"/>
        <v>7093479.9500000011</v>
      </c>
      <c r="AU16" s="136">
        <f t="shared" si="2"/>
        <v>244704.28999999998</v>
      </c>
      <c r="AV16" s="136">
        <f t="shared" si="2"/>
        <v>0</v>
      </c>
      <c r="AW16" s="136">
        <f t="shared" si="2"/>
        <v>7338184.2400000012</v>
      </c>
      <c r="AX16" s="136">
        <f t="shared" si="2"/>
        <v>2</v>
      </c>
      <c r="AY16" s="136">
        <f t="shared" si="2"/>
        <v>11856040.51</v>
      </c>
      <c r="AZ16" s="136">
        <f t="shared" si="2"/>
        <v>56585.7</v>
      </c>
      <c r="BA16" s="136">
        <f t="shared" si="2"/>
        <v>0</v>
      </c>
      <c r="BB16" s="136">
        <f t="shared" si="2"/>
        <v>11912626.209999999</v>
      </c>
      <c r="BC16" s="136">
        <f t="shared" si="2"/>
        <v>2</v>
      </c>
      <c r="BD16" s="136">
        <f t="shared" si="2"/>
        <v>6786604.21</v>
      </c>
      <c r="BE16" s="136">
        <f t="shared" si="2"/>
        <v>35610.54</v>
      </c>
      <c r="BF16" s="136">
        <f t="shared" si="2"/>
        <v>100000</v>
      </c>
      <c r="BG16" s="136">
        <f t="shared" si="2"/>
        <v>0</v>
      </c>
      <c r="BH16" s="136">
        <f t="shared" si="2"/>
        <v>6922214.75</v>
      </c>
      <c r="BI16" s="136">
        <f t="shared" ref="BI16:BN16" si="3">+BI15</f>
        <v>2</v>
      </c>
      <c r="BJ16" s="136">
        <f t="shared" si="3"/>
        <v>6973336.8499999996</v>
      </c>
      <c r="BK16" s="136">
        <f t="shared" si="3"/>
        <v>0</v>
      </c>
      <c r="BL16" s="136">
        <f t="shared" si="3"/>
        <v>0</v>
      </c>
      <c r="BM16" s="136">
        <f t="shared" si="3"/>
        <v>3732694.1</v>
      </c>
      <c r="BN16" s="136">
        <f t="shared" si="3"/>
        <v>10706030.949999999</v>
      </c>
    </row>
    <row r="17" spans="1:66" x14ac:dyDescent="0.2">
      <c r="A17" s="33"/>
      <c r="B17" s="137"/>
      <c r="C17" s="37"/>
      <c r="D17" s="37"/>
      <c r="E17" s="37"/>
      <c r="F17" s="37"/>
      <c r="G17" s="37"/>
      <c r="H17" s="137"/>
      <c r="I17" s="37"/>
      <c r="J17" s="37"/>
      <c r="K17" s="37"/>
      <c r="L17" s="37"/>
      <c r="M17" s="137"/>
      <c r="N17" s="37"/>
      <c r="O17" s="37"/>
      <c r="P17" s="37"/>
      <c r="Q17" s="137"/>
      <c r="R17" s="37"/>
      <c r="S17" s="37"/>
      <c r="T17" s="37"/>
      <c r="U17" s="37"/>
      <c r="V17" s="137"/>
      <c r="W17" s="37"/>
      <c r="X17" s="37"/>
      <c r="Y17" s="37"/>
      <c r="Z17" s="37"/>
      <c r="AA17" s="137"/>
      <c r="AB17" s="37"/>
      <c r="AC17" s="37"/>
      <c r="AD17" s="37"/>
      <c r="AE17" s="37"/>
      <c r="AF17" s="37"/>
      <c r="AG17" s="137"/>
      <c r="AH17" s="37"/>
      <c r="AI17" s="37"/>
      <c r="AJ17" s="37"/>
      <c r="AK17" s="37"/>
      <c r="AL17" s="37"/>
      <c r="AM17" s="137"/>
      <c r="AN17" s="37"/>
      <c r="AO17" s="37"/>
      <c r="AP17" s="37"/>
      <c r="AQ17" s="37"/>
      <c r="AR17" s="37"/>
      <c r="AS17" s="137"/>
      <c r="AT17" s="37"/>
      <c r="AU17" s="37"/>
      <c r="AV17" s="37"/>
      <c r="AW17" s="37"/>
      <c r="AX17" s="137"/>
      <c r="AY17" s="37"/>
      <c r="AZ17" s="37"/>
      <c r="BA17" s="37"/>
      <c r="BB17" s="37"/>
      <c r="BC17" s="137"/>
      <c r="BD17" s="37"/>
      <c r="BE17" s="37"/>
      <c r="BF17" s="37"/>
      <c r="BG17" s="37"/>
      <c r="BH17" s="37"/>
      <c r="BI17" s="137"/>
      <c r="BJ17" s="37"/>
      <c r="BK17" s="37"/>
      <c r="BL17" s="37"/>
      <c r="BM17" s="37"/>
      <c r="BN17" s="37"/>
    </row>
    <row r="18" spans="1:66" ht="15" x14ac:dyDescent="0.2">
      <c r="A18" s="32" t="s">
        <v>101</v>
      </c>
      <c r="B18" s="138" t="s">
        <v>114</v>
      </c>
      <c r="C18" s="133" t="s">
        <v>115</v>
      </c>
      <c r="D18" s="133" t="s">
        <v>116</v>
      </c>
      <c r="E18" s="44" t="s">
        <v>372</v>
      </c>
      <c r="F18" s="44" t="s">
        <v>373</v>
      </c>
      <c r="G18" s="133" t="s">
        <v>44</v>
      </c>
      <c r="H18" s="138" t="s">
        <v>114</v>
      </c>
      <c r="I18" s="133" t="s">
        <v>115</v>
      </c>
      <c r="J18" s="133" t="s">
        <v>116</v>
      </c>
      <c r="K18" s="44" t="s">
        <v>372</v>
      </c>
      <c r="L18" s="133" t="s">
        <v>44</v>
      </c>
      <c r="M18" s="138" t="s">
        <v>114</v>
      </c>
      <c r="N18" s="133" t="s">
        <v>115</v>
      </c>
      <c r="O18" s="133" t="s">
        <v>116</v>
      </c>
      <c r="P18" s="133" t="s">
        <v>44</v>
      </c>
      <c r="Q18" s="138" t="s">
        <v>114</v>
      </c>
      <c r="R18" s="133" t="s">
        <v>115</v>
      </c>
      <c r="S18" s="133" t="s">
        <v>116</v>
      </c>
      <c r="T18" s="44" t="s">
        <v>372</v>
      </c>
      <c r="U18" s="133" t="s">
        <v>44</v>
      </c>
      <c r="V18" s="138" t="s">
        <v>114</v>
      </c>
      <c r="W18" s="133" t="s">
        <v>115</v>
      </c>
      <c r="X18" s="133" t="s">
        <v>116</v>
      </c>
      <c r="Y18" s="44" t="s">
        <v>372</v>
      </c>
      <c r="Z18" s="133" t="s">
        <v>44</v>
      </c>
      <c r="AA18" s="138" t="s">
        <v>114</v>
      </c>
      <c r="AB18" s="133" t="s">
        <v>115</v>
      </c>
      <c r="AC18" s="133" t="s">
        <v>116</v>
      </c>
      <c r="AD18" s="44" t="s">
        <v>372</v>
      </c>
      <c r="AE18" s="44" t="s">
        <v>374</v>
      </c>
      <c r="AF18" s="133" t="s">
        <v>44</v>
      </c>
      <c r="AG18" s="138" t="s">
        <v>114</v>
      </c>
      <c r="AH18" s="133" t="s">
        <v>115</v>
      </c>
      <c r="AI18" s="133" t="s">
        <v>116</v>
      </c>
      <c r="AJ18" s="44" t="s">
        <v>372</v>
      </c>
      <c r="AK18" s="44" t="s">
        <v>374</v>
      </c>
      <c r="AL18" s="133" t="s">
        <v>44</v>
      </c>
      <c r="AM18" s="138" t="s">
        <v>114</v>
      </c>
      <c r="AN18" s="133" t="s">
        <v>115</v>
      </c>
      <c r="AO18" s="133" t="s">
        <v>116</v>
      </c>
      <c r="AP18" s="44" t="s">
        <v>372</v>
      </c>
      <c r="AQ18" s="44" t="s">
        <v>374</v>
      </c>
      <c r="AR18" s="133" t="s">
        <v>44</v>
      </c>
      <c r="AS18" s="138" t="s">
        <v>114</v>
      </c>
      <c r="AT18" s="133" t="s">
        <v>115</v>
      </c>
      <c r="AU18" s="133" t="s">
        <v>116</v>
      </c>
      <c r="AV18" s="44" t="s">
        <v>372</v>
      </c>
      <c r="AW18" s="133" t="s">
        <v>44</v>
      </c>
      <c r="AX18" s="138" t="s">
        <v>114</v>
      </c>
      <c r="AY18" s="133" t="s">
        <v>115</v>
      </c>
      <c r="AZ18" s="133" t="s">
        <v>116</v>
      </c>
      <c r="BA18" s="44" t="s">
        <v>372</v>
      </c>
      <c r="BB18" s="133" t="s">
        <v>44</v>
      </c>
      <c r="BC18" s="138" t="s">
        <v>114</v>
      </c>
      <c r="BD18" s="133" t="s">
        <v>115</v>
      </c>
      <c r="BE18" s="133" t="s">
        <v>116</v>
      </c>
      <c r="BF18" s="44" t="s">
        <v>375</v>
      </c>
      <c r="BG18" s="44" t="s">
        <v>372</v>
      </c>
      <c r="BH18" s="133" t="s">
        <v>44</v>
      </c>
      <c r="BI18" s="138" t="s">
        <v>114</v>
      </c>
      <c r="BJ18" s="133" t="s">
        <v>115</v>
      </c>
      <c r="BK18" s="133" t="s">
        <v>116</v>
      </c>
      <c r="BL18" s="44" t="s">
        <v>375</v>
      </c>
      <c r="BM18" s="44" t="s">
        <v>372</v>
      </c>
      <c r="BN18" s="133" t="s">
        <v>44</v>
      </c>
    </row>
    <row r="19" spans="1:66" ht="15" x14ac:dyDescent="0.2">
      <c r="A19" s="32" t="s">
        <v>119</v>
      </c>
      <c r="B19" s="139"/>
      <c r="C19" s="35"/>
      <c r="D19" s="35"/>
      <c r="E19" s="35"/>
      <c r="F19" s="35"/>
      <c r="G19" s="35"/>
      <c r="H19" s="139"/>
      <c r="I19" s="35"/>
      <c r="J19" s="35"/>
      <c r="K19" s="35"/>
      <c r="L19" s="35"/>
      <c r="M19" s="139"/>
      <c r="N19" s="35"/>
      <c r="O19" s="35"/>
      <c r="P19" s="35"/>
      <c r="Q19" s="139"/>
      <c r="R19" s="35"/>
      <c r="S19" s="35"/>
      <c r="T19" s="35"/>
      <c r="U19" s="35"/>
      <c r="V19" s="139"/>
      <c r="W19" s="35"/>
      <c r="X19" s="35"/>
      <c r="Y19" s="35"/>
      <c r="Z19" s="35"/>
      <c r="AA19" s="139"/>
      <c r="AB19" s="35"/>
      <c r="AC19" s="35"/>
      <c r="AD19" s="35"/>
      <c r="AE19" s="35"/>
      <c r="AF19" s="35"/>
      <c r="AG19" s="139"/>
      <c r="AH19" s="35"/>
      <c r="AI19" s="35"/>
      <c r="AJ19" s="35"/>
      <c r="AK19" s="35"/>
      <c r="AL19" s="35"/>
      <c r="AM19" s="139"/>
      <c r="AN19" s="35"/>
      <c r="AO19" s="35"/>
      <c r="AP19" s="35"/>
      <c r="AQ19" s="35"/>
      <c r="AR19" s="35"/>
      <c r="AS19" s="139"/>
      <c r="AT19" s="35"/>
      <c r="AU19" s="35"/>
      <c r="AV19" s="35"/>
      <c r="AW19" s="35"/>
      <c r="AX19" s="139"/>
      <c r="AY19" s="35"/>
      <c r="AZ19" s="35"/>
      <c r="BA19" s="35"/>
      <c r="BB19" s="35"/>
      <c r="BC19" s="139"/>
      <c r="BD19" s="35"/>
      <c r="BE19" s="35"/>
      <c r="BF19" s="35"/>
      <c r="BG19" s="35"/>
      <c r="BH19" s="35"/>
      <c r="BI19" s="139"/>
      <c r="BJ19" s="35"/>
      <c r="BK19" s="35"/>
      <c r="BL19" s="35"/>
      <c r="BM19" s="35"/>
      <c r="BN19" s="35"/>
    </row>
    <row r="20" spans="1:66" ht="15" x14ac:dyDescent="0.25">
      <c r="A20" s="33" t="s">
        <v>119</v>
      </c>
      <c r="B20" s="107">
        <v>4</v>
      </c>
      <c r="C20" s="38">
        <v>10340003.109999998</v>
      </c>
      <c r="D20" s="38">
        <v>152575.88</v>
      </c>
      <c r="E20" s="38">
        <v>0</v>
      </c>
      <c r="F20" s="38">
        <v>480000</v>
      </c>
      <c r="G20" s="38">
        <f t="shared" ref="G20:G31" si="4">SUM(C20:F20)</f>
        <v>10972578.989999998</v>
      </c>
      <c r="H20" s="107">
        <v>4</v>
      </c>
      <c r="I20" s="38">
        <v>9180557.6599999983</v>
      </c>
      <c r="J20" s="38">
        <v>136577.68</v>
      </c>
      <c r="K20" s="38">
        <v>0</v>
      </c>
      <c r="L20" s="38">
        <f>SUM(I20:K20)</f>
        <v>9317135.339999998</v>
      </c>
      <c r="M20" s="107">
        <v>4</v>
      </c>
      <c r="N20" s="38">
        <v>9227559.0400000028</v>
      </c>
      <c r="O20" s="38">
        <v>41761.800000000003</v>
      </c>
      <c r="P20" s="38">
        <f t="shared" ref="P20:P31" si="5">SUM(N20:O20)</f>
        <v>9269320.8400000036</v>
      </c>
      <c r="Q20" s="107">
        <v>4</v>
      </c>
      <c r="R20" s="38">
        <v>9327896.1700000018</v>
      </c>
      <c r="S20" s="38">
        <v>407977.32</v>
      </c>
      <c r="T20" s="38">
        <v>0</v>
      </c>
      <c r="U20" s="38">
        <f>SUM(R20:T20)</f>
        <v>9735873.4900000021</v>
      </c>
      <c r="V20" s="107">
        <v>1</v>
      </c>
      <c r="W20" s="38">
        <v>10157961.770000003</v>
      </c>
      <c r="X20" s="38">
        <v>249125.92</v>
      </c>
      <c r="Y20" s="38">
        <v>0</v>
      </c>
      <c r="Z20" s="38">
        <f>SUM(W20:Y20)</f>
        <v>10407087.690000003</v>
      </c>
      <c r="AA20" s="107">
        <v>1</v>
      </c>
      <c r="AB20" s="38">
        <v>10011204.360000001</v>
      </c>
      <c r="AC20" s="38">
        <v>1929059.65</v>
      </c>
      <c r="AD20" s="38">
        <v>5981173.3899999997</v>
      </c>
      <c r="AE20" s="38">
        <v>200000</v>
      </c>
      <c r="AF20" s="38">
        <f>SUM(AB20:AE20)</f>
        <v>18121437.400000002</v>
      </c>
      <c r="AG20" s="107">
        <v>1</v>
      </c>
      <c r="AH20" s="38">
        <v>10393709.340000002</v>
      </c>
      <c r="AI20" s="38">
        <v>727257.29</v>
      </c>
      <c r="AJ20" s="38">
        <v>0</v>
      </c>
      <c r="AK20" s="38">
        <v>200000</v>
      </c>
      <c r="AL20" s="38">
        <f>SUM(AH20:AK20)</f>
        <v>11320966.630000003</v>
      </c>
      <c r="AM20" s="107">
        <v>4</v>
      </c>
      <c r="AN20" s="38">
        <v>11323165.630000001</v>
      </c>
      <c r="AO20" s="38">
        <v>1292923.8399999999</v>
      </c>
      <c r="AP20" s="38">
        <v>97978</v>
      </c>
      <c r="AQ20" s="38">
        <v>160000</v>
      </c>
      <c r="AR20" s="38">
        <f>SUM(AN20:AQ20)</f>
        <v>12874067.470000001</v>
      </c>
      <c r="AS20" s="107">
        <v>4</v>
      </c>
      <c r="AT20" s="38">
        <v>12219548.970000001</v>
      </c>
      <c r="AU20" s="38">
        <v>342752.77</v>
      </c>
      <c r="AV20" s="38">
        <v>0</v>
      </c>
      <c r="AW20" s="38">
        <f>SUM(AT20:AV20)</f>
        <v>12562301.74</v>
      </c>
      <c r="AX20" s="107">
        <v>4</v>
      </c>
      <c r="AY20" s="38">
        <v>22841699.490000002</v>
      </c>
      <c r="AZ20" s="38">
        <v>66200.83</v>
      </c>
      <c r="BA20" s="38">
        <v>0</v>
      </c>
      <c r="BB20" s="38">
        <f>SUM(AY20:BA20)</f>
        <v>22907900.32</v>
      </c>
      <c r="BC20" s="107">
        <v>4</v>
      </c>
      <c r="BD20" s="38">
        <v>15259856.25</v>
      </c>
      <c r="BE20" s="38">
        <v>1021905.23</v>
      </c>
      <c r="BF20" s="38">
        <v>200000</v>
      </c>
      <c r="BG20" s="38">
        <v>0</v>
      </c>
      <c r="BH20" s="38">
        <f>SUM(BD20:BG20)</f>
        <v>16481761.48</v>
      </c>
      <c r="BI20" s="107">
        <v>4</v>
      </c>
      <c r="BJ20" s="38">
        <v>7529802.4699999997</v>
      </c>
      <c r="BK20" s="38">
        <v>736831.16</v>
      </c>
      <c r="BL20" s="38"/>
      <c r="BM20" s="38">
        <v>4565383.62</v>
      </c>
      <c r="BN20" s="38">
        <f>SUM(BJ20:BM20)</f>
        <v>12832017.25</v>
      </c>
    </row>
    <row r="21" spans="1:66" ht="15" x14ac:dyDescent="0.25">
      <c r="A21" s="33" t="s">
        <v>9</v>
      </c>
      <c r="B21" s="107">
        <v>17</v>
      </c>
      <c r="C21" s="38">
        <v>37985375.870000005</v>
      </c>
      <c r="D21" s="38">
        <v>4551367.68</v>
      </c>
      <c r="E21" s="38">
        <v>0</v>
      </c>
      <c r="F21" s="38">
        <v>2040000</v>
      </c>
      <c r="G21" s="38">
        <f t="shared" si="4"/>
        <v>44576743.550000004</v>
      </c>
      <c r="H21" s="107">
        <v>17</v>
      </c>
      <c r="I21" s="38">
        <v>31694930.439999986</v>
      </c>
      <c r="J21" s="38">
        <v>6314626.9399999995</v>
      </c>
      <c r="K21" s="38">
        <v>0</v>
      </c>
      <c r="L21" s="38">
        <f t="shared" ref="L21:L31" si="6">SUM(I21:K21)</f>
        <v>38009557.379999988</v>
      </c>
      <c r="M21" s="107">
        <v>17</v>
      </c>
      <c r="N21" s="38">
        <v>34951621.359999992</v>
      </c>
      <c r="O21" s="38">
        <v>5704519.5800000001</v>
      </c>
      <c r="P21" s="38">
        <f t="shared" si="5"/>
        <v>40656140.93999999</v>
      </c>
      <c r="Q21" s="107">
        <v>17</v>
      </c>
      <c r="R21" s="38">
        <v>32439438.280000005</v>
      </c>
      <c r="S21" s="38">
        <v>5050539.6400000006</v>
      </c>
      <c r="T21" s="38">
        <v>0</v>
      </c>
      <c r="U21" s="38">
        <f t="shared" ref="U21:U31" si="7">SUM(R21:T21)</f>
        <v>37489977.920000002</v>
      </c>
      <c r="V21" s="107">
        <v>17</v>
      </c>
      <c r="W21" s="38">
        <v>33726704.18</v>
      </c>
      <c r="X21" s="38">
        <v>5260191.5999999996</v>
      </c>
      <c r="Y21" s="38">
        <v>0</v>
      </c>
      <c r="Z21" s="38">
        <f t="shared" ref="Z21:Z31" si="8">SUM(W21:Y21)</f>
        <v>38986895.780000001</v>
      </c>
      <c r="AA21" s="107">
        <v>16</v>
      </c>
      <c r="AB21" s="38">
        <v>43006022.399999999</v>
      </c>
      <c r="AC21" s="38">
        <v>8038528.1800000006</v>
      </c>
      <c r="AD21" s="38">
        <v>22641788.190000001</v>
      </c>
      <c r="AE21" s="38">
        <v>850000</v>
      </c>
      <c r="AF21" s="38">
        <f t="shared" ref="AF21:AF29" si="9">SUM(AB21:AE21)</f>
        <v>74536338.769999996</v>
      </c>
      <c r="AG21" s="107">
        <v>16</v>
      </c>
      <c r="AH21" s="38">
        <v>32720333.830000006</v>
      </c>
      <c r="AI21" s="38">
        <v>7596102.0899999999</v>
      </c>
      <c r="AJ21" s="38">
        <v>0</v>
      </c>
      <c r="AK21" s="38">
        <v>800000</v>
      </c>
      <c r="AL21" s="38">
        <f t="shared" ref="AL21:AL29" si="10">SUM(AH21:AK21)</f>
        <v>41116435.920000002</v>
      </c>
      <c r="AM21" s="107">
        <v>16</v>
      </c>
      <c r="AN21" s="38">
        <v>36774750.160000004</v>
      </c>
      <c r="AO21" s="38">
        <v>6806532.5600000005</v>
      </c>
      <c r="AP21" s="38">
        <v>134146</v>
      </c>
      <c r="AQ21" s="38">
        <v>0</v>
      </c>
      <c r="AR21" s="38">
        <f t="shared" ref="AR21:AR29" si="11">SUM(AN21:AQ21)</f>
        <v>43715428.720000006</v>
      </c>
      <c r="AS21" s="107">
        <v>15</v>
      </c>
      <c r="AT21" s="38">
        <v>33935833.239999995</v>
      </c>
      <c r="AU21" s="38">
        <v>7728391.9500000002</v>
      </c>
      <c r="AV21" s="38">
        <v>0</v>
      </c>
      <c r="AW21" s="38">
        <f t="shared" ref="AW21:AW31" si="12">SUM(AT21:AV21)</f>
        <v>41664225.189999998</v>
      </c>
      <c r="AX21" s="107">
        <v>15</v>
      </c>
      <c r="AY21" s="38">
        <v>63472163.229999997</v>
      </c>
      <c r="AZ21" s="38">
        <v>5906967.7800000003</v>
      </c>
      <c r="BA21" s="38">
        <v>0</v>
      </c>
      <c r="BB21" s="38">
        <f t="shared" ref="BB21:BB31" si="13">SUM(AY21:BA21)</f>
        <v>69379131.00999999</v>
      </c>
      <c r="BC21" s="107">
        <v>15</v>
      </c>
      <c r="BD21" s="38">
        <v>35846989.689999998</v>
      </c>
      <c r="BE21" s="38">
        <v>7547274.1799999997</v>
      </c>
      <c r="BF21" s="38">
        <v>750000</v>
      </c>
      <c r="BG21" s="38">
        <v>0</v>
      </c>
      <c r="BH21" s="38">
        <f t="shared" ref="BH21:BH31" si="14">SUM(BD21:BG21)</f>
        <v>44144263.869999997</v>
      </c>
      <c r="BI21" s="107">
        <v>15</v>
      </c>
      <c r="BJ21" s="38">
        <v>39201585.329999998</v>
      </c>
      <c r="BK21" s="38">
        <v>6668373.7199999997</v>
      </c>
      <c r="BL21" s="38"/>
      <c r="BM21" s="38">
        <v>23267399.789999999</v>
      </c>
      <c r="BN21" s="38">
        <f t="shared" ref="BN21:BN31" si="15">SUM(BJ21:BM21)</f>
        <v>69137358.840000004</v>
      </c>
    </row>
    <row r="22" spans="1:66" ht="15" x14ac:dyDescent="0.25">
      <c r="A22" s="33" t="s">
        <v>10</v>
      </c>
      <c r="B22" s="107">
        <v>22</v>
      </c>
      <c r="C22" s="38">
        <v>44514321.81000001</v>
      </c>
      <c r="D22" s="38">
        <v>3604213.6099999994</v>
      </c>
      <c r="E22" s="38">
        <v>0</v>
      </c>
      <c r="F22" s="38">
        <v>2520000</v>
      </c>
      <c r="G22" s="38">
        <f t="shared" si="4"/>
        <v>50638535.420000009</v>
      </c>
      <c r="H22" s="107">
        <v>22</v>
      </c>
      <c r="I22" s="38">
        <v>37170538.019999996</v>
      </c>
      <c r="J22" s="38">
        <v>3722864.47</v>
      </c>
      <c r="K22" s="38">
        <v>0</v>
      </c>
      <c r="L22" s="38">
        <f t="shared" si="6"/>
        <v>40893402.489999995</v>
      </c>
      <c r="M22" s="107">
        <v>22</v>
      </c>
      <c r="N22" s="38">
        <v>39917295.109999992</v>
      </c>
      <c r="O22" s="38">
        <v>3661944.57</v>
      </c>
      <c r="P22" s="38">
        <f t="shared" si="5"/>
        <v>43579239.679999992</v>
      </c>
      <c r="Q22" s="107">
        <v>22</v>
      </c>
      <c r="R22" s="38">
        <v>50745629.279999986</v>
      </c>
      <c r="S22" s="38">
        <v>3046905.25</v>
      </c>
      <c r="T22" s="38">
        <v>2286653.3200000003</v>
      </c>
      <c r="U22" s="38">
        <f t="shared" si="7"/>
        <v>56079187.849999987</v>
      </c>
      <c r="V22" s="107">
        <v>21</v>
      </c>
      <c r="W22" s="38">
        <v>38441042.399999999</v>
      </c>
      <c r="X22" s="38">
        <v>4633261.67</v>
      </c>
      <c r="Y22" s="38">
        <v>0</v>
      </c>
      <c r="Z22" s="38">
        <f t="shared" si="8"/>
        <v>43074304.07</v>
      </c>
      <c r="AA22" s="107">
        <v>21</v>
      </c>
      <c r="AB22" s="38">
        <v>39338819.740000002</v>
      </c>
      <c r="AC22" s="38">
        <v>18797853.330000002</v>
      </c>
      <c r="AD22" s="38">
        <v>29173834.789999999</v>
      </c>
      <c r="AE22" s="38">
        <v>1050000</v>
      </c>
      <c r="AF22" s="38">
        <f t="shared" si="9"/>
        <v>88360507.860000014</v>
      </c>
      <c r="AG22" s="107">
        <v>21</v>
      </c>
      <c r="AH22" s="38">
        <v>43323574.260000005</v>
      </c>
      <c r="AI22" s="38">
        <v>12899071.640000001</v>
      </c>
      <c r="AJ22" s="38">
        <v>0</v>
      </c>
      <c r="AK22" s="38">
        <v>1050000</v>
      </c>
      <c r="AL22" s="38">
        <f t="shared" si="10"/>
        <v>57272645.900000006</v>
      </c>
      <c r="AM22" s="107">
        <v>21</v>
      </c>
      <c r="AN22" s="38">
        <v>48563968.93</v>
      </c>
      <c r="AO22" s="38">
        <v>9633350.6899999995</v>
      </c>
      <c r="AP22" s="38">
        <v>532671</v>
      </c>
      <c r="AQ22" s="38">
        <v>160000</v>
      </c>
      <c r="AR22" s="38">
        <f t="shared" si="11"/>
        <v>58889990.619999997</v>
      </c>
      <c r="AS22" s="107">
        <v>21</v>
      </c>
      <c r="AT22" s="38">
        <v>55657156.61999999</v>
      </c>
      <c r="AU22" s="38">
        <v>4309084.8600000003</v>
      </c>
      <c r="AV22" s="38">
        <v>979584.09000000008</v>
      </c>
      <c r="AW22" s="38">
        <f t="shared" si="12"/>
        <v>60945825.569999993</v>
      </c>
      <c r="AX22" s="107">
        <v>21</v>
      </c>
      <c r="AY22" s="38">
        <v>79642490.100000009</v>
      </c>
      <c r="AZ22" s="38">
        <v>4186212.98</v>
      </c>
      <c r="BA22" s="38">
        <v>0</v>
      </c>
      <c r="BB22" s="38">
        <f t="shared" si="13"/>
        <v>83828703.080000013</v>
      </c>
      <c r="BC22" s="107">
        <v>21</v>
      </c>
      <c r="BD22" s="38">
        <v>51924384.95000001</v>
      </c>
      <c r="BE22" s="38">
        <v>14034112.34</v>
      </c>
      <c r="BF22" s="38">
        <v>1050000</v>
      </c>
      <c r="BG22" s="38">
        <v>0</v>
      </c>
      <c r="BH22" s="38">
        <f t="shared" si="14"/>
        <v>67008497.290000007</v>
      </c>
      <c r="BI22" s="107">
        <v>21</v>
      </c>
      <c r="BJ22" s="38">
        <v>53835098.659999996</v>
      </c>
      <c r="BK22" s="38">
        <v>3750318.15</v>
      </c>
      <c r="BL22" s="38"/>
      <c r="BM22" s="38">
        <v>31759216.829999998</v>
      </c>
      <c r="BN22" s="38">
        <f t="shared" si="15"/>
        <v>89344633.639999986</v>
      </c>
    </row>
    <row r="23" spans="1:66" ht="15" x14ac:dyDescent="0.25">
      <c r="A23" s="33" t="s">
        <v>120</v>
      </c>
      <c r="B23" s="107">
        <v>42</v>
      </c>
      <c r="C23" s="38">
        <v>93312658.839999989</v>
      </c>
      <c r="D23" s="38">
        <v>4705951.9400000004</v>
      </c>
      <c r="E23" s="38">
        <v>1148732.6400000001</v>
      </c>
      <c r="F23" s="38">
        <v>5040000</v>
      </c>
      <c r="G23" s="38">
        <f t="shared" si="4"/>
        <v>104207343.41999999</v>
      </c>
      <c r="H23" s="107">
        <v>42</v>
      </c>
      <c r="I23" s="38">
        <v>68234574.87000002</v>
      </c>
      <c r="J23" s="38">
        <v>11848862.23</v>
      </c>
      <c r="K23" s="38">
        <v>0</v>
      </c>
      <c r="L23" s="38">
        <f t="shared" si="6"/>
        <v>80083437.100000024</v>
      </c>
      <c r="M23" s="107">
        <v>42</v>
      </c>
      <c r="N23" s="38">
        <v>68584272.38000001</v>
      </c>
      <c r="O23" s="38">
        <v>2440396.9899999998</v>
      </c>
      <c r="P23" s="38">
        <f t="shared" si="5"/>
        <v>71024669.370000005</v>
      </c>
      <c r="Q23" s="107">
        <v>42</v>
      </c>
      <c r="R23" s="38">
        <v>96540122.340000004</v>
      </c>
      <c r="S23" s="38">
        <v>7544269.8899999997</v>
      </c>
      <c r="T23" s="38">
        <v>2132125.7999999998</v>
      </c>
      <c r="U23" s="38">
        <f t="shared" si="7"/>
        <v>106216518.03</v>
      </c>
      <c r="V23" s="107">
        <v>37</v>
      </c>
      <c r="W23" s="38">
        <v>68024641.540000007</v>
      </c>
      <c r="X23" s="38">
        <v>4585109.88</v>
      </c>
      <c r="Y23" s="38">
        <v>0</v>
      </c>
      <c r="Z23" s="38">
        <f t="shared" si="8"/>
        <v>72609751.420000002</v>
      </c>
      <c r="AA23" s="107">
        <v>35</v>
      </c>
      <c r="AB23" s="38">
        <v>74671167.400000006</v>
      </c>
      <c r="AC23" s="38">
        <v>26500344.080000002</v>
      </c>
      <c r="AD23" s="38">
        <v>46184811.240000002</v>
      </c>
      <c r="AE23" s="38">
        <v>1800000</v>
      </c>
      <c r="AF23" s="38">
        <f t="shared" si="9"/>
        <v>149156322.72</v>
      </c>
      <c r="AG23" s="107">
        <v>34</v>
      </c>
      <c r="AH23" s="38">
        <v>138017756.29999998</v>
      </c>
      <c r="AI23" s="38">
        <v>31540032.699999999</v>
      </c>
      <c r="AJ23" s="38">
        <v>855833.48</v>
      </c>
      <c r="AK23" s="38">
        <v>1750000</v>
      </c>
      <c r="AL23" s="38">
        <f t="shared" si="10"/>
        <v>172163622.47999996</v>
      </c>
      <c r="AM23" s="107">
        <v>34</v>
      </c>
      <c r="AN23" s="38">
        <v>101430788.3</v>
      </c>
      <c r="AO23" s="38">
        <v>19019811.359999999</v>
      </c>
      <c r="AP23" s="38">
        <v>1451661.86</v>
      </c>
      <c r="AQ23" s="38">
        <v>0</v>
      </c>
      <c r="AR23" s="38">
        <f t="shared" si="11"/>
        <v>121902261.52</v>
      </c>
      <c r="AS23" s="107">
        <v>33</v>
      </c>
      <c r="AT23" s="38">
        <v>69496120.929999977</v>
      </c>
      <c r="AU23" s="38">
        <v>5456388.7699999996</v>
      </c>
      <c r="AV23" s="38">
        <v>0</v>
      </c>
      <c r="AW23" s="38">
        <f t="shared" si="12"/>
        <v>74952509.699999973</v>
      </c>
      <c r="AX23" s="107">
        <v>33</v>
      </c>
      <c r="AY23" s="38">
        <v>117967333.57000002</v>
      </c>
      <c r="AZ23" s="38">
        <v>3445846.37</v>
      </c>
      <c r="BA23" s="38">
        <v>0</v>
      </c>
      <c r="BB23" s="38">
        <f t="shared" si="13"/>
        <v>121413179.94000003</v>
      </c>
      <c r="BC23" s="107">
        <v>33</v>
      </c>
      <c r="BD23" s="38">
        <v>71337697.919999972</v>
      </c>
      <c r="BE23" s="38">
        <v>9274172.2400000002</v>
      </c>
      <c r="BF23" s="38">
        <v>1650000</v>
      </c>
      <c r="BG23" s="38">
        <v>0</v>
      </c>
      <c r="BH23" s="38">
        <f t="shared" si="14"/>
        <v>82261870.159999967</v>
      </c>
      <c r="BI23" s="107">
        <v>33</v>
      </c>
      <c r="BJ23" s="38">
        <v>76752677.560000002</v>
      </c>
      <c r="BK23" s="38">
        <v>5528805.5700000003</v>
      </c>
      <c r="BL23" s="38"/>
      <c r="BM23" s="38">
        <v>47761425.82</v>
      </c>
      <c r="BN23" s="38">
        <f t="shared" si="15"/>
        <v>130042908.94999999</v>
      </c>
    </row>
    <row r="24" spans="1:66" ht="15" x14ac:dyDescent="0.25">
      <c r="A24" s="33" t="s">
        <v>11</v>
      </c>
      <c r="B24" s="107">
        <v>49</v>
      </c>
      <c r="C24" s="38">
        <v>99918327.290000007</v>
      </c>
      <c r="D24" s="38">
        <v>7327955.6200000001</v>
      </c>
      <c r="E24" s="38">
        <v>0</v>
      </c>
      <c r="F24" s="38">
        <v>5640000</v>
      </c>
      <c r="G24" s="38">
        <f t="shared" si="4"/>
        <v>112886282.91000001</v>
      </c>
      <c r="H24" s="107">
        <v>49</v>
      </c>
      <c r="I24" s="38">
        <v>84639650.459999979</v>
      </c>
      <c r="J24" s="38">
        <v>10295297.859999999</v>
      </c>
      <c r="K24" s="38">
        <v>0</v>
      </c>
      <c r="L24" s="38">
        <f t="shared" si="6"/>
        <v>94934948.319999978</v>
      </c>
      <c r="M24" s="107">
        <v>49</v>
      </c>
      <c r="N24" s="38">
        <v>89276012.359999999</v>
      </c>
      <c r="O24" s="38">
        <v>9695926.1699999999</v>
      </c>
      <c r="P24" s="38">
        <f t="shared" si="5"/>
        <v>98971938.530000001</v>
      </c>
      <c r="Q24" s="107">
        <v>49</v>
      </c>
      <c r="R24" s="38">
        <v>110493664.02999999</v>
      </c>
      <c r="S24" s="38">
        <v>14846515.710000001</v>
      </c>
      <c r="T24" s="38">
        <v>797889.64999999991</v>
      </c>
      <c r="U24" s="38">
        <f t="shared" si="7"/>
        <v>126138069.38999999</v>
      </c>
      <c r="V24" s="107">
        <v>49</v>
      </c>
      <c r="W24" s="38">
        <v>91858389.480000004</v>
      </c>
      <c r="X24" s="38">
        <v>14869226.690000001</v>
      </c>
      <c r="Y24" s="38">
        <v>1131353.9300000002</v>
      </c>
      <c r="Z24" s="38">
        <f t="shared" si="8"/>
        <v>107858970.10000001</v>
      </c>
      <c r="AA24" s="107">
        <v>48</v>
      </c>
      <c r="AB24" s="38">
        <v>87875962.709999993</v>
      </c>
      <c r="AC24" s="38">
        <v>39491357.469999999</v>
      </c>
      <c r="AD24" s="38">
        <v>64614020.460000001</v>
      </c>
      <c r="AE24" s="38">
        <v>2400000</v>
      </c>
      <c r="AF24" s="38">
        <f t="shared" si="9"/>
        <v>194381340.63999999</v>
      </c>
      <c r="AG24" s="107">
        <v>46</v>
      </c>
      <c r="AH24" s="38">
        <v>89122098.609999999</v>
      </c>
      <c r="AI24" s="38">
        <v>34537767.600000001</v>
      </c>
      <c r="AJ24" s="38">
        <v>267308.95</v>
      </c>
      <c r="AK24" s="38">
        <v>2300000</v>
      </c>
      <c r="AL24" s="38">
        <f t="shared" si="10"/>
        <v>126227175.16000001</v>
      </c>
      <c r="AM24" s="107">
        <v>46</v>
      </c>
      <c r="AN24" s="38">
        <v>99278423.590000004</v>
      </c>
      <c r="AO24" s="38">
        <v>24427421.02</v>
      </c>
      <c r="AP24" s="38">
        <v>1096368</v>
      </c>
      <c r="AQ24" s="38">
        <v>0</v>
      </c>
      <c r="AR24" s="38">
        <f t="shared" si="11"/>
        <v>124802212.61</v>
      </c>
      <c r="AS24" s="107">
        <v>45</v>
      </c>
      <c r="AT24" s="38">
        <v>96304717.390000015</v>
      </c>
      <c r="AU24" s="38">
        <v>10401805.890000001</v>
      </c>
      <c r="AV24" s="38">
        <v>0</v>
      </c>
      <c r="AW24" s="38">
        <f t="shared" si="12"/>
        <v>106706523.28000002</v>
      </c>
      <c r="AX24" s="107">
        <v>45</v>
      </c>
      <c r="AY24" s="38">
        <v>176113792.11000001</v>
      </c>
      <c r="AZ24" s="38">
        <v>4559582.54</v>
      </c>
      <c r="BA24" s="38">
        <v>681916.62000000011</v>
      </c>
      <c r="BB24" s="38">
        <f t="shared" si="13"/>
        <v>181355291.27000001</v>
      </c>
      <c r="BC24" s="107">
        <v>45</v>
      </c>
      <c r="BD24" s="38">
        <v>98617882.699999958</v>
      </c>
      <c r="BE24" s="38">
        <v>35694353.960000001</v>
      </c>
      <c r="BF24" s="38">
        <v>2200000</v>
      </c>
      <c r="BG24" s="38">
        <v>0</v>
      </c>
      <c r="BH24" s="38">
        <f t="shared" si="14"/>
        <v>136512236.65999997</v>
      </c>
      <c r="BI24" s="107">
        <v>46</v>
      </c>
      <c r="BJ24" s="38">
        <v>109368688.84</v>
      </c>
      <c r="BK24" s="38">
        <v>12565468.92</v>
      </c>
      <c r="BL24" s="38"/>
      <c r="BM24" s="38">
        <v>69746475.069999993</v>
      </c>
      <c r="BN24" s="38">
        <f t="shared" si="15"/>
        <v>191680632.82999998</v>
      </c>
    </row>
    <row r="25" spans="1:66" ht="15" x14ac:dyDescent="0.25">
      <c r="A25" s="33" t="s">
        <v>47</v>
      </c>
      <c r="B25" s="107">
        <v>23</v>
      </c>
      <c r="C25" s="38">
        <v>42411054.899999999</v>
      </c>
      <c r="D25" s="38">
        <v>2955750.22</v>
      </c>
      <c r="E25" s="38">
        <v>0</v>
      </c>
      <c r="F25" s="38">
        <v>2760000</v>
      </c>
      <c r="G25" s="38">
        <f t="shared" si="4"/>
        <v>48126805.119999997</v>
      </c>
      <c r="H25" s="107">
        <v>23</v>
      </c>
      <c r="I25" s="38">
        <v>37178236.75</v>
      </c>
      <c r="J25" s="38">
        <v>1313896.4099999999</v>
      </c>
      <c r="K25" s="38">
        <v>0</v>
      </c>
      <c r="L25" s="38">
        <f t="shared" si="6"/>
        <v>38492133.159999996</v>
      </c>
      <c r="M25" s="107">
        <v>23</v>
      </c>
      <c r="N25" s="38">
        <v>37919989.839999996</v>
      </c>
      <c r="O25" s="38">
        <v>697604.77</v>
      </c>
      <c r="P25" s="38">
        <f t="shared" si="5"/>
        <v>38617594.609999999</v>
      </c>
      <c r="Q25" s="107">
        <v>23</v>
      </c>
      <c r="R25" s="38">
        <v>99488124.190000013</v>
      </c>
      <c r="S25" s="38">
        <v>2120355.71</v>
      </c>
      <c r="T25" s="38">
        <v>2279612.7800000003</v>
      </c>
      <c r="U25" s="38">
        <f t="shared" si="7"/>
        <v>103888092.68000001</v>
      </c>
      <c r="V25" s="107">
        <v>21</v>
      </c>
      <c r="W25" s="38">
        <v>37547268.020000003</v>
      </c>
      <c r="X25" s="38">
        <v>3206265.7199999997</v>
      </c>
      <c r="Y25" s="38">
        <v>0</v>
      </c>
      <c r="Z25" s="38">
        <f t="shared" si="8"/>
        <v>40753533.740000002</v>
      </c>
      <c r="AA25" s="107">
        <v>21</v>
      </c>
      <c r="AB25" s="38">
        <v>37649003.410000011</v>
      </c>
      <c r="AC25" s="38">
        <v>23839126.420000002</v>
      </c>
      <c r="AD25" s="38">
        <v>30728711.260000002</v>
      </c>
      <c r="AE25" s="38">
        <v>1050000</v>
      </c>
      <c r="AF25" s="38">
        <f t="shared" si="9"/>
        <v>93266841.090000018</v>
      </c>
      <c r="AG25" s="107">
        <v>21</v>
      </c>
      <c r="AH25" s="38">
        <v>45495131.43</v>
      </c>
      <c r="AI25" s="38">
        <v>65926.080000000002</v>
      </c>
      <c r="AJ25" s="38">
        <v>0</v>
      </c>
      <c r="AK25" s="38">
        <v>1050000</v>
      </c>
      <c r="AL25" s="38">
        <f t="shared" si="10"/>
        <v>46611057.509999998</v>
      </c>
      <c r="AM25" s="107">
        <v>22</v>
      </c>
      <c r="AN25" s="38">
        <v>48855420.699999996</v>
      </c>
      <c r="AO25" s="38">
        <v>14623489.870000001</v>
      </c>
      <c r="AP25" s="38">
        <v>683285</v>
      </c>
      <c r="AQ25" s="38">
        <v>160000</v>
      </c>
      <c r="AR25" s="38">
        <f t="shared" si="11"/>
        <v>64322195.569999993</v>
      </c>
      <c r="AS25" s="107">
        <v>22</v>
      </c>
      <c r="AT25" s="38">
        <v>48358853.369999997</v>
      </c>
      <c r="AU25" s="38">
        <v>3017834.44</v>
      </c>
      <c r="AV25" s="38">
        <v>0</v>
      </c>
      <c r="AW25" s="38">
        <f t="shared" si="12"/>
        <v>51376687.809999995</v>
      </c>
      <c r="AX25" s="107">
        <v>22</v>
      </c>
      <c r="AY25" s="38">
        <v>87631744.579999998</v>
      </c>
      <c r="AZ25" s="38">
        <v>885859.20000000007</v>
      </c>
      <c r="BA25" s="38">
        <v>0</v>
      </c>
      <c r="BB25" s="38">
        <f t="shared" si="13"/>
        <v>88517603.780000001</v>
      </c>
      <c r="BC25" s="107">
        <v>22</v>
      </c>
      <c r="BD25" s="38">
        <v>51913942.230000004</v>
      </c>
      <c r="BE25" s="38">
        <v>11629761.530000001</v>
      </c>
      <c r="BF25" s="38">
        <v>1100000</v>
      </c>
      <c r="BG25" s="38">
        <v>0</v>
      </c>
      <c r="BH25" s="38">
        <f t="shared" si="14"/>
        <v>64643703.760000005</v>
      </c>
      <c r="BI25" s="107">
        <v>22</v>
      </c>
      <c r="BJ25" s="38">
        <v>55114021.399999999</v>
      </c>
      <c r="BK25" s="38">
        <v>7267896.4400000004</v>
      </c>
      <c r="BL25" s="38"/>
      <c r="BM25" s="38">
        <v>33747179.950000003</v>
      </c>
      <c r="BN25" s="38">
        <f t="shared" si="15"/>
        <v>96129097.789999992</v>
      </c>
    </row>
    <row r="26" spans="1:66" ht="15" x14ac:dyDescent="0.25">
      <c r="A26" s="54" t="s">
        <v>12</v>
      </c>
      <c r="B26" s="107">
        <v>18</v>
      </c>
      <c r="C26" s="38">
        <v>37442260.319999993</v>
      </c>
      <c r="D26" s="38">
        <v>3717759.3899999997</v>
      </c>
      <c r="E26" s="38">
        <v>0</v>
      </c>
      <c r="F26" s="38">
        <v>2160000</v>
      </c>
      <c r="G26" s="38">
        <f t="shared" si="4"/>
        <v>43320019.709999993</v>
      </c>
      <c r="H26" s="107">
        <v>18</v>
      </c>
      <c r="I26" s="38">
        <v>32583702.090000007</v>
      </c>
      <c r="J26" s="38">
        <v>4264239.8800000008</v>
      </c>
      <c r="K26" s="38">
        <v>0</v>
      </c>
      <c r="L26" s="38">
        <f t="shared" si="6"/>
        <v>36847941.970000006</v>
      </c>
      <c r="M26" s="107">
        <v>18</v>
      </c>
      <c r="N26" s="38">
        <v>35530263.879999988</v>
      </c>
      <c r="O26" s="38">
        <v>1176978.4099999999</v>
      </c>
      <c r="P26" s="38">
        <f t="shared" si="5"/>
        <v>36707242.289999984</v>
      </c>
      <c r="Q26" s="107">
        <v>18</v>
      </c>
      <c r="R26" s="38">
        <v>63558959.359999999</v>
      </c>
      <c r="S26" s="38">
        <v>2264551.66</v>
      </c>
      <c r="T26" s="38">
        <v>1073317.4700000002</v>
      </c>
      <c r="U26" s="38">
        <f t="shared" si="7"/>
        <v>66896828.489999995</v>
      </c>
      <c r="V26" s="107">
        <v>17</v>
      </c>
      <c r="W26" s="38">
        <v>33207811.129999999</v>
      </c>
      <c r="X26" s="38">
        <v>2151882.08</v>
      </c>
      <c r="Y26" s="38">
        <v>0</v>
      </c>
      <c r="Z26" s="38">
        <f t="shared" si="8"/>
        <v>35359693.210000001</v>
      </c>
      <c r="AA26" s="107">
        <v>17</v>
      </c>
      <c r="AB26" s="38">
        <v>31862220.030000001</v>
      </c>
      <c r="AC26" s="38">
        <v>8140353.6799999997</v>
      </c>
      <c r="AD26" s="38">
        <v>22047374.039999999</v>
      </c>
      <c r="AE26" s="38">
        <v>850000</v>
      </c>
      <c r="AF26" s="38">
        <f t="shared" si="9"/>
        <v>62899947.75</v>
      </c>
      <c r="AG26" s="107">
        <v>16</v>
      </c>
      <c r="AH26" s="38">
        <v>33725125.230000012</v>
      </c>
      <c r="AI26" s="38">
        <v>8016476.0499999998</v>
      </c>
      <c r="AJ26" s="38">
        <v>0</v>
      </c>
      <c r="AK26" s="38">
        <v>800000</v>
      </c>
      <c r="AL26" s="38">
        <f t="shared" si="10"/>
        <v>42541601.280000009</v>
      </c>
      <c r="AM26" s="107">
        <v>16</v>
      </c>
      <c r="AN26" s="38">
        <v>36693759.569999993</v>
      </c>
      <c r="AO26" s="38">
        <v>5594634.6200000001</v>
      </c>
      <c r="AP26" s="38">
        <v>256607</v>
      </c>
      <c r="AQ26" s="38">
        <v>160000</v>
      </c>
      <c r="AR26" s="38">
        <f t="shared" si="11"/>
        <v>42705001.18999999</v>
      </c>
      <c r="AS26" s="107">
        <v>16</v>
      </c>
      <c r="AT26" s="38">
        <v>35585428.849999994</v>
      </c>
      <c r="AU26" s="38">
        <v>2111238.21</v>
      </c>
      <c r="AV26" s="38">
        <v>0</v>
      </c>
      <c r="AW26" s="38">
        <f t="shared" si="12"/>
        <v>37696667.059999995</v>
      </c>
      <c r="AX26" s="107">
        <v>16</v>
      </c>
      <c r="AY26" s="38">
        <v>69166059.060000017</v>
      </c>
      <c r="AZ26" s="38">
        <v>1238006.04</v>
      </c>
      <c r="BA26" s="38">
        <v>0</v>
      </c>
      <c r="BB26" s="38">
        <f t="shared" si="13"/>
        <v>70404065.100000024</v>
      </c>
      <c r="BC26" s="107">
        <v>16</v>
      </c>
      <c r="BD26" s="38">
        <v>38357648.629999995</v>
      </c>
      <c r="BE26" s="38">
        <v>6864695.2999999998</v>
      </c>
      <c r="BF26" s="38">
        <v>800000</v>
      </c>
      <c r="BG26" s="38">
        <v>0</v>
      </c>
      <c r="BH26" s="38">
        <f t="shared" si="14"/>
        <v>46022343.929999992</v>
      </c>
      <c r="BI26" s="107">
        <v>16</v>
      </c>
      <c r="BJ26" s="38">
        <v>38179672.25</v>
      </c>
      <c r="BK26" s="38">
        <v>3091423.25</v>
      </c>
      <c r="BL26" s="38"/>
      <c r="BM26" s="38">
        <v>23096570.949999999</v>
      </c>
      <c r="BN26" s="38">
        <f t="shared" si="15"/>
        <v>64367666.450000003</v>
      </c>
    </row>
    <row r="27" spans="1:66" ht="15" x14ac:dyDescent="0.25">
      <c r="A27" s="54" t="s">
        <v>13</v>
      </c>
      <c r="B27" s="107">
        <v>34</v>
      </c>
      <c r="C27" s="38">
        <v>64845080.220000014</v>
      </c>
      <c r="D27" s="38">
        <v>8123146.1499999994</v>
      </c>
      <c r="E27" s="38">
        <v>0</v>
      </c>
      <c r="F27" s="38">
        <v>4080000</v>
      </c>
      <c r="G27" s="38">
        <f t="shared" si="4"/>
        <v>77048226.37000002</v>
      </c>
      <c r="H27" s="107">
        <v>34</v>
      </c>
      <c r="I27" s="38">
        <v>56561448.140000008</v>
      </c>
      <c r="J27" s="38">
        <v>11791737.559999999</v>
      </c>
      <c r="K27" s="38">
        <v>0</v>
      </c>
      <c r="L27" s="38">
        <f t="shared" si="6"/>
        <v>68353185.700000003</v>
      </c>
      <c r="M27" s="107">
        <v>34</v>
      </c>
      <c r="N27" s="38">
        <v>59291445.929999992</v>
      </c>
      <c r="O27" s="38">
        <v>6118607.6500000004</v>
      </c>
      <c r="P27" s="38">
        <f t="shared" si="5"/>
        <v>65410053.579999991</v>
      </c>
      <c r="Q27" s="107">
        <v>34</v>
      </c>
      <c r="R27" s="38">
        <v>96173561.540000007</v>
      </c>
      <c r="S27" s="38">
        <v>9188167.9800000004</v>
      </c>
      <c r="T27" s="38">
        <v>1393388.74</v>
      </c>
      <c r="U27" s="38">
        <f t="shared" si="7"/>
        <v>106755118.26000001</v>
      </c>
      <c r="V27" s="107">
        <v>32</v>
      </c>
      <c r="W27" s="38">
        <v>57990805.239999995</v>
      </c>
      <c r="X27" s="38">
        <v>14796071.449999999</v>
      </c>
      <c r="Y27" s="38">
        <v>0</v>
      </c>
      <c r="Z27" s="38">
        <f t="shared" si="8"/>
        <v>72786876.689999998</v>
      </c>
      <c r="AA27" s="107">
        <v>31</v>
      </c>
      <c r="AB27" s="38">
        <v>61573045.879999988</v>
      </c>
      <c r="AC27" s="38">
        <v>26035813.789999999</v>
      </c>
      <c r="AD27" s="38">
        <v>41713522.200000003</v>
      </c>
      <c r="AE27" s="38">
        <v>1600000</v>
      </c>
      <c r="AF27" s="38">
        <f t="shared" si="9"/>
        <v>130922381.86999999</v>
      </c>
      <c r="AG27" s="107">
        <v>31</v>
      </c>
      <c r="AH27" s="38">
        <v>62580017.819999993</v>
      </c>
      <c r="AI27" s="38">
        <v>8597273.2199999988</v>
      </c>
      <c r="AJ27" s="38">
        <v>0</v>
      </c>
      <c r="AK27" s="38">
        <v>1550000</v>
      </c>
      <c r="AL27" s="38">
        <f t="shared" si="10"/>
        <v>72727291.039999992</v>
      </c>
      <c r="AM27" s="107">
        <v>30</v>
      </c>
      <c r="AN27" s="38">
        <v>65346590.920000009</v>
      </c>
      <c r="AO27" s="38">
        <v>25636204</v>
      </c>
      <c r="AP27" s="38">
        <v>643356</v>
      </c>
      <c r="AQ27" s="38">
        <v>160000</v>
      </c>
      <c r="AR27" s="38">
        <f t="shared" si="11"/>
        <v>91786150.920000017</v>
      </c>
      <c r="AS27" s="107">
        <v>30</v>
      </c>
      <c r="AT27" s="38">
        <v>67077423</v>
      </c>
      <c r="AU27" s="38">
        <v>1938127.77</v>
      </c>
      <c r="AV27" s="38">
        <v>0</v>
      </c>
      <c r="AW27" s="38">
        <f t="shared" si="12"/>
        <v>69015550.769999996</v>
      </c>
      <c r="AX27" s="107">
        <v>30</v>
      </c>
      <c r="AY27" s="38">
        <v>114962797.18000001</v>
      </c>
      <c r="AZ27" s="38">
        <v>4359914.57</v>
      </c>
      <c r="BA27" s="38">
        <v>0</v>
      </c>
      <c r="BB27" s="38">
        <f t="shared" si="13"/>
        <v>119322711.75</v>
      </c>
      <c r="BC27" s="107">
        <v>30</v>
      </c>
      <c r="BD27" s="38">
        <v>63324572.499999978</v>
      </c>
      <c r="BE27" s="38">
        <v>5652164.3599999994</v>
      </c>
      <c r="BF27" s="38">
        <v>1450000</v>
      </c>
      <c r="BG27" s="38">
        <v>0</v>
      </c>
      <c r="BH27" s="38">
        <f t="shared" si="14"/>
        <v>70426736.859999985</v>
      </c>
      <c r="BI27" s="107">
        <v>29</v>
      </c>
      <c r="BJ27" s="38">
        <v>65014616.57</v>
      </c>
      <c r="BK27" s="38">
        <v>1379455.71</v>
      </c>
      <c r="BL27" s="38"/>
      <c r="BM27" s="38">
        <v>44304790.159999996</v>
      </c>
      <c r="BN27" s="38">
        <f t="shared" si="15"/>
        <v>110698862.44</v>
      </c>
    </row>
    <row r="28" spans="1:66" ht="15" x14ac:dyDescent="0.25">
      <c r="A28" s="33" t="s">
        <v>14</v>
      </c>
      <c r="B28" s="107">
        <v>0</v>
      </c>
      <c r="C28" s="38"/>
      <c r="D28" s="38"/>
      <c r="E28" s="38"/>
      <c r="F28" s="38"/>
      <c r="G28" s="38">
        <f t="shared" si="4"/>
        <v>0</v>
      </c>
      <c r="H28" s="107">
        <v>0</v>
      </c>
      <c r="I28" s="38">
        <v>0</v>
      </c>
      <c r="J28" s="38">
        <v>0</v>
      </c>
      <c r="K28" s="38"/>
      <c r="L28" s="38">
        <f t="shared" si="6"/>
        <v>0</v>
      </c>
      <c r="M28" s="107">
        <v>0</v>
      </c>
      <c r="N28" s="38"/>
      <c r="O28" s="38"/>
      <c r="P28" s="38">
        <f t="shared" si="5"/>
        <v>0</v>
      </c>
      <c r="Q28" s="107">
        <v>0</v>
      </c>
      <c r="R28" s="38">
        <v>0</v>
      </c>
      <c r="S28" s="38">
        <v>0</v>
      </c>
      <c r="T28" s="38"/>
      <c r="U28" s="38">
        <f t="shared" si="7"/>
        <v>0</v>
      </c>
      <c r="V28" s="107">
        <v>0</v>
      </c>
      <c r="W28" s="38">
        <v>0</v>
      </c>
      <c r="X28" s="38">
        <v>0</v>
      </c>
      <c r="Y28" s="38"/>
      <c r="Z28" s="38">
        <f t="shared" si="8"/>
        <v>0</v>
      </c>
      <c r="AA28" s="107">
        <v>0</v>
      </c>
      <c r="AB28" s="38">
        <v>0</v>
      </c>
      <c r="AC28" s="38">
        <v>0</v>
      </c>
      <c r="AD28" s="38"/>
      <c r="AE28" s="38"/>
      <c r="AF28" s="38">
        <f t="shared" si="9"/>
        <v>0</v>
      </c>
      <c r="AG28" s="107">
        <v>0</v>
      </c>
      <c r="AH28" s="38">
        <v>0</v>
      </c>
      <c r="AI28" s="38">
        <v>0</v>
      </c>
      <c r="AJ28" s="38"/>
      <c r="AK28" s="38"/>
      <c r="AL28" s="38">
        <f t="shared" si="10"/>
        <v>0</v>
      </c>
      <c r="AM28" s="107">
        <v>0</v>
      </c>
      <c r="AN28" s="38">
        <v>0</v>
      </c>
      <c r="AO28" s="38">
        <v>0</v>
      </c>
      <c r="AP28" s="38">
        <v>0</v>
      </c>
      <c r="AQ28" s="38">
        <v>0</v>
      </c>
      <c r="AR28" s="38">
        <f t="shared" si="11"/>
        <v>0</v>
      </c>
      <c r="AS28" s="107">
        <v>0</v>
      </c>
      <c r="AT28" s="38">
        <v>0</v>
      </c>
      <c r="AU28" s="38">
        <v>0</v>
      </c>
      <c r="AV28" s="38">
        <v>0</v>
      </c>
      <c r="AW28" s="38">
        <f t="shared" si="12"/>
        <v>0</v>
      </c>
      <c r="AX28" s="107">
        <v>0</v>
      </c>
      <c r="AY28" s="38">
        <v>0</v>
      </c>
      <c r="AZ28" s="38">
        <v>0</v>
      </c>
      <c r="BA28" s="38">
        <v>0</v>
      </c>
      <c r="BB28" s="38">
        <f t="shared" si="13"/>
        <v>0</v>
      </c>
      <c r="BC28" s="107">
        <v>0</v>
      </c>
      <c r="BD28" s="38">
        <v>0</v>
      </c>
      <c r="BE28" s="38">
        <v>0</v>
      </c>
      <c r="BF28" s="38"/>
      <c r="BG28" s="38">
        <v>0</v>
      </c>
      <c r="BH28" s="38">
        <f t="shared" si="14"/>
        <v>0</v>
      </c>
      <c r="BI28" s="107">
        <v>0</v>
      </c>
      <c r="BJ28" s="38"/>
      <c r="BK28" s="38"/>
      <c r="BL28" s="38"/>
      <c r="BM28" s="38">
        <v>0</v>
      </c>
      <c r="BN28" s="38">
        <f t="shared" si="15"/>
        <v>0</v>
      </c>
    </row>
    <row r="29" spans="1:66" ht="15" x14ac:dyDescent="0.25">
      <c r="A29" s="33" t="s">
        <v>130</v>
      </c>
      <c r="B29" s="107">
        <v>8</v>
      </c>
      <c r="C29" s="38">
        <v>13968667.830000002</v>
      </c>
      <c r="D29" s="38">
        <v>895447.27</v>
      </c>
      <c r="E29" s="38">
        <v>0</v>
      </c>
      <c r="F29" s="38">
        <v>960000</v>
      </c>
      <c r="G29" s="38">
        <f t="shared" si="4"/>
        <v>15824115.100000001</v>
      </c>
      <c r="H29" s="107">
        <v>8</v>
      </c>
      <c r="I29" s="38">
        <v>12311920.630000001</v>
      </c>
      <c r="J29" s="38">
        <v>1463828.88</v>
      </c>
      <c r="K29" s="38">
        <v>0</v>
      </c>
      <c r="L29" s="38">
        <f t="shared" si="6"/>
        <v>13775749.510000002</v>
      </c>
      <c r="M29" s="107">
        <v>8</v>
      </c>
      <c r="N29" s="38">
        <v>13557284.939999999</v>
      </c>
      <c r="O29" s="38">
        <v>1329192.52</v>
      </c>
      <c r="P29" s="38">
        <f t="shared" si="5"/>
        <v>14886477.459999999</v>
      </c>
      <c r="Q29" s="107">
        <v>8</v>
      </c>
      <c r="R29" s="38">
        <v>12298655.100000001</v>
      </c>
      <c r="S29" s="38">
        <v>1104157.17</v>
      </c>
      <c r="T29" s="38">
        <v>0</v>
      </c>
      <c r="U29" s="38">
        <f t="shared" si="7"/>
        <v>13402812.270000001</v>
      </c>
      <c r="V29" s="107">
        <v>8</v>
      </c>
      <c r="W29" s="38">
        <v>13441253.679999998</v>
      </c>
      <c r="X29" s="38">
        <v>1354919.8399999999</v>
      </c>
      <c r="Y29" s="38">
        <v>0</v>
      </c>
      <c r="Z29" s="38">
        <f t="shared" si="8"/>
        <v>14796173.519999998</v>
      </c>
      <c r="AA29" s="107">
        <v>8</v>
      </c>
      <c r="AB29" s="38">
        <v>12867560.389999997</v>
      </c>
      <c r="AC29" s="38">
        <v>2419368.4500000002</v>
      </c>
      <c r="AD29" s="38">
        <v>8577600.8100000005</v>
      </c>
      <c r="AE29" s="38">
        <v>400000</v>
      </c>
      <c r="AF29" s="38">
        <f t="shared" si="9"/>
        <v>24264529.649999999</v>
      </c>
      <c r="AG29" s="107">
        <v>8</v>
      </c>
      <c r="AH29" s="38">
        <v>14231157.589999994</v>
      </c>
      <c r="AI29" s="38">
        <v>2081582.76</v>
      </c>
      <c r="AJ29" s="38">
        <v>0</v>
      </c>
      <c r="AK29" s="38">
        <v>400000</v>
      </c>
      <c r="AL29" s="38">
        <f t="shared" si="10"/>
        <v>16712740.349999994</v>
      </c>
      <c r="AM29" s="107">
        <v>8</v>
      </c>
      <c r="AN29" s="38">
        <v>15698060.729999997</v>
      </c>
      <c r="AO29" s="38">
        <v>2274009.11</v>
      </c>
      <c r="AP29" s="38">
        <v>48606</v>
      </c>
      <c r="AQ29" s="38">
        <v>0</v>
      </c>
      <c r="AR29" s="38">
        <f t="shared" si="11"/>
        <v>18020675.839999996</v>
      </c>
      <c r="AS29" s="107">
        <v>7</v>
      </c>
      <c r="AT29" s="38">
        <v>13349241.510000002</v>
      </c>
      <c r="AU29" s="38">
        <v>1561247.92</v>
      </c>
      <c r="AV29" s="38">
        <v>0</v>
      </c>
      <c r="AW29" s="38">
        <f t="shared" si="12"/>
        <v>14910489.430000002</v>
      </c>
      <c r="AX29" s="107">
        <v>7</v>
      </c>
      <c r="AY29" s="38">
        <v>25268264.27</v>
      </c>
      <c r="AZ29" s="38">
        <v>1266117.0900000001</v>
      </c>
      <c r="BA29" s="38">
        <v>0</v>
      </c>
      <c r="BB29" s="38">
        <f t="shared" si="13"/>
        <v>26534381.359999999</v>
      </c>
      <c r="BC29" s="107">
        <v>7</v>
      </c>
      <c r="BD29" s="38">
        <v>14566727.679999998</v>
      </c>
      <c r="BE29" s="38">
        <v>2445216.25</v>
      </c>
      <c r="BF29" s="38">
        <v>350000</v>
      </c>
      <c r="BG29" s="38">
        <v>0</v>
      </c>
      <c r="BH29" s="38">
        <f t="shared" si="14"/>
        <v>17361943.93</v>
      </c>
      <c r="BI29" s="107">
        <v>7</v>
      </c>
      <c r="BJ29" s="38">
        <v>14932467.59</v>
      </c>
      <c r="BK29" s="38">
        <v>1676349.6</v>
      </c>
      <c r="BL29" s="38"/>
      <c r="BM29" s="38">
        <v>8934999.5899999999</v>
      </c>
      <c r="BN29" s="38">
        <f t="shared" si="15"/>
        <v>25543816.780000001</v>
      </c>
    </row>
    <row r="30" spans="1:66" ht="15" x14ac:dyDescent="0.25">
      <c r="A30" s="33" t="s">
        <v>121</v>
      </c>
      <c r="B30" s="107">
        <v>0</v>
      </c>
      <c r="C30" s="38"/>
      <c r="D30" s="38"/>
      <c r="E30" s="38"/>
      <c r="F30" s="38"/>
      <c r="G30" s="38">
        <f t="shared" si="4"/>
        <v>0</v>
      </c>
      <c r="H30" s="107">
        <v>0</v>
      </c>
      <c r="I30" s="38"/>
      <c r="J30" s="38"/>
      <c r="K30" s="38"/>
      <c r="L30" s="38">
        <f t="shared" si="6"/>
        <v>0</v>
      </c>
      <c r="M30" s="107">
        <v>0</v>
      </c>
      <c r="N30" s="38"/>
      <c r="O30" s="38"/>
      <c r="P30" s="38">
        <f t="shared" si="5"/>
        <v>0</v>
      </c>
      <c r="Q30" s="107">
        <v>0</v>
      </c>
      <c r="R30" s="38"/>
      <c r="S30" s="38"/>
      <c r="T30" s="38"/>
      <c r="U30" s="38">
        <f t="shared" si="7"/>
        <v>0</v>
      </c>
      <c r="V30" s="107">
        <v>0</v>
      </c>
      <c r="W30" s="38"/>
      <c r="X30" s="38"/>
      <c r="Y30" s="38"/>
      <c r="Z30" s="38">
        <f t="shared" si="8"/>
        <v>0</v>
      </c>
      <c r="AA30" s="107">
        <v>0</v>
      </c>
      <c r="AB30" s="38"/>
      <c r="AC30" s="38"/>
      <c r="AD30" s="38"/>
      <c r="AE30" s="38"/>
      <c r="AF30" s="38">
        <f>SUM(AB30:AD30)</f>
        <v>0</v>
      </c>
      <c r="AG30" s="107">
        <v>0</v>
      </c>
      <c r="AH30" s="38"/>
      <c r="AI30" s="38"/>
      <c r="AJ30" s="38"/>
      <c r="AK30" s="38"/>
      <c r="AL30" s="38">
        <f>SUM(AH30:AJ30)</f>
        <v>0</v>
      </c>
      <c r="AM30" s="107">
        <v>0</v>
      </c>
      <c r="AN30" s="38"/>
      <c r="AO30" s="38"/>
      <c r="AP30" s="38"/>
      <c r="AQ30" s="38"/>
      <c r="AR30" s="38">
        <f>SUM(AN30:AP30)</f>
        <v>0</v>
      </c>
      <c r="AS30" s="107">
        <v>0</v>
      </c>
      <c r="AT30" s="38"/>
      <c r="AU30" s="38"/>
      <c r="AV30" s="38"/>
      <c r="AW30" s="38">
        <f t="shared" si="12"/>
        <v>0</v>
      </c>
      <c r="AX30" s="107">
        <v>0</v>
      </c>
      <c r="AY30" s="38"/>
      <c r="AZ30" s="38"/>
      <c r="BA30" s="38"/>
      <c r="BB30" s="38">
        <f t="shared" si="13"/>
        <v>0</v>
      </c>
      <c r="BC30" s="107">
        <v>0</v>
      </c>
      <c r="BD30" s="38"/>
      <c r="BE30" s="38"/>
      <c r="BF30" s="38"/>
      <c r="BG30" s="38"/>
      <c r="BH30" s="38">
        <f t="shared" si="14"/>
        <v>0</v>
      </c>
      <c r="BI30" s="107">
        <v>0</v>
      </c>
      <c r="BJ30" s="38"/>
      <c r="BK30" s="38"/>
      <c r="BL30" s="38"/>
      <c r="BM30" s="38"/>
      <c r="BN30" s="38">
        <f t="shared" si="15"/>
        <v>0</v>
      </c>
    </row>
    <row r="31" spans="1:66" ht="15" x14ac:dyDescent="0.25">
      <c r="A31" s="33" t="s">
        <v>53</v>
      </c>
      <c r="B31" s="107">
        <v>0</v>
      </c>
      <c r="C31" s="38"/>
      <c r="D31" s="38"/>
      <c r="E31" s="38"/>
      <c r="F31" s="38"/>
      <c r="G31" s="38">
        <f t="shared" si="4"/>
        <v>0</v>
      </c>
      <c r="H31" s="107">
        <v>0</v>
      </c>
      <c r="I31" s="38"/>
      <c r="J31" s="38"/>
      <c r="K31" s="38"/>
      <c r="L31" s="38">
        <f t="shared" si="6"/>
        <v>0</v>
      </c>
      <c r="M31" s="107">
        <v>0</v>
      </c>
      <c r="N31" s="38"/>
      <c r="O31" s="38"/>
      <c r="P31" s="38">
        <f t="shared" si="5"/>
        <v>0</v>
      </c>
      <c r="Q31" s="107">
        <v>0</v>
      </c>
      <c r="R31" s="38"/>
      <c r="S31" s="38"/>
      <c r="T31" s="38"/>
      <c r="U31" s="38">
        <f t="shared" si="7"/>
        <v>0</v>
      </c>
      <c r="V31" s="107">
        <v>0</v>
      </c>
      <c r="W31" s="38"/>
      <c r="X31" s="38"/>
      <c r="Y31" s="38"/>
      <c r="Z31" s="38">
        <f t="shared" si="8"/>
        <v>0</v>
      </c>
      <c r="AA31" s="107">
        <v>0</v>
      </c>
      <c r="AB31" s="38"/>
      <c r="AC31" s="38"/>
      <c r="AD31" s="38"/>
      <c r="AE31" s="38"/>
      <c r="AF31" s="38">
        <f>SUM(AB31:AD31)</f>
        <v>0</v>
      </c>
      <c r="AG31" s="107">
        <v>0</v>
      </c>
      <c r="AH31" s="38"/>
      <c r="AI31" s="38"/>
      <c r="AJ31" s="38"/>
      <c r="AK31" s="38"/>
      <c r="AL31" s="38">
        <f>SUM(AH31:AJ31)</f>
        <v>0</v>
      </c>
      <c r="AM31" s="107">
        <v>0</v>
      </c>
      <c r="AN31" s="38"/>
      <c r="AO31" s="38"/>
      <c r="AP31" s="38"/>
      <c r="AQ31" s="38"/>
      <c r="AR31" s="38">
        <f>SUM(AN31:AP31)</f>
        <v>0</v>
      </c>
      <c r="AS31" s="107">
        <v>0</v>
      </c>
      <c r="AT31" s="38"/>
      <c r="AU31" s="38"/>
      <c r="AV31" s="38"/>
      <c r="AW31" s="38">
        <f t="shared" si="12"/>
        <v>0</v>
      </c>
      <c r="AX31" s="107">
        <v>0</v>
      </c>
      <c r="AY31" s="38"/>
      <c r="AZ31" s="38"/>
      <c r="BA31" s="38"/>
      <c r="BB31" s="38">
        <f t="shared" si="13"/>
        <v>0</v>
      </c>
      <c r="BC31" s="107">
        <v>0</v>
      </c>
      <c r="BD31" s="38"/>
      <c r="BE31" s="38"/>
      <c r="BF31" s="38"/>
      <c r="BG31" s="38"/>
      <c r="BH31" s="38">
        <f t="shared" si="14"/>
        <v>0</v>
      </c>
      <c r="BI31" s="107">
        <v>0</v>
      </c>
      <c r="BJ31" s="38"/>
      <c r="BK31" s="38"/>
      <c r="BL31" s="38"/>
      <c r="BM31" s="38"/>
      <c r="BN31" s="38">
        <f t="shared" si="15"/>
        <v>0</v>
      </c>
    </row>
    <row r="32" spans="1:66" ht="15" x14ac:dyDescent="0.2">
      <c r="A32" s="32" t="s">
        <v>118</v>
      </c>
      <c r="B32" s="140">
        <f t="shared" ref="B32:AG32" si="16">SUM(B20:B31)</f>
        <v>217</v>
      </c>
      <c r="C32" s="36">
        <f t="shared" si="16"/>
        <v>444737750.19</v>
      </c>
      <c r="D32" s="36">
        <f t="shared" si="16"/>
        <v>36034167.760000005</v>
      </c>
      <c r="E32" s="36">
        <f t="shared" si="16"/>
        <v>1148732.6400000001</v>
      </c>
      <c r="F32" s="36">
        <f t="shared" si="16"/>
        <v>25680000</v>
      </c>
      <c r="G32" s="36">
        <f t="shared" si="16"/>
        <v>507600650.59000003</v>
      </c>
      <c r="H32" s="140">
        <f t="shared" si="16"/>
        <v>217</v>
      </c>
      <c r="I32" s="36">
        <f t="shared" si="16"/>
        <v>369555559.06</v>
      </c>
      <c r="J32" s="36">
        <f t="shared" si="16"/>
        <v>51151931.910000004</v>
      </c>
      <c r="K32" s="36">
        <f t="shared" si="16"/>
        <v>0</v>
      </c>
      <c r="L32" s="36">
        <f t="shared" si="16"/>
        <v>420707490.96999997</v>
      </c>
      <c r="M32" s="140">
        <f t="shared" si="16"/>
        <v>217</v>
      </c>
      <c r="N32" s="36">
        <f t="shared" si="16"/>
        <v>388255744.83999997</v>
      </c>
      <c r="O32" s="36">
        <f t="shared" si="16"/>
        <v>30866932.459999997</v>
      </c>
      <c r="P32" s="36">
        <f t="shared" si="16"/>
        <v>419122677.29999989</v>
      </c>
      <c r="Q32" s="140">
        <f t="shared" si="16"/>
        <v>217</v>
      </c>
      <c r="R32" s="36">
        <f t="shared" si="16"/>
        <v>571066050.28999996</v>
      </c>
      <c r="S32" s="36">
        <f t="shared" si="16"/>
        <v>45573440.330000013</v>
      </c>
      <c r="T32" s="36">
        <f t="shared" si="16"/>
        <v>9962987.7599999998</v>
      </c>
      <c r="U32" s="36">
        <f t="shared" si="16"/>
        <v>626602478.38</v>
      </c>
      <c r="V32" s="140">
        <f t="shared" si="16"/>
        <v>203</v>
      </c>
      <c r="W32" s="36">
        <f t="shared" si="16"/>
        <v>384395877.44</v>
      </c>
      <c r="X32" s="36">
        <f t="shared" si="16"/>
        <v>51106054.850000009</v>
      </c>
      <c r="Y32" s="36">
        <f t="shared" si="16"/>
        <v>1131353.9300000002</v>
      </c>
      <c r="Z32" s="36">
        <f t="shared" si="16"/>
        <v>436633286.21999997</v>
      </c>
      <c r="AA32" s="140">
        <f t="shared" si="16"/>
        <v>198</v>
      </c>
      <c r="AB32" s="36">
        <f t="shared" si="16"/>
        <v>398855006.32000005</v>
      </c>
      <c r="AC32" s="36">
        <f t="shared" si="16"/>
        <v>155191805.04999998</v>
      </c>
      <c r="AD32" s="36">
        <f t="shared" si="16"/>
        <v>271662836.38</v>
      </c>
      <c r="AE32" s="36">
        <f t="shared" si="16"/>
        <v>10200000</v>
      </c>
      <c r="AF32" s="36">
        <f t="shared" si="16"/>
        <v>835909647.75</v>
      </c>
      <c r="AG32" s="140">
        <f t="shared" si="16"/>
        <v>194</v>
      </c>
      <c r="AH32" s="36">
        <f t="shared" ref="AH32:BM32" si="17">SUM(AH20:AH31)</f>
        <v>469608904.40999997</v>
      </c>
      <c r="AI32" s="36">
        <f t="shared" si="17"/>
        <v>106061489.42999999</v>
      </c>
      <c r="AJ32" s="36">
        <f t="shared" si="17"/>
        <v>1123142.43</v>
      </c>
      <c r="AK32" s="36">
        <f t="shared" si="17"/>
        <v>9900000</v>
      </c>
      <c r="AL32" s="36">
        <f t="shared" si="17"/>
        <v>586693536.26999998</v>
      </c>
      <c r="AM32" s="140">
        <f t="shared" si="17"/>
        <v>197</v>
      </c>
      <c r="AN32" s="36">
        <f t="shared" si="17"/>
        <v>463964928.53000003</v>
      </c>
      <c r="AO32" s="36">
        <f t="shared" si="17"/>
        <v>109308377.07000001</v>
      </c>
      <c r="AP32" s="36">
        <f t="shared" si="17"/>
        <v>4944678.8600000003</v>
      </c>
      <c r="AQ32" s="36">
        <f t="shared" si="17"/>
        <v>800000</v>
      </c>
      <c r="AR32" s="36">
        <f t="shared" si="17"/>
        <v>579017984.46000004</v>
      </c>
      <c r="AS32" s="140">
        <f t="shared" si="17"/>
        <v>193</v>
      </c>
      <c r="AT32" s="36">
        <f t="shared" si="17"/>
        <v>431984323.88</v>
      </c>
      <c r="AU32" s="36">
        <f t="shared" si="17"/>
        <v>36866872.580000006</v>
      </c>
      <c r="AV32" s="36">
        <f t="shared" si="17"/>
        <v>979584.09000000008</v>
      </c>
      <c r="AW32" s="36">
        <f t="shared" si="17"/>
        <v>469830780.55000001</v>
      </c>
      <c r="AX32" s="140">
        <f t="shared" si="17"/>
        <v>193</v>
      </c>
      <c r="AY32" s="36">
        <f t="shared" si="17"/>
        <v>757066343.59000015</v>
      </c>
      <c r="AZ32" s="36">
        <f t="shared" si="17"/>
        <v>25914707.399999999</v>
      </c>
      <c r="BA32" s="36">
        <f t="shared" si="17"/>
        <v>681916.62000000011</v>
      </c>
      <c r="BB32" s="36">
        <f t="shared" si="17"/>
        <v>783662967.61000001</v>
      </c>
      <c r="BC32" s="140">
        <f t="shared" si="17"/>
        <v>193</v>
      </c>
      <c r="BD32" s="36">
        <f t="shared" si="17"/>
        <v>441149702.55000001</v>
      </c>
      <c r="BE32" s="36">
        <f t="shared" si="17"/>
        <v>94163655.390000001</v>
      </c>
      <c r="BF32" s="36">
        <f t="shared" si="17"/>
        <v>9550000</v>
      </c>
      <c r="BG32" s="36">
        <f t="shared" si="17"/>
        <v>0</v>
      </c>
      <c r="BH32" s="36">
        <f t="shared" si="17"/>
        <v>544863357.93999982</v>
      </c>
      <c r="BI32" s="140">
        <f t="shared" si="17"/>
        <v>193</v>
      </c>
      <c r="BJ32" s="36">
        <f t="shared" si="17"/>
        <v>459928630.66999996</v>
      </c>
      <c r="BK32" s="36">
        <f t="shared" si="17"/>
        <v>42664922.520000003</v>
      </c>
      <c r="BL32" s="36">
        <f t="shared" si="17"/>
        <v>0</v>
      </c>
      <c r="BM32" s="36">
        <f t="shared" si="17"/>
        <v>287183441.77999991</v>
      </c>
      <c r="BN32" s="36">
        <f>SUM(BN20:BN31)</f>
        <v>789776994.97000003</v>
      </c>
    </row>
    <row r="33" spans="1:66" x14ac:dyDescent="0.2">
      <c r="B33" s="137"/>
      <c r="C33" s="37"/>
      <c r="D33" s="37"/>
      <c r="E33" s="37"/>
      <c r="F33" s="37"/>
      <c r="G33" s="37"/>
      <c r="H33" s="137"/>
      <c r="I33" s="37"/>
      <c r="J33" s="37"/>
      <c r="K33" s="37"/>
      <c r="L33" s="37"/>
      <c r="M33" s="137"/>
      <c r="N33" s="37"/>
      <c r="O33" s="37"/>
      <c r="P33" s="37"/>
      <c r="Q33" s="137"/>
      <c r="R33" s="37"/>
      <c r="S33" s="37"/>
      <c r="T33" s="37"/>
      <c r="U33" s="37"/>
      <c r="V33" s="137"/>
      <c r="W33" s="37"/>
      <c r="X33" s="37"/>
      <c r="Y33" s="37"/>
      <c r="Z33" s="37"/>
      <c r="AA33" s="137"/>
      <c r="AB33" s="37"/>
      <c r="AC33" s="37"/>
      <c r="AD33" s="37"/>
      <c r="AE33" s="37"/>
      <c r="AF33" s="37"/>
      <c r="AG33" s="137"/>
      <c r="AH33" s="37"/>
      <c r="AI33" s="37"/>
      <c r="AJ33" s="37"/>
      <c r="AK33" s="37"/>
      <c r="AL33" s="37"/>
      <c r="AM33" s="137"/>
      <c r="AN33" s="37"/>
      <c r="AO33" s="37"/>
      <c r="AP33" s="37"/>
      <c r="AQ33" s="37"/>
      <c r="AR33" s="37"/>
      <c r="AS33" s="137"/>
      <c r="AT33" s="37"/>
      <c r="AU33" s="37"/>
      <c r="AV33" s="37"/>
      <c r="AW33" s="37"/>
      <c r="AX33" s="137"/>
      <c r="AY33" s="37"/>
      <c r="AZ33" s="37"/>
      <c r="BA33" s="37"/>
      <c r="BB33" s="37"/>
      <c r="BC33" s="137"/>
      <c r="BD33" s="37"/>
      <c r="BE33" s="37"/>
      <c r="BF33" s="37"/>
      <c r="BG33" s="37"/>
      <c r="BH33" s="37"/>
      <c r="BI33" s="137"/>
      <c r="BJ33" s="37"/>
      <c r="BK33" s="37"/>
      <c r="BL33" s="37"/>
      <c r="BM33" s="37"/>
      <c r="BN33" s="37"/>
    </row>
    <row r="34" spans="1:66" ht="15" x14ac:dyDescent="0.2">
      <c r="A34" s="32" t="s">
        <v>101</v>
      </c>
      <c r="B34" s="138" t="s">
        <v>114</v>
      </c>
      <c r="C34" s="133" t="s">
        <v>115</v>
      </c>
      <c r="D34" s="133" t="s">
        <v>116</v>
      </c>
      <c r="E34" s="44" t="s">
        <v>372</v>
      </c>
      <c r="F34" s="44" t="s">
        <v>373</v>
      </c>
      <c r="G34" s="133" t="s">
        <v>44</v>
      </c>
      <c r="H34" s="138" t="s">
        <v>114</v>
      </c>
      <c r="I34" s="133" t="s">
        <v>115</v>
      </c>
      <c r="J34" s="133" t="s">
        <v>116</v>
      </c>
      <c r="K34" s="44" t="s">
        <v>372</v>
      </c>
      <c r="L34" s="133" t="s">
        <v>44</v>
      </c>
      <c r="M34" s="138" t="s">
        <v>114</v>
      </c>
      <c r="N34" s="133" t="s">
        <v>115</v>
      </c>
      <c r="O34" s="133" t="s">
        <v>116</v>
      </c>
      <c r="P34" s="133" t="s">
        <v>44</v>
      </c>
      <c r="Q34" s="138" t="s">
        <v>114</v>
      </c>
      <c r="R34" s="133" t="s">
        <v>115</v>
      </c>
      <c r="S34" s="133" t="s">
        <v>116</v>
      </c>
      <c r="T34" s="44" t="s">
        <v>372</v>
      </c>
      <c r="U34" s="133" t="s">
        <v>44</v>
      </c>
      <c r="V34" s="138" t="s">
        <v>114</v>
      </c>
      <c r="W34" s="133" t="s">
        <v>115</v>
      </c>
      <c r="X34" s="133" t="s">
        <v>116</v>
      </c>
      <c r="Y34" s="44" t="s">
        <v>372</v>
      </c>
      <c r="Z34" s="133" t="s">
        <v>44</v>
      </c>
      <c r="AA34" s="138" t="s">
        <v>114</v>
      </c>
      <c r="AB34" s="133" t="s">
        <v>115</v>
      </c>
      <c r="AC34" s="133" t="s">
        <v>116</v>
      </c>
      <c r="AD34" s="44" t="s">
        <v>372</v>
      </c>
      <c r="AE34" s="44" t="s">
        <v>374</v>
      </c>
      <c r="AF34" s="133" t="s">
        <v>44</v>
      </c>
      <c r="AG34" s="138" t="s">
        <v>114</v>
      </c>
      <c r="AH34" s="133" t="s">
        <v>115</v>
      </c>
      <c r="AI34" s="133" t="s">
        <v>116</v>
      </c>
      <c r="AJ34" s="44" t="s">
        <v>372</v>
      </c>
      <c r="AK34" s="44" t="s">
        <v>374</v>
      </c>
      <c r="AL34" s="133" t="s">
        <v>44</v>
      </c>
      <c r="AM34" s="138" t="s">
        <v>114</v>
      </c>
      <c r="AN34" s="133" t="s">
        <v>115</v>
      </c>
      <c r="AO34" s="133" t="s">
        <v>116</v>
      </c>
      <c r="AP34" s="44" t="s">
        <v>372</v>
      </c>
      <c r="AQ34" s="44" t="s">
        <v>374</v>
      </c>
      <c r="AR34" s="133" t="s">
        <v>44</v>
      </c>
      <c r="AS34" s="138" t="s">
        <v>114</v>
      </c>
      <c r="AT34" s="133" t="s">
        <v>115</v>
      </c>
      <c r="AU34" s="133" t="s">
        <v>116</v>
      </c>
      <c r="AV34" s="44" t="s">
        <v>372</v>
      </c>
      <c r="AW34" s="133" t="s">
        <v>44</v>
      </c>
      <c r="AX34" s="138" t="s">
        <v>114</v>
      </c>
      <c r="AY34" s="133" t="s">
        <v>115</v>
      </c>
      <c r="AZ34" s="133" t="s">
        <v>116</v>
      </c>
      <c r="BA34" s="44" t="s">
        <v>372</v>
      </c>
      <c r="BB34" s="133" t="s">
        <v>44</v>
      </c>
      <c r="BC34" s="138" t="s">
        <v>114</v>
      </c>
      <c r="BD34" s="133" t="s">
        <v>115</v>
      </c>
      <c r="BE34" s="133" t="s">
        <v>116</v>
      </c>
      <c r="BF34" s="44" t="s">
        <v>375</v>
      </c>
      <c r="BG34" s="44" t="s">
        <v>372</v>
      </c>
      <c r="BH34" s="133" t="s">
        <v>44</v>
      </c>
      <c r="BI34" s="138" t="s">
        <v>114</v>
      </c>
      <c r="BJ34" s="133" t="s">
        <v>115</v>
      </c>
      <c r="BK34" s="133" t="s">
        <v>116</v>
      </c>
      <c r="BL34" s="44" t="s">
        <v>375</v>
      </c>
      <c r="BM34" s="44" t="s">
        <v>372</v>
      </c>
      <c r="BN34" s="133" t="s">
        <v>44</v>
      </c>
    </row>
    <row r="35" spans="1:66" ht="15" x14ac:dyDescent="0.2">
      <c r="A35" s="32" t="s">
        <v>122</v>
      </c>
      <c r="B35" s="139"/>
      <c r="C35" s="35"/>
      <c r="D35" s="35"/>
      <c r="E35" s="35"/>
      <c r="F35" s="35"/>
      <c r="G35" s="35"/>
      <c r="H35" s="139"/>
      <c r="I35" s="35"/>
      <c r="J35" s="35"/>
      <c r="K35" s="35"/>
      <c r="L35" s="35"/>
      <c r="M35" s="139"/>
      <c r="N35" s="35"/>
      <c r="O35" s="35"/>
      <c r="P35" s="35"/>
      <c r="Q35" s="139"/>
      <c r="R35" s="35"/>
      <c r="S35" s="35"/>
      <c r="T35" s="35"/>
      <c r="U35" s="35"/>
      <c r="V35" s="139"/>
      <c r="W35" s="35"/>
      <c r="X35" s="35"/>
      <c r="Y35" s="35"/>
      <c r="Z35" s="35"/>
      <c r="AA35" s="139"/>
      <c r="AB35" s="35"/>
      <c r="AC35" s="35"/>
      <c r="AD35" s="35"/>
      <c r="AE35" s="35"/>
      <c r="AF35" s="35"/>
      <c r="AG35" s="139"/>
      <c r="AH35" s="35"/>
      <c r="AI35" s="35"/>
      <c r="AJ35" s="35"/>
      <c r="AK35" s="35"/>
      <c r="AL35" s="35"/>
      <c r="AM35" s="139"/>
      <c r="AN35" s="35"/>
      <c r="AO35" s="35"/>
      <c r="AP35" s="35"/>
      <c r="AQ35" s="35"/>
      <c r="AR35" s="35"/>
      <c r="AS35" s="139"/>
      <c r="AT35" s="35"/>
      <c r="AU35" s="35"/>
      <c r="AV35" s="35"/>
      <c r="AW35" s="35"/>
      <c r="AX35" s="139"/>
      <c r="AY35" s="35"/>
      <c r="AZ35" s="35"/>
      <c r="BA35" s="35"/>
      <c r="BB35" s="35"/>
      <c r="BC35" s="139"/>
      <c r="BD35" s="35"/>
      <c r="BE35" s="35"/>
      <c r="BF35" s="35"/>
      <c r="BG35" s="35"/>
      <c r="BH35" s="35"/>
      <c r="BI35" s="139"/>
      <c r="BJ35" s="35"/>
      <c r="BK35" s="35"/>
      <c r="BL35" s="35"/>
      <c r="BM35" s="35"/>
      <c r="BN35" s="35"/>
    </row>
    <row r="36" spans="1:66" ht="15" x14ac:dyDescent="0.25">
      <c r="A36" s="33" t="s">
        <v>122</v>
      </c>
      <c r="B36" s="107">
        <v>5</v>
      </c>
      <c r="C36" s="38">
        <v>24923872.240000002</v>
      </c>
      <c r="D36" s="38">
        <v>0</v>
      </c>
      <c r="E36" s="38">
        <v>759775.29</v>
      </c>
      <c r="F36" s="38">
        <v>600000</v>
      </c>
      <c r="G36" s="38">
        <f>SUM(C36:F36)</f>
        <v>26283647.530000001</v>
      </c>
      <c r="H36" s="107">
        <v>5</v>
      </c>
      <c r="I36" s="38">
        <v>3582366.7500000005</v>
      </c>
      <c r="J36" s="38">
        <v>14006.78</v>
      </c>
      <c r="K36" s="38">
        <v>0</v>
      </c>
      <c r="L36" s="38">
        <f>SUM(I36:K36)</f>
        <v>3596373.5300000003</v>
      </c>
      <c r="M36" s="107">
        <v>5</v>
      </c>
      <c r="N36" s="38">
        <v>2420002.2100000004</v>
      </c>
      <c r="O36" s="38">
        <v>15127.32</v>
      </c>
      <c r="P36" s="38">
        <f>SUM(N36:O36)</f>
        <v>2435129.5300000003</v>
      </c>
      <c r="Q36" s="107">
        <v>5</v>
      </c>
      <c r="R36" s="38">
        <v>2415366.5100000002</v>
      </c>
      <c r="S36" s="38">
        <v>0</v>
      </c>
      <c r="T36" s="38">
        <v>0</v>
      </c>
      <c r="U36" s="38">
        <f>SUM(R36:T36)</f>
        <v>2415366.5100000002</v>
      </c>
      <c r="V36" s="107">
        <v>1</v>
      </c>
      <c r="W36" s="38">
        <v>3206416.44</v>
      </c>
      <c r="X36" s="38">
        <v>0</v>
      </c>
      <c r="Y36" s="38">
        <v>0</v>
      </c>
      <c r="Z36" s="38">
        <f>SUM(W36:Y36)</f>
        <v>3206416.44</v>
      </c>
      <c r="AA36" s="107">
        <v>1</v>
      </c>
      <c r="AB36" s="38">
        <v>2588674.9</v>
      </c>
      <c r="AC36" s="38">
        <v>0</v>
      </c>
      <c r="AD36" s="38">
        <v>1598578.29</v>
      </c>
      <c r="AE36" s="38">
        <v>50000</v>
      </c>
      <c r="AF36" s="38">
        <f>SUM(AB36:AE36)</f>
        <v>4237253.1899999995</v>
      </c>
      <c r="AG36" s="107">
        <v>1</v>
      </c>
      <c r="AH36" s="38">
        <v>2755374.29</v>
      </c>
      <c r="AI36" s="38">
        <v>0</v>
      </c>
      <c r="AJ36" s="38">
        <v>0</v>
      </c>
      <c r="AK36" s="38">
        <v>50000</v>
      </c>
      <c r="AL36" s="38">
        <f>SUM(AH36:AK36)</f>
        <v>2805374.29</v>
      </c>
      <c r="AM36" s="107">
        <v>1</v>
      </c>
      <c r="AN36" s="38">
        <v>3060691.45</v>
      </c>
      <c r="AO36" s="38">
        <v>51766.02</v>
      </c>
      <c r="AP36" s="38">
        <v>0</v>
      </c>
      <c r="AQ36" s="38">
        <v>0</v>
      </c>
      <c r="AR36" s="38">
        <f>SUM(AN36:AQ36)</f>
        <v>3112457.47</v>
      </c>
      <c r="AS36" s="107">
        <v>1</v>
      </c>
      <c r="AT36" s="38">
        <v>2902545.4699999997</v>
      </c>
      <c r="AU36" s="38">
        <v>235051.02</v>
      </c>
      <c r="AV36" s="38">
        <v>0</v>
      </c>
      <c r="AW36" s="38">
        <f>SUM(AT36:AV36)</f>
        <v>3137596.4899999998</v>
      </c>
      <c r="AX36" s="107">
        <v>1</v>
      </c>
      <c r="AY36" s="38">
        <v>5274447.5999999996</v>
      </c>
      <c r="AZ36" s="38">
        <v>17776.45</v>
      </c>
      <c r="BA36" s="38">
        <v>0</v>
      </c>
      <c r="BB36" s="38">
        <f>SUM(AY36:BA36)</f>
        <v>5292224.05</v>
      </c>
      <c r="BC36" s="107">
        <v>1</v>
      </c>
      <c r="BD36" s="38">
        <v>3218728.26</v>
      </c>
      <c r="BE36" s="38">
        <v>0</v>
      </c>
      <c r="BF36" s="38">
        <v>50000</v>
      </c>
      <c r="BG36" s="38">
        <v>0</v>
      </c>
      <c r="BH36" s="38">
        <f>SUM(BD36:BG36)</f>
        <v>3268728.26</v>
      </c>
      <c r="BI36" s="107">
        <v>1</v>
      </c>
      <c r="BJ36" s="38">
        <v>3891525.68</v>
      </c>
      <c r="BK36" s="38">
        <v>0</v>
      </c>
      <c r="BL36" s="38"/>
      <c r="BM36" s="38">
        <v>1646793.34</v>
      </c>
      <c r="BN36" s="38">
        <f>SUM(BJ36:BM36)</f>
        <v>5538319.0200000005</v>
      </c>
    </row>
    <row r="37" spans="1:66" ht="15" x14ac:dyDescent="0.25">
      <c r="A37" s="54" t="s">
        <v>369</v>
      </c>
      <c r="B37" s="38">
        <v>0</v>
      </c>
      <c r="C37" s="38">
        <v>0</v>
      </c>
      <c r="D37" s="38">
        <v>0</v>
      </c>
      <c r="E37" s="38">
        <v>0</v>
      </c>
      <c r="F37" s="38">
        <v>0</v>
      </c>
      <c r="G37" s="38">
        <v>0</v>
      </c>
      <c r="H37" s="38">
        <v>0</v>
      </c>
      <c r="I37" s="38">
        <v>0</v>
      </c>
      <c r="J37" s="38">
        <v>0</v>
      </c>
      <c r="K37" s="38">
        <v>0</v>
      </c>
      <c r="L37" s="38">
        <v>0</v>
      </c>
      <c r="M37" s="38">
        <v>0</v>
      </c>
      <c r="N37" s="38">
        <v>0</v>
      </c>
      <c r="O37" s="38">
        <v>0</v>
      </c>
      <c r="P37" s="38">
        <v>0</v>
      </c>
      <c r="Q37" s="38">
        <v>0</v>
      </c>
      <c r="R37" s="38">
        <v>0</v>
      </c>
      <c r="S37" s="38">
        <v>0</v>
      </c>
      <c r="T37" s="38">
        <v>0</v>
      </c>
      <c r="U37" s="38">
        <v>0</v>
      </c>
      <c r="V37" s="38">
        <v>0</v>
      </c>
      <c r="W37" s="38">
        <v>0</v>
      </c>
      <c r="X37" s="38">
        <v>0</v>
      </c>
      <c r="Y37" s="38">
        <v>0</v>
      </c>
      <c r="Z37" s="38">
        <v>0</v>
      </c>
      <c r="AA37" s="38">
        <v>0</v>
      </c>
      <c r="AB37" s="38">
        <v>0</v>
      </c>
      <c r="AC37" s="38">
        <v>0</v>
      </c>
      <c r="AD37" s="38">
        <v>0</v>
      </c>
      <c r="AE37" s="38">
        <v>0</v>
      </c>
      <c r="AF37" s="38">
        <v>0</v>
      </c>
      <c r="AG37" s="38">
        <v>0</v>
      </c>
      <c r="AH37" s="38">
        <v>0</v>
      </c>
      <c r="AI37" s="38">
        <v>0</v>
      </c>
      <c r="AJ37" s="38">
        <v>0</v>
      </c>
      <c r="AK37" s="38">
        <v>0</v>
      </c>
      <c r="AL37" s="38">
        <v>0</v>
      </c>
      <c r="AM37" s="38">
        <v>0</v>
      </c>
      <c r="AN37" s="38">
        <v>0</v>
      </c>
      <c r="AO37" s="38">
        <v>0</v>
      </c>
      <c r="AP37" s="38">
        <v>0</v>
      </c>
      <c r="AQ37" s="38">
        <v>0</v>
      </c>
      <c r="AR37" s="38">
        <v>0</v>
      </c>
      <c r="AS37" s="38">
        <v>0</v>
      </c>
      <c r="AT37" s="38">
        <v>0</v>
      </c>
      <c r="AU37" s="38">
        <v>0</v>
      </c>
      <c r="AV37" s="38">
        <v>0</v>
      </c>
      <c r="AW37" s="38">
        <v>0</v>
      </c>
      <c r="AX37" s="38">
        <v>0</v>
      </c>
      <c r="AY37" s="38">
        <v>0</v>
      </c>
      <c r="AZ37" s="38">
        <v>0</v>
      </c>
      <c r="BA37" s="38">
        <v>0</v>
      </c>
      <c r="BB37" s="38">
        <v>0</v>
      </c>
      <c r="BC37" s="107"/>
      <c r="BD37" s="38">
        <v>1200000</v>
      </c>
      <c r="BE37" s="38">
        <v>0</v>
      </c>
      <c r="BF37" s="38"/>
      <c r="BG37" s="38"/>
      <c r="BH37" s="38">
        <f>SUM(BD37:BG37)</f>
        <v>1200000</v>
      </c>
      <c r="BI37" s="107">
        <v>1</v>
      </c>
      <c r="BJ37" s="38">
        <v>4040000</v>
      </c>
      <c r="BK37" s="38">
        <v>0</v>
      </c>
      <c r="BL37" s="38"/>
      <c r="BM37" s="38">
        <v>448888.88</v>
      </c>
      <c r="BN37" s="38">
        <f>SUM(BJ37:BM37)</f>
        <v>4488888.88</v>
      </c>
    </row>
    <row r="38" spans="1:66" ht="15" x14ac:dyDescent="0.2">
      <c r="A38" s="32" t="s">
        <v>118</v>
      </c>
      <c r="B38" s="140">
        <f t="shared" ref="B38:BG38" si="18">SUM(B36:B36)</f>
        <v>5</v>
      </c>
      <c r="C38" s="36">
        <f t="shared" si="18"/>
        <v>24923872.240000002</v>
      </c>
      <c r="D38" s="36">
        <f t="shared" si="18"/>
        <v>0</v>
      </c>
      <c r="E38" s="36">
        <f t="shared" si="18"/>
        <v>759775.29</v>
      </c>
      <c r="F38" s="36">
        <f t="shared" si="18"/>
        <v>600000</v>
      </c>
      <c r="G38" s="36">
        <f t="shared" si="18"/>
        <v>26283647.530000001</v>
      </c>
      <c r="H38" s="140">
        <f t="shared" si="18"/>
        <v>5</v>
      </c>
      <c r="I38" s="36">
        <f t="shared" si="18"/>
        <v>3582366.7500000005</v>
      </c>
      <c r="J38" s="36">
        <f t="shared" si="18"/>
        <v>14006.78</v>
      </c>
      <c r="K38" s="36">
        <f t="shared" si="18"/>
        <v>0</v>
      </c>
      <c r="L38" s="36">
        <f t="shared" si="18"/>
        <v>3596373.5300000003</v>
      </c>
      <c r="M38" s="140">
        <f t="shared" si="18"/>
        <v>5</v>
      </c>
      <c r="N38" s="36">
        <f t="shared" si="18"/>
        <v>2420002.2100000004</v>
      </c>
      <c r="O38" s="36">
        <f t="shared" si="18"/>
        <v>15127.32</v>
      </c>
      <c r="P38" s="36">
        <f t="shared" si="18"/>
        <v>2435129.5300000003</v>
      </c>
      <c r="Q38" s="140">
        <f t="shared" si="18"/>
        <v>5</v>
      </c>
      <c r="R38" s="36">
        <f t="shared" si="18"/>
        <v>2415366.5100000002</v>
      </c>
      <c r="S38" s="36">
        <f t="shared" si="18"/>
        <v>0</v>
      </c>
      <c r="T38" s="36">
        <f t="shared" si="18"/>
        <v>0</v>
      </c>
      <c r="U38" s="36">
        <f t="shared" si="18"/>
        <v>2415366.5100000002</v>
      </c>
      <c r="V38" s="140">
        <f t="shared" si="18"/>
        <v>1</v>
      </c>
      <c r="W38" s="36">
        <f t="shared" si="18"/>
        <v>3206416.44</v>
      </c>
      <c r="X38" s="36">
        <f t="shared" si="18"/>
        <v>0</v>
      </c>
      <c r="Y38" s="36">
        <f t="shared" si="18"/>
        <v>0</v>
      </c>
      <c r="Z38" s="36">
        <f t="shared" si="18"/>
        <v>3206416.44</v>
      </c>
      <c r="AA38" s="140">
        <f t="shared" si="18"/>
        <v>1</v>
      </c>
      <c r="AB38" s="36">
        <f t="shared" si="18"/>
        <v>2588674.9</v>
      </c>
      <c r="AC38" s="36">
        <f t="shared" si="18"/>
        <v>0</v>
      </c>
      <c r="AD38" s="36">
        <f t="shared" si="18"/>
        <v>1598578.29</v>
      </c>
      <c r="AE38" s="36">
        <f t="shared" si="18"/>
        <v>50000</v>
      </c>
      <c r="AF38" s="36">
        <f t="shared" si="18"/>
        <v>4237253.1899999995</v>
      </c>
      <c r="AG38" s="140">
        <f t="shared" si="18"/>
        <v>1</v>
      </c>
      <c r="AH38" s="36">
        <f t="shared" si="18"/>
        <v>2755374.29</v>
      </c>
      <c r="AI38" s="36">
        <f t="shared" si="18"/>
        <v>0</v>
      </c>
      <c r="AJ38" s="36">
        <f t="shared" si="18"/>
        <v>0</v>
      </c>
      <c r="AK38" s="36">
        <f t="shared" si="18"/>
        <v>50000</v>
      </c>
      <c r="AL38" s="36">
        <f t="shared" si="18"/>
        <v>2805374.29</v>
      </c>
      <c r="AM38" s="140">
        <f t="shared" si="18"/>
        <v>1</v>
      </c>
      <c r="AN38" s="36">
        <f t="shared" si="18"/>
        <v>3060691.45</v>
      </c>
      <c r="AO38" s="36">
        <f t="shared" si="18"/>
        <v>51766.02</v>
      </c>
      <c r="AP38" s="36">
        <f t="shared" si="18"/>
        <v>0</v>
      </c>
      <c r="AQ38" s="36">
        <f t="shared" si="18"/>
        <v>0</v>
      </c>
      <c r="AR38" s="36">
        <f t="shared" si="18"/>
        <v>3112457.47</v>
      </c>
      <c r="AS38" s="140">
        <f t="shared" si="18"/>
        <v>1</v>
      </c>
      <c r="AT38" s="36">
        <f t="shared" si="18"/>
        <v>2902545.4699999997</v>
      </c>
      <c r="AU38" s="36">
        <f t="shared" si="18"/>
        <v>235051.02</v>
      </c>
      <c r="AV38" s="36">
        <f t="shared" si="18"/>
        <v>0</v>
      </c>
      <c r="AW38" s="36">
        <f t="shared" si="18"/>
        <v>3137596.4899999998</v>
      </c>
      <c r="AX38" s="140">
        <f t="shared" si="18"/>
        <v>1</v>
      </c>
      <c r="AY38" s="36">
        <f t="shared" si="18"/>
        <v>5274447.5999999996</v>
      </c>
      <c r="AZ38" s="36">
        <f t="shared" si="18"/>
        <v>17776.45</v>
      </c>
      <c r="BA38" s="36">
        <f t="shared" si="18"/>
        <v>0</v>
      </c>
      <c r="BB38" s="36">
        <f t="shared" si="18"/>
        <v>5292224.05</v>
      </c>
      <c r="BC38" s="140">
        <f t="shared" si="18"/>
        <v>1</v>
      </c>
      <c r="BD38" s="36">
        <f>SUM(BD36:BD37)</f>
        <v>4418728.26</v>
      </c>
      <c r="BE38" s="36">
        <f t="shared" si="18"/>
        <v>0</v>
      </c>
      <c r="BF38" s="36">
        <f t="shared" si="18"/>
        <v>50000</v>
      </c>
      <c r="BG38" s="36">
        <f t="shared" si="18"/>
        <v>0</v>
      </c>
      <c r="BH38" s="36">
        <f>SUM(BH36:BH37)</f>
        <v>4468728.26</v>
      </c>
      <c r="BI38" s="140">
        <v>2</v>
      </c>
      <c r="BJ38" s="36">
        <f>SUM(BJ36:BJ37)</f>
        <v>7931525.6799999997</v>
      </c>
      <c r="BK38" s="36">
        <f>SUM(BK36:BK36)</f>
        <v>0</v>
      </c>
      <c r="BL38" s="36">
        <f>SUM(BL36:BL36)</f>
        <v>0</v>
      </c>
      <c r="BM38" s="36">
        <f>SUM(BM36:BM37)</f>
        <v>2095682.2200000002</v>
      </c>
      <c r="BN38" s="36">
        <f>SUM(BN36:BN37)</f>
        <v>10027207.9</v>
      </c>
    </row>
    <row r="39" spans="1:66" x14ac:dyDescent="0.2">
      <c r="B39" s="137"/>
      <c r="C39" s="37"/>
      <c r="D39" s="37"/>
      <c r="E39" s="37"/>
      <c r="F39" s="37"/>
      <c r="G39" s="37"/>
      <c r="H39" s="137"/>
      <c r="I39" s="37"/>
      <c r="J39" s="37"/>
      <c r="K39" s="37"/>
      <c r="L39" s="37"/>
      <c r="M39" s="137"/>
      <c r="N39" s="37"/>
      <c r="O39" s="37"/>
      <c r="P39" s="37"/>
      <c r="Q39" s="137"/>
      <c r="R39" s="37"/>
      <c r="S39" s="37"/>
      <c r="T39" s="37"/>
      <c r="U39" s="37"/>
      <c r="V39" s="137"/>
      <c r="W39" s="37"/>
      <c r="X39" s="37"/>
      <c r="Y39" s="37"/>
      <c r="Z39" s="37"/>
      <c r="AA39" s="137"/>
      <c r="AB39" s="37"/>
      <c r="AC39" s="37"/>
      <c r="AD39" s="37"/>
      <c r="AE39" s="37"/>
      <c r="AF39" s="37"/>
      <c r="AG39" s="137"/>
      <c r="AH39" s="37"/>
      <c r="AI39" s="37"/>
      <c r="AJ39" s="37"/>
      <c r="AK39" s="37"/>
      <c r="AL39" s="37"/>
      <c r="AM39" s="137"/>
      <c r="AN39" s="37"/>
      <c r="AO39" s="37"/>
      <c r="AP39" s="37"/>
      <c r="AQ39" s="37"/>
      <c r="AR39" s="37"/>
      <c r="AS39" s="137"/>
      <c r="AT39" s="37"/>
      <c r="AU39" s="37"/>
      <c r="AV39" s="37"/>
      <c r="AW39" s="37"/>
      <c r="AX39" s="137"/>
      <c r="AY39" s="37"/>
      <c r="AZ39" s="37"/>
      <c r="BA39" s="37"/>
      <c r="BB39" s="37"/>
      <c r="BC39" s="137"/>
      <c r="BD39" s="37"/>
      <c r="BE39" s="37"/>
      <c r="BF39" s="37"/>
      <c r="BG39" s="37"/>
      <c r="BH39" s="37"/>
      <c r="BI39" s="137"/>
      <c r="BJ39" s="37"/>
      <c r="BK39" s="37"/>
      <c r="BL39" s="37"/>
      <c r="BM39" s="37"/>
      <c r="BN39" s="37"/>
    </row>
    <row r="40" spans="1:66" ht="15" x14ac:dyDescent="0.2">
      <c r="A40" s="32" t="s">
        <v>101</v>
      </c>
      <c r="B40" s="138" t="s">
        <v>114</v>
      </c>
      <c r="C40" s="133" t="s">
        <v>115</v>
      </c>
      <c r="D40" s="133" t="s">
        <v>116</v>
      </c>
      <c r="E40" s="44" t="s">
        <v>372</v>
      </c>
      <c r="F40" s="44" t="s">
        <v>373</v>
      </c>
      <c r="G40" s="133" t="s">
        <v>44</v>
      </c>
      <c r="H40" s="138" t="s">
        <v>114</v>
      </c>
      <c r="I40" s="133" t="s">
        <v>115</v>
      </c>
      <c r="J40" s="133" t="s">
        <v>116</v>
      </c>
      <c r="K40" s="44" t="s">
        <v>372</v>
      </c>
      <c r="L40" s="133" t="s">
        <v>44</v>
      </c>
      <c r="M40" s="138" t="s">
        <v>114</v>
      </c>
      <c r="N40" s="133" t="s">
        <v>115</v>
      </c>
      <c r="O40" s="133" t="s">
        <v>116</v>
      </c>
      <c r="P40" s="133" t="s">
        <v>44</v>
      </c>
      <c r="Q40" s="138" t="s">
        <v>114</v>
      </c>
      <c r="R40" s="133" t="s">
        <v>115</v>
      </c>
      <c r="S40" s="133" t="s">
        <v>116</v>
      </c>
      <c r="T40" s="44" t="s">
        <v>372</v>
      </c>
      <c r="U40" s="133" t="s">
        <v>44</v>
      </c>
      <c r="V40" s="138" t="s">
        <v>114</v>
      </c>
      <c r="W40" s="133" t="s">
        <v>115</v>
      </c>
      <c r="X40" s="133" t="s">
        <v>116</v>
      </c>
      <c r="Y40" s="44" t="s">
        <v>372</v>
      </c>
      <c r="Z40" s="133" t="s">
        <v>44</v>
      </c>
      <c r="AA40" s="138" t="s">
        <v>114</v>
      </c>
      <c r="AB40" s="133" t="s">
        <v>115</v>
      </c>
      <c r="AC40" s="133" t="s">
        <v>116</v>
      </c>
      <c r="AD40" s="44" t="s">
        <v>372</v>
      </c>
      <c r="AE40" s="44" t="s">
        <v>374</v>
      </c>
      <c r="AF40" s="133" t="s">
        <v>44</v>
      </c>
      <c r="AG40" s="138" t="s">
        <v>114</v>
      </c>
      <c r="AH40" s="133" t="s">
        <v>115</v>
      </c>
      <c r="AI40" s="133" t="s">
        <v>116</v>
      </c>
      <c r="AJ40" s="44" t="s">
        <v>372</v>
      </c>
      <c r="AK40" s="44" t="s">
        <v>374</v>
      </c>
      <c r="AL40" s="133" t="s">
        <v>44</v>
      </c>
      <c r="AM40" s="138" t="s">
        <v>114</v>
      </c>
      <c r="AN40" s="133" t="s">
        <v>115</v>
      </c>
      <c r="AO40" s="133" t="s">
        <v>116</v>
      </c>
      <c r="AP40" s="44" t="s">
        <v>372</v>
      </c>
      <c r="AQ40" s="44" t="s">
        <v>374</v>
      </c>
      <c r="AR40" s="133" t="s">
        <v>44</v>
      </c>
      <c r="AS40" s="138" t="s">
        <v>114</v>
      </c>
      <c r="AT40" s="133" t="s">
        <v>115</v>
      </c>
      <c r="AU40" s="133" t="s">
        <v>116</v>
      </c>
      <c r="AV40" s="44" t="s">
        <v>372</v>
      </c>
      <c r="AW40" s="133" t="s">
        <v>44</v>
      </c>
      <c r="AX40" s="138" t="s">
        <v>114</v>
      </c>
      <c r="AY40" s="133" t="s">
        <v>115</v>
      </c>
      <c r="AZ40" s="133" t="s">
        <v>116</v>
      </c>
      <c r="BA40" s="44" t="s">
        <v>372</v>
      </c>
      <c r="BB40" s="133" t="s">
        <v>44</v>
      </c>
      <c r="BC40" s="138" t="s">
        <v>114</v>
      </c>
      <c r="BD40" s="133" t="s">
        <v>115</v>
      </c>
      <c r="BE40" s="133" t="s">
        <v>116</v>
      </c>
      <c r="BF40" s="44" t="s">
        <v>375</v>
      </c>
      <c r="BG40" s="44" t="s">
        <v>372</v>
      </c>
      <c r="BH40" s="133" t="s">
        <v>44</v>
      </c>
      <c r="BI40" s="138" t="s">
        <v>114</v>
      </c>
      <c r="BJ40" s="133" t="s">
        <v>115</v>
      </c>
      <c r="BK40" s="133" t="s">
        <v>116</v>
      </c>
      <c r="BL40" s="44" t="s">
        <v>375</v>
      </c>
      <c r="BM40" s="44" t="s">
        <v>372</v>
      </c>
      <c r="BN40" s="133" t="s">
        <v>44</v>
      </c>
    </row>
    <row r="41" spans="1:66" ht="15" x14ac:dyDescent="0.2">
      <c r="A41" s="32" t="s">
        <v>123</v>
      </c>
      <c r="B41" s="141"/>
      <c r="C41" s="39"/>
      <c r="D41" s="39"/>
      <c r="E41" s="39"/>
      <c r="F41" s="39"/>
      <c r="G41" s="40"/>
      <c r="H41" s="141"/>
      <c r="I41" s="39"/>
      <c r="J41" s="39"/>
      <c r="K41" s="39"/>
      <c r="L41" s="40"/>
      <c r="M41" s="141"/>
      <c r="N41" s="39"/>
      <c r="O41" s="39"/>
      <c r="P41" s="40"/>
      <c r="Q41" s="141"/>
      <c r="R41" s="39"/>
      <c r="S41" s="39"/>
      <c r="T41" s="39"/>
      <c r="U41" s="40"/>
      <c r="V41" s="141"/>
      <c r="W41" s="39"/>
      <c r="X41" s="39"/>
      <c r="Y41" s="39"/>
      <c r="Z41" s="40"/>
      <c r="AA41" s="141"/>
      <c r="AB41" s="39"/>
      <c r="AC41" s="39"/>
      <c r="AD41" s="39"/>
      <c r="AE41" s="39"/>
      <c r="AF41" s="40"/>
      <c r="AG41" s="141"/>
      <c r="AH41" s="39"/>
      <c r="AI41" s="39"/>
      <c r="AJ41" s="39"/>
      <c r="AK41" s="39"/>
      <c r="AL41" s="40"/>
      <c r="AM41" s="141"/>
      <c r="AN41" s="39"/>
      <c r="AO41" s="39"/>
      <c r="AP41" s="39"/>
      <c r="AQ41" s="39"/>
      <c r="AR41" s="40"/>
      <c r="AS41" s="141"/>
      <c r="AT41" s="39"/>
      <c r="AU41" s="39"/>
      <c r="AV41" s="39"/>
      <c r="AW41" s="40"/>
      <c r="AX41" s="141"/>
      <c r="AY41" s="39"/>
      <c r="AZ41" s="39"/>
      <c r="BA41" s="39"/>
      <c r="BB41" s="40"/>
      <c r="BC41" s="141"/>
      <c r="BD41" s="39"/>
      <c r="BE41" s="39"/>
      <c r="BF41" s="39"/>
      <c r="BG41" s="39"/>
      <c r="BH41" s="40"/>
      <c r="BI41" s="141"/>
      <c r="BJ41" s="39"/>
      <c r="BK41" s="39"/>
      <c r="BL41" s="39"/>
      <c r="BM41" s="39"/>
      <c r="BN41" s="40"/>
    </row>
    <row r="42" spans="1:66" ht="15" x14ac:dyDescent="0.25">
      <c r="A42" s="33" t="s">
        <v>123</v>
      </c>
      <c r="B42" s="142">
        <v>3</v>
      </c>
      <c r="C42" s="38">
        <v>30240087.75</v>
      </c>
      <c r="D42" s="38">
        <v>0</v>
      </c>
      <c r="E42" s="38">
        <v>1012957.54</v>
      </c>
      <c r="F42" s="38">
        <v>360000</v>
      </c>
      <c r="G42" s="38">
        <f>SUM(C42:F42)</f>
        <v>31613045.289999999</v>
      </c>
      <c r="H42" s="142">
        <v>3</v>
      </c>
      <c r="I42" s="38">
        <v>6928184.6000000006</v>
      </c>
      <c r="J42" s="38">
        <v>0</v>
      </c>
      <c r="K42" s="38">
        <v>0</v>
      </c>
      <c r="L42" s="38">
        <f>SUM(I42:K42)</f>
        <v>6928184.6000000006</v>
      </c>
      <c r="M42" s="142">
        <v>3</v>
      </c>
      <c r="N42" s="38">
        <v>7546627.1900000004</v>
      </c>
      <c r="O42" s="38">
        <v>0</v>
      </c>
      <c r="P42" s="38">
        <f>SUM(N42:O42)</f>
        <v>7546627.1900000004</v>
      </c>
      <c r="Q42" s="142">
        <v>3</v>
      </c>
      <c r="R42" s="38">
        <v>7598502.4900000002</v>
      </c>
      <c r="S42" s="38">
        <v>0</v>
      </c>
      <c r="T42" s="38">
        <v>0</v>
      </c>
      <c r="U42" s="38">
        <f>SUM(R42:T42)</f>
        <v>7598502.4900000002</v>
      </c>
      <c r="V42" s="142">
        <v>3</v>
      </c>
      <c r="W42" s="38">
        <v>8211754.3799999999</v>
      </c>
      <c r="X42" s="38">
        <v>0</v>
      </c>
      <c r="Y42" s="38">
        <v>0</v>
      </c>
      <c r="Z42" s="38">
        <f>SUM(W42:Y42)</f>
        <v>8211754.3799999999</v>
      </c>
      <c r="AA42" s="142">
        <v>3</v>
      </c>
      <c r="AB42" s="38">
        <v>8128515.7299999995</v>
      </c>
      <c r="AC42" s="38">
        <v>0</v>
      </c>
      <c r="AD42" s="38">
        <v>3589920</v>
      </c>
      <c r="AE42" s="38">
        <v>150000</v>
      </c>
      <c r="AF42" s="38">
        <f>SUM(AB42:AE42)</f>
        <v>11868435.73</v>
      </c>
      <c r="AG42" s="142">
        <v>2</v>
      </c>
      <c r="AH42" s="38">
        <v>69150304.890000015</v>
      </c>
      <c r="AI42" s="38">
        <v>0</v>
      </c>
      <c r="AJ42" s="38">
        <v>807664.14</v>
      </c>
      <c r="AK42" s="38">
        <v>100000</v>
      </c>
      <c r="AL42" s="38">
        <f>SUM(AH42:AK42)</f>
        <v>70057969.030000016</v>
      </c>
      <c r="AM42" s="142">
        <v>1</v>
      </c>
      <c r="AN42" s="38">
        <v>4192119.72</v>
      </c>
      <c r="AO42" s="38">
        <v>0</v>
      </c>
      <c r="AP42" s="38">
        <v>0</v>
      </c>
      <c r="AQ42" s="38">
        <v>160000</v>
      </c>
      <c r="AR42" s="38">
        <f>SUM(AN42:AQ42)</f>
        <v>4352119.7200000007</v>
      </c>
      <c r="AS42" s="142">
        <v>1</v>
      </c>
      <c r="AT42" s="38">
        <v>4275961.6399999997</v>
      </c>
      <c r="AU42" s="38">
        <v>0</v>
      </c>
      <c r="AV42" s="38">
        <v>0</v>
      </c>
      <c r="AW42" s="38">
        <f>SUM(AT42:AV42)</f>
        <v>4275961.6399999997</v>
      </c>
      <c r="AX42" s="142">
        <v>1</v>
      </c>
      <c r="AY42" s="38">
        <v>16380416.460000001</v>
      </c>
      <c r="AZ42" s="38">
        <v>0</v>
      </c>
      <c r="BA42" s="38">
        <v>0</v>
      </c>
      <c r="BB42" s="38">
        <f>SUM(AY42:BA42)</f>
        <v>16380416.460000001</v>
      </c>
      <c r="BC42" s="142">
        <v>1</v>
      </c>
      <c r="BD42" s="38">
        <v>6497747.0299999993</v>
      </c>
      <c r="BE42" s="38">
        <v>0</v>
      </c>
      <c r="BF42" s="38">
        <v>100000</v>
      </c>
      <c r="BG42" s="38">
        <v>0</v>
      </c>
      <c r="BH42" s="38">
        <f>SUM(BD42:BG42)</f>
        <v>6597747.0299999993</v>
      </c>
      <c r="BI42" s="142">
        <v>2</v>
      </c>
      <c r="BJ42" s="38">
        <v>6562723.3600000003</v>
      </c>
      <c r="BK42" s="38">
        <v>0</v>
      </c>
      <c r="BL42" s="38"/>
      <c r="BM42" s="38">
        <v>3417689.54</v>
      </c>
      <c r="BN42" s="38">
        <f>SUM(BJ42:BM42)</f>
        <v>9980412.9000000004</v>
      </c>
    </row>
    <row r="43" spans="1:66" ht="15" x14ac:dyDescent="0.2">
      <c r="A43" s="32" t="s">
        <v>118</v>
      </c>
      <c r="B43" s="140">
        <f>SUM(B42)</f>
        <v>3</v>
      </c>
      <c r="C43" s="140">
        <f t="shared" ref="C43:BH43" si="19">SUM(C42)</f>
        <v>30240087.75</v>
      </c>
      <c r="D43" s="140">
        <f t="shared" si="19"/>
        <v>0</v>
      </c>
      <c r="E43" s="140">
        <f t="shared" si="19"/>
        <v>1012957.54</v>
      </c>
      <c r="F43" s="140">
        <f t="shared" si="19"/>
        <v>360000</v>
      </c>
      <c r="G43" s="140">
        <f t="shared" si="19"/>
        <v>31613045.289999999</v>
      </c>
      <c r="H43" s="140">
        <f t="shared" si="19"/>
        <v>3</v>
      </c>
      <c r="I43" s="140">
        <f t="shared" si="19"/>
        <v>6928184.6000000006</v>
      </c>
      <c r="J43" s="140">
        <f t="shared" si="19"/>
        <v>0</v>
      </c>
      <c r="K43" s="140">
        <f t="shared" si="19"/>
        <v>0</v>
      </c>
      <c r="L43" s="140">
        <f t="shared" si="19"/>
        <v>6928184.6000000006</v>
      </c>
      <c r="M43" s="140">
        <f t="shared" si="19"/>
        <v>3</v>
      </c>
      <c r="N43" s="140">
        <f t="shared" si="19"/>
        <v>7546627.1900000004</v>
      </c>
      <c r="O43" s="140">
        <f t="shared" si="19"/>
        <v>0</v>
      </c>
      <c r="P43" s="140">
        <f t="shared" si="19"/>
        <v>7546627.1900000004</v>
      </c>
      <c r="Q43" s="140">
        <f t="shared" si="19"/>
        <v>3</v>
      </c>
      <c r="R43" s="140">
        <f t="shared" si="19"/>
        <v>7598502.4900000002</v>
      </c>
      <c r="S43" s="140">
        <f t="shared" si="19"/>
        <v>0</v>
      </c>
      <c r="T43" s="140">
        <f t="shared" si="19"/>
        <v>0</v>
      </c>
      <c r="U43" s="140">
        <f t="shared" si="19"/>
        <v>7598502.4900000002</v>
      </c>
      <c r="V43" s="140">
        <f t="shared" si="19"/>
        <v>3</v>
      </c>
      <c r="W43" s="140">
        <f t="shared" si="19"/>
        <v>8211754.3799999999</v>
      </c>
      <c r="X43" s="140">
        <f t="shared" si="19"/>
        <v>0</v>
      </c>
      <c r="Y43" s="140">
        <f t="shared" si="19"/>
        <v>0</v>
      </c>
      <c r="Z43" s="140">
        <f t="shared" si="19"/>
        <v>8211754.3799999999</v>
      </c>
      <c r="AA43" s="140">
        <f t="shared" si="19"/>
        <v>3</v>
      </c>
      <c r="AB43" s="140">
        <f t="shared" si="19"/>
        <v>8128515.7299999995</v>
      </c>
      <c r="AC43" s="140">
        <f t="shared" si="19"/>
        <v>0</v>
      </c>
      <c r="AD43" s="140">
        <f t="shared" si="19"/>
        <v>3589920</v>
      </c>
      <c r="AE43" s="140">
        <f t="shared" si="19"/>
        <v>150000</v>
      </c>
      <c r="AF43" s="140">
        <f t="shared" si="19"/>
        <v>11868435.73</v>
      </c>
      <c r="AG43" s="140">
        <f t="shared" si="19"/>
        <v>2</v>
      </c>
      <c r="AH43" s="140">
        <f t="shared" si="19"/>
        <v>69150304.890000015</v>
      </c>
      <c r="AI43" s="140">
        <f t="shared" si="19"/>
        <v>0</v>
      </c>
      <c r="AJ43" s="140">
        <f t="shared" si="19"/>
        <v>807664.14</v>
      </c>
      <c r="AK43" s="140">
        <f t="shared" si="19"/>
        <v>100000</v>
      </c>
      <c r="AL43" s="140">
        <f t="shared" si="19"/>
        <v>70057969.030000016</v>
      </c>
      <c r="AM43" s="140">
        <f t="shared" si="19"/>
        <v>1</v>
      </c>
      <c r="AN43" s="140">
        <f t="shared" si="19"/>
        <v>4192119.72</v>
      </c>
      <c r="AO43" s="140">
        <f t="shared" si="19"/>
        <v>0</v>
      </c>
      <c r="AP43" s="140">
        <f t="shared" si="19"/>
        <v>0</v>
      </c>
      <c r="AQ43" s="140">
        <f t="shared" si="19"/>
        <v>160000</v>
      </c>
      <c r="AR43" s="140">
        <f t="shared" si="19"/>
        <v>4352119.7200000007</v>
      </c>
      <c r="AS43" s="140">
        <f t="shared" si="19"/>
        <v>1</v>
      </c>
      <c r="AT43" s="140">
        <f t="shared" si="19"/>
        <v>4275961.6399999997</v>
      </c>
      <c r="AU43" s="140">
        <f t="shared" si="19"/>
        <v>0</v>
      </c>
      <c r="AV43" s="140">
        <f t="shared" si="19"/>
        <v>0</v>
      </c>
      <c r="AW43" s="140">
        <f t="shared" si="19"/>
        <v>4275961.6399999997</v>
      </c>
      <c r="AX43" s="140">
        <f t="shared" si="19"/>
        <v>1</v>
      </c>
      <c r="AY43" s="140">
        <f t="shared" si="19"/>
        <v>16380416.460000001</v>
      </c>
      <c r="AZ43" s="140">
        <f t="shared" si="19"/>
        <v>0</v>
      </c>
      <c r="BA43" s="140">
        <f t="shared" si="19"/>
        <v>0</v>
      </c>
      <c r="BB43" s="140">
        <f t="shared" si="19"/>
        <v>16380416.460000001</v>
      </c>
      <c r="BC43" s="140">
        <f t="shared" si="19"/>
        <v>1</v>
      </c>
      <c r="BD43" s="140">
        <f t="shared" si="19"/>
        <v>6497747.0299999993</v>
      </c>
      <c r="BE43" s="140">
        <f t="shared" si="19"/>
        <v>0</v>
      </c>
      <c r="BF43" s="140">
        <f t="shared" si="19"/>
        <v>100000</v>
      </c>
      <c r="BG43" s="140">
        <f t="shared" si="19"/>
        <v>0</v>
      </c>
      <c r="BH43" s="140">
        <f t="shared" si="19"/>
        <v>6597747.0299999993</v>
      </c>
      <c r="BI43" s="140">
        <f t="shared" ref="BI43:BN43" si="20">SUM(BI42)</f>
        <v>2</v>
      </c>
      <c r="BJ43" s="140">
        <f t="shared" si="20"/>
        <v>6562723.3600000003</v>
      </c>
      <c r="BK43" s="140">
        <f t="shared" si="20"/>
        <v>0</v>
      </c>
      <c r="BL43" s="140">
        <f t="shared" si="20"/>
        <v>0</v>
      </c>
      <c r="BM43" s="140">
        <f t="shared" si="20"/>
        <v>3417689.54</v>
      </c>
      <c r="BN43" s="140">
        <f t="shared" si="20"/>
        <v>9980412.9000000004</v>
      </c>
    </row>
    <row r="44" spans="1:66" x14ac:dyDescent="0.2">
      <c r="B44" s="137"/>
      <c r="C44" s="37"/>
      <c r="D44" s="37"/>
      <c r="E44" s="37"/>
      <c r="F44" s="37"/>
      <c r="G44" s="37"/>
      <c r="H44" s="137"/>
      <c r="I44" s="37"/>
      <c r="J44" s="37"/>
      <c r="K44" s="37"/>
      <c r="L44" s="37"/>
      <c r="M44" s="137"/>
      <c r="N44" s="37"/>
      <c r="O44" s="37"/>
      <c r="P44" s="37"/>
      <c r="Q44" s="137"/>
      <c r="R44" s="37"/>
      <c r="S44" s="37"/>
      <c r="T44" s="37"/>
      <c r="U44" s="37"/>
      <c r="V44" s="137"/>
      <c r="W44" s="37"/>
      <c r="X44" s="37"/>
      <c r="Y44" s="37"/>
      <c r="Z44" s="37"/>
      <c r="AA44" s="137"/>
      <c r="AB44" s="37"/>
      <c r="AC44" s="37"/>
      <c r="AD44" s="37"/>
      <c r="AE44" s="37"/>
      <c r="AF44" s="37"/>
      <c r="AG44" s="137"/>
      <c r="AH44" s="37"/>
      <c r="AI44" s="37"/>
      <c r="AJ44" s="37"/>
      <c r="AK44" s="37"/>
      <c r="AL44" s="37"/>
      <c r="AM44" s="137"/>
      <c r="AN44" s="37"/>
      <c r="AO44" s="37"/>
      <c r="AP44" s="37"/>
      <c r="AQ44" s="37"/>
      <c r="AR44" s="37"/>
      <c r="AS44" s="137"/>
      <c r="AT44" s="37"/>
      <c r="AU44" s="37"/>
      <c r="AV44" s="37"/>
      <c r="AW44" s="37"/>
      <c r="AX44" s="137"/>
      <c r="AY44" s="37"/>
      <c r="AZ44" s="37"/>
      <c r="BA44" s="37"/>
      <c r="BB44" s="37"/>
      <c r="BC44" s="137"/>
      <c r="BD44" s="37"/>
      <c r="BE44" s="37"/>
      <c r="BF44" s="37"/>
      <c r="BG44" s="37"/>
      <c r="BH44" s="37"/>
      <c r="BI44" s="137"/>
      <c r="BJ44" s="37"/>
      <c r="BK44" s="37"/>
      <c r="BL44" s="37"/>
      <c r="BM44" s="37"/>
      <c r="BN44" s="37"/>
    </row>
    <row r="45" spans="1:66" ht="15" x14ac:dyDescent="0.2">
      <c r="A45" s="32" t="s">
        <v>101</v>
      </c>
      <c r="B45" s="138" t="s">
        <v>114</v>
      </c>
      <c r="C45" s="133" t="s">
        <v>115</v>
      </c>
      <c r="D45" s="133" t="s">
        <v>116</v>
      </c>
      <c r="E45" s="44" t="s">
        <v>372</v>
      </c>
      <c r="F45" s="44" t="s">
        <v>373</v>
      </c>
      <c r="G45" s="133" t="s">
        <v>44</v>
      </c>
      <c r="H45" s="138" t="s">
        <v>114</v>
      </c>
      <c r="I45" s="133" t="s">
        <v>115</v>
      </c>
      <c r="J45" s="133" t="s">
        <v>116</v>
      </c>
      <c r="K45" s="44" t="s">
        <v>372</v>
      </c>
      <c r="L45" s="133" t="s">
        <v>44</v>
      </c>
      <c r="M45" s="138" t="s">
        <v>114</v>
      </c>
      <c r="N45" s="133" t="s">
        <v>115</v>
      </c>
      <c r="O45" s="133" t="s">
        <v>116</v>
      </c>
      <c r="P45" s="133" t="s">
        <v>44</v>
      </c>
      <c r="Q45" s="138" t="s">
        <v>114</v>
      </c>
      <c r="R45" s="133" t="s">
        <v>115</v>
      </c>
      <c r="S45" s="133" t="s">
        <v>116</v>
      </c>
      <c r="T45" s="44" t="s">
        <v>372</v>
      </c>
      <c r="U45" s="133" t="s">
        <v>44</v>
      </c>
      <c r="V45" s="138" t="s">
        <v>114</v>
      </c>
      <c r="W45" s="133" t="s">
        <v>115</v>
      </c>
      <c r="X45" s="133" t="s">
        <v>116</v>
      </c>
      <c r="Y45" s="44" t="s">
        <v>372</v>
      </c>
      <c r="Z45" s="133" t="s">
        <v>44</v>
      </c>
      <c r="AA45" s="138" t="s">
        <v>114</v>
      </c>
      <c r="AB45" s="133" t="s">
        <v>115</v>
      </c>
      <c r="AC45" s="133" t="s">
        <v>116</v>
      </c>
      <c r="AD45" s="44" t="s">
        <v>372</v>
      </c>
      <c r="AE45" s="44" t="s">
        <v>374</v>
      </c>
      <c r="AF45" s="133" t="s">
        <v>44</v>
      </c>
      <c r="AG45" s="138" t="s">
        <v>114</v>
      </c>
      <c r="AH45" s="133" t="s">
        <v>115</v>
      </c>
      <c r="AI45" s="133" t="s">
        <v>116</v>
      </c>
      <c r="AJ45" s="44" t="s">
        <v>372</v>
      </c>
      <c r="AK45" s="44" t="s">
        <v>374</v>
      </c>
      <c r="AL45" s="133" t="s">
        <v>44</v>
      </c>
      <c r="AM45" s="138" t="s">
        <v>114</v>
      </c>
      <c r="AN45" s="133" t="s">
        <v>115</v>
      </c>
      <c r="AO45" s="133" t="s">
        <v>116</v>
      </c>
      <c r="AP45" s="44" t="s">
        <v>372</v>
      </c>
      <c r="AQ45" s="44" t="s">
        <v>374</v>
      </c>
      <c r="AR45" s="133" t="s">
        <v>44</v>
      </c>
      <c r="AS45" s="138" t="s">
        <v>114</v>
      </c>
      <c r="AT45" s="133" t="s">
        <v>115</v>
      </c>
      <c r="AU45" s="133" t="s">
        <v>116</v>
      </c>
      <c r="AV45" s="44" t="s">
        <v>372</v>
      </c>
      <c r="AW45" s="133" t="s">
        <v>44</v>
      </c>
      <c r="AX45" s="138" t="s">
        <v>114</v>
      </c>
      <c r="AY45" s="133" t="s">
        <v>115</v>
      </c>
      <c r="AZ45" s="133" t="s">
        <v>116</v>
      </c>
      <c r="BA45" s="44" t="s">
        <v>372</v>
      </c>
      <c r="BB45" s="133" t="s">
        <v>44</v>
      </c>
      <c r="BC45" s="138" t="s">
        <v>114</v>
      </c>
      <c r="BD45" s="133" t="s">
        <v>115</v>
      </c>
      <c r="BE45" s="133" t="s">
        <v>116</v>
      </c>
      <c r="BF45" s="44" t="s">
        <v>375</v>
      </c>
      <c r="BG45" s="44" t="s">
        <v>372</v>
      </c>
      <c r="BH45" s="133" t="s">
        <v>44</v>
      </c>
      <c r="BI45" s="138" t="s">
        <v>114</v>
      </c>
      <c r="BJ45" s="133" t="s">
        <v>115</v>
      </c>
      <c r="BK45" s="133" t="s">
        <v>116</v>
      </c>
      <c r="BL45" s="44" t="s">
        <v>375</v>
      </c>
      <c r="BM45" s="44" t="s">
        <v>372</v>
      </c>
      <c r="BN45" s="133" t="s">
        <v>44</v>
      </c>
    </row>
    <row r="46" spans="1:66" ht="15" x14ac:dyDescent="0.2">
      <c r="A46" s="32" t="s">
        <v>350</v>
      </c>
      <c r="B46" s="141"/>
      <c r="C46" s="39"/>
      <c r="D46" s="39"/>
      <c r="E46" s="39"/>
      <c r="F46" s="39"/>
      <c r="G46" s="40"/>
      <c r="H46" s="141"/>
      <c r="I46" s="39"/>
      <c r="J46" s="39"/>
      <c r="K46" s="39"/>
      <c r="L46" s="40"/>
      <c r="M46" s="141"/>
      <c r="N46" s="39"/>
      <c r="O46" s="39"/>
      <c r="P46" s="40"/>
      <c r="Q46" s="141"/>
      <c r="R46" s="39"/>
      <c r="S46" s="39"/>
      <c r="T46" s="39"/>
      <c r="U46" s="40"/>
      <c r="V46" s="141"/>
      <c r="W46" s="39"/>
      <c r="X46" s="39"/>
      <c r="Y46" s="39"/>
      <c r="Z46" s="40"/>
      <c r="AA46" s="141"/>
      <c r="AB46" s="39"/>
      <c r="AC46" s="39"/>
      <c r="AD46" s="39"/>
      <c r="AE46" s="39"/>
      <c r="AF46" s="40"/>
      <c r="AG46" s="141"/>
      <c r="AH46" s="39"/>
      <c r="AI46" s="39"/>
      <c r="AJ46" s="39"/>
      <c r="AK46" s="39"/>
      <c r="AL46" s="40"/>
      <c r="AM46" s="141"/>
      <c r="AN46" s="39"/>
      <c r="AO46" s="39"/>
      <c r="AP46" s="39"/>
      <c r="AQ46" s="39"/>
      <c r="AR46" s="40"/>
      <c r="AS46" s="141"/>
      <c r="AT46" s="39"/>
      <c r="AU46" s="39"/>
      <c r="AV46" s="39"/>
      <c r="AW46" s="40"/>
      <c r="AX46" s="141"/>
      <c r="AY46" s="39"/>
      <c r="AZ46" s="39"/>
      <c r="BA46" s="39"/>
      <c r="BB46" s="40"/>
      <c r="BC46" s="141"/>
      <c r="BD46" s="39"/>
      <c r="BE46" s="39"/>
      <c r="BF46" s="39"/>
      <c r="BG46" s="39"/>
      <c r="BH46" s="40"/>
      <c r="BI46" s="141"/>
      <c r="BJ46" s="39"/>
      <c r="BK46" s="39"/>
      <c r="BL46" s="39"/>
      <c r="BM46" s="39"/>
      <c r="BN46" s="40"/>
    </row>
    <row r="47" spans="1:66" ht="15" x14ac:dyDescent="0.25">
      <c r="A47" s="33" t="s">
        <v>350</v>
      </c>
      <c r="B47" s="143">
        <v>8</v>
      </c>
      <c r="C47" s="38">
        <v>21526342.240000006</v>
      </c>
      <c r="D47" s="38">
        <v>260093.88</v>
      </c>
      <c r="E47" s="38">
        <v>107139.93999999999</v>
      </c>
      <c r="F47" s="38">
        <v>840000</v>
      </c>
      <c r="G47" s="38">
        <f>SUM(C47:F47)</f>
        <v>22733576.060000006</v>
      </c>
      <c r="H47" s="143">
        <v>8</v>
      </c>
      <c r="I47" s="38">
        <v>16979564.199999996</v>
      </c>
      <c r="J47" s="38">
        <v>307887.90999999997</v>
      </c>
      <c r="K47" s="38">
        <v>0</v>
      </c>
      <c r="L47" s="38">
        <f>SUM(I47:K47)</f>
        <v>17287452.109999996</v>
      </c>
      <c r="M47" s="143">
        <v>8</v>
      </c>
      <c r="N47" s="38">
        <v>19027357.07</v>
      </c>
      <c r="O47" s="38">
        <v>21377.08</v>
      </c>
      <c r="P47" s="38">
        <f>SUM(N47:O47)</f>
        <v>19048734.149999999</v>
      </c>
      <c r="Q47" s="143">
        <v>8</v>
      </c>
      <c r="R47" s="38">
        <v>18650601.710000001</v>
      </c>
      <c r="S47" s="38">
        <v>647476.98</v>
      </c>
      <c r="T47" s="38">
        <v>0</v>
      </c>
      <c r="U47" s="38">
        <f>SUM(R47:T47)</f>
        <v>19298078.690000001</v>
      </c>
      <c r="V47" s="143">
        <v>7</v>
      </c>
      <c r="W47" s="38">
        <v>20237466.52</v>
      </c>
      <c r="X47" s="38">
        <v>92676.28</v>
      </c>
      <c r="Y47" s="38">
        <v>0</v>
      </c>
      <c r="Z47" s="38">
        <f>SUM(W47:Y47)</f>
        <v>20330142.800000001</v>
      </c>
      <c r="AA47" s="143">
        <v>7</v>
      </c>
      <c r="AB47" s="38">
        <v>17750864.219999995</v>
      </c>
      <c r="AC47" s="38">
        <v>311864.67</v>
      </c>
      <c r="AD47" s="38">
        <v>9624359.0299999993</v>
      </c>
      <c r="AE47" s="38">
        <v>300000</v>
      </c>
      <c r="AF47" s="38">
        <f>SUM(AB47:AE47)</f>
        <v>27987087.919999994</v>
      </c>
      <c r="AG47" s="143">
        <v>7</v>
      </c>
      <c r="AH47" s="38">
        <v>18953369.419999998</v>
      </c>
      <c r="AI47" s="38">
        <v>108564.62</v>
      </c>
      <c r="AJ47" s="38">
        <v>0</v>
      </c>
      <c r="AK47" s="38">
        <v>300000</v>
      </c>
      <c r="AL47" s="38">
        <f>SUM(AH47:AK47)</f>
        <v>19361934.039999999</v>
      </c>
      <c r="AM47" s="143">
        <v>7</v>
      </c>
      <c r="AN47" s="38">
        <v>28005271.460000001</v>
      </c>
      <c r="AO47" s="38">
        <v>498778.51</v>
      </c>
      <c r="AP47" s="38">
        <v>0</v>
      </c>
      <c r="AQ47" s="38">
        <v>4780432</v>
      </c>
      <c r="AR47" s="38">
        <f>SUM(AN47:AQ47)</f>
        <v>33284481.970000003</v>
      </c>
      <c r="AS47" s="143">
        <v>5</v>
      </c>
      <c r="AT47" s="38">
        <v>17200837.68</v>
      </c>
      <c r="AU47" s="38">
        <v>235138.09</v>
      </c>
      <c r="AV47" s="38">
        <v>0</v>
      </c>
      <c r="AW47" s="38">
        <f>SUM(AT47:AV47)</f>
        <v>17435975.77</v>
      </c>
      <c r="AX47" s="143">
        <v>5</v>
      </c>
      <c r="AY47" s="38">
        <v>32817933.890000001</v>
      </c>
      <c r="AZ47" s="38">
        <v>97290.78</v>
      </c>
      <c r="BA47" s="38">
        <v>0</v>
      </c>
      <c r="BB47" s="38">
        <f>SUM(AY47:BA47)</f>
        <v>32915224.670000002</v>
      </c>
      <c r="BC47" s="143">
        <v>5</v>
      </c>
      <c r="BD47" s="38">
        <v>18937064.09</v>
      </c>
      <c r="BE47" s="38">
        <v>48667.74</v>
      </c>
      <c r="BF47" s="38">
        <v>250000</v>
      </c>
      <c r="BG47" s="38">
        <v>0</v>
      </c>
      <c r="BH47" s="38">
        <f>SUM(BD47:BG47)</f>
        <v>19235731.829999998</v>
      </c>
      <c r="BI47" s="143">
        <v>5</v>
      </c>
      <c r="BJ47" s="38">
        <v>18392089.809999999</v>
      </c>
      <c r="BK47" s="38"/>
      <c r="BL47" s="38"/>
      <c r="BM47" s="38">
        <v>9600896.1500000004</v>
      </c>
      <c r="BN47" s="38">
        <f>SUM(BJ47:BM47)</f>
        <v>27992985.960000001</v>
      </c>
    </row>
    <row r="48" spans="1:66" ht="15" x14ac:dyDescent="0.2">
      <c r="A48" s="32" t="s">
        <v>118</v>
      </c>
      <c r="B48" s="140">
        <f t="shared" ref="B48:BH48" si="21">SUM(B47)</f>
        <v>8</v>
      </c>
      <c r="C48" s="140">
        <f t="shared" si="21"/>
        <v>21526342.240000006</v>
      </c>
      <c r="D48" s="140">
        <f t="shared" si="21"/>
        <v>260093.88</v>
      </c>
      <c r="E48" s="140">
        <f t="shared" si="21"/>
        <v>107139.93999999999</v>
      </c>
      <c r="F48" s="140">
        <f t="shared" si="21"/>
        <v>840000</v>
      </c>
      <c r="G48" s="140">
        <f t="shared" si="21"/>
        <v>22733576.060000006</v>
      </c>
      <c r="H48" s="140">
        <f t="shared" si="21"/>
        <v>8</v>
      </c>
      <c r="I48" s="140">
        <f t="shared" si="21"/>
        <v>16979564.199999996</v>
      </c>
      <c r="J48" s="140">
        <f t="shared" si="21"/>
        <v>307887.90999999997</v>
      </c>
      <c r="K48" s="140">
        <f t="shared" si="21"/>
        <v>0</v>
      </c>
      <c r="L48" s="140">
        <f t="shared" si="21"/>
        <v>17287452.109999996</v>
      </c>
      <c r="M48" s="140">
        <f t="shared" si="21"/>
        <v>8</v>
      </c>
      <c r="N48" s="140">
        <f t="shared" si="21"/>
        <v>19027357.07</v>
      </c>
      <c r="O48" s="140">
        <f t="shared" si="21"/>
        <v>21377.08</v>
      </c>
      <c r="P48" s="140">
        <f t="shared" si="21"/>
        <v>19048734.149999999</v>
      </c>
      <c r="Q48" s="140">
        <f t="shared" si="21"/>
        <v>8</v>
      </c>
      <c r="R48" s="140">
        <f t="shared" si="21"/>
        <v>18650601.710000001</v>
      </c>
      <c r="S48" s="140">
        <f t="shared" si="21"/>
        <v>647476.98</v>
      </c>
      <c r="T48" s="140">
        <f t="shared" si="21"/>
        <v>0</v>
      </c>
      <c r="U48" s="140">
        <f t="shared" si="21"/>
        <v>19298078.690000001</v>
      </c>
      <c r="V48" s="140">
        <f t="shared" si="21"/>
        <v>7</v>
      </c>
      <c r="W48" s="140">
        <f t="shared" si="21"/>
        <v>20237466.52</v>
      </c>
      <c r="X48" s="140">
        <f t="shared" si="21"/>
        <v>92676.28</v>
      </c>
      <c r="Y48" s="140">
        <f t="shared" si="21"/>
        <v>0</v>
      </c>
      <c r="Z48" s="140">
        <f t="shared" si="21"/>
        <v>20330142.800000001</v>
      </c>
      <c r="AA48" s="140">
        <f t="shared" si="21"/>
        <v>7</v>
      </c>
      <c r="AB48" s="140">
        <f t="shared" si="21"/>
        <v>17750864.219999995</v>
      </c>
      <c r="AC48" s="140">
        <f t="shared" si="21"/>
        <v>311864.67</v>
      </c>
      <c r="AD48" s="140">
        <f t="shared" si="21"/>
        <v>9624359.0299999993</v>
      </c>
      <c r="AE48" s="140">
        <f t="shared" si="21"/>
        <v>300000</v>
      </c>
      <c r="AF48" s="140">
        <f t="shared" si="21"/>
        <v>27987087.919999994</v>
      </c>
      <c r="AG48" s="140">
        <f t="shared" si="21"/>
        <v>7</v>
      </c>
      <c r="AH48" s="140">
        <f t="shared" si="21"/>
        <v>18953369.419999998</v>
      </c>
      <c r="AI48" s="140">
        <f t="shared" si="21"/>
        <v>108564.62</v>
      </c>
      <c r="AJ48" s="140">
        <f t="shared" si="21"/>
        <v>0</v>
      </c>
      <c r="AK48" s="140">
        <f t="shared" si="21"/>
        <v>300000</v>
      </c>
      <c r="AL48" s="140">
        <f t="shared" si="21"/>
        <v>19361934.039999999</v>
      </c>
      <c r="AM48" s="140">
        <f t="shared" si="21"/>
        <v>7</v>
      </c>
      <c r="AN48" s="140">
        <f t="shared" si="21"/>
        <v>28005271.460000001</v>
      </c>
      <c r="AO48" s="140">
        <f t="shared" si="21"/>
        <v>498778.51</v>
      </c>
      <c r="AP48" s="140">
        <f t="shared" si="21"/>
        <v>0</v>
      </c>
      <c r="AQ48" s="140">
        <f t="shared" si="21"/>
        <v>4780432</v>
      </c>
      <c r="AR48" s="140">
        <f t="shared" si="21"/>
        <v>33284481.970000003</v>
      </c>
      <c r="AS48" s="140">
        <f t="shared" si="21"/>
        <v>5</v>
      </c>
      <c r="AT48" s="140">
        <f t="shared" si="21"/>
        <v>17200837.68</v>
      </c>
      <c r="AU48" s="140">
        <f t="shared" si="21"/>
        <v>235138.09</v>
      </c>
      <c r="AV48" s="140">
        <f t="shared" si="21"/>
        <v>0</v>
      </c>
      <c r="AW48" s="140">
        <f t="shared" si="21"/>
        <v>17435975.77</v>
      </c>
      <c r="AX48" s="140">
        <f t="shared" si="21"/>
        <v>5</v>
      </c>
      <c r="AY48" s="140">
        <f t="shared" si="21"/>
        <v>32817933.890000001</v>
      </c>
      <c r="AZ48" s="140">
        <f t="shared" si="21"/>
        <v>97290.78</v>
      </c>
      <c r="BA48" s="140">
        <f t="shared" si="21"/>
        <v>0</v>
      </c>
      <c r="BB48" s="140">
        <f t="shared" si="21"/>
        <v>32915224.670000002</v>
      </c>
      <c r="BC48" s="140">
        <f t="shared" si="21"/>
        <v>5</v>
      </c>
      <c r="BD48" s="140">
        <f t="shared" si="21"/>
        <v>18937064.09</v>
      </c>
      <c r="BE48" s="140">
        <f t="shared" si="21"/>
        <v>48667.74</v>
      </c>
      <c r="BF48" s="140">
        <f t="shared" si="21"/>
        <v>250000</v>
      </c>
      <c r="BG48" s="140">
        <f t="shared" si="21"/>
        <v>0</v>
      </c>
      <c r="BH48" s="140">
        <f t="shared" si="21"/>
        <v>19235731.829999998</v>
      </c>
      <c r="BI48" s="140">
        <f t="shared" ref="BI48:BN48" si="22">SUM(BI47)</f>
        <v>5</v>
      </c>
      <c r="BJ48" s="140">
        <f t="shared" si="22"/>
        <v>18392089.809999999</v>
      </c>
      <c r="BK48" s="140">
        <f t="shared" si="22"/>
        <v>0</v>
      </c>
      <c r="BL48" s="140">
        <f t="shared" si="22"/>
        <v>0</v>
      </c>
      <c r="BM48" s="140">
        <f t="shared" si="22"/>
        <v>9600896.1500000004</v>
      </c>
      <c r="BN48" s="140">
        <f t="shared" si="22"/>
        <v>27992985.960000001</v>
      </c>
    </row>
    <row r="49" spans="1:66" x14ac:dyDescent="0.2">
      <c r="B49" s="137"/>
      <c r="C49" s="37"/>
      <c r="D49" s="37"/>
      <c r="E49" s="37"/>
      <c r="F49" s="37"/>
      <c r="G49" s="37"/>
      <c r="H49" s="137"/>
      <c r="I49" s="37"/>
      <c r="J49" s="37"/>
      <c r="K49" s="37"/>
      <c r="L49" s="37"/>
      <c r="M49" s="137"/>
      <c r="N49" s="37"/>
      <c r="O49" s="37"/>
      <c r="P49" s="37"/>
      <c r="Q49" s="137"/>
      <c r="R49" s="37"/>
      <c r="S49" s="37"/>
      <c r="T49" s="37"/>
      <c r="U49" s="37"/>
      <c r="V49" s="137"/>
      <c r="W49" s="37"/>
      <c r="X49" s="37"/>
      <c r="Y49" s="37"/>
      <c r="Z49" s="37"/>
      <c r="AA49" s="137"/>
      <c r="AB49" s="37"/>
      <c r="AC49" s="37"/>
      <c r="AD49" s="37"/>
      <c r="AE49" s="37"/>
      <c r="AF49" s="37"/>
      <c r="AG49" s="137"/>
      <c r="AH49" s="37"/>
      <c r="AI49" s="37"/>
      <c r="AJ49" s="37"/>
      <c r="AK49" s="37"/>
      <c r="AL49" s="37"/>
      <c r="AM49" s="137"/>
      <c r="AN49" s="37"/>
      <c r="AO49" s="37"/>
      <c r="AP49" s="37"/>
      <c r="AQ49" s="37"/>
      <c r="AR49" s="37"/>
      <c r="AS49" s="137"/>
      <c r="AT49" s="37"/>
      <c r="AU49" s="37"/>
      <c r="AV49" s="37"/>
      <c r="AW49" s="37"/>
      <c r="AX49" s="137"/>
      <c r="AY49" s="37"/>
      <c r="AZ49" s="37"/>
      <c r="BA49" s="37"/>
      <c r="BB49" s="37"/>
      <c r="BC49" s="137"/>
      <c r="BD49" s="37"/>
      <c r="BE49" s="37"/>
      <c r="BF49" s="37"/>
      <c r="BG49" s="37"/>
      <c r="BH49" s="37"/>
      <c r="BI49" s="137"/>
      <c r="BJ49" s="37"/>
      <c r="BK49" s="37"/>
      <c r="BL49" s="37"/>
      <c r="BM49" s="37"/>
      <c r="BN49" s="37"/>
    </row>
    <row r="50" spans="1:66" x14ac:dyDescent="0.2">
      <c r="B50" s="137"/>
      <c r="C50" s="37"/>
      <c r="D50" s="37"/>
      <c r="E50" s="37"/>
      <c r="F50" s="37"/>
      <c r="G50" s="37"/>
      <c r="H50" s="137"/>
      <c r="I50" s="37"/>
      <c r="J50" s="37"/>
      <c r="K50" s="37"/>
      <c r="L50" s="37"/>
      <c r="M50" s="137"/>
      <c r="N50" s="37"/>
      <c r="O50" s="37"/>
      <c r="P50" s="37"/>
      <c r="Q50" s="137"/>
      <c r="R50" s="37"/>
      <c r="S50" s="37"/>
      <c r="T50" s="37"/>
      <c r="U50" s="37"/>
      <c r="V50" s="137"/>
      <c r="W50" s="37"/>
      <c r="X50" s="37"/>
      <c r="Y50" s="37"/>
      <c r="Z50" s="37"/>
      <c r="AA50" s="137"/>
      <c r="AB50" s="37"/>
      <c r="AC50" s="37"/>
      <c r="AD50" s="37"/>
      <c r="AE50" s="37"/>
      <c r="AF50" s="37"/>
      <c r="AG50" s="137"/>
      <c r="AH50" s="37"/>
      <c r="AI50" s="37"/>
      <c r="AJ50" s="37"/>
      <c r="AK50" s="37"/>
      <c r="AL50" s="37"/>
      <c r="AM50" s="137"/>
      <c r="AN50" s="37"/>
      <c r="AO50" s="37"/>
      <c r="AP50" s="37"/>
      <c r="AQ50" s="37"/>
      <c r="AR50" s="37"/>
      <c r="AS50" s="137"/>
      <c r="AT50" s="37"/>
      <c r="AU50" s="37"/>
      <c r="AV50" s="37"/>
      <c r="AW50" s="37"/>
      <c r="AX50" s="137"/>
      <c r="AY50" s="37"/>
      <c r="AZ50" s="37"/>
      <c r="BA50" s="37"/>
      <c r="BB50" s="37"/>
      <c r="BC50" s="137"/>
      <c r="BD50" s="37"/>
      <c r="BE50" s="37"/>
      <c r="BF50" s="37"/>
      <c r="BG50" s="37"/>
      <c r="BH50" s="37"/>
      <c r="BI50" s="137"/>
      <c r="BJ50" s="37"/>
      <c r="BK50" s="37"/>
      <c r="BL50" s="37"/>
      <c r="BM50" s="37"/>
      <c r="BN50" s="37"/>
    </row>
    <row r="51" spans="1:66" ht="15" x14ac:dyDescent="0.2">
      <c r="A51" s="32" t="s">
        <v>101</v>
      </c>
      <c r="B51" s="138" t="s">
        <v>114</v>
      </c>
      <c r="C51" s="133" t="s">
        <v>115</v>
      </c>
      <c r="D51" s="133" t="s">
        <v>116</v>
      </c>
      <c r="E51" s="44" t="s">
        <v>372</v>
      </c>
      <c r="F51" s="44" t="s">
        <v>373</v>
      </c>
      <c r="G51" s="133" t="s">
        <v>44</v>
      </c>
      <c r="H51" s="138" t="s">
        <v>114</v>
      </c>
      <c r="I51" s="133" t="s">
        <v>115</v>
      </c>
      <c r="J51" s="133" t="s">
        <v>116</v>
      </c>
      <c r="K51" s="44" t="s">
        <v>372</v>
      </c>
      <c r="L51" s="133" t="s">
        <v>44</v>
      </c>
      <c r="M51" s="138" t="s">
        <v>114</v>
      </c>
      <c r="N51" s="133" t="s">
        <v>115</v>
      </c>
      <c r="O51" s="133" t="s">
        <v>116</v>
      </c>
      <c r="P51" s="133" t="s">
        <v>44</v>
      </c>
      <c r="Q51" s="138" t="s">
        <v>114</v>
      </c>
      <c r="R51" s="133" t="s">
        <v>115</v>
      </c>
      <c r="S51" s="133" t="s">
        <v>116</v>
      </c>
      <c r="T51" s="44" t="s">
        <v>372</v>
      </c>
      <c r="U51" s="133" t="s">
        <v>44</v>
      </c>
      <c r="V51" s="138" t="s">
        <v>114</v>
      </c>
      <c r="W51" s="133" t="s">
        <v>115</v>
      </c>
      <c r="X51" s="133" t="s">
        <v>116</v>
      </c>
      <c r="Y51" s="44" t="s">
        <v>372</v>
      </c>
      <c r="Z51" s="133" t="s">
        <v>44</v>
      </c>
      <c r="AA51" s="138" t="s">
        <v>114</v>
      </c>
      <c r="AB51" s="133" t="s">
        <v>115</v>
      </c>
      <c r="AC51" s="133" t="s">
        <v>116</v>
      </c>
      <c r="AD51" s="44" t="s">
        <v>372</v>
      </c>
      <c r="AE51" s="44" t="s">
        <v>374</v>
      </c>
      <c r="AF51" s="133" t="s">
        <v>44</v>
      </c>
      <c r="AG51" s="138" t="s">
        <v>114</v>
      </c>
      <c r="AH51" s="133" t="s">
        <v>115</v>
      </c>
      <c r="AI51" s="133" t="s">
        <v>116</v>
      </c>
      <c r="AJ51" s="44" t="s">
        <v>372</v>
      </c>
      <c r="AK51" s="44" t="s">
        <v>374</v>
      </c>
      <c r="AL51" s="133" t="s">
        <v>44</v>
      </c>
      <c r="AM51" s="138" t="s">
        <v>114</v>
      </c>
      <c r="AN51" s="133" t="s">
        <v>115</v>
      </c>
      <c r="AO51" s="133" t="s">
        <v>116</v>
      </c>
      <c r="AP51" s="44" t="s">
        <v>372</v>
      </c>
      <c r="AQ51" s="44" t="s">
        <v>374</v>
      </c>
      <c r="AR51" s="133" t="s">
        <v>44</v>
      </c>
      <c r="AS51" s="138" t="s">
        <v>114</v>
      </c>
      <c r="AT51" s="133" t="s">
        <v>115</v>
      </c>
      <c r="AU51" s="133" t="s">
        <v>116</v>
      </c>
      <c r="AV51" s="44" t="s">
        <v>372</v>
      </c>
      <c r="AW51" s="133" t="s">
        <v>44</v>
      </c>
      <c r="AX51" s="138" t="s">
        <v>114</v>
      </c>
      <c r="AY51" s="133" t="s">
        <v>115</v>
      </c>
      <c r="AZ51" s="133" t="s">
        <v>116</v>
      </c>
      <c r="BA51" s="44" t="s">
        <v>372</v>
      </c>
      <c r="BB51" s="133" t="s">
        <v>44</v>
      </c>
      <c r="BC51" s="138" t="s">
        <v>114</v>
      </c>
      <c r="BD51" s="133" t="s">
        <v>115</v>
      </c>
      <c r="BE51" s="133" t="s">
        <v>116</v>
      </c>
      <c r="BF51" s="44" t="s">
        <v>375</v>
      </c>
      <c r="BG51" s="44" t="s">
        <v>372</v>
      </c>
      <c r="BH51" s="133" t="s">
        <v>44</v>
      </c>
      <c r="BI51" s="138" t="s">
        <v>114</v>
      </c>
      <c r="BJ51" s="133" t="s">
        <v>115</v>
      </c>
      <c r="BK51" s="133" t="s">
        <v>116</v>
      </c>
      <c r="BL51" s="44" t="s">
        <v>375</v>
      </c>
      <c r="BM51" s="44" t="s">
        <v>372</v>
      </c>
      <c r="BN51" s="133" t="s">
        <v>44</v>
      </c>
    </row>
    <row r="52" spans="1:66" ht="15" x14ac:dyDescent="0.2">
      <c r="A52" s="32" t="s">
        <v>124</v>
      </c>
      <c r="B52" s="141"/>
      <c r="C52" s="39"/>
      <c r="D52" s="39"/>
      <c r="E52" s="39"/>
      <c r="F52" s="39"/>
      <c r="G52" s="40"/>
      <c r="H52" s="141"/>
      <c r="I52" s="39"/>
      <c r="J52" s="39"/>
      <c r="K52" s="39"/>
      <c r="L52" s="40"/>
      <c r="M52" s="141"/>
      <c r="N52" s="39"/>
      <c r="O52" s="39"/>
      <c r="P52" s="40"/>
      <c r="Q52" s="141"/>
      <c r="R52" s="39"/>
      <c r="S52" s="39"/>
      <c r="T52" s="39"/>
      <c r="U52" s="40"/>
      <c r="V52" s="141"/>
      <c r="W52" s="39"/>
      <c r="X52" s="39"/>
      <c r="Y52" s="39"/>
      <c r="Z52" s="40"/>
      <c r="AA52" s="141"/>
      <c r="AB52" s="39"/>
      <c r="AC52" s="39"/>
      <c r="AD52" s="39"/>
      <c r="AE52" s="39"/>
      <c r="AF52" s="40"/>
      <c r="AG52" s="141"/>
      <c r="AH52" s="39"/>
      <c r="AI52" s="39"/>
      <c r="AJ52" s="39"/>
      <c r="AK52" s="39"/>
      <c r="AL52" s="40"/>
      <c r="AM52" s="141"/>
      <c r="AN52" s="39"/>
      <c r="AO52" s="39"/>
      <c r="AP52" s="39"/>
      <c r="AQ52" s="39"/>
      <c r="AR52" s="40"/>
      <c r="AS52" s="141"/>
      <c r="AT52" s="39"/>
      <c r="AU52" s="39"/>
      <c r="AV52" s="39"/>
      <c r="AW52" s="40"/>
      <c r="AX52" s="141"/>
      <c r="AY52" s="39"/>
      <c r="AZ52" s="39"/>
      <c r="BA52" s="39"/>
      <c r="BB52" s="40"/>
      <c r="BC52" s="141"/>
      <c r="BD52" s="39"/>
      <c r="BE52" s="39"/>
      <c r="BF52" s="39"/>
      <c r="BG52" s="39"/>
      <c r="BH52" s="40"/>
      <c r="BI52" s="141"/>
      <c r="BJ52" s="39"/>
      <c r="BK52" s="39"/>
      <c r="BL52" s="39"/>
      <c r="BM52" s="39"/>
      <c r="BN52" s="40"/>
    </row>
    <row r="53" spans="1:66" ht="15" x14ac:dyDescent="0.25">
      <c r="A53" s="33" t="s">
        <v>265</v>
      </c>
      <c r="B53" s="143">
        <v>8</v>
      </c>
      <c r="C53" s="38">
        <v>19918191.920000002</v>
      </c>
      <c r="D53" s="38">
        <v>1905426.2000000002</v>
      </c>
      <c r="E53" s="38">
        <v>0</v>
      </c>
      <c r="F53" s="38">
        <v>960000</v>
      </c>
      <c r="G53" s="38">
        <f>SUM(C53:F53)</f>
        <v>22783618.120000001</v>
      </c>
      <c r="H53" s="143">
        <v>8</v>
      </c>
      <c r="I53" s="38">
        <v>17523830.749999996</v>
      </c>
      <c r="J53" s="38">
        <v>1405511.72</v>
      </c>
      <c r="K53" s="38">
        <v>0</v>
      </c>
      <c r="L53" s="38">
        <f>SUM(I53:K53)</f>
        <v>18929342.469999995</v>
      </c>
      <c r="M53" s="143">
        <v>8</v>
      </c>
      <c r="N53" s="38">
        <v>19169154.149999999</v>
      </c>
      <c r="O53" s="38">
        <v>1321741.03</v>
      </c>
      <c r="P53" s="38">
        <f>SUM(N53:O53)</f>
        <v>20490895.18</v>
      </c>
      <c r="Q53" s="143">
        <v>8</v>
      </c>
      <c r="R53" s="38">
        <v>18834271.230000004</v>
      </c>
      <c r="S53" s="38">
        <v>2860335.69</v>
      </c>
      <c r="T53" s="38">
        <v>0</v>
      </c>
      <c r="U53" s="38">
        <f>SUM(R53:T53)</f>
        <v>21694606.920000006</v>
      </c>
      <c r="V53" s="143">
        <v>8</v>
      </c>
      <c r="W53" s="38">
        <v>19458333.720000003</v>
      </c>
      <c r="X53" s="38">
        <v>1686091.46</v>
      </c>
      <c r="Y53" s="38">
        <v>0</v>
      </c>
      <c r="Z53" s="38">
        <f>SUM(W53:Y53)</f>
        <v>21144425.180000003</v>
      </c>
      <c r="AA53" s="143">
        <v>8</v>
      </c>
      <c r="AB53" s="38">
        <v>22671885.759999998</v>
      </c>
      <c r="AC53" s="38">
        <v>7344840.8300000001</v>
      </c>
      <c r="AD53" s="38">
        <v>15163687.529999999</v>
      </c>
      <c r="AE53" s="38">
        <v>450000</v>
      </c>
      <c r="AF53" s="38">
        <f>SUM(AB53:AE53)</f>
        <v>45630414.119999997</v>
      </c>
      <c r="AG53" s="143">
        <v>8</v>
      </c>
      <c r="AH53" s="38">
        <v>25063812.129999999</v>
      </c>
      <c r="AI53" s="38">
        <v>3914667.2699999996</v>
      </c>
      <c r="AJ53" s="38">
        <v>0</v>
      </c>
      <c r="AK53" s="38">
        <v>450000</v>
      </c>
      <c r="AL53" s="38">
        <f>SUM(AH53:AK53)</f>
        <v>29428479.399999999</v>
      </c>
      <c r="AM53" s="143">
        <v>9</v>
      </c>
      <c r="AN53" s="38">
        <v>26809952.34</v>
      </c>
      <c r="AO53" s="38">
        <v>5088805.33</v>
      </c>
      <c r="AP53" s="38">
        <v>724619.24000000011</v>
      </c>
      <c r="AQ53" s="38">
        <v>640000</v>
      </c>
      <c r="AR53" s="38">
        <f>SUM(AN53:AQ53)</f>
        <v>33263376.91</v>
      </c>
      <c r="AS53" s="143">
        <v>9</v>
      </c>
      <c r="AT53" s="38">
        <v>27129755.300000001</v>
      </c>
      <c r="AU53" s="38">
        <v>3338347.7299999995</v>
      </c>
      <c r="AV53" s="38">
        <v>0</v>
      </c>
      <c r="AW53" s="38">
        <f>SUM(AT53:AV53)</f>
        <v>30468103.030000001</v>
      </c>
      <c r="AX53" s="143">
        <v>9</v>
      </c>
      <c r="AY53" s="38">
        <v>51282381.089999996</v>
      </c>
      <c r="AZ53" s="38">
        <v>848610.39</v>
      </c>
      <c r="BA53" s="38">
        <v>0</v>
      </c>
      <c r="BB53" s="38">
        <f>SUM(AY53:BA53)</f>
        <v>52130991.479999997</v>
      </c>
      <c r="BC53" s="143">
        <v>9</v>
      </c>
      <c r="BD53" s="38">
        <v>28009947.779999997</v>
      </c>
      <c r="BE53" s="38">
        <v>4862017.3900000006</v>
      </c>
      <c r="BF53" s="38">
        <v>450000</v>
      </c>
      <c r="BG53" s="38">
        <v>0</v>
      </c>
      <c r="BH53" s="38">
        <f>SUM(BD53:BG53)</f>
        <v>33321965.169999998</v>
      </c>
      <c r="BI53" s="143">
        <v>9</v>
      </c>
      <c r="BJ53" s="38">
        <v>27694380.93</v>
      </c>
      <c r="BK53" s="38">
        <v>2442427.6800000002</v>
      </c>
      <c r="BL53" s="38"/>
      <c r="BM53" s="38">
        <v>17925239.5</v>
      </c>
      <c r="BN53" s="38">
        <f>SUM(BJ53:BM53)</f>
        <v>48062048.109999999</v>
      </c>
    </row>
    <row r="54" spans="1:66" ht="15" x14ac:dyDescent="0.2">
      <c r="A54" s="32" t="s">
        <v>118</v>
      </c>
      <c r="B54" s="140">
        <f t="shared" ref="B54:BH54" si="23">SUM(B53)</f>
        <v>8</v>
      </c>
      <c r="C54" s="140">
        <f t="shared" si="23"/>
        <v>19918191.920000002</v>
      </c>
      <c r="D54" s="140">
        <f t="shared" si="23"/>
        <v>1905426.2000000002</v>
      </c>
      <c r="E54" s="140">
        <f t="shared" si="23"/>
        <v>0</v>
      </c>
      <c r="F54" s="140">
        <f t="shared" si="23"/>
        <v>960000</v>
      </c>
      <c r="G54" s="140">
        <f t="shared" si="23"/>
        <v>22783618.120000001</v>
      </c>
      <c r="H54" s="140">
        <f t="shared" si="23"/>
        <v>8</v>
      </c>
      <c r="I54" s="140">
        <f t="shared" si="23"/>
        <v>17523830.749999996</v>
      </c>
      <c r="J54" s="140">
        <f t="shared" si="23"/>
        <v>1405511.72</v>
      </c>
      <c r="K54" s="140">
        <f t="shared" si="23"/>
        <v>0</v>
      </c>
      <c r="L54" s="140">
        <f t="shared" si="23"/>
        <v>18929342.469999995</v>
      </c>
      <c r="M54" s="140">
        <f t="shared" si="23"/>
        <v>8</v>
      </c>
      <c r="N54" s="140">
        <f t="shared" si="23"/>
        <v>19169154.149999999</v>
      </c>
      <c r="O54" s="140">
        <f t="shared" si="23"/>
        <v>1321741.03</v>
      </c>
      <c r="P54" s="140">
        <f t="shared" si="23"/>
        <v>20490895.18</v>
      </c>
      <c r="Q54" s="140">
        <f t="shared" si="23"/>
        <v>8</v>
      </c>
      <c r="R54" s="140">
        <f t="shared" si="23"/>
        <v>18834271.230000004</v>
      </c>
      <c r="S54" s="140">
        <f t="shared" si="23"/>
        <v>2860335.69</v>
      </c>
      <c r="T54" s="140">
        <f t="shared" si="23"/>
        <v>0</v>
      </c>
      <c r="U54" s="140">
        <f t="shared" si="23"/>
        <v>21694606.920000006</v>
      </c>
      <c r="V54" s="140">
        <f t="shared" si="23"/>
        <v>8</v>
      </c>
      <c r="W54" s="140">
        <f t="shared" si="23"/>
        <v>19458333.720000003</v>
      </c>
      <c r="X54" s="140">
        <f t="shared" si="23"/>
        <v>1686091.46</v>
      </c>
      <c r="Y54" s="140">
        <f t="shared" si="23"/>
        <v>0</v>
      </c>
      <c r="Z54" s="140">
        <f t="shared" si="23"/>
        <v>21144425.180000003</v>
      </c>
      <c r="AA54" s="140">
        <f t="shared" si="23"/>
        <v>8</v>
      </c>
      <c r="AB54" s="140">
        <f t="shared" si="23"/>
        <v>22671885.759999998</v>
      </c>
      <c r="AC54" s="140">
        <f t="shared" si="23"/>
        <v>7344840.8300000001</v>
      </c>
      <c r="AD54" s="140">
        <f t="shared" si="23"/>
        <v>15163687.529999999</v>
      </c>
      <c r="AE54" s="140">
        <f t="shared" si="23"/>
        <v>450000</v>
      </c>
      <c r="AF54" s="140">
        <f t="shared" si="23"/>
        <v>45630414.119999997</v>
      </c>
      <c r="AG54" s="140">
        <f t="shared" si="23"/>
        <v>8</v>
      </c>
      <c r="AH54" s="140">
        <f t="shared" si="23"/>
        <v>25063812.129999999</v>
      </c>
      <c r="AI54" s="140">
        <f t="shared" si="23"/>
        <v>3914667.2699999996</v>
      </c>
      <c r="AJ54" s="140">
        <f t="shared" si="23"/>
        <v>0</v>
      </c>
      <c r="AK54" s="140">
        <f t="shared" si="23"/>
        <v>450000</v>
      </c>
      <c r="AL54" s="140">
        <f t="shared" si="23"/>
        <v>29428479.399999999</v>
      </c>
      <c r="AM54" s="140">
        <f t="shared" si="23"/>
        <v>9</v>
      </c>
      <c r="AN54" s="140">
        <f t="shared" si="23"/>
        <v>26809952.34</v>
      </c>
      <c r="AO54" s="140">
        <f t="shared" si="23"/>
        <v>5088805.33</v>
      </c>
      <c r="AP54" s="140">
        <f t="shared" si="23"/>
        <v>724619.24000000011</v>
      </c>
      <c r="AQ54" s="140">
        <f t="shared" si="23"/>
        <v>640000</v>
      </c>
      <c r="AR54" s="140">
        <f t="shared" si="23"/>
        <v>33263376.91</v>
      </c>
      <c r="AS54" s="140">
        <f t="shared" si="23"/>
        <v>9</v>
      </c>
      <c r="AT54" s="140">
        <f t="shared" si="23"/>
        <v>27129755.300000001</v>
      </c>
      <c r="AU54" s="140">
        <f t="shared" si="23"/>
        <v>3338347.7299999995</v>
      </c>
      <c r="AV54" s="140">
        <f t="shared" si="23"/>
        <v>0</v>
      </c>
      <c r="AW54" s="140">
        <f t="shared" si="23"/>
        <v>30468103.030000001</v>
      </c>
      <c r="AX54" s="140">
        <f t="shared" si="23"/>
        <v>9</v>
      </c>
      <c r="AY54" s="140">
        <f t="shared" si="23"/>
        <v>51282381.089999996</v>
      </c>
      <c r="AZ54" s="140">
        <f t="shared" si="23"/>
        <v>848610.39</v>
      </c>
      <c r="BA54" s="140">
        <f t="shared" si="23"/>
        <v>0</v>
      </c>
      <c r="BB54" s="140">
        <f t="shared" si="23"/>
        <v>52130991.479999997</v>
      </c>
      <c r="BC54" s="140">
        <f t="shared" si="23"/>
        <v>9</v>
      </c>
      <c r="BD54" s="140">
        <f t="shared" si="23"/>
        <v>28009947.779999997</v>
      </c>
      <c r="BE54" s="140">
        <f t="shared" si="23"/>
        <v>4862017.3900000006</v>
      </c>
      <c r="BF54" s="140">
        <f t="shared" si="23"/>
        <v>450000</v>
      </c>
      <c r="BG54" s="140">
        <f t="shared" si="23"/>
        <v>0</v>
      </c>
      <c r="BH54" s="140">
        <f t="shared" si="23"/>
        <v>33321965.169999998</v>
      </c>
      <c r="BI54" s="140">
        <f t="shared" ref="BI54:BN54" si="24">SUM(BI53)</f>
        <v>9</v>
      </c>
      <c r="BJ54" s="140">
        <f t="shared" si="24"/>
        <v>27694380.93</v>
      </c>
      <c r="BK54" s="140">
        <f t="shared" si="24"/>
        <v>2442427.6800000002</v>
      </c>
      <c r="BL54" s="140">
        <f t="shared" si="24"/>
        <v>0</v>
      </c>
      <c r="BM54" s="140">
        <f t="shared" si="24"/>
        <v>17925239.5</v>
      </c>
      <c r="BN54" s="140">
        <f t="shared" si="24"/>
        <v>48062048.109999999</v>
      </c>
    </row>
    <row r="55" spans="1:66" x14ac:dyDescent="0.2">
      <c r="B55" s="137"/>
      <c r="C55" s="37"/>
      <c r="D55" s="37"/>
      <c r="E55" s="37"/>
      <c r="F55" s="37"/>
      <c r="G55" s="37"/>
      <c r="H55" s="137"/>
      <c r="I55" s="37"/>
      <c r="J55" s="37"/>
      <c r="K55" s="37"/>
      <c r="L55" s="37"/>
      <c r="M55" s="137"/>
      <c r="N55" s="37"/>
      <c r="O55" s="37"/>
      <c r="P55" s="37"/>
      <c r="Q55" s="137"/>
      <c r="R55" s="37"/>
      <c r="S55" s="37"/>
      <c r="T55" s="37"/>
      <c r="U55" s="37"/>
      <c r="V55" s="137"/>
      <c r="W55" s="37"/>
      <c r="X55" s="37"/>
      <c r="Y55" s="37"/>
      <c r="Z55" s="37"/>
      <c r="AA55" s="137"/>
      <c r="AB55" s="37"/>
      <c r="AC55" s="37"/>
      <c r="AD55" s="37"/>
      <c r="AE55" s="37"/>
      <c r="AF55" s="37"/>
      <c r="AG55" s="137"/>
      <c r="AH55" s="37"/>
      <c r="AI55" s="37"/>
      <c r="AJ55" s="37"/>
      <c r="AK55" s="37"/>
      <c r="AL55" s="37"/>
      <c r="AM55" s="137"/>
      <c r="AN55" s="37"/>
      <c r="AO55" s="37"/>
      <c r="AP55" s="37"/>
      <c r="AQ55" s="37"/>
      <c r="AR55" s="37"/>
      <c r="AS55" s="137"/>
      <c r="AT55" s="37"/>
      <c r="AU55" s="37"/>
      <c r="AV55" s="37"/>
      <c r="AW55" s="37"/>
      <c r="AX55" s="137"/>
      <c r="AY55" s="37"/>
      <c r="AZ55" s="37"/>
      <c r="BA55" s="37"/>
      <c r="BB55" s="37"/>
      <c r="BC55" s="137"/>
      <c r="BD55" s="37"/>
      <c r="BE55" s="37"/>
      <c r="BF55" s="37"/>
      <c r="BG55" s="37"/>
      <c r="BH55" s="37"/>
      <c r="BI55" s="137"/>
      <c r="BJ55" s="37"/>
      <c r="BK55" s="37"/>
      <c r="BL55" s="37"/>
      <c r="BM55" s="37"/>
      <c r="BN55" s="37"/>
    </row>
    <row r="56" spans="1:66" ht="15" hidden="1" x14ac:dyDescent="0.2">
      <c r="A56" s="32" t="s">
        <v>101</v>
      </c>
      <c r="B56" s="138" t="s">
        <v>114</v>
      </c>
      <c r="C56" s="133" t="s">
        <v>115</v>
      </c>
      <c r="D56" s="133" t="s">
        <v>116</v>
      </c>
      <c r="E56" s="44"/>
      <c r="F56" s="44"/>
      <c r="G56" s="133" t="s">
        <v>44</v>
      </c>
      <c r="H56" s="138" t="s">
        <v>114</v>
      </c>
      <c r="I56" s="133" t="s">
        <v>115</v>
      </c>
      <c r="J56" s="133" t="s">
        <v>116</v>
      </c>
      <c r="K56" s="44"/>
      <c r="L56" s="133" t="s">
        <v>44</v>
      </c>
      <c r="M56" s="138" t="s">
        <v>114</v>
      </c>
      <c r="N56" s="133" t="s">
        <v>115</v>
      </c>
      <c r="O56" s="133" t="s">
        <v>116</v>
      </c>
      <c r="P56" s="133" t="s">
        <v>44</v>
      </c>
      <c r="Q56" s="138" t="s">
        <v>114</v>
      </c>
      <c r="R56" s="133" t="s">
        <v>115</v>
      </c>
      <c r="S56" s="133" t="s">
        <v>116</v>
      </c>
      <c r="T56" s="44"/>
      <c r="U56" s="133" t="s">
        <v>44</v>
      </c>
      <c r="V56" s="138" t="s">
        <v>114</v>
      </c>
      <c r="W56" s="133" t="s">
        <v>115</v>
      </c>
      <c r="X56" s="133" t="s">
        <v>116</v>
      </c>
      <c r="Y56" s="44"/>
      <c r="Z56" s="133" t="s">
        <v>44</v>
      </c>
      <c r="AA56" s="138" t="s">
        <v>114</v>
      </c>
      <c r="AB56" s="133" t="s">
        <v>115</v>
      </c>
      <c r="AC56" s="133" t="s">
        <v>116</v>
      </c>
      <c r="AD56" s="44"/>
      <c r="AE56" s="44"/>
      <c r="AF56" s="133" t="s">
        <v>44</v>
      </c>
      <c r="AG56" s="138" t="s">
        <v>114</v>
      </c>
      <c r="AH56" s="133" t="s">
        <v>115</v>
      </c>
      <c r="AI56" s="133" t="s">
        <v>116</v>
      </c>
      <c r="AJ56" s="44"/>
      <c r="AK56" s="44"/>
      <c r="AL56" s="133" t="s">
        <v>44</v>
      </c>
      <c r="AM56" s="138" t="s">
        <v>114</v>
      </c>
      <c r="AN56" s="133" t="s">
        <v>115</v>
      </c>
      <c r="AO56" s="133" t="s">
        <v>116</v>
      </c>
      <c r="AP56" s="44"/>
      <c r="AQ56" s="44"/>
      <c r="AR56" s="133" t="s">
        <v>44</v>
      </c>
      <c r="AS56" s="138" t="s">
        <v>114</v>
      </c>
      <c r="AT56" s="133" t="s">
        <v>115</v>
      </c>
      <c r="AU56" s="133" t="s">
        <v>116</v>
      </c>
      <c r="AV56" s="44"/>
      <c r="AW56" s="133" t="s">
        <v>44</v>
      </c>
      <c r="AX56" s="138" t="s">
        <v>114</v>
      </c>
      <c r="AY56" s="133" t="s">
        <v>115</v>
      </c>
      <c r="AZ56" s="133" t="s">
        <v>116</v>
      </c>
      <c r="BA56" s="44"/>
      <c r="BB56" s="133" t="s">
        <v>44</v>
      </c>
      <c r="BC56" s="138" t="s">
        <v>114</v>
      </c>
      <c r="BD56" s="133" t="s">
        <v>115</v>
      </c>
      <c r="BE56" s="133" t="s">
        <v>116</v>
      </c>
      <c r="BF56" s="44"/>
      <c r="BG56" s="44"/>
      <c r="BH56" s="133" t="s">
        <v>44</v>
      </c>
      <c r="BI56" s="138" t="s">
        <v>114</v>
      </c>
      <c r="BJ56" s="133" t="s">
        <v>115</v>
      </c>
      <c r="BK56" s="133" t="s">
        <v>116</v>
      </c>
      <c r="BL56" s="44"/>
      <c r="BM56" s="44"/>
      <c r="BN56" s="133" t="s">
        <v>44</v>
      </c>
    </row>
    <row r="57" spans="1:66" ht="15" hidden="1" x14ac:dyDescent="0.2">
      <c r="A57" s="32" t="s">
        <v>125</v>
      </c>
      <c r="B57" s="139"/>
      <c r="C57" s="35"/>
      <c r="D57" s="35"/>
      <c r="E57" s="35"/>
      <c r="F57" s="35"/>
      <c r="G57" s="35"/>
      <c r="H57" s="139"/>
      <c r="I57" s="35"/>
      <c r="J57" s="35"/>
      <c r="K57" s="35"/>
      <c r="L57" s="35"/>
      <c r="M57" s="139"/>
      <c r="N57" s="35"/>
      <c r="O57" s="35"/>
      <c r="P57" s="35"/>
      <c r="Q57" s="139"/>
      <c r="R57" s="35"/>
      <c r="S57" s="35"/>
      <c r="T57" s="35"/>
      <c r="U57" s="35"/>
      <c r="V57" s="139"/>
      <c r="W57" s="35"/>
      <c r="X57" s="35"/>
      <c r="Y57" s="35"/>
      <c r="Z57" s="35"/>
      <c r="AA57" s="139"/>
      <c r="AB57" s="35"/>
      <c r="AC57" s="35"/>
      <c r="AD57" s="35"/>
      <c r="AE57" s="35"/>
      <c r="AF57" s="35"/>
      <c r="AG57" s="139"/>
      <c r="AH57" s="35"/>
      <c r="AI57" s="35"/>
      <c r="AJ57" s="35"/>
      <c r="AK57" s="35"/>
      <c r="AL57" s="35"/>
      <c r="AM57" s="139"/>
      <c r="AN57" s="35"/>
      <c r="AO57" s="35"/>
      <c r="AP57" s="35"/>
      <c r="AQ57" s="35"/>
      <c r="AR57" s="35"/>
      <c r="AS57" s="139"/>
      <c r="AT57" s="35"/>
      <c r="AU57" s="35"/>
      <c r="AV57" s="35"/>
      <c r="AW57" s="35"/>
      <c r="AX57" s="139"/>
      <c r="AY57" s="35"/>
      <c r="AZ57" s="35"/>
      <c r="BA57" s="35"/>
      <c r="BB57" s="35"/>
      <c r="BC57" s="139"/>
      <c r="BD57" s="35"/>
      <c r="BE57" s="35"/>
      <c r="BF57" s="35"/>
      <c r="BG57" s="35"/>
      <c r="BH57" s="35"/>
      <c r="BI57" s="139"/>
      <c r="BJ57" s="35"/>
      <c r="BK57" s="35"/>
      <c r="BL57" s="35"/>
      <c r="BM57" s="35"/>
      <c r="BN57" s="35"/>
    </row>
    <row r="58" spans="1:66" ht="15" hidden="1" x14ac:dyDescent="0.25">
      <c r="A58" s="33" t="s">
        <v>125</v>
      </c>
      <c r="B58" s="38">
        <v>0</v>
      </c>
      <c r="C58" s="38">
        <v>0</v>
      </c>
      <c r="D58" s="38">
        <v>0</v>
      </c>
      <c r="E58" s="38"/>
      <c r="F58" s="38"/>
      <c r="G58" s="38">
        <f>SUM(C58:E58)</f>
        <v>0</v>
      </c>
      <c r="H58" s="38">
        <v>0</v>
      </c>
      <c r="I58" s="38">
        <v>0</v>
      </c>
      <c r="J58" s="38">
        <v>0</v>
      </c>
      <c r="K58" s="38"/>
      <c r="L58" s="38">
        <f>SUM(I58:K58)</f>
        <v>0</v>
      </c>
      <c r="M58" s="38">
        <v>0</v>
      </c>
      <c r="N58" s="38">
        <v>0</v>
      </c>
      <c r="O58" s="38">
        <v>0</v>
      </c>
      <c r="P58" s="38">
        <f>SUM(N58:O58)</f>
        <v>0</v>
      </c>
      <c r="Q58" s="38">
        <v>0</v>
      </c>
      <c r="R58" s="38">
        <v>0</v>
      </c>
      <c r="S58" s="38">
        <v>0</v>
      </c>
      <c r="T58" s="38"/>
      <c r="U58" s="38">
        <f>SUM(R58:T58)</f>
        <v>0</v>
      </c>
      <c r="V58" s="38">
        <v>0</v>
      </c>
      <c r="W58" s="38">
        <v>0</v>
      </c>
      <c r="X58" s="38">
        <v>0</v>
      </c>
      <c r="Y58" s="38"/>
      <c r="Z58" s="38">
        <f>SUM(W58:Y58)</f>
        <v>0</v>
      </c>
      <c r="AA58" s="38">
        <v>0</v>
      </c>
      <c r="AB58" s="38">
        <v>0</v>
      </c>
      <c r="AC58" s="38">
        <v>0</v>
      </c>
      <c r="AD58" s="38"/>
      <c r="AE58" s="38"/>
      <c r="AF58" s="38">
        <f>SUM(AB58:AD58)</f>
        <v>0</v>
      </c>
      <c r="AG58" s="38">
        <v>0</v>
      </c>
      <c r="AH58" s="38">
        <v>0</v>
      </c>
      <c r="AI58" s="38">
        <v>0</v>
      </c>
      <c r="AJ58" s="38"/>
      <c r="AK58" s="38"/>
      <c r="AL58" s="38">
        <f>SUM(AH58:AJ58)</f>
        <v>0</v>
      </c>
      <c r="AM58" s="38">
        <v>0</v>
      </c>
      <c r="AN58" s="38">
        <v>0</v>
      </c>
      <c r="AO58" s="38">
        <v>0</v>
      </c>
      <c r="AP58" s="38"/>
      <c r="AQ58" s="38"/>
      <c r="AR58" s="38">
        <f>SUM(AN58:AP58)</f>
        <v>0</v>
      </c>
      <c r="AS58" s="38">
        <v>0</v>
      </c>
      <c r="AT58" s="38">
        <v>0</v>
      </c>
      <c r="AU58" s="38">
        <v>0</v>
      </c>
      <c r="AV58" s="38"/>
      <c r="AW58" s="38">
        <f>SUM(AT58:AV58)</f>
        <v>0</v>
      </c>
      <c r="AX58" s="38">
        <v>0</v>
      </c>
      <c r="AY58" s="38">
        <v>0</v>
      </c>
      <c r="AZ58" s="38">
        <v>0</v>
      </c>
      <c r="BA58" s="38"/>
      <c r="BB58" s="38">
        <f>SUM(AY58:BA58)</f>
        <v>0</v>
      </c>
      <c r="BC58" s="38">
        <v>0</v>
      </c>
      <c r="BD58" s="38">
        <v>0</v>
      </c>
      <c r="BE58" s="38">
        <v>0</v>
      </c>
      <c r="BF58" s="38"/>
      <c r="BG58" s="38"/>
      <c r="BH58" s="38">
        <f>SUM(BD58:BG58)</f>
        <v>0</v>
      </c>
      <c r="BI58" s="38">
        <v>0</v>
      </c>
      <c r="BJ58" s="38">
        <v>0</v>
      </c>
      <c r="BK58" s="38">
        <v>0</v>
      </c>
      <c r="BL58" s="38"/>
      <c r="BM58" s="38"/>
      <c r="BN58" s="38">
        <f>SUM(BJ58:BM58)</f>
        <v>0</v>
      </c>
    </row>
    <row r="59" spans="1:66" ht="15" hidden="1" x14ac:dyDescent="0.2">
      <c r="A59" s="32" t="s">
        <v>118</v>
      </c>
      <c r="B59" s="140">
        <f t="shared" ref="B59:BH59" si="25">SUM(B58)</f>
        <v>0</v>
      </c>
      <c r="C59" s="140">
        <f t="shared" si="25"/>
        <v>0</v>
      </c>
      <c r="D59" s="140">
        <f t="shared" si="25"/>
        <v>0</v>
      </c>
      <c r="E59" s="140">
        <f t="shared" si="25"/>
        <v>0</v>
      </c>
      <c r="F59" s="140">
        <f t="shared" si="25"/>
        <v>0</v>
      </c>
      <c r="G59" s="140">
        <f t="shared" si="25"/>
        <v>0</v>
      </c>
      <c r="H59" s="140">
        <f t="shared" si="25"/>
        <v>0</v>
      </c>
      <c r="I59" s="140">
        <f t="shared" si="25"/>
        <v>0</v>
      </c>
      <c r="J59" s="140">
        <f t="shared" si="25"/>
        <v>0</v>
      </c>
      <c r="K59" s="140">
        <f t="shared" si="25"/>
        <v>0</v>
      </c>
      <c r="L59" s="140">
        <f t="shared" si="25"/>
        <v>0</v>
      </c>
      <c r="M59" s="140">
        <f t="shared" si="25"/>
        <v>0</v>
      </c>
      <c r="N59" s="140">
        <f t="shared" si="25"/>
        <v>0</v>
      </c>
      <c r="O59" s="140">
        <f t="shared" si="25"/>
        <v>0</v>
      </c>
      <c r="P59" s="140">
        <f t="shared" si="25"/>
        <v>0</v>
      </c>
      <c r="Q59" s="140">
        <f t="shared" si="25"/>
        <v>0</v>
      </c>
      <c r="R59" s="140">
        <f t="shared" si="25"/>
        <v>0</v>
      </c>
      <c r="S59" s="140">
        <f t="shared" si="25"/>
        <v>0</v>
      </c>
      <c r="T59" s="140">
        <f t="shared" si="25"/>
        <v>0</v>
      </c>
      <c r="U59" s="140">
        <f t="shared" si="25"/>
        <v>0</v>
      </c>
      <c r="V59" s="140">
        <f t="shared" si="25"/>
        <v>0</v>
      </c>
      <c r="W59" s="140">
        <f t="shared" si="25"/>
        <v>0</v>
      </c>
      <c r="X59" s="140">
        <f t="shared" si="25"/>
        <v>0</v>
      </c>
      <c r="Y59" s="140">
        <f t="shared" si="25"/>
        <v>0</v>
      </c>
      <c r="Z59" s="140">
        <f t="shared" si="25"/>
        <v>0</v>
      </c>
      <c r="AA59" s="140">
        <f t="shared" si="25"/>
        <v>0</v>
      </c>
      <c r="AB59" s="140">
        <f t="shared" si="25"/>
        <v>0</v>
      </c>
      <c r="AC59" s="140">
        <f t="shared" si="25"/>
        <v>0</v>
      </c>
      <c r="AD59" s="140">
        <f t="shared" si="25"/>
        <v>0</v>
      </c>
      <c r="AE59" s="140">
        <f t="shared" si="25"/>
        <v>0</v>
      </c>
      <c r="AF59" s="140">
        <f t="shared" si="25"/>
        <v>0</v>
      </c>
      <c r="AG59" s="140">
        <f t="shared" si="25"/>
        <v>0</v>
      </c>
      <c r="AH59" s="140">
        <f t="shared" si="25"/>
        <v>0</v>
      </c>
      <c r="AI59" s="140">
        <f t="shared" si="25"/>
        <v>0</v>
      </c>
      <c r="AJ59" s="140">
        <f t="shared" si="25"/>
        <v>0</v>
      </c>
      <c r="AK59" s="140">
        <f t="shared" si="25"/>
        <v>0</v>
      </c>
      <c r="AL59" s="140">
        <f t="shared" si="25"/>
        <v>0</v>
      </c>
      <c r="AM59" s="140">
        <f t="shared" si="25"/>
        <v>0</v>
      </c>
      <c r="AN59" s="140">
        <f t="shared" si="25"/>
        <v>0</v>
      </c>
      <c r="AO59" s="140">
        <f t="shared" si="25"/>
        <v>0</v>
      </c>
      <c r="AP59" s="140">
        <f t="shared" si="25"/>
        <v>0</v>
      </c>
      <c r="AQ59" s="140">
        <f t="shared" si="25"/>
        <v>0</v>
      </c>
      <c r="AR59" s="140">
        <f t="shared" si="25"/>
        <v>0</v>
      </c>
      <c r="AS59" s="140">
        <f t="shared" si="25"/>
        <v>0</v>
      </c>
      <c r="AT59" s="140">
        <f t="shared" si="25"/>
        <v>0</v>
      </c>
      <c r="AU59" s="140">
        <f t="shared" si="25"/>
        <v>0</v>
      </c>
      <c r="AV59" s="140">
        <f t="shared" si="25"/>
        <v>0</v>
      </c>
      <c r="AW59" s="140">
        <f t="shared" si="25"/>
        <v>0</v>
      </c>
      <c r="AX59" s="140">
        <f t="shared" si="25"/>
        <v>0</v>
      </c>
      <c r="AY59" s="140">
        <f t="shared" si="25"/>
        <v>0</v>
      </c>
      <c r="AZ59" s="140">
        <f t="shared" si="25"/>
        <v>0</v>
      </c>
      <c r="BA59" s="140">
        <f t="shared" si="25"/>
        <v>0</v>
      </c>
      <c r="BB59" s="140">
        <f t="shared" si="25"/>
        <v>0</v>
      </c>
      <c r="BC59" s="140">
        <f t="shared" si="25"/>
        <v>0</v>
      </c>
      <c r="BD59" s="140">
        <f t="shared" si="25"/>
        <v>0</v>
      </c>
      <c r="BE59" s="140">
        <f t="shared" si="25"/>
        <v>0</v>
      </c>
      <c r="BF59" s="140">
        <f t="shared" si="25"/>
        <v>0</v>
      </c>
      <c r="BG59" s="140">
        <f t="shared" si="25"/>
        <v>0</v>
      </c>
      <c r="BH59" s="140">
        <f t="shared" si="25"/>
        <v>0</v>
      </c>
      <c r="BI59" s="140">
        <f t="shared" ref="BI59:BN59" si="26">SUM(BI58)</f>
        <v>0</v>
      </c>
      <c r="BJ59" s="140">
        <f t="shared" si="26"/>
        <v>0</v>
      </c>
      <c r="BK59" s="140">
        <f t="shared" si="26"/>
        <v>0</v>
      </c>
      <c r="BL59" s="140">
        <f t="shared" si="26"/>
        <v>0</v>
      </c>
      <c r="BM59" s="140">
        <f t="shared" si="26"/>
        <v>0</v>
      </c>
      <c r="BN59" s="140">
        <f t="shared" si="26"/>
        <v>0</v>
      </c>
    </row>
    <row r="60" spans="1:66" x14ac:dyDescent="0.2">
      <c r="B60" s="137"/>
      <c r="C60" s="37"/>
      <c r="D60" s="37"/>
      <c r="E60" s="37"/>
      <c r="F60" s="37"/>
      <c r="G60" s="37"/>
      <c r="H60" s="137"/>
      <c r="I60" s="37"/>
      <c r="J60" s="37"/>
      <c r="K60" s="37"/>
      <c r="L60" s="37"/>
      <c r="M60" s="137"/>
      <c r="N60" s="37"/>
      <c r="O60" s="37"/>
      <c r="P60" s="37"/>
      <c r="Q60" s="137"/>
      <c r="R60" s="37"/>
      <c r="S60" s="37"/>
      <c r="T60" s="37"/>
      <c r="U60" s="37"/>
      <c r="V60" s="137"/>
      <c r="W60" s="37"/>
      <c r="X60" s="37"/>
      <c r="Y60" s="37"/>
      <c r="Z60" s="37"/>
      <c r="AA60" s="137"/>
      <c r="AB60" s="37"/>
      <c r="AC60" s="37"/>
      <c r="AD60" s="37"/>
      <c r="AE60" s="37"/>
      <c r="AF60" s="37"/>
      <c r="AG60" s="137"/>
      <c r="AH60" s="37"/>
      <c r="AI60" s="37"/>
      <c r="AJ60" s="37"/>
      <c r="AK60" s="37"/>
      <c r="AL60" s="37"/>
      <c r="AM60" s="137"/>
      <c r="AN60" s="37"/>
      <c r="AO60" s="37"/>
      <c r="AP60" s="37"/>
      <c r="AQ60" s="37"/>
      <c r="AR60" s="37"/>
      <c r="AS60" s="137"/>
      <c r="AT60" s="37"/>
      <c r="AU60" s="37"/>
      <c r="AV60" s="37"/>
      <c r="AW60" s="37"/>
      <c r="AX60" s="137"/>
      <c r="AY60" s="37"/>
      <c r="AZ60" s="37"/>
      <c r="BA60" s="37"/>
      <c r="BB60" s="37"/>
      <c r="BC60" s="137"/>
      <c r="BD60" s="37"/>
      <c r="BE60" s="37"/>
      <c r="BF60" s="37"/>
      <c r="BG60" s="37"/>
      <c r="BH60" s="37"/>
      <c r="BI60" s="137"/>
      <c r="BJ60" s="37"/>
      <c r="BK60" s="37"/>
      <c r="BL60" s="37"/>
      <c r="BM60" s="37"/>
      <c r="BN60" s="37"/>
    </row>
    <row r="61" spans="1:66" ht="15" x14ac:dyDescent="0.2">
      <c r="A61" s="32" t="s">
        <v>101</v>
      </c>
      <c r="B61" s="132" t="s">
        <v>114</v>
      </c>
      <c r="C61" s="133" t="s">
        <v>115</v>
      </c>
      <c r="D61" s="133" t="s">
        <v>116</v>
      </c>
      <c r="E61" s="44" t="s">
        <v>372</v>
      </c>
      <c r="F61" s="44" t="s">
        <v>373</v>
      </c>
      <c r="G61" s="133" t="s">
        <v>44</v>
      </c>
      <c r="H61" s="132" t="s">
        <v>114</v>
      </c>
      <c r="I61" s="133" t="s">
        <v>115</v>
      </c>
      <c r="J61" s="133" t="s">
        <v>116</v>
      </c>
      <c r="K61" s="44" t="s">
        <v>372</v>
      </c>
      <c r="L61" s="133" t="s">
        <v>44</v>
      </c>
      <c r="M61" s="132" t="s">
        <v>114</v>
      </c>
      <c r="N61" s="133" t="s">
        <v>115</v>
      </c>
      <c r="O61" s="133" t="s">
        <v>116</v>
      </c>
      <c r="P61" s="133" t="s">
        <v>44</v>
      </c>
      <c r="Q61" s="132" t="s">
        <v>114</v>
      </c>
      <c r="R61" s="133" t="s">
        <v>115</v>
      </c>
      <c r="S61" s="133" t="s">
        <v>116</v>
      </c>
      <c r="T61" s="44" t="s">
        <v>372</v>
      </c>
      <c r="U61" s="133" t="s">
        <v>44</v>
      </c>
      <c r="V61" s="132" t="s">
        <v>114</v>
      </c>
      <c r="W61" s="133" t="s">
        <v>115</v>
      </c>
      <c r="X61" s="133" t="s">
        <v>116</v>
      </c>
      <c r="Y61" s="44" t="s">
        <v>372</v>
      </c>
      <c r="Z61" s="133" t="s">
        <v>44</v>
      </c>
      <c r="AA61" s="132" t="s">
        <v>114</v>
      </c>
      <c r="AB61" s="133" t="s">
        <v>115</v>
      </c>
      <c r="AC61" s="133" t="s">
        <v>116</v>
      </c>
      <c r="AD61" s="44" t="s">
        <v>372</v>
      </c>
      <c r="AE61" s="44" t="s">
        <v>374</v>
      </c>
      <c r="AF61" s="133" t="s">
        <v>44</v>
      </c>
      <c r="AG61" s="132" t="s">
        <v>114</v>
      </c>
      <c r="AH61" s="133" t="s">
        <v>115</v>
      </c>
      <c r="AI61" s="133" t="s">
        <v>116</v>
      </c>
      <c r="AJ61" s="44" t="s">
        <v>372</v>
      </c>
      <c r="AK61" s="44" t="s">
        <v>374</v>
      </c>
      <c r="AL61" s="133" t="s">
        <v>44</v>
      </c>
      <c r="AM61" s="132" t="s">
        <v>114</v>
      </c>
      <c r="AN61" s="133" t="s">
        <v>115</v>
      </c>
      <c r="AO61" s="133" t="s">
        <v>116</v>
      </c>
      <c r="AP61" s="44" t="s">
        <v>372</v>
      </c>
      <c r="AQ61" s="44" t="s">
        <v>374</v>
      </c>
      <c r="AR61" s="133" t="s">
        <v>44</v>
      </c>
      <c r="AS61" s="132" t="s">
        <v>114</v>
      </c>
      <c r="AT61" s="133" t="s">
        <v>115</v>
      </c>
      <c r="AU61" s="133" t="s">
        <v>116</v>
      </c>
      <c r="AV61" s="44" t="s">
        <v>372</v>
      </c>
      <c r="AW61" s="133" t="s">
        <v>44</v>
      </c>
      <c r="AX61" s="132" t="s">
        <v>114</v>
      </c>
      <c r="AY61" s="133" t="s">
        <v>115</v>
      </c>
      <c r="AZ61" s="133" t="s">
        <v>116</v>
      </c>
      <c r="BA61" s="44" t="s">
        <v>372</v>
      </c>
      <c r="BB61" s="133" t="s">
        <v>44</v>
      </c>
      <c r="BC61" s="132" t="s">
        <v>114</v>
      </c>
      <c r="BD61" s="133" t="s">
        <v>115</v>
      </c>
      <c r="BE61" s="133" t="s">
        <v>116</v>
      </c>
      <c r="BF61" s="44" t="s">
        <v>375</v>
      </c>
      <c r="BG61" s="44" t="s">
        <v>372</v>
      </c>
      <c r="BH61" s="133" t="s">
        <v>44</v>
      </c>
      <c r="BI61" s="132" t="s">
        <v>114</v>
      </c>
      <c r="BJ61" s="133" t="s">
        <v>115</v>
      </c>
      <c r="BK61" s="133" t="s">
        <v>116</v>
      </c>
      <c r="BL61" s="44" t="s">
        <v>375</v>
      </c>
      <c r="BM61" s="44" t="s">
        <v>372</v>
      </c>
      <c r="BN61" s="133" t="s">
        <v>44</v>
      </c>
    </row>
    <row r="62" spans="1:66" ht="15" x14ac:dyDescent="0.25">
      <c r="A62" s="33" t="s">
        <v>126</v>
      </c>
      <c r="B62" s="143">
        <v>5</v>
      </c>
      <c r="C62" s="38">
        <v>35867406.839999996</v>
      </c>
      <c r="D62" s="38">
        <v>0</v>
      </c>
      <c r="E62" s="38">
        <v>1243490.21</v>
      </c>
      <c r="F62" s="38">
        <v>480000</v>
      </c>
      <c r="G62" s="38">
        <f>SUM(C62:F62)</f>
        <v>37590897.049999997</v>
      </c>
      <c r="H62" s="143">
        <v>5</v>
      </c>
      <c r="I62" s="38">
        <v>5737361.0499999998</v>
      </c>
      <c r="J62" s="38">
        <v>0</v>
      </c>
      <c r="K62" s="38">
        <v>0</v>
      </c>
      <c r="L62" s="38">
        <f>SUM(I62:K62)</f>
        <v>5737361.0499999998</v>
      </c>
      <c r="M62" s="143">
        <v>5</v>
      </c>
      <c r="N62" s="38">
        <v>8165964.1999999993</v>
      </c>
      <c r="O62" s="38">
        <v>0</v>
      </c>
      <c r="P62" s="38">
        <f>SUM(N62:O62)</f>
        <v>8165964.1999999993</v>
      </c>
      <c r="Q62" s="143">
        <v>5</v>
      </c>
      <c r="R62" s="38">
        <v>7715806.290000001</v>
      </c>
      <c r="S62" s="38">
        <v>103288.73999999999</v>
      </c>
      <c r="T62" s="38">
        <v>0</v>
      </c>
      <c r="U62" s="38">
        <f>SUM(R62:T62)</f>
        <v>7819095.0300000012</v>
      </c>
      <c r="V62" s="143">
        <v>3</v>
      </c>
      <c r="W62" s="38">
        <v>8491296.5399999991</v>
      </c>
      <c r="X62" s="38">
        <v>0</v>
      </c>
      <c r="Y62" s="38">
        <v>0</v>
      </c>
      <c r="Z62" s="38">
        <f>SUM(W62:Y62)</f>
        <v>8491296.5399999991</v>
      </c>
      <c r="AA62" s="143">
        <v>3</v>
      </c>
      <c r="AB62" s="38">
        <v>8286532.629999998</v>
      </c>
      <c r="AC62" s="38">
        <v>210882.04</v>
      </c>
      <c r="AD62" s="38">
        <v>4248708.18</v>
      </c>
      <c r="AE62" s="38">
        <v>150000</v>
      </c>
      <c r="AF62" s="38">
        <f>SUM(AB62:AE62)</f>
        <v>12896122.849999998</v>
      </c>
      <c r="AG62" s="143">
        <v>3</v>
      </c>
      <c r="AH62" s="38">
        <v>13075293.6</v>
      </c>
      <c r="AI62" s="38">
        <v>105112.53</v>
      </c>
      <c r="AJ62" s="38">
        <v>0</v>
      </c>
      <c r="AK62" s="38">
        <v>250000</v>
      </c>
      <c r="AL62" s="38">
        <f>SUM(AH62:AK62)</f>
        <v>13430406.129999999</v>
      </c>
      <c r="AM62" s="143">
        <v>4</v>
      </c>
      <c r="AN62" s="38">
        <v>11580225.229999999</v>
      </c>
      <c r="AO62" s="38">
        <v>0</v>
      </c>
      <c r="AP62" s="38">
        <v>1312132.7000000002</v>
      </c>
      <c r="AQ62" s="38">
        <v>240000</v>
      </c>
      <c r="AR62" s="38">
        <f>SUM(AN62:AQ62)</f>
        <v>13132357.93</v>
      </c>
      <c r="AS62" s="143">
        <v>4</v>
      </c>
      <c r="AT62" s="38">
        <v>11856393.029999999</v>
      </c>
      <c r="AU62" s="38">
        <v>73598</v>
      </c>
      <c r="AV62" s="38">
        <v>0</v>
      </c>
      <c r="AW62" s="38">
        <f>SUM(AT62:AV62)</f>
        <v>11929991.029999999</v>
      </c>
      <c r="AX62" s="143">
        <v>4</v>
      </c>
      <c r="AY62" s="38">
        <v>29419860.5</v>
      </c>
      <c r="AZ62" s="38">
        <v>0</v>
      </c>
      <c r="BA62" s="38">
        <v>3000044.7600000002</v>
      </c>
      <c r="BB62" s="38">
        <f>SUM(AY62:BA62)</f>
        <v>32419905.260000002</v>
      </c>
      <c r="BC62" s="143">
        <v>4</v>
      </c>
      <c r="BD62" s="38">
        <v>2811982.88</v>
      </c>
      <c r="BE62" s="38">
        <v>0</v>
      </c>
      <c r="BF62" s="38">
        <v>50000</v>
      </c>
      <c r="BG62" s="38">
        <v>0</v>
      </c>
      <c r="BH62" s="38">
        <f>SUM(BD62:BG62)</f>
        <v>2861982.88</v>
      </c>
      <c r="BI62" s="143">
        <v>1</v>
      </c>
      <c r="BJ62" s="38">
        <v>2367582.7000000002</v>
      </c>
      <c r="BK62" s="38">
        <v>0</v>
      </c>
      <c r="BL62" s="38"/>
      <c r="BM62" s="38">
        <v>1252649.18</v>
      </c>
      <c r="BN62" s="38">
        <f>SUM(BJ62:BM62)</f>
        <v>3620231.88</v>
      </c>
    </row>
    <row r="63" spans="1:66" ht="15" x14ac:dyDescent="0.2">
      <c r="A63" s="32" t="s">
        <v>118</v>
      </c>
      <c r="B63" s="140">
        <f>+B62</f>
        <v>5</v>
      </c>
      <c r="C63" s="140">
        <f t="shared" ref="C63:BH63" si="27">+C62</f>
        <v>35867406.839999996</v>
      </c>
      <c r="D63" s="140">
        <f t="shared" si="27"/>
        <v>0</v>
      </c>
      <c r="E63" s="140">
        <f t="shared" si="27"/>
        <v>1243490.21</v>
      </c>
      <c r="F63" s="140">
        <f t="shared" si="27"/>
        <v>480000</v>
      </c>
      <c r="G63" s="140">
        <f t="shared" si="27"/>
        <v>37590897.049999997</v>
      </c>
      <c r="H63" s="140">
        <f t="shared" si="27"/>
        <v>5</v>
      </c>
      <c r="I63" s="140">
        <f t="shared" si="27"/>
        <v>5737361.0499999998</v>
      </c>
      <c r="J63" s="140">
        <f t="shared" si="27"/>
        <v>0</v>
      </c>
      <c r="K63" s="140">
        <f t="shared" si="27"/>
        <v>0</v>
      </c>
      <c r="L63" s="140">
        <f t="shared" si="27"/>
        <v>5737361.0499999998</v>
      </c>
      <c r="M63" s="140">
        <f t="shared" si="27"/>
        <v>5</v>
      </c>
      <c r="N63" s="140">
        <f t="shared" si="27"/>
        <v>8165964.1999999993</v>
      </c>
      <c r="O63" s="140">
        <f t="shared" si="27"/>
        <v>0</v>
      </c>
      <c r="P63" s="140">
        <f t="shared" si="27"/>
        <v>8165964.1999999993</v>
      </c>
      <c r="Q63" s="140">
        <f t="shared" si="27"/>
        <v>5</v>
      </c>
      <c r="R63" s="140">
        <f t="shared" si="27"/>
        <v>7715806.290000001</v>
      </c>
      <c r="S63" s="140">
        <f t="shared" si="27"/>
        <v>103288.73999999999</v>
      </c>
      <c r="T63" s="140">
        <f t="shared" si="27"/>
        <v>0</v>
      </c>
      <c r="U63" s="140">
        <f t="shared" si="27"/>
        <v>7819095.0300000012</v>
      </c>
      <c r="V63" s="140">
        <f t="shared" si="27"/>
        <v>3</v>
      </c>
      <c r="W63" s="140">
        <f t="shared" si="27"/>
        <v>8491296.5399999991</v>
      </c>
      <c r="X63" s="140">
        <f t="shared" si="27"/>
        <v>0</v>
      </c>
      <c r="Y63" s="140">
        <f t="shared" si="27"/>
        <v>0</v>
      </c>
      <c r="Z63" s="140">
        <f t="shared" si="27"/>
        <v>8491296.5399999991</v>
      </c>
      <c r="AA63" s="140">
        <f t="shared" si="27"/>
        <v>3</v>
      </c>
      <c r="AB63" s="140">
        <f t="shared" si="27"/>
        <v>8286532.629999998</v>
      </c>
      <c r="AC63" s="140">
        <f t="shared" si="27"/>
        <v>210882.04</v>
      </c>
      <c r="AD63" s="140">
        <f t="shared" si="27"/>
        <v>4248708.18</v>
      </c>
      <c r="AE63" s="140">
        <f t="shared" si="27"/>
        <v>150000</v>
      </c>
      <c r="AF63" s="140">
        <f t="shared" si="27"/>
        <v>12896122.849999998</v>
      </c>
      <c r="AG63" s="140">
        <f t="shared" si="27"/>
        <v>3</v>
      </c>
      <c r="AH63" s="140">
        <f t="shared" si="27"/>
        <v>13075293.6</v>
      </c>
      <c r="AI63" s="140">
        <f t="shared" si="27"/>
        <v>105112.53</v>
      </c>
      <c r="AJ63" s="140">
        <f t="shared" si="27"/>
        <v>0</v>
      </c>
      <c r="AK63" s="140">
        <f t="shared" si="27"/>
        <v>250000</v>
      </c>
      <c r="AL63" s="140">
        <f t="shared" si="27"/>
        <v>13430406.129999999</v>
      </c>
      <c r="AM63" s="140">
        <f t="shared" si="27"/>
        <v>4</v>
      </c>
      <c r="AN63" s="140">
        <f t="shared" si="27"/>
        <v>11580225.229999999</v>
      </c>
      <c r="AO63" s="140">
        <f t="shared" si="27"/>
        <v>0</v>
      </c>
      <c r="AP63" s="140">
        <f t="shared" si="27"/>
        <v>1312132.7000000002</v>
      </c>
      <c r="AQ63" s="140">
        <f t="shared" si="27"/>
        <v>240000</v>
      </c>
      <c r="AR63" s="140">
        <f t="shared" si="27"/>
        <v>13132357.93</v>
      </c>
      <c r="AS63" s="140">
        <f t="shared" si="27"/>
        <v>4</v>
      </c>
      <c r="AT63" s="140">
        <f t="shared" si="27"/>
        <v>11856393.029999999</v>
      </c>
      <c r="AU63" s="140">
        <f t="shared" si="27"/>
        <v>73598</v>
      </c>
      <c r="AV63" s="140">
        <f t="shared" si="27"/>
        <v>0</v>
      </c>
      <c r="AW63" s="140">
        <f t="shared" si="27"/>
        <v>11929991.029999999</v>
      </c>
      <c r="AX63" s="140">
        <f t="shared" si="27"/>
        <v>4</v>
      </c>
      <c r="AY63" s="140">
        <f t="shared" si="27"/>
        <v>29419860.5</v>
      </c>
      <c r="AZ63" s="140">
        <f t="shared" si="27"/>
        <v>0</v>
      </c>
      <c r="BA63" s="140">
        <f t="shared" si="27"/>
        <v>3000044.7600000002</v>
      </c>
      <c r="BB63" s="140">
        <f t="shared" si="27"/>
        <v>32419905.260000002</v>
      </c>
      <c r="BC63" s="140">
        <f t="shared" si="27"/>
        <v>4</v>
      </c>
      <c r="BD63" s="140">
        <f t="shared" si="27"/>
        <v>2811982.88</v>
      </c>
      <c r="BE63" s="140">
        <f t="shared" si="27"/>
        <v>0</v>
      </c>
      <c r="BF63" s="140">
        <f t="shared" si="27"/>
        <v>50000</v>
      </c>
      <c r="BG63" s="140">
        <f t="shared" si="27"/>
        <v>0</v>
      </c>
      <c r="BH63" s="140">
        <f t="shared" si="27"/>
        <v>2861982.88</v>
      </c>
      <c r="BI63" s="140">
        <f t="shared" ref="BI63:BN63" si="28">+BI62</f>
        <v>1</v>
      </c>
      <c r="BJ63" s="140">
        <f t="shared" si="28"/>
        <v>2367582.7000000002</v>
      </c>
      <c r="BK63" s="140">
        <f t="shared" si="28"/>
        <v>0</v>
      </c>
      <c r="BL63" s="140">
        <f t="shared" si="28"/>
        <v>0</v>
      </c>
      <c r="BM63" s="140">
        <f t="shared" si="28"/>
        <v>1252649.18</v>
      </c>
      <c r="BN63" s="140">
        <f t="shared" si="28"/>
        <v>3620231.88</v>
      </c>
    </row>
    <row r="64" spans="1:66" ht="15" x14ac:dyDescent="0.2">
      <c r="A64" s="41"/>
      <c r="B64" s="144"/>
      <c r="C64" s="42"/>
      <c r="D64" s="42"/>
      <c r="E64" s="42"/>
      <c r="F64" s="42"/>
      <c r="G64" s="42"/>
      <c r="H64" s="144"/>
      <c r="I64" s="42"/>
      <c r="J64" s="42"/>
      <c r="K64" s="42"/>
      <c r="L64" s="42"/>
      <c r="M64" s="144"/>
      <c r="N64" s="42"/>
      <c r="O64" s="42"/>
      <c r="P64" s="42"/>
      <c r="Q64" s="144"/>
      <c r="R64" s="42"/>
      <c r="S64" s="42"/>
      <c r="T64" s="42"/>
      <c r="U64" s="42"/>
      <c r="V64" s="144"/>
      <c r="W64" s="42"/>
      <c r="X64" s="42"/>
      <c r="Y64" s="42"/>
      <c r="Z64" s="42"/>
      <c r="AA64" s="144"/>
      <c r="AB64" s="42"/>
      <c r="AC64" s="42"/>
      <c r="AD64" s="42"/>
      <c r="AE64" s="42"/>
      <c r="AF64" s="42"/>
      <c r="AG64" s="144"/>
      <c r="AH64" s="42"/>
      <c r="AI64" s="42"/>
      <c r="AJ64" s="42"/>
      <c r="AK64" s="42"/>
      <c r="AL64" s="42"/>
      <c r="AM64" s="144"/>
      <c r="AN64" s="42"/>
      <c r="AO64" s="42"/>
      <c r="AP64" s="42"/>
      <c r="AQ64" s="42"/>
      <c r="AR64" s="42"/>
      <c r="AS64" s="144"/>
      <c r="AT64" s="42"/>
      <c r="AU64" s="42"/>
      <c r="AV64" s="42"/>
      <c r="AW64" s="42"/>
      <c r="AX64" s="144"/>
      <c r="AY64" s="42"/>
      <c r="AZ64" s="42"/>
      <c r="BA64" s="42"/>
      <c r="BB64" s="42"/>
      <c r="BC64" s="144"/>
      <c r="BD64" s="42"/>
      <c r="BE64" s="42"/>
      <c r="BF64" s="42"/>
      <c r="BG64" s="42"/>
      <c r="BH64" s="42"/>
      <c r="BI64" s="144"/>
      <c r="BJ64" s="42"/>
      <c r="BK64" s="42"/>
      <c r="BL64" s="42"/>
      <c r="BM64" s="42"/>
      <c r="BN64" s="42"/>
    </row>
    <row r="65" spans="1:66" ht="15" hidden="1" x14ac:dyDescent="0.2">
      <c r="A65" s="32" t="s">
        <v>101</v>
      </c>
      <c r="B65" s="138" t="s">
        <v>114</v>
      </c>
      <c r="C65" s="133" t="s">
        <v>115</v>
      </c>
      <c r="D65" s="133" t="s">
        <v>116</v>
      </c>
      <c r="E65" s="44"/>
      <c r="F65" s="44"/>
      <c r="G65" s="133" t="s">
        <v>44</v>
      </c>
      <c r="H65" s="138" t="s">
        <v>114</v>
      </c>
      <c r="I65" s="133" t="s">
        <v>115</v>
      </c>
      <c r="J65" s="133" t="s">
        <v>116</v>
      </c>
      <c r="K65" s="44"/>
      <c r="L65" s="133" t="s">
        <v>44</v>
      </c>
      <c r="M65" s="138" t="s">
        <v>114</v>
      </c>
      <c r="N65" s="133" t="s">
        <v>115</v>
      </c>
      <c r="O65" s="133" t="s">
        <v>116</v>
      </c>
      <c r="P65" s="133" t="s">
        <v>44</v>
      </c>
      <c r="Q65" s="138" t="s">
        <v>114</v>
      </c>
      <c r="R65" s="133" t="s">
        <v>115</v>
      </c>
      <c r="S65" s="133" t="s">
        <v>116</v>
      </c>
      <c r="T65" s="44"/>
      <c r="U65" s="133" t="s">
        <v>44</v>
      </c>
      <c r="V65" s="138" t="s">
        <v>114</v>
      </c>
      <c r="W65" s="133" t="s">
        <v>115</v>
      </c>
      <c r="X65" s="133" t="s">
        <v>116</v>
      </c>
      <c r="Y65" s="44"/>
      <c r="Z65" s="133" t="s">
        <v>44</v>
      </c>
      <c r="AA65" s="138" t="s">
        <v>114</v>
      </c>
      <c r="AB65" s="133" t="s">
        <v>115</v>
      </c>
      <c r="AC65" s="133" t="s">
        <v>116</v>
      </c>
      <c r="AD65" s="44"/>
      <c r="AE65" s="44"/>
      <c r="AF65" s="133" t="s">
        <v>44</v>
      </c>
      <c r="AG65" s="138" t="s">
        <v>114</v>
      </c>
      <c r="AH65" s="133" t="s">
        <v>115</v>
      </c>
      <c r="AI65" s="133" t="s">
        <v>116</v>
      </c>
      <c r="AJ65" s="44"/>
      <c r="AK65" s="44"/>
      <c r="AL65" s="133" t="s">
        <v>44</v>
      </c>
      <c r="AM65" s="138" t="s">
        <v>114</v>
      </c>
      <c r="AN65" s="133" t="s">
        <v>115</v>
      </c>
      <c r="AO65" s="133" t="s">
        <v>116</v>
      </c>
      <c r="AP65" s="44"/>
      <c r="AQ65" s="44"/>
      <c r="AR65" s="133" t="s">
        <v>44</v>
      </c>
      <c r="AS65" s="138" t="s">
        <v>114</v>
      </c>
      <c r="AT65" s="133" t="s">
        <v>115</v>
      </c>
      <c r="AU65" s="133" t="s">
        <v>116</v>
      </c>
      <c r="AV65" s="44"/>
      <c r="AW65" s="133" t="s">
        <v>44</v>
      </c>
      <c r="AX65" s="138" t="s">
        <v>114</v>
      </c>
      <c r="AY65" s="133" t="s">
        <v>115</v>
      </c>
      <c r="AZ65" s="133" t="s">
        <v>116</v>
      </c>
      <c r="BA65" s="44"/>
      <c r="BB65" s="133" t="s">
        <v>44</v>
      </c>
      <c r="BC65" s="138" t="s">
        <v>114</v>
      </c>
      <c r="BD65" s="133" t="s">
        <v>115</v>
      </c>
      <c r="BE65" s="133" t="s">
        <v>116</v>
      </c>
      <c r="BF65" s="44"/>
      <c r="BG65" s="44"/>
      <c r="BH65" s="133" t="s">
        <v>44</v>
      </c>
      <c r="BI65" s="138" t="s">
        <v>114</v>
      </c>
      <c r="BJ65" s="133" t="s">
        <v>115</v>
      </c>
      <c r="BK65" s="133" t="s">
        <v>116</v>
      </c>
      <c r="BL65" s="44"/>
      <c r="BM65" s="44"/>
      <c r="BN65" s="133" t="s">
        <v>44</v>
      </c>
    </row>
    <row r="66" spans="1:66" ht="15" hidden="1" x14ac:dyDescent="0.25">
      <c r="A66" s="33" t="s">
        <v>127</v>
      </c>
      <c r="B66" s="145">
        <v>0</v>
      </c>
      <c r="C66" s="38">
        <v>0</v>
      </c>
      <c r="D66" s="38">
        <v>0</v>
      </c>
      <c r="E66" s="38"/>
      <c r="F66" s="38"/>
      <c r="G66" s="38">
        <f>SUM(B66:D66)</f>
        <v>0</v>
      </c>
      <c r="H66" s="145">
        <v>0</v>
      </c>
      <c r="I66" s="38">
        <v>0</v>
      </c>
      <c r="J66" s="38">
        <v>0</v>
      </c>
      <c r="K66" s="38"/>
      <c r="L66" s="38">
        <f>SUM(H66:J66)</f>
        <v>0</v>
      </c>
      <c r="M66" s="145">
        <v>0</v>
      </c>
      <c r="N66" s="38">
        <v>0</v>
      </c>
      <c r="O66" s="38">
        <v>0</v>
      </c>
      <c r="P66" s="38">
        <f>SUM(M66:O66)</f>
        <v>0</v>
      </c>
      <c r="Q66" s="145">
        <v>0</v>
      </c>
      <c r="R66" s="38">
        <v>0</v>
      </c>
      <c r="S66" s="38">
        <v>0</v>
      </c>
      <c r="T66" s="38"/>
      <c r="U66" s="38">
        <f>SUM(Q66:S66)</f>
        <v>0</v>
      </c>
      <c r="V66" s="145">
        <v>0</v>
      </c>
      <c r="W66" s="38">
        <v>0</v>
      </c>
      <c r="X66" s="38">
        <v>0</v>
      </c>
      <c r="Y66" s="38"/>
      <c r="Z66" s="38">
        <f>SUM(V66:X66)</f>
        <v>0</v>
      </c>
      <c r="AA66" s="145">
        <v>0</v>
      </c>
      <c r="AB66" s="38">
        <v>0</v>
      </c>
      <c r="AC66" s="38">
        <v>0</v>
      </c>
      <c r="AD66" s="38"/>
      <c r="AE66" s="38"/>
      <c r="AF66" s="38">
        <f>SUM(AA66:AC66)</f>
        <v>0</v>
      </c>
      <c r="AG66" s="145">
        <v>0</v>
      </c>
      <c r="AH66" s="38">
        <v>0</v>
      </c>
      <c r="AI66" s="38">
        <v>0</v>
      </c>
      <c r="AJ66" s="38"/>
      <c r="AK66" s="38"/>
      <c r="AL66" s="38">
        <f>SUM(AG66:AI66)</f>
        <v>0</v>
      </c>
      <c r="AM66" s="145">
        <v>0</v>
      </c>
      <c r="AN66" s="38">
        <v>0</v>
      </c>
      <c r="AO66" s="38">
        <v>0</v>
      </c>
      <c r="AP66" s="38"/>
      <c r="AQ66" s="38"/>
      <c r="AR66" s="38">
        <f>SUM(AM66:AO66)</f>
        <v>0</v>
      </c>
      <c r="AS66" s="145">
        <v>0</v>
      </c>
      <c r="AT66" s="38">
        <v>0</v>
      </c>
      <c r="AU66" s="38">
        <v>0</v>
      </c>
      <c r="AV66" s="38"/>
      <c r="AW66" s="38">
        <f>SUM(AS66:AU66)</f>
        <v>0</v>
      </c>
      <c r="AX66" s="145">
        <v>0</v>
      </c>
      <c r="AY66" s="38">
        <v>0</v>
      </c>
      <c r="AZ66" s="38">
        <v>0</v>
      </c>
      <c r="BA66" s="38"/>
      <c r="BB66" s="38">
        <f>SUM(AX66:AZ66)</f>
        <v>0</v>
      </c>
      <c r="BC66" s="145">
        <v>0</v>
      </c>
      <c r="BD66" s="38">
        <v>0</v>
      </c>
      <c r="BE66" s="38">
        <v>0</v>
      </c>
      <c r="BF66" s="38"/>
      <c r="BG66" s="38"/>
      <c r="BH66" s="38">
        <f>SUM(BC66:BE66)</f>
        <v>0</v>
      </c>
      <c r="BI66" s="145">
        <v>0</v>
      </c>
      <c r="BJ66" s="38"/>
      <c r="BK66" s="38">
        <v>0</v>
      </c>
      <c r="BL66" s="38"/>
      <c r="BM66" s="38"/>
      <c r="BN66" s="38">
        <f>SUM(BI66:BK66)</f>
        <v>0</v>
      </c>
    </row>
    <row r="67" spans="1:66" ht="15" hidden="1" x14ac:dyDescent="0.2">
      <c r="A67" s="32" t="s">
        <v>118</v>
      </c>
      <c r="B67" s="140">
        <f>SUM(B66)</f>
        <v>0</v>
      </c>
      <c r="C67" s="36">
        <f>SUM(C66)</f>
        <v>0</v>
      </c>
      <c r="D67" s="36">
        <f>SUM(D66)</f>
        <v>0</v>
      </c>
      <c r="E67" s="36"/>
      <c r="F67" s="36"/>
      <c r="G67" s="36">
        <f>SUM(G66)</f>
        <v>0</v>
      </c>
      <c r="H67" s="140">
        <f>SUM(H66)</f>
        <v>0</v>
      </c>
      <c r="I67" s="36">
        <f>SUM(I66)</f>
        <v>0</v>
      </c>
      <c r="J67" s="36">
        <f>SUM(J66)</f>
        <v>0</v>
      </c>
      <c r="K67" s="36"/>
      <c r="L67" s="36">
        <f t="shared" ref="L67:S67" si="29">SUM(L66)</f>
        <v>0</v>
      </c>
      <c r="M67" s="140">
        <f t="shared" si="29"/>
        <v>0</v>
      </c>
      <c r="N67" s="36">
        <f t="shared" si="29"/>
        <v>0</v>
      </c>
      <c r="O67" s="36">
        <f t="shared" si="29"/>
        <v>0</v>
      </c>
      <c r="P67" s="36">
        <f t="shared" si="29"/>
        <v>0</v>
      </c>
      <c r="Q67" s="140">
        <f t="shared" si="29"/>
        <v>0</v>
      </c>
      <c r="R67" s="36">
        <f t="shared" si="29"/>
        <v>0</v>
      </c>
      <c r="S67" s="36">
        <f t="shared" si="29"/>
        <v>0</v>
      </c>
      <c r="T67" s="36"/>
      <c r="U67" s="36">
        <f>SUM(U66)</f>
        <v>0</v>
      </c>
      <c r="V67" s="140">
        <f>SUM(V66)</f>
        <v>0</v>
      </c>
      <c r="W67" s="36">
        <f>SUM(W66)</f>
        <v>0</v>
      </c>
      <c r="X67" s="36">
        <f>SUM(X66)</f>
        <v>0</v>
      </c>
      <c r="Y67" s="36"/>
      <c r="Z67" s="36">
        <f>SUM(Z66)</f>
        <v>0</v>
      </c>
      <c r="AA67" s="140">
        <f>SUM(AA66)</f>
        <v>0</v>
      </c>
      <c r="AB67" s="36">
        <f>SUM(AB66)</f>
        <v>0</v>
      </c>
      <c r="AC67" s="36">
        <f>SUM(AC66)</f>
        <v>0</v>
      </c>
      <c r="AD67" s="36"/>
      <c r="AE67" s="36"/>
      <c r="AF67" s="36">
        <f>SUM(AF66)</f>
        <v>0</v>
      </c>
      <c r="AG67" s="140">
        <f>SUM(AG66)</f>
        <v>0</v>
      </c>
      <c r="AH67" s="36">
        <f>SUM(AH66)</f>
        <v>0</v>
      </c>
      <c r="AI67" s="36">
        <f>SUM(AI66)</f>
        <v>0</v>
      </c>
      <c r="AJ67" s="36"/>
      <c r="AK67" s="36"/>
      <c r="AL67" s="36">
        <f>SUM(AL66)</f>
        <v>0</v>
      </c>
      <c r="AM67" s="140">
        <f>SUM(AM66)</f>
        <v>0</v>
      </c>
      <c r="AN67" s="36">
        <f>SUM(AN66)</f>
        <v>0</v>
      </c>
      <c r="AO67" s="36">
        <f>SUM(AO66)</f>
        <v>0</v>
      </c>
      <c r="AP67" s="36"/>
      <c r="AQ67" s="36"/>
      <c r="AR67" s="36">
        <f>SUM(AR66)</f>
        <v>0</v>
      </c>
      <c r="AS67" s="140">
        <f>SUM(AS66)</f>
        <v>0</v>
      </c>
      <c r="AT67" s="36">
        <f>SUM(AT66)</f>
        <v>0</v>
      </c>
      <c r="AU67" s="36">
        <f>SUM(AU66)</f>
        <v>0</v>
      </c>
      <c r="AV67" s="36"/>
      <c r="AW67" s="36">
        <f>SUM(AW66)</f>
        <v>0</v>
      </c>
      <c r="AX67" s="140">
        <f>SUM(AX66)</f>
        <v>0</v>
      </c>
      <c r="AY67" s="36">
        <f>SUM(AY66)</f>
        <v>0</v>
      </c>
      <c r="AZ67" s="36">
        <f>SUM(AZ66)</f>
        <v>0</v>
      </c>
      <c r="BA67" s="36"/>
      <c r="BB67" s="36">
        <f>SUM(BB66)</f>
        <v>0</v>
      </c>
      <c r="BC67" s="140">
        <f>SUM(BC66)</f>
        <v>0</v>
      </c>
      <c r="BD67" s="36">
        <f>SUM(BD66)</f>
        <v>0</v>
      </c>
      <c r="BE67" s="36">
        <f>SUM(BE66)</f>
        <v>0</v>
      </c>
      <c r="BF67" s="36"/>
      <c r="BG67" s="36"/>
      <c r="BH67" s="36">
        <f>SUM(BH66)</f>
        <v>0</v>
      </c>
      <c r="BI67" s="140">
        <f>SUM(BI66)</f>
        <v>0</v>
      </c>
      <c r="BJ67" s="36">
        <f>SUM(BJ66)</f>
        <v>0</v>
      </c>
      <c r="BK67" s="36">
        <f>SUM(BK66)</f>
        <v>0</v>
      </c>
      <c r="BL67" s="36"/>
      <c r="BM67" s="36"/>
      <c r="BN67" s="36">
        <f>SUM(BN66)</f>
        <v>0</v>
      </c>
    </row>
    <row r="68" spans="1:66" hidden="1" x14ac:dyDescent="0.2">
      <c r="B68" s="137"/>
      <c r="C68" s="37"/>
      <c r="D68" s="37"/>
      <c r="E68" s="37"/>
      <c r="F68" s="37"/>
      <c r="G68" s="37"/>
      <c r="H68" s="137"/>
      <c r="I68" s="37"/>
      <c r="J68" s="37"/>
      <c r="K68" s="37"/>
      <c r="L68" s="37"/>
      <c r="M68" s="137"/>
      <c r="N68" s="37"/>
      <c r="O68" s="37"/>
      <c r="P68" s="37"/>
      <c r="Q68" s="137"/>
      <c r="R68" s="37"/>
      <c r="S68" s="37"/>
      <c r="T68" s="37"/>
      <c r="U68" s="37"/>
      <c r="V68" s="137"/>
      <c r="W68" s="37"/>
      <c r="X68" s="37"/>
      <c r="Y68" s="37"/>
      <c r="Z68" s="37"/>
      <c r="AA68" s="137"/>
      <c r="AB68" s="37"/>
      <c r="AC68" s="37"/>
      <c r="AD68" s="37"/>
      <c r="AE68" s="37"/>
      <c r="AF68" s="37"/>
      <c r="AG68" s="137"/>
      <c r="AH68" s="37"/>
      <c r="AI68" s="37"/>
      <c r="AJ68" s="37"/>
      <c r="AK68" s="37"/>
      <c r="AL68" s="37"/>
      <c r="AM68" s="137"/>
      <c r="AN68" s="37"/>
      <c r="AO68" s="37"/>
      <c r="AP68" s="37"/>
      <c r="AQ68" s="37"/>
      <c r="AR68" s="37"/>
      <c r="AS68" s="137"/>
      <c r="AT68" s="37"/>
      <c r="AU68" s="37"/>
      <c r="AV68" s="37"/>
      <c r="AW68" s="37"/>
      <c r="AX68" s="137"/>
      <c r="AY68" s="37"/>
      <c r="AZ68" s="37"/>
      <c r="BA68" s="37"/>
      <c r="BB68" s="37"/>
      <c r="BC68" s="137"/>
      <c r="BD68" s="37"/>
      <c r="BE68" s="37"/>
      <c r="BF68" s="37"/>
      <c r="BG68" s="37"/>
      <c r="BH68" s="37"/>
      <c r="BI68" s="137"/>
      <c r="BJ68" s="37"/>
      <c r="BK68" s="37"/>
      <c r="BL68" s="37"/>
      <c r="BM68" s="37"/>
      <c r="BN68" s="37"/>
    </row>
    <row r="69" spans="1:66" ht="15" hidden="1" x14ac:dyDescent="0.2">
      <c r="A69" s="32" t="s">
        <v>101</v>
      </c>
      <c r="B69" s="138" t="s">
        <v>114</v>
      </c>
      <c r="C69" s="133" t="s">
        <v>115</v>
      </c>
      <c r="D69" s="133" t="s">
        <v>116</v>
      </c>
      <c r="E69" s="44"/>
      <c r="F69" s="44"/>
      <c r="G69" s="133" t="s">
        <v>44</v>
      </c>
      <c r="H69" s="138" t="s">
        <v>114</v>
      </c>
      <c r="I69" s="133" t="s">
        <v>115</v>
      </c>
      <c r="J69" s="133" t="s">
        <v>116</v>
      </c>
      <c r="K69" s="44"/>
      <c r="L69" s="133" t="s">
        <v>44</v>
      </c>
      <c r="M69" s="138" t="s">
        <v>114</v>
      </c>
      <c r="N69" s="133" t="s">
        <v>115</v>
      </c>
      <c r="O69" s="133" t="s">
        <v>116</v>
      </c>
      <c r="P69" s="133" t="s">
        <v>44</v>
      </c>
      <c r="Q69" s="138" t="s">
        <v>114</v>
      </c>
      <c r="R69" s="133" t="s">
        <v>115</v>
      </c>
      <c r="S69" s="133" t="s">
        <v>116</v>
      </c>
      <c r="T69" s="44"/>
      <c r="U69" s="133" t="s">
        <v>44</v>
      </c>
      <c r="V69" s="138" t="s">
        <v>114</v>
      </c>
      <c r="W69" s="133" t="s">
        <v>115</v>
      </c>
      <c r="X69" s="133" t="s">
        <v>116</v>
      </c>
      <c r="Y69" s="44"/>
      <c r="Z69" s="133" t="s">
        <v>44</v>
      </c>
      <c r="AA69" s="138" t="s">
        <v>114</v>
      </c>
      <c r="AB69" s="133" t="s">
        <v>115</v>
      </c>
      <c r="AC69" s="133" t="s">
        <v>116</v>
      </c>
      <c r="AD69" s="44"/>
      <c r="AE69" s="44"/>
      <c r="AF69" s="133" t="s">
        <v>44</v>
      </c>
      <c r="AG69" s="138" t="s">
        <v>114</v>
      </c>
      <c r="AH69" s="133" t="s">
        <v>115</v>
      </c>
      <c r="AI69" s="133" t="s">
        <v>116</v>
      </c>
      <c r="AJ69" s="44"/>
      <c r="AK69" s="44"/>
      <c r="AL69" s="133" t="s">
        <v>44</v>
      </c>
      <c r="AM69" s="138" t="s">
        <v>114</v>
      </c>
      <c r="AN69" s="133" t="s">
        <v>115</v>
      </c>
      <c r="AO69" s="133" t="s">
        <v>116</v>
      </c>
      <c r="AP69" s="44"/>
      <c r="AQ69" s="44"/>
      <c r="AR69" s="133" t="s">
        <v>44</v>
      </c>
      <c r="AS69" s="138" t="s">
        <v>114</v>
      </c>
      <c r="AT69" s="133" t="s">
        <v>115</v>
      </c>
      <c r="AU69" s="133" t="s">
        <v>116</v>
      </c>
      <c r="AV69" s="44"/>
      <c r="AW69" s="133" t="s">
        <v>44</v>
      </c>
      <c r="AX69" s="138" t="s">
        <v>114</v>
      </c>
      <c r="AY69" s="133" t="s">
        <v>115</v>
      </c>
      <c r="AZ69" s="133" t="s">
        <v>116</v>
      </c>
      <c r="BA69" s="44"/>
      <c r="BB69" s="133" t="s">
        <v>44</v>
      </c>
      <c r="BC69" s="138" t="s">
        <v>114</v>
      </c>
      <c r="BD69" s="133" t="s">
        <v>115</v>
      </c>
      <c r="BE69" s="133" t="s">
        <v>116</v>
      </c>
      <c r="BF69" s="44"/>
      <c r="BG69" s="44"/>
      <c r="BH69" s="133" t="s">
        <v>44</v>
      </c>
      <c r="BI69" s="138" t="s">
        <v>114</v>
      </c>
      <c r="BJ69" s="133" t="s">
        <v>115</v>
      </c>
      <c r="BK69" s="133" t="s">
        <v>116</v>
      </c>
      <c r="BL69" s="44"/>
      <c r="BM69" s="44"/>
      <c r="BN69" s="133" t="s">
        <v>44</v>
      </c>
    </row>
    <row r="70" spans="1:66" ht="15" hidden="1" x14ac:dyDescent="0.25">
      <c r="A70" s="33" t="s">
        <v>128</v>
      </c>
      <c r="B70" s="107">
        <v>0</v>
      </c>
      <c r="C70" s="38">
        <v>0</v>
      </c>
      <c r="D70" s="38">
        <v>0</v>
      </c>
      <c r="E70" s="38"/>
      <c r="F70" s="38"/>
      <c r="G70" s="38">
        <f>SUM(C70:E70)</f>
        <v>0</v>
      </c>
      <c r="H70" s="107">
        <v>0</v>
      </c>
      <c r="I70" s="38">
        <v>0</v>
      </c>
      <c r="J70" s="38">
        <v>0</v>
      </c>
      <c r="K70" s="38"/>
      <c r="L70" s="38">
        <f>SUM(I70:K70)</f>
        <v>0</v>
      </c>
      <c r="M70" s="107">
        <v>0</v>
      </c>
      <c r="N70" s="38">
        <v>0</v>
      </c>
      <c r="O70" s="38">
        <v>0</v>
      </c>
      <c r="P70" s="38">
        <f>SUM(N70:O70)</f>
        <v>0</v>
      </c>
      <c r="Q70" s="107">
        <v>0</v>
      </c>
      <c r="R70" s="38">
        <v>0</v>
      </c>
      <c r="S70" s="38">
        <v>0</v>
      </c>
      <c r="T70" s="38"/>
      <c r="U70" s="38">
        <f>SUM(R70:T70)</f>
        <v>0</v>
      </c>
      <c r="V70" s="107">
        <v>0</v>
      </c>
      <c r="W70" s="38">
        <v>0</v>
      </c>
      <c r="X70" s="38">
        <v>0</v>
      </c>
      <c r="Y70" s="38"/>
      <c r="Z70" s="38">
        <f>SUM(W70:Y70)</f>
        <v>0</v>
      </c>
      <c r="AA70" s="107">
        <v>0</v>
      </c>
      <c r="AB70" s="38">
        <v>0</v>
      </c>
      <c r="AC70" s="38">
        <v>0</v>
      </c>
      <c r="AD70" s="38"/>
      <c r="AE70" s="38"/>
      <c r="AF70" s="38">
        <f>SUM(AB70:AD70)</f>
        <v>0</v>
      </c>
      <c r="AG70" s="107">
        <v>0</v>
      </c>
      <c r="AH70" s="38">
        <v>0</v>
      </c>
      <c r="AI70" s="38">
        <v>0</v>
      </c>
      <c r="AJ70" s="38"/>
      <c r="AK70" s="38"/>
      <c r="AL70" s="38">
        <f>SUM(AH70:AJ70)</f>
        <v>0</v>
      </c>
      <c r="AM70" s="107">
        <v>0</v>
      </c>
      <c r="AN70" s="38">
        <v>0</v>
      </c>
      <c r="AO70" s="38">
        <v>0</v>
      </c>
      <c r="AP70" s="38"/>
      <c r="AQ70" s="38"/>
      <c r="AR70" s="38">
        <f>SUM(AN70:AP70)</f>
        <v>0</v>
      </c>
      <c r="AS70" s="107">
        <v>0</v>
      </c>
      <c r="AT70" s="38">
        <v>0</v>
      </c>
      <c r="AU70" s="38">
        <v>0</v>
      </c>
      <c r="AV70" s="38"/>
      <c r="AW70" s="38">
        <f>SUM(AT70:AV70)</f>
        <v>0</v>
      </c>
      <c r="AX70" s="107">
        <v>0</v>
      </c>
      <c r="AY70" s="38">
        <v>0</v>
      </c>
      <c r="AZ70" s="38">
        <v>0</v>
      </c>
      <c r="BA70" s="38"/>
      <c r="BB70" s="38">
        <f>SUM(AY70:BA70)</f>
        <v>0</v>
      </c>
      <c r="BC70" s="107">
        <v>0</v>
      </c>
      <c r="BD70" s="38">
        <v>0</v>
      </c>
      <c r="BE70" s="38">
        <v>0</v>
      </c>
      <c r="BF70" s="38"/>
      <c r="BG70" s="38"/>
      <c r="BH70" s="38">
        <f>SUM(BD70:BG70)</f>
        <v>0</v>
      </c>
      <c r="BI70" s="107">
        <v>0</v>
      </c>
      <c r="BJ70" s="38">
        <v>0</v>
      </c>
      <c r="BK70" s="38">
        <v>0</v>
      </c>
      <c r="BL70" s="38"/>
      <c r="BM70" s="38"/>
      <c r="BN70" s="38">
        <f>SUM(BJ70:BM70)</f>
        <v>0</v>
      </c>
    </row>
    <row r="71" spans="1:66" ht="15" hidden="1" x14ac:dyDescent="0.2">
      <c r="A71" s="32" t="s">
        <v>118</v>
      </c>
      <c r="B71" s="140">
        <f>SUM(B70)</f>
        <v>0</v>
      </c>
      <c r="C71" s="36">
        <f>SUM(C70)</f>
        <v>0</v>
      </c>
      <c r="D71" s="36">
        <f>SUM(D70)</f>
        <v>0</v>
      </c>
      <c r="E71" s="36"/>
      <c r="F71" s="36"/>
      <c r="G71" s="36">
        <f>SUM(G70)</f>
        <v>0</v>
      </c>
      <c r="H71" s="140">
        <f>SUM(H70)</f>
        <v>0</v>
      </c>
      <c r="I71" s="36">
        <f>SUM(I70)</f>
        <v>0</v>
      </c>
      <c r="J71" s="36">
        <f>SUM(J70)</f>
        <v>0</v>
      </c>
      <c r="K71" s="36"/>
      <c r="L71" s="36">
        <f t="shared" ref="L71:S71" si="30">SUM(L70)</f>
        <v>0</v>
      </c>
      <c r="M71" s="140">
        <f t="shared" si="30"/>
        <v>0</v>
      </c>
      <c r="N71" s="36">
        <f t="shared" si="30"/>
        <v>0</v>
      </c>
      <c r="O71" s="36">
        <f t="shared" si="30"/>
        <v>0</v>
      </c>
      <c r="P71" s="36">
        <f t="shared" si="30"/>
        <v>0</v>
      </c>
      <c r="Q71" s="140">
        <f t="shared" si="30"/>
        <v>0</v>
      </c>
      <c r="R71" s="36">
        <f t="shared" si="30"/>
        <v>0</v>
      </c>
      <c r="S71" s="36">
        <f t="shared" si="30"/>
        <v>0</v>
      </c>
      <c r="T71" s="36"/>
      <c r="U71" s="36">
        <f>SUM(U70)</f>
        <v>0</v>
      </c>
      <c r="V71" s="140">
        <f>SUM(V70)</f>
        <v>0</v>
      </c>
      <c r="W71" s="36">
        <f>SUM(W70)</f>
        <v>0</v>
      </c>
      <c r="X71" s="36">
        <f>SUM(X70)</f>
        <v>0</v>
      </c>
      <c r="Y71" s="36"/>
      <c r="Z71" s="36">
        <f>SUM(Z70)</f>
        <v>0</v>
      </c>
      <c r="AA71" s="140">
        <f>SUM(AA70)</f>
        <v>0</v>
      </c>
      <c r="AB71" s="36">
        <f>SUM(AB70)</f>
        <v>0</v>
      </c>
      <c r="AC71" s="36">
        <f>SUM(AC70)</f>
        <v>0</v>
      </c>
      <c r="AD71" s="36"/>
      <c r="AE71" s="36"/>
      <c r="AF71" s="36">
        <f>SUM(AF70)</f>
        <v>0</v>
      </c>
      <c r="AG71" s="140">
        <f>SUM(AG70)</f>
        <v>0</v>
      </c>
      <c r="AH71" s="36">
        <f>SUM(AH70)</f>
        <v>0</v>
      </c>
      <c r="AI71" s="36">
        <f>SUM(AI70)</f>
        <v>0</v>
      </c>
      <c r="AJ71" s="36"/>
      <c r="AK71" s="36"/>
      <c r="AL71" s="36">
        <f>SUM(AL70)</f>
        <v>0</v>
      </c>
      <c r="AM71" s="140">
        <f>SUM(AM70)</f>
        <v>0</v>
      </c>
      <c r="AN71" s="36">
        <f>SUM(AN70)</f>
        <v>0</v>
      </c>
      <c r="AO71" s="36">
        <f>SUM(AO70)</f>
        <v>0</v>
      </c>
      <c r="AP71" s="36"/>
      <c r="AQ71" s="36"/>
      <c r="AR71" s="36">
        <f>SUM(AR70)</f>
        <v>0</v>
      </c>
      <c r="AS71" s="140">
        <f>SUM(AS70)</f>
        <v>0</v>
      </c>
      <c r="AT71" s="36">
        <f>SUM(AT70)</f>
        <v>0</v>
      </c>
      <c r="AU71" s="36">
        <f>SUM(AU70)</f>
        <v>0</v>
      </c>
      <c r="AV71" s="36"/>
      <c r="AW71" s="36">
        <f>SUM(AW70)</f>
        <v>0</v>
      </c>
      <c r="AX71" s="140">
        <f>SUM(AX70)</f>
        <v>0</v>
      </c>
      <c r="AY71" s="36">
        <f>SUM(AY70)</f>
        <v>0</v>
      </c>
      <c r="AZ71" s="36">
        <f>SUM(AZ70)</f>
        <v>0</v>
      </c>
      <c r="BA71" s="36"/>
      <c r="BB71" s="36">
        <f>SUM(BB70)</f>
        <v>0</v>
      </c>
      <c r="BC71" s="140">
        <f>SUM(BC70)</f>
        <v>0</v>
      </c>
      <c r="BD71" s="36">
        <f>SUM(BD70)</f>
        <v>0</v>
      </c>
      <c r="BE71" s="36">
        <f>SUM(BE70)</f>
        <v>0</v>
      </c>
      <c r="BF71" s="36"/>
      <c r="BG71" s="36"/>
      <c r="BH71" s="36">
        <f>SUM(BH70)</f>
        <v>0</v>
      </c>
      <c r="BI71" s="140">
        <f>SUM(BI70)</f>
        <v>0</v>
      </c>
      <c r="BJ71" s="36">
        <f>SUM(BJ70)</f>
        <v>0</v>
      </c>
      <c r="BK71" s="36">
        <f>SUM(BK70)</f>
        <v>0</v>
      </c>
      <c r="BL71" s="36"/>
      <c r="BM71" s="36"/>
      <c r="BN71" s="36">
        <f>SUM(BN70)</f>
        <v>0</v>
      </c>
    </row>
    <row r="72" spans="1:66" x14ac:dyDescent="0.2">
      <c r="B72" s="137"/>
      <c r="C72" s="37"/>
      <c r="D72" s="37"/>
      <c r="E72" s="37"/>
      <c r="F72" s="37"/>
      <c r="G72" s="37"/>
      <c r="H72" s="137"/>
      <c r="I72" s="37"/>
      <c r="J72" s="37"/>
      <c r="K72" s="37"/>
      <c r="L72" s="37"/>
      <c r="M72" s="137"/>
      <c r="N72" s="37"/>
      <c r="O72" s="37"/>
      <c r="P72" s="37"/>
      <c r="Q72" s="137"/>
      <c r="R72" s="37"/>
      <c r="S72" s="37"/>
      <c r="T72" s="37"/>
      <c r="U72" s="37"/>
      <c r="V72" s="137"/>
      <c r="W72" s="37"/>
      <c r="X72" s="37"/>
      <c r="Y72" s="37"/>
      <c r="Z72" s="37"/>
      <c r="AA72" s="137"/>
      <c r="AB72" s="37"/>
      <c r="AC72" s="37"/>
      <c r="AD72" s="37"/>
      <c r="AE72" s="37"/>
      <c r="AF72" s="37"/>
      <c r="AG72" s="137"/>
      <c r="AH72" s="37"/>
      <c r="AI72" s="37"/>
      <c r="AJ72" s="37"/>
      <c r="AK72" s="37"/>
      <c r="AL72" s="37"/>
      <c r="AM72" s="137"/>
      <c r="AN72" s="37"/>
      <c r="AO72" s="37"/>
      <c r="AP72" s="37"/>
      <c r="AQ72" s="37"/>
      <c r="AR72" s="37"/>
      <c r="AS72" s="137"/>
      <c r="AT72" s="37"/>
      <c r="AU72" s="37"/>
      <c r="AV72" s="37"/>
      <c r="AW72" s="37"/>
      <c r="AX72" s="137"/>
      <c r="AY72" s="37"/>
      <c r="AZ72" s="37"/>
      <c r="BA72" s="37"/>
      <c r="BB72" s="37"/>
      <c r="BC72" s="137"/>
      <c r="BD72" s="37"/>
      <c r="BE72" s="37"/>
      <c r="BF72" s="37"/>
      <c r="BG72" s="37"/>
      <c r="BH72" s="37"/>
      <c r="BI72" s="137"/>
      <c r="BJ72" s="37"/>
      <c r="BK72" s="37"/>
      <c r="BL72" s="37"/>
      <c r="BM72" s="37"/>
      <c r="BN72" s="37"/>
    </row>
    <row r="73" spans="1:66" ht="15" x14ac:dyDescent="0.2">
      <c r="A73" s="32" t="s">
        <v>101</v>
      </c>
      <c r="B73" s="138" t="s">
        <v>114</v>
      </c>
      <c r="C73" s="133" t="s">
        <v>115</v>
      </c>
      <c r="D73" s="133" t="s">
        <v>116</v>
      </c>
      <c r="E73" s="44" t="s">
        <v>372</v>
      </c>
      <c r="F73" s="44" t="s">
        <v>373</v>
      </c>
      <c r="G73" s="133" t="s">
        <v>44</v>
      </c>
      <c r="H73" s="138" t="s">
        <v>114</v>
      </c>
      <c r="I73" s="133" t="s">
        <v>115</v>
      </c>
      <c r="J73" s="133" t="s">
        <v>116</v>
      </c>
      <c r="K73" s="44" t="s">
        <v>372</v>
      </c>
      <c r="L73" s="133" t="s">
        <v>44</v>
      </c>
      <c r="M73" s="138" t="s">
        <v>114</v>
      </c>
      <c r="N73" s="133" t="s">
        <v>115</v>
      </c>
      <c r="O73" s="133" t="s">
        <v>116</v>
      </c>
      <c r="P73" s="133" t="s">
        <v>44</v>
      </c>
      <c r="Q73" s="138" t="s">
        <v>114</v>
      </c>
      <c r="R73" s="133" t="s">
        <v>115</v>
      </c>
      <c r="S73" s="133" t="s">
        <v>116</v>
      </c>
      <c r="T73" s="44" t="s">
        <v>372</v>
      </c>
      <c r="U73" s="133" t="s">
        <v>44</v>
      </c>
      <c r="V73" s="138" t="s">
        <v>114</v>
      </c>
      <c r="W73" s="133" t="s">
        <v>115</v>
      </c>
      <c r="X73" s="133" t="s">
        <v>116</v>
      </c>
      <c r="Y73" s="44" t="s">
        <v>372</v>
      </c>
      <c r="Z73" s="133" t="s">
        <v>44</v>
      </c>
      <c r="AA73" s="138" t="s">
        <v>114</v>
      </c>
      <c r="AB73" s="133" t="s">
        <v>115</v>
      </c>
      <c r="AC73" s="133" t="s">
        <v>116</v>
      </c>
      <c r="AD73" s="44" t="s">
        <v>372</v>
      </c>
      <c r="AE73" s="44" t="s">
        <v>374</v>
      </c>
      <c r="AF73" s="133" t="s">
        <v>44</v>
      </c>
      <c r="AG73" s="138" t="s">
        <v>114</v>
      </c>
      <c r="AH73" s="133" t="s">
        <v>115</v>
      </c>
      <c r="AI73" s="133" t="s">
        <v>116</v>
      </c>
      <c r="AJ73" s="44" t="s">
        <v>372</v>
      </c>
      <c r="AK73" s="44" t="s">
        <v>374</v>
      </c>
      <c r="AL73" s="133" t="s">
        <v>44</v>
      </c>
      <c r="AM73" s="138" t="s">
        <v>114</v>
      </c>
      <c r="AN73" s="133" t="s">
        <v>115</v>
      </c>
      <c r="AO73" s="133" t="s">
        <v>116</v>
      </c>
      <c r="AP73" s="44" t="s">
        <v>372</v>
      </c>
      <c r="AQ73" s="44" t="s">
        <v>374</v>
      </c>
      <c r="AR73" s="133" t="s">
        <v>44</v>
      </c>
      <c r="AS73" s="138" t="s">
        <v>114</v>
      </c>
      <c r="AT73" s="133" t="s">
        <v>115</v>
      </c>
      <c r="AU73" s="133" t="s">
        <v>116</v>
      </c>
      <c r="AV73" s="44" t="s">
        <v>372</v>
      </c>
      <c r="AW73" s="133" t="s">
        <v>44</v>
      </c>
      <c r="AX73" s="138" t="s">
        <v>114</v>
      </c>
      <c r="AY73" s="133" t="s">
        <v>115</v>
      </c>
      <c r="AZ73" s="133" t="s">
        <v>116</v>
      </c>
      <c r="BA73" s="44" t="s">
        <v>372</v>
      </c>
      <c r="BB73" s="133" t="s">
        <v>44</v>
      </c>
      <c r="BC73" s="138" t="s">
        <v>114</v>
      </c>
      <c r="BD73" s="133" t="s">
        <v>115</v>
      </c>
      <c r="BE73" s="133" t="s">
        <v>116</v>
      </c>
      <c r="BF73" s="44" t="s">
        <v>375</v>
      </c>
      <c r="BG73" s="44" t="s">
        <v>372</v>
      </c>
      <c r="BH73" s="133" t="s">
        <v>44</v>
      </c>
      <c r="BI73" s="138" t="s">
        <v>114</v>
      </c>
      <c r="BJ73" s="133" t="s">
        <v>115</v>
      </c>
      <c r="BK73" s="133" t="s">
        <v>116</v>
      </c>
      <c r="BL73" s="44" t="s">
        <v>375</v>
      </c>
      <c r="BM73" s="44" t="s">
        <v>372</v>
      </c>
      <c r="BN73" s="133" t="s">
        <v>44</v>
      </c>
    </row>
    <row r="74" spans="1:66" ht="15" x14ac:dyDescent="0.2">
      <c r="A74" s="32" t="s">
        <v>129</v>
      </c>
      <c r="B74" s="139"/>
      <c r="C74" s="35"/>
      <c r="D74" s="34"/>
      <c r="E74" s="34"/>
      <c r="F74" s="34"/>
      <c r="G74" s="35"/>
      <c r="H74" s="139"/>
      <c r="I74" s="35"/>
      <c r="J74" s="34"/>
      <c r="K74" s="34"/>
      <c r="L74" s="35"/>
      <c r="M74" s="139"/>
      <c r="N74" s="35"/>
      <c r="O74" s="34"/>
      <c r="P74" s="35"/>
      <c r="Q74" s="139"/>
      <c r="R74" s="35"/>
      <c r="S74" s="34"/>
      <c r="T74" s="34"/>
      <c r="U74" s="35"/>
      <c r="V74" s="139"/>
      <c r="W74" s="35"/>
      <c r="X74" s="34"/>
      <c r="Y74" s="34"/>
      <c r="Z74" s="35"/>
      <c r="AA74" s="139"/>
      <c r="AB74" s="35"/>
      <c r="AC74" s="34"/>
      <c r="AD74" s="34"/>
      <c r="AE74" s="34"/>
      <c r="AF74" s="35"/>
      <c r="AG74" s="139"/>
      <c r="AH74" s="35"/>
      <c r="AI74" s="34"/>
      <c r="AJ74" s="34"/>
      <c r="AK74" s="34"/>
      <c r="AL74" s="35"/>
      <c r="AM74" s="139"/>
      <c r="AN74" s="35"/>
      <c r="AO74" s="34"/>
      <c r="AP74" s="34"/>
      <c r="AQ74" s="34"/>
      <c r="AR74" s="35"/>
      <c r="AS74" s="139"/>
      <c r="AT74" s="35"/>
      <c r="AU74" s="34"/>
      <c r="AV74" s="34"/>
      <c r="AW74" s="35"/>
      <c r="AX74" s="139"/>
      <c r="AY74" s="35"/>
      <c r="AZ74" s="34"/>
      <c r="BA74" s="34"/>
      <c r="BB74" s="35"/>
      <c r="BC74" s="139"/>
      <c r="BD74" s="35"/>
      <c r="BE74" s="34"/>
      <c r="BF74" s="34"/>
      <c r="BG74" s="34"/>
      <c r="BH74" s="35"/>
      <c r="BI74" s="139"/>
      <c r="BJ74" s="35"/>
      <c r="BK74" s="34"/>
      <c r="BL74" s="34"/>
      <c r="BM74" s="34"/>
      <c r="BN74" s="35"/>
    </row>
    <row r="75" spans="1:66" ht="15" x14ac:dyDescent="0.25">
      <c r="A75" s="10" t="s">
        <v>129</v>
      </c>
      <c r="B75" s="107">
        <v>0</v>
      </c>
      <c r="C75" s="38">
        <v>0</v>
      </c>
      <c r="D75" s="38"/>
      <c r="E75" s="38"/>
      <c r="F75" s="38"/>
      <c r="G75" s="38">
        <v>0</v>
      </c>
      <c r="H75" s="107">
        <v>0</v>
      </c>
      <c r="I75" s="38">
        <v>0</v>
      </c>
      <c r="J75" s="38"/>
      <c r="K75" s="38"/>
      <c r="L75" s="38">
        <v>0</v>
      </c>
      <c r="M75" s="107">
        <v>0</v>
      </c>
      <c r="N75" s="38">
        <v>0</v>
      </c>
      <c r="O75" s="38"/>
      <c r="P75" s="38">
        <v>0</v>
      </c>
      <c r="Q75" s="107">
        <v>0</v>
      </c>
      <c r="R75" s="38">
        <v>0</v>
      </c>
      <c r="S75" s="38"/>
      <c r="T75" s="38"/>
      <c r="U75" s="38">
        <v>0</v>
      </c>
      <c r="V75" s="107">
        <v>0</v>
      </c>
      <c r="W75" s="38">
        <v>0</v>
      </c>
      <c r="X75" s="38"/>
      <c r="Y75" s="38"/>
      <c r="Z75" s="38">
        <v>0</v>
      </c>
      <c r="AA75" s="107">
        <v>0</v>
      </c>
      <c r="AB75" s="38">
        <v>0</v>
      </c>
      <c r="AC75" s="38"/>
      <c r="AD75" s="38"/>
      <c r="AE75" s="38"/>
      <c r="AF75" s="38">
        <v>0</v>
      </c>
      <c r="AG75" s="107">
        <v>0</v>
      </c>
      <c r="AH75" s="38">
        <v>0</v>
      </c>
      <c r="AI75" s="38"/>
      <c r="AJ75" s="38"/>
      <c r="AK75" s="38"/>
      <c r="AL75" s="38">
        <v>0</v>
      </c>
      <c r="AM75" s="107">
        <v>0</v>
      </c>
      <c r="AN75" s="38">
        <v>0</v>
      </c>
      <c r="AO75" s="38"/>
      <c r="AP75" s="38"/>
      <c r="AQ75" s="38"/>
      <c r="AR75" s="38">
        <v>0</v>
      </c>
      <c r="AS75" s="107">
        <v>0</v>
      </c>
      <c r="AT75" s="38">
        <v>0</v>
      </c>
      <c r="AU75" s="38"/>
      <c r="AV75" s="38"/>
      <c r="AW75" s="38">
        <v>0</v>
      </c>
      <c r="AX75" s="107">
        <v>0</v>
      </c>
      <c r="AY75" s="38">
        <v>0</v>
      </c>
      <c r="AZ75" s="38"/>
      <c r="BA75" s="38"/>
      <c r="BB75" s="38">
        <v>0</v>
      </c>
      <c r="BC75" s="107">
        <v>0</v>
      </c>
      <c r="BD75" s="38">
        <v>0</v>
      </c>
      <c r="BE75" s="38"/>
      <c r="BF75" s="38"/>
      <c r="BG75" s="38"/>
      <c r="BH75" s="38">
        <v>0</v>
      </c>
      <c r="BI75" s="107">
        <v>0</v>
      </c>
      <c r="BJ75" s="38"/>
      <c r="BK75" s="38"/>
      <c r="BL75" s="38"/>
      <c r="BM75" s="38"/>
      <c r="BN75" s="38">
        <v>0</v>
      </c>
    </row>
    <row r="76" spans="1:66" ht="15" x14ac:dyDescent="0.25">
      <c r="A76" s="33" t="s">
        <v>131</v>
      </c>
      <c r="B76" s="143">
        <v>12</v>
      </c>
      <c r="C76" s="38">
        <v>25687571.940000005</v>
      </c>
      <c r="D76" s="38">
        <v>2709487.87</v>
      </c>
      <c r="E76" s="38">
        <v>0</v>
      </c>
      <c r="F76" s="38">
        <v>1440000</v>
      </c>
      <c r="G76" s="38">
        <f>SUM(C76:F76)</f>
        <v>29837059.810000006</v>
      </c>
      <c r="H76" s="143">
        <v>12</v>
      </c>
      <c r="I76" s="38">
        <v>24328685.549999997</v>
      </c>
      <c r="J76" s="38">
        <v>3786248.1700000004</v>
      </c>
      <c r="K76" s="38">
        <v>0</v>
      </c>
      <c r="L76" s="38">
        <f>SUM(I76:K76)</f>
        <v>28114933.719999999</v>
      </c>
      <c r="M76" s="143">
        <v>12</v>
      </c>
      <c r="N76" s="38">
        <v>24021088.77</v>
      </c>
      <c r="O76" s="38">
        <v>2266686.23</v>
      </c>
      <c r="P76" s="38">
        <f>SUM(N76:O76)</f>
        <v>26287775</v>
      </c>
      <c r="Q76" s="143">
        <v>12</v>
      </c>
      <c r="R76" s="38">
        <v>22547615.769999996</v>
      </c>
      <c r="S76" s="38">
        <v>2515562.0299999998</v>
      </c>
      <c r="T76" s="38">
        <v>0</v>
      </c>
      <c r="U76" s="38">
        <f>SUM(R76:T76)</f>
        <v>25063177.799999997</v>
      </c>
      <c r="V76" s="143">
        <v>12</v>
      </c>
      <c r="W76" s="38">
        <v>24771095.149999999</v>
      </c>
      <c r="X76" s="38">
        <v>3152628.86</v>
      </c>
      <c r="Y76" s="38">
        <v>0</v>
      </c>
      <c r="Z76" s="38">
        <f>SUM(W76:Y76)</f>
        <v>27923724.009999998</v>
      </c>
      <c r="AA76" s="143">
        <v>11</v>
      </c>
      <c r="AB76" s="38">
        <v>26998714.380000003</v>
      </c>
      <c r="AC76" s="38">
        <v>7091517.7699999996</v>
      </c>
      <c r="AD76" s="38">
        <v>16686483.65</v>
      </c>
      <c r="AE76" s="38">
        <v>600000</v>
      </c>
      <c r="AF76" s="38">
        <f>SUM(AB76:AE76)</f>
        <v>51376715.800000004</v>
      </c>
      <c r="AG76" s="143">
        <v>11</v>
      </c>
      <c r="AH76" s="38">
        <v>25151834.489999995</v>
      </c>
      <c r="AI76" s="38">
        <v>4303737.4000000004</v>
      </c>
      <c r="AJ76" s="38">
        <v>0</v>
      </c>
      <c r="AK76" s="38">
        <v>550000</v>
      </c>
      <c r="AL76" s="38">
        <f>SUM(AH76:AK76)</f>
        <v>30005571.889999993</v>
      </c>
      <c r="AM76" s="143">
        <v>11</v>
      </c>
      <c r="AN76" s="38">
        <v>27137966.559999999</v>
      </c>
      <c r="AO76" s="38">
        <v>4720757.25</v>
      </c>
      <c r="AP76" s="38">
        <v>221767</v>
      </c>
      <c r="AQ76" s="38">
        <v>160000</v>
      </c>
      <c r="AR76" s="38">
        <f>SUM(AN76:AQ76)</f>
        <v>32240490.809999999</v>
      </c>
      <c r="AS76" s="143">
        <v>11</v>
      </c>
      <c r="AT76" s="38">
        <v>28165534.099999998</v>
      </c>
      <c r="AU76" s="38">
        <v>2199323.29</v>
      </c>
      <c r="AV76" s="38">
        <v>0</v>
      </c>
      <c r="AW76" s="38">
        <f>SUM(AT76:AV76)</f>
        <v>30364857.389999997</v>
      </c>
      <c r="AX76" s="143">
        <v>11</v>
      </c>
      <c r="AY76" s="38">
        <v>49454040.680000007</v>
      </c>
      <c r="AZ76" s="38">
        <v>1776994.79</v>
      </c>
      <c r="BA76" s="38">
        <v>0</v>
      </c>
      <c r="BB76" s="38">
        <f>SUM(AY76:BA76)</f>
        <v>51231035.470000006</v>
      </c>
      <c r="BC76" s="143">
        <v>11</v>
      </c>
      <c r="BD76" s="38">
        <v>28927321.580000002</v>
      </c>
      <c r="BE76" s="38">
        <v>3844412.17</v>
      </c>
      <c r="BF76" s="38">
        <v>550000</v>
      </c>
      <c r="BG76" s="38">
        <v>0</v>
      </c>
      <c r="BH76" s="38">
        <f>SUM(BD76:BG76)</f>
        <v>33321733.75</v>
      </c>
      <c r="BI76" s="143">
        <v>11</v>
      </c>
      <c r="BJ76" s="38">
        <v>29654707.420000002</v>
      </c>
      <c r="BK76" s="38">
        <v>2338914.8199999998</v>
      </c>
      <c r="BL76" s="38"/>
      <c r="BM76" s="38">
        <v>16878089.850000001</v>
      </c>
      <c r="BN76" s="38">
        <f>SUM(BJ76:BM76)</f>
        <v>48871712.090000004</v>
      </c>
    </row>
    <row r="77" spans="1:66" ht="15" x14ac:dyDescent="0.25">
      <c r="A77" s="33" t="s">
        <v>16</v>
      </c>
      <c r="B77" s="143">
        <v>16</v>
      </c>
      <c r="C77" s="38">
        <v>34895842.199999996</v>
      </c>
      <c r="D77" s="38">
        <v>10079061.84</v>
      </c>
      <c r="E77" s="38">
        <v>0</v>
      </c>
      <c r="F77" s="38">
        <v>1920000</v>
      </c>
      <c r="G77" s="38">
        <f>SUM(C77:F77)</f>
        <v>46894904.039999992</v>
      </c>
      <c r="H77" s="143">
        <v>16</v>
      </c>
      <c r="I77" s="38">
        <v>30203982.500000004</v>
      </c>
      <c r="J77" s="38">
        <v>10396066.449999999</v>
      </c>
      <c r="K77" s="38">
        <v>0</v>
      </c>
      <c r="L77" s="38">
        <f>SUM(I77:K77)</f>
        <v>40600048.950000003</v>
      </c>
      <c r="M77" s="143">
        <v>16</v>
      </c>
      <c r="N77" s="38">
        <v>33235168.810000002</v>
      </c>
      <c r="O77" s="38">
        <v>8546404.2699999996</v>
      </c>
      <c r="P77" s="38">
        <f>SUM(N77:O77)</f>
        <v>41781573.079999998</v>
      </c>
      <c r="Q77" s="143">
        <v>16</v>
      </c>
      <c r="R77" s="38">
        <v>109356415.92</v>
      </c>
      <c r="S77" s="38">
        <v>8707693.5099999998</v>
      </c>
      <c r="T77" s="38">
        <v>2169901.23</v>
      </c>
      <c r="U77" s="38">
        <f>SUM(R77:T77)</f>
        <v>120234010.66000001</v>
      </c>
      <c r="V77" s="143">
        <v>14</v>
      </c>
      <c r="W77" s="38">
        <v>28770890.5</v>
      </c>
      <c r="X77" s="38">
        <v>9256625.0599999987</v>
      </c>
      <c r="Y77" s="38">
        <v>0</v>
      </c>
      <c r="Z77" s="38">
        <f>SUM(W77:Y77)</f>
        <v>38027515.560000002</v>
      </c>
      <c r="AA77" s="143">
        <v>14</v>
      </c>
      <c r="AB77" s="38">
        <v>27722140.939999994</v>
      </c>
      <c r="AC77" s="38">
        <v>19385247.25</v>
      </c>
      <c r="AD77" s="38">
        <v>23484027.210000001</v>
      </c>
      <c r="AE77" s="38">
        <v>700000</v>
      </c>
      <c r="AF77" s="38">
        <f>SUM(AB77:AE77)</f>
        <v>71291415.400000006</v>
      </c>
      <c r="AG77" s="143">
        <v>14</v>
      </c>
      <c r="AH77" s="38">
        <v>31745871.550000001</v>
      </c>
      <c r="AI77" s="38">
        <v>15014829.800000001</v>
      </c>
      <c r="AJ77" s="38">
        <v>0</v>
      </c>
      <c r="AK77" s="38">
        <v>700000</v>
      </c>
      <c r="AL77" s="38">
        <f>SUM(AH77:AK77)</f>
        <v>47460701.350000001</v>
      </c>
      <c r="AM77" s="143">
        <v>14</v>
      </c>
      <c r="AN77" s="38">
        <v>35101494.030000001</v>
      </c>
      <c r="AO77" s="38">
        <v>14380704.07</v>
      </c>
      <c r="AP77" s="38">
        <v>412774</v>
      </c>
      <c r="AQ77" s="38">
        <v>0</v>
      </c>
      <c r="AR77" s="38">
        <f>SUM(AN77:AQ77)</f>
        <v>49894972.100000001</v>
      </c>
      <c r="AS77" s="143">
        <v>14</v>
      </c>
      <c r="AT77" s="38">
        <v>36332915.499999993</v>
      </c>
      <c r="AU77" s="38">
        <v>8244087.4800000004</v>
      </c>
      <c r="AV77" s="38">
        <v>0</v>
      </c>
      <c r="AW77" s="38">
        <f>SUM(AT77:AV77)</f>
        <v>44577002.979999989</v>
      </c>
      <c r="AX77" s="143">
        <v>14</v>
      </c>
      <c r="AY77" s="38">
        <v>66200765.680000007</v>
      </c>
      <c r="AZ77" s="38">
        <v>8032466.6200000001</v>
      </c>
      <c r="BA77" s="38">
        <v>0</v>
      </c>
      <c r="BB77" s="38">
        <f>SUM(AY77:BA77)</f>
        <v>74233232.300000012</v>
      </c>
      <c r="BC77" s="143">
        <v>14</v>
      </c>
      <c r="BD77" s="38">
        <v>37459948.219999999</v>
      </c>
      <c r="BE77" s="38">
        <v>13502634.82</v>
      </c>
      <c r="BF77" s="38">
        <v>700000</v>
      </c>
      <c r="BG77" s="38">
        <v>0</v>
      </c>
      <c r="BH77" s="38">
        <f>SUM(BD77:BG77)</f>
        <v>51662583.039999999</v>
      </c>
      <c r="BI77" s="143">
        <v>14</v>
      </c>
      <c r="BJ77" s="38">
        <v>37514541.869999997</v>
      </c>
      <c r="BK77" s="38">
        <v>13329408.65</v>
      </c>
      <c r="BL77" s="38"/>
      <c r="BM77" s="38">
        <v>27357807.859999999</v>
      </c>
      <c r="BN77" s="38">
        <f>SUM(BJ77:BM77)</f>
        <v>78201758.379999995</v>
      </c>
    </row>
    <row r="78" spans="1:66" ht="15" x14ac:dyDescent="0.25">
      <c r="A78" s="33" t="s">
        <v>132</v>
      </c>
      <c r="B78" s="146"/>
      <c r="C78" s="38"/>
      <c r="D78" s="38"/>
      <c r="E78" s="38"/>
      <c r="F78" s="38"/>
      <c r="G78" s="38">
        <f>SUM(C78:F78)</f>
        <v>0</v>
      </c>
      <c r="H78" s="146"/>
      <c r="I78" s="38"/>
      <c r="J78" s="38"/>
      <c r="K78" s="38"/>
      <c r="L78" s="38">
        <f>SUM(I78:K78)</f>
        <v>0</v>
      </c>
      <c r="M78" s="146"/>
      <c r="N78" s="38"/>
      <c r="O78" s="38"/>
      <c r="P78" s="38">
        <f>SUM(N78:O78)</f>
        <v>0</v>
      </c>
      <c r="Q78" s="146"/>
      <c r="R78" s="38"/>
      <c r="S78" s="38"/>
      <c r="T78" s="38"/>
      <c r="U78" s="38">
        <f>SUM(R78:T78)</f>
        <v>0</v>
      </c>
      <c r="V78" s="146"/>
      <c r="W78" s="38"/>
      <c r="X78" s="38"/>
      <c r="Y78" s="38"/>
      <c r="Z78" s="38">
        <f>SUM(W78:Y78)</f>
        <v>0</v>
      </c>
      <c r="AA78" s="146"/>
      <c r="AB78" s="38"/>
      <c r="AC78" s="38"/>
      <c r="AD78" s="38"/>
      <c r="AE78" s="38"/>
      <c r="AF78" s="38">
        <f>SUM(AB78:AE78)</f>
        <v>0</v>
      </c>
      <c r="AG78" s="146"/>
      <c r="AH78" s="38"/>
      <c r="AI78" s="38"/>
      <c r="AJ78" s="38"/>
      <c r="AK78" s="38"/>
      <c r="AL78" s="38">
        <f>SUM(AH78:AK78)</f>
        <v>0</v>
      </c>
      <c r="AM78" s="146"/>
      <c r="AN78" s="38">
        <v>0</v>
      </c>
      <c r="AO78" s="38">
        <v>0</v>
      </c>
      <c r="AP78" s="38">
        <v>0</v>
      </c>
      <c r="AQ78" s="38">
        <v>0</v>
      </c>
      <c r="AR78" s="38">
        <f>SUM(AN78:AQ78)</f>
        <v>0</v>
      </c>
      <c r="AS78" s="146"/>
      <c r="AT78" s="38"/>
      <c r="AU78" s="38"/>
      <c r="AV78" s="38"/>
      <c r="AW78" s="38">
        <f>SUM(AT78:AV78)</f>
        <v>0</v>
      </c>
      <c r="AX78" s="146"/>
      <c r="AY78" s="38"/>
      <c r="AZ78" s="38"/>
      <c r="BA78" s="38"/>
      <c r="BB78" s="38">
        <f>SUM(AY78:BA78)</f>
        <v>0</v>
      </c>
      <c r="BC78" s="146"/>
      <c r="BD78" s="38"/>
      <c r="BE78" s="38"/>
      <c r="BF78" s="38"/>
      <c r="BG78" s="38"/>
      <c r="BH78" s="38">
        <f>SUM(BD78:BG78)</f>
        <v>0</v>
      </c>
      <c r="BI78" s="146"/>
      <c r="BJ78" s="38"/>
      <c r="BK78" s="38"/>
      <c r="BL78" s="38"/>
      <c r="BM78" s="38"/>
      <c r="BN78" s="38">
        <f>SUM(BJ78:BM78)</f>
        <v>0</v>
      </c>
    </row>
    <row r="79" spans="1:66" ht="15" x14ac:dyDescent="0.25">
      <c r="A79" s="33" t="s">
        <v>133</v>
      </c>
      <c r="B79" s="143">
        <v>15</v>
      </c>
      <c r="C79" s="38">
        <v>30054446.330000009</v>
      </c>
      <c r="D79" s="38">
        <v>434830.68</v>
      </c>
      <c r="E79" s="38">
        <v>0</v>
      </c>
      <c r="F79" s="38">
        <v>1800000</v>
      </c>
      <c r="G79" s="38">
        <f>SUM(C79:F79)</f>
        <v>32289277.010000009</v>
      </c>
      <c r="H79" s="143">
        <v>15</v>
      </c>
      <c r="I79" s="38">
        <v>28565699.84</v>
      </c>
      <c r="J79" s="38">
        <v>244862.85</v>
      </c>
      <c r="K79" s="38">
        <v>416458.20999999996</v>
      </c>
      <c r="L79" s="38">
        <f>SUM(I79:K79)</f>
        <v>29227020.900000002</v>
      </c>
      <c r="M79" s="143">
        <v>15</v>
      </c>
      <c r="N79" s="38">
        <v>24606132.210000001</v>
      </c>
      <c r="O79" s="38">
        <v>207343.27999999997</v>
      </c>
      <c r="P79" s="38">
        <f>SUM(N79:O79)</f>
        <v>24813475.490000002</v>
      </c>
      <c r="Q79" s="143">
        <v>15</v>
      </c>
      <c r="R79" s="38">
        <v>28057415.279999994</v>
      </c>
      <c r="S79" s="38">
        <v>144046.51</v>
      </c>
      <c r="T79" s="38">
        <v>679730.96000000008</v>
      </c>
      <c r="U79" s="38">
        <f>SUM(R79:T79)</f>
        <v>28881192.749999996</v>
      </c>
      <c r="V79" s="143">
        <v>13</v>
      </c>
      <c r="W79" s="38">
        <v>25530427.149999995</v>
      </c>
      <c r="X79" s="38">
        <v>242603.73</v>
      </c>
      <c r="Y79" s="38">
        <v>0</v>
      </c>
      <c r="Z79" s="38">
        <f>SUM(W79:Y79)</f>
        <v>25773030.879999995</v>
      </c>
      <c r="AA79" s="143">
        <v>13</v>
      </c>
      <c r="AB79" s="38">
        <v>25654087.650000002</v>
      </c>
      <c r="AC79" s="38">
        <v>4427914.5599999996</v>
      </c>
      <c r="AD79" s="38">
        <v>15588222.220000001</v>
      </c>
      <c r="AE79" s="38">
        <v>650000</v>
      </c>
      <c r="AF79" s="38">
        <f>SUM(AB79:AE79)</f>
        <v>46320224.43</v>
      </c>
      <c r="AG79" s="143">
        <v>13</v>
      </c>
      <c r="AH79" s="38">
        <v>26655964.639999997</v>
      </c>
      <c r="AI79" s="38">
        <v>3647409.66</v>
      </c>
      <c r="AJ79" s="38">
        <v>0</v>
      </c>
      <c r="AK79" s="38">
        <v>650000</v>
      </c>
      <c r="AL79" s="38">
        <f>SUM(AH79:AK79)</f>
        <v>30953374.299999997</v>
      </c>
      <c r="AM79" s="143">
        <v>13</v>
      </c>
      <c r="AN79" s="38">
        <v>30832298.91</v>
      </c>
      <c r="AO79" s="38">
        <v>3212176.71</v>
      </c>
      <c r="AP79" s="38">
        <v>332126</v>
      </c>
      <c r="AQ79" s="38">
        <v>160000</v>
      </c>
      <c r="AR79" s="38">
        <f>SUM(AN79:AQ79)</f>
        <v>34536601.619999997</v>
      </c>
      <c r="AS79" s="143">
        <v>13</v>
      </c>
      <c r="AT79" s="38">
        <v>30590270.900000002</v>
      </c>
      <c r="AU79" s="38">
        <v>2476311.35</v>
      </c>
      <c r="AV79" s="38">
        <v>0</v>
      </c>
      <c r="AW79" s="38">
        <f>SUM(AT79:AV79)</f>
        <v>33066582.250000004</v>
      </c>
      <c r="AX79" s="143">
        <v>13</v>
      </c>
      <c r="AY79" s="38">
        <v>57541205.900000021</v>
      </c>
      <c r="AZ79" s="38">
        <v>1296059.1900000002</v>
      </c>
      <c r="BA79" s="38">
        <v>0</v>
      </c>
      <c r="BB79" s="38">
        <f>SUM(AY79:BA79)</f>
        <v>58837265.090000018</v>
      </c>
      <c r="BC79" s="143">
        <v>13</v>
      </c>
      <c r="BD79" s="38">
        <v>32604830.080000006</v>
      </c>
      <c r="BE79" s="38">
        <v>499849.48</v>
      </c>
      <c r="BF79" s="38">
        <v>650000</v>
      </c>
      <c r="BG79" s="38">
        <v>0</v>
      </c>
      <c r="BH79" s="38">
        <f>SUM(BD79:BG79)</f>
        <v>33754679.560000002</v>
      </c>
      <c r="BI79" s="143">
        <v>13</v>
      </c>
      <c r="BJ79" s="38">
        <v>32659918.609999999</v>
      </c>
      <c r="BK79" s="38">
        <v>578219.93999999994</v>
      </c>
      <c r="BL79" s="38"/>
      <c r="BM79" s="38">
        <v>18169711.539999999</v>
      </c>
      <c r="BN79" s="38">
        <f>SUM(BJ79:BM79)</f>
        <v>51407850.090000004</v>
      </c>
    </row>
    <row r="80" spans="1:66" ht="15" x14ac:dyDescent="0.2">
      <c r="A80" s="32" t="s">
        <v>118</v>
      </c>
      <c r="B80" s="140">
        <f t="shared" ref="B80:AG80" si="31">SUM(B75:B79)</f>
        <v>43</v>
      </c>
      <c r="C80" s="36">
        <f t="shared" si="31"/>
        <v>90637860.470000014</v>
      </c>
      <c r="D80" s="36">
        <f t="shared" si="31"/>
        <v>13223380.390000001</v>
      </c>
      <c r="E80" s="36">
        <f t="shared" si="31"/>
        <v>0</v>
      </c>
      <c r="F80" s="36">
        <f t="shared" si="31"/>
        <v>5160000</v>
      </c>
      <c r="G80" s="36">
        <f t="shared" si="31"/>
        <v>109021240.86</v>
      </c>
      <c r="H80" s="140">
        <f t="shared" si="31"/>
        <v>43</v>
      </c>
      <c r="I80" s="36">
        <f t="shared" si="31"/>
        <v>83098367.890000001</v>
      </c>
      <c r="J80" s="36">
        <f t="shared" si="31"/>
        <v>14427177.469999999</v>
      </c>
      <c r="K80" s="36">
        <f t="shared" si="31"/>
        <v>416458.20999999996</v>
      </c>
      <c r="L80" s="36">
        <f t="shared" si="31"/>
        <v>97942003.570000008</v>
      </c>
      <c r="M80" s="140">
        <f t="shared" si="31"/>
        <v>43</v>
      </c>
      <c r="N80" s="36">
        <f t="shared" si="31"/>
        <v>81862389.789999992</v>
      </c>
      <c r="O80" s="36">
        <f t="shared" si="31"/>
        <v>11020433.779999999</v>
      </c>
      <c r="P80" s="36">
        <f t="shared" si="31"/>
        <v>92882823.569999993</v>
      </c>
      <c r="Q80" s="140">
        <f t="shared" si="31"/>
        <v>43</v>
      </c>
      <c r="R80" s="36">
        <f t="shared" si="31"/>
        <v>159961446.97</v>
      </c>
      <c r="S80" s="36">
        <f t="shared" si="31"/>
        <v>11367302.049999999</v>
      </c>
      <c r="T80" s="36">
        <f t="shared" si="31"/>
        <v>2849632.19</v>
      </c>
      <c r="U80" s="36">
        <f t="shared" si="31"/>
        <v>174178381.21000001</v>
      </c>
      <c r="V80" s="140">
        <f t="shared" si="31"/>
        <v>39</v>
      </c>
      <c r="W80" s="36">
        <f t="shared" si="31"/>
        <v>79072412.799999997</v>
      </c>
      <c r="X80" s="36">
        <f t="shared" si="31"/>
        <v>12651857.649999999</v>
      </c>
      <c r="Y80" s="36">
        <f t="shared" si="31"/>
        <v>0</v>
      </c>
      <c r="Z80" s="36">
        <f t="shared" si="31"/>
        <v>91724270.449999988</v>
      </c>
      <c r="AA80" s="140">
        <f t="shared" si="31"/>
        <v>38</v>
      </c>
      <c r="AB80" s="36">
        <f t="shared" si="31"/>
        <v>80374942.969999999</v>
      </c>
      <c r="AC80" s="36">
        <f t="shared" si="31"/>
        <v>30904679.579999998</v>
      </c>
      <c r="AD80" s="36">
        <f t="shared" si="31"/>
        <v>55758733.079999998</v>
      </c>
      <c r="AE80" s="36">
        <f t="shared" si="31"/>
        <v>1950000</v>
      </c>
      <c r="AF80" s="36">
        <f t="shared" si="31"/>
        <v>168988355.63000003</v>
      </c>
      <c r="AG80" s="140">
        <f t="shared" si="31"/>
        <v>38</v>
      </c>
      <c r="AH80" s="36">
        <f t="shared" ref="AH80:BM80" si="32">SUM(AH75:AH79)</f>
        <v>83553670.679999992</v>
      </c>
      <c r="AI80" s="36">
        <f t="shared" si="32"/>
        <v>22965976.860000003</v>
      </c>
      <c r="AJ80" s="36">
        <f t="shared" si="32"/>
        <v>0</v>
      </c>
      <c r="AK80" s="36">
        <f t="shared" si="32"/>
        <v>1900000</v>
      </c>
      <c r="AL80" s="36">
        <f t="shared" si="32"/>
        <v>108419647.53999999</v>
      </c>
      <c r="AM80" s="140">
        <f t="shared" si="32"/>
        <v>38</v>
      </c>
      <c r="AN80" s="36">
        <f t="shared" si="32"/>
        <v>93071759.5</v>
      </c>
      <c r="AO80" s="36">
        <f t="shared" si="32"/>
        <v>22313638.030000001</v>
      </c>
      <c r="AP80" s="36">
        <f t="shared" si="32"/>
        <v>966667</v>
      </c>
      <c r="AQ80" s="36">
        <f t="shared" si="32"/>
        <v>320000</v>
      </c>
      <c r="AR80" s="36">
        <f t="shared" si="32"/>
        <v>116672064.53</v>
      </c>
      <c r="AS80" s="140">
        <f t="shared" si="32"/>
        <v>38</v>
      </c>
      <c r="AT80" s="36">
        <f t="shared" si="32"/>
        <v>95088720.5</v>
      </c>
      <c r="AU80" s="36">
        <f t="shared" si="32"/>
        <v>12919722.119999999</v>
      </c>
      <c r="AV80" s="36">
        <f t="shared" si="32"/>
        <v>0</v>
      </c>
      <c r="AW80" s="36">
        <f t="shared" si="32"/>
        <v>108008442.61999999</v>
      </c>
      <c r="AX80" s="140">
        <f t="shared" si="32"/>
        <v>38</v>
      </c>
      <c r="AY80" s="36">
        <f t="shared" si="32"/>
        <v>173196012.26000005</v>
      </c>
      <c r="AZ80" s="36">
        <f t="shared" si="32"/>
        <v>11105520.6</v>
      </c>
      <c r="BA80" s="36">
        <f t="shared" si="32"/>
        <v>0</v>
      </c>
      <c r="BB80" s="36">
        <f t="shared" si="32"/>
        <v>184301532.86000001</v>
      </c>
      <c r="BC80" s="140">
        <f t="shared" si="32"/>
        <v>38</v>
      </c>
      <c r="BD80" s="36">
        <f t="shared" si="32"/>
        <v>98992099.879999995</v>
      </c>
      <c r="BE80" s="36">
        <f t="shared" si="32"/>
        <v>17846896.470000003</v>
      </c>
      <c r="BF80" s="36">
        <f t="shared" si="32"/>
        <v>1900000</v>
      </c>
      <c r="BG80" s="36">
        <f t="shared" si="32"/>
        <v>0</v>
      </c>
      <c r="BH80" s="36">
        <f t="shared" si="32"/>
        <v>118738996.34999999</v>
      </c>
      <c r="BI80" s="140">
        <f t="shared" si="32"/>
        <v>38</v>
      </c>
      <c r="BJ80" s="36">
        <f t="shared" si="32"/>
        <v>99829167.899999991</v>
      </c>
      <c r="BK80" s="36">
        <f t="shared" si="32"/>
        <v>16246543.41</v>
      </c>
      <c r="BL80" s="36">
        <f t="shared" si="32"/>
        <v>0</v>
      </c>
      <c r="BM80" s="36">
        <f t="shared" si="32"/>
        <v>62405609.25</v>
      </c>
      <c r="BN80" s="36">
        <f>SUM(BN75:BN79)</f>
        <v>178481320.56</v>
      </c>
    </row>
    <row r="81" spans="1:66" x14ac:dyDescent="0.2">
      <c r="A81" s="33"/>
      <c r="B81" s="137"/>
      <c r="C81" s="37"/>
      <c r="D81" s="37"/>
      <c r="E81" s="37"/>
      <c r="F81" s="37"/>
      <c r="G81" s="37"/>
      <c r="H81" s="137"/>
      <c r="I81" s="37"/>
      <c r="J81" s="37"/>
      <c r="K81" s="37"/>
      <c r="L81" s="37"/>
      <c r="M81" s="137"/>
      <c r="N81" s="37"/>
      <c r="O81" s="37"/>
      <c r="P81" s="37"/>
      <c r="Q81" s="137"/>
      <c r="R81" s="37"/>
      <c r="S81" s="37"/>
      <c r="T81" s="37"/>
      <c r="U81" s="37"/>
      <c r="V81" s="137"/>
      <c r="W81" s="37"/>
      <c r="X81" s="37"/>
      <c r="Y81" s="37"/>
      <c r="Z81" s="37"/>
      <c r="AA81" s="137"/>
      <c r="AB81" s="37"/>
      <c r="AC81" s="37"/>
      <c r="AD81" s="37"/>
      <c r="AE81" s="37"/>
      <c r="AF81" s="37"/>
      <c r="AG81" s="137"/>
      <c r="AH81" s="37"/>
      <c r="AI81" s="37"/>
      <c r="AJ81" s="37"/>
      <c r="AK81" s="37"/>
      <c r="AL81" s="37"/>
      <c r="AM81" s="137"/>
      <c r="AN81" s="37"/>
      <c r="AO81" s="37"/>
      <c r="AP81" s="37"/>
      <c r="AQ81" s="37"/>
      <c r="AR81" s="37"/>
      <c r="AS81" s="137"/>
      <c r="AT81" s="37"/>
      <c r="AU81" s="37"/>
      <c r="AV81" s="37"/>
      <c r="AW81" s="37"/>
      <c r="AX81" s="137"/>
      <c r="AY81" s="37"/>
      <c r="AZ81" s="37"/>
      <c r="BA81" s="37"/>
      <c r="BB81" s="37"/>
      <c r="BC81" s="137"/>
      <c r="BD81" s="37"/>
      <c r="BE81" s="37"/>
      <c r="BF81" s="37"/>
      <c r="BG81" s="37"/>
      <c r="BH81" s="37"/>
      <c r="BI81" s="137"/>
      <c r="BJ81" s="37"/>
      <c r="BK81" s="37"/>
      <c r="BL81" s="37"/>
      <c r="BM81" s="37"/>
      <c r="BN81" s="37"/>
    </row>
    <row r="82" spans="1:66" ht="15" x14ac:dyDescent="0.2">
      <c r="A82" s="32" t="s">
        <v>101</v>
      </c>
      <c r="B82" s="138" t="s">
        <v>114</v>
      </c>
      <c r="C82" s="133" t="s">
        <v>115</v>
      </c>
      <c r="D82" s="133" t="s">
        <v>116</v>
      </c>
      <c r="E82" s="44" t="s">
        <v>372</v>
      </c>
      <c r="F82" s="44" t="s">
        <v>373</v>
      </c>
      <c r="G82" s="133" t="s">
        <v>44</v>
      </c>
      <c r="H82" s="138" t="s">
        <v>114</v>
      </c>
      <c r="I82" s="133" t="s">
        <v>115</v>
      </c>
      <c r="J82" s="133" t="s">
        <v>116</v>
      </c>
      <c r="K82" s="44" t="s">
        <v>372</v>
      </c>
      <c r="L82" s="133" t="s">
        <v>44</v>
      </c>
      <c r="M82" s="138" t="s">
        <v>114</v>
      </c>
      <c r="N82" s="133" t="s">
        <v>115</v>
      </c>
      <c r="O82" s="133" t="s">
        <v>116</v>
      </c>
      <c r="P82" s="133" t="s">
        <v>44</v>
      </c>
      <c r="Q82" s="138" t="s">
        <v>114</v>
      </c>
      <c r="R82" s="133" t="s">
        <v>115</v>
      </c>
      <c r="S82" s="133" t="s">
        <v>116</v>
      </c>
      <c r="T82" s="44" t="s">
        <v>372</v>
      </c>
      <c r="U82" s="133" t="s">
        <v>44</v>
      </c>
      <c r="V82" s="138" t="s">
        <v>114</v>
      </c>
      <c r="W82" s="133" t="s">
        <v>115</v>
      </c>
      <c r="X82" s="133" t="s">
        <v>116</v>
      </c>
      <c r="Y82" s="44" t="s">
        <v>372</v>
      </c>
      <c r="Z82" s="133" t="s">
        <v>44</v>
      </c>
      <c r="AA82" s="138" t="s">
        <v>114</v>
      </c>
      <c r="AB82" s="133" t="s">
        <v>115</v>
      </c>
      <c r="AC82" s="133" t="s">
        <v>116</v>
      </c>
      <c r="AD82" s="44" t="s">
        <v>372</v>
      </c>
      <c r="AE82" s="44" t="s">
        <v>374</v>
      </c>
      <c r="AF82" s="133" t="s">
        <v>44</v>
      </c>
      <c r="AG82" s="138" t="s">
        <v>114</v>
      </c>
      <c r="AH82" s="133" t="s">
        <v>115</v>
      </c>
      <c r="AI82" s="133" t="s">
        <v>116</v>
      </c>
      <c r="AJ82" s="44" t="s">
        <v>372</v>
      </c>
      <c r="AK82" s="44" t="s">
        <v>374</v>
      </c>
      <c r="AL82" s="133" t="s">
        <v>44</v>
      </c>
      <c r="AM82" s="138" t="s">
        <v>114</v>
      </c>
      <c r="AN82" s="133" t="s">
        <v>115</v>
      </c>
      <c r="AO82" s="133" t="s">
        <v>116</v>
      </c>
      <c r="AP82" s="44" t="s">
        <v>372</v>
      </c>
      <c r="AQ82" s="44" t="s">
        <v>374</v>
      </c>
      <c r="AR82" s="133" t="s">
        <v>44</v>
      </c>
      <c r="AS82" s="138" t="s">
        <v>114</v>
      </c>
      <c r="AT82" s="133" t="s">
        <v>115</v>
      </c>
      <c r="AU82" s="133" t="s">
        <v>116</v>
      </c>
      <c r="AV82" s="44" t="s">
        <v>372</v>
      </c>
      <c r="AW82" s="133" t="s">
        <v>44</v>
      </c>
      <c r="AX82" s="138" t="s">
        <v>114</v>
      </c>
      <c r="AY82" s="133" t="s">
        <v>115</v>
      </c>
      <c r="AZ82" s="133" t="s">
        <v>116</v>
      </c>
      <c r="BA82" s="44" t="s">
        <v>372</v>
      </c>
      <c r="BB82" s="133" t="s">
        <v>44</v>
      </c>
      <c r="BC82" s="138" t="s">
        <v>114</v>
      </c>
      <c r="BD82" s="133" t="s">
        <v>115</v>
      </c>
      <c r="BE82" s="133" t="s">
        <v>116</v>
      </c>
      <c r="BF82" s="44" t="s">
        <v>375</v>
      </c>
      <c r="BG82" s="44" t="s">
        <v>372</v>
      </c>
      <c r="BH82" s="133" t="s">
        <v>44</v>
      </c>
      <c r="BI82" s="138" t="s">
        <v>114</v>
      </c>
      <c r="BJ82" s="133" t="s">
        <v>115</v>
      </c>
      <c r="BK82" s="133" t="s">
        <v>116</v>
      </c>
      <c r="BL82" s="44" t="s">
        <v>375</v>
      </c>
      <c r="BM82" s="44" t="s">
        <v>372</v>
      </c>
      <c r="BN82" s="133" t="s">
        <v>44</v>
      </c>
    </row>
    <row r="83" spans="1:66" ht="15" x14ac:dyDescent="0.2">
      <c r="A83" s="32" t="s">
        <v>48</v>
      </c>
      <c r="B83" s="139"/>
      <c r="C83" s="35"/>
      <c r="D83" s="35"/>
      <c r="E83" s="35"/>
      <c r="F83" s="35"/>
      <c r="G83" s="35"/>
      <c r="H83" s="139"/>
      <c r="I83" s="35"/>
      <c r="J83" s="35"/>
      <c r="K83" s="35"/>
      <c r="L83" s="35"/>
      <c r="M83" s="139"/>
      <c r="N83" s="35"/>
      <c r="O83" s="35"/>
      <c r="P83" s="35"/>
      <c r="Q83" s="139"/>
      <c r="R83" s="35"/>
      <c r="S83" s="35"/>
      <c r="T83" s="35"/>
      <c r="U83" s="35"/>
      <c r="V83" s="139"/>
      <c r="W83" s="35"/>
      <c r="X83" s="35"/>
      <c r="Y83" s="35"/>
      <c r="Z83" s="35"/>
      <c r="AA83" s="139"/>
      <c r="AB83" s="35"/>
      <c r="AC83" s="35"/>
      <c r="AD83" s="35"/>
      <c r="AE83" s="35"/>
      <c r="AF83" s="35"/>
      <c r="AG83" s="139"/>
      <c r="AH83" s="35"/>
      <c r="AI83" s="35"/>
      <c r="AJ83" s="35"/>
      <c r="AK83" s="35"/>
      <c r="AL83" s="35"/>
      <c r="AM83" s="139"/>
      <c r="AN83" s="35"/>
      <c r="AO83" s="35"/>
      <c r="AP83" s="35"/>
      <c r="AQ83" s="35"/>
      <c r="AR83" s="35"/>
      <c r="AS83" s="139"/>
      <c r="AT83" s="35"/>
      <c r="AU83" s="35"/>
      <c r="AV83" s="35"/>
      <c r="AW83" s="35"/>
      <c r="AX83" s="139"/>
      <c r="AY83" s="35"/>
      <c r="AZ83" s="35"/>
      <c r="BA83" s="35"/>
      <c r="BB83" s="35"/>
      <c r="BC83" s="139"/>
      <c r="BD83" s="35"/>
      <c r="BE83" s="35"/>
      <c r="BF83" s="35"/>
      <c r="BG83" s="35"/>
      <c r="BH83" s="35"/>
      <c r="BI83" s="139"/>
      <c r="BJ83" s="35"/>
      <c r="BK83" s="35"/>
      <c r="BL83" s="35"/>
      <c r="BM83" s="35"/>
      <c r="BN83" s="35"/>
    </row>
    <row r="84" spans="1:66" ht="15" x14ac:dyDescent="0.25">
      <c r="A84" s="54" t="s">
        <v>240</v>
      </c>
      <c r="B84" s="143">
        <v>5</v>
      </c>
      <c r="C84" s="38">
        <v>9679498.4900000002</v>
      </c>
      <c r="D84" s="38">
        <v>0</v>
      </c>
      <c r="E84" s="38">
        <v>0</v>
      </c>
      <c r="F84" s="38">
        <v>480000</v>
      </c>
      <c r="G84" s="38">
        <f>SUM(C84:F84)</f>
        <v>10159498.49</v>
      </c>
      <c r="H84" s="143">
        <v>5</v>
      </c>
      <c r="I84" s="38">
        <v>9943950.4199999981</v>
      </c>
      <c r="J84" s="38">
        <v>0</v>
      </c>
      <c r="K84" s="38">
        <v>0</v>
      </c>
      <c r="L84" s="38">
        <f>SUM(I84:K84)</f>
        <v>9943950.4199999981</v>
      </c>
      <c r="M84" s="143">
        <v>5</v>
      </c>
      <c r="N84" s="38">
        <v>12125137.560000001</v>
      </c>
      <c r="O84" s="38">
        <v>0</v>
      </c>
      <c r="P84" s="38">
        <f>SUM(N84:O84)</f>
        <v>12125137.560000001</v>
      </c>
      <c r="Q84" s="143">
        <v>5</v>
      </c>
      <c r="R84" s="38">
        <v>33726780.25999999</v>
      </c>
      <c r="S84" s="38">
        <v>0</v>
      </c>
      <c r="T84" s="38">
        <v>1863853.58</v>
      </c>
      <c r="U84" s="38">
        <f>SUM(R84:T84)</f>
        <v>35590633.839999989</v>
      </c>
      <c r="V84" s="143">
        <v>3</v>
      </c>
      <c r="W84" s="38">
        <v>7888544.1699999981</v>
      </c>
      <c r="X84" s="38">
        <v>0</v>
      </c>
      <c r="Y84" s="38">
        <v>0</v>
      </c>
      <c r="Z84" s="38">
        <f>SUM(W84:Y84)</f>
        <v>7888544.1699999981</v>
      </c>
      <c r="AA84" s="143">
        <v>3</v>
      </c>
      <c r="AB84" s="38">
        <v>10136254.669999998</v>
      </c>
      <c r="AC84" s="38">
        <v>0</v>
      </c>
      <c r="AD84" s="38">
        <v>5393309.5300000003</v>
      </c>
      <c r="AE84" s="38">
        <v>200000</v>
      </c>
      <c r="AF84" s="38">
        <f>SUM(AB84:AE84)</f>
        <v>15729564.199999999</v>
      </c>
      <c r="AG84" s="143">
        <v>2</v>
      </c>
      <c r="AH84" s="38">
        <v>41446368.580000006</v>
      </c>
      <c r="AI84" s="38">
        <v>79990.7</v>
      </c>
      <c r="AJ84" s="38">
        <v>677410.22</v>
      </c>
      <c r="AK84" s="38">
        <v>200000</v>
      </c>
      <c r="AL84" s="38">
        <f>SUM(AH84:AK84)</f>
        <v>42403769.500000007</v>
      </c>
      <c r="AM84" s="143">
        <v>3</v>
      </c>
      <c r="AN84" s="38">
        <v>9172548.7699999977</v>
      </c>
      <c r="AO84" s="38">
        <v>32956.160000000003</v>
      </c>
      <c r="AP84" s="38">
        <v>52214</v>
      </c>
      <c r="AQ84" s="38">
        <v>160000</v>
      </c>
      <c r="AR84" s="38">
        <f>SUM(AN84:AQ84)</f>
        <v>9417718.9299999978</v>
      </c>
      <c r="AS84" s="143">
        <v>3</v>
      </c>
      <c r="AT84" s="38">
        <v>9619316.9900000002</v>
      </c>
      <c r="AU84" s="38">
        <v>134790.59</v>
      </c>
      <c r="AV84" s="38">
        <v>0</v>
      </c>
      <c r="AW84" s="38">
        <f>SUM(AT84:AV84)</f>
        <v>9754107.5800000001</v>
      </c>
      <c r="AX84" s="143">
        <v>3</v>
      </c>
      <c r="AY84">
        <v>16681600.409999998</v>
      </c>
      <c r="AZ84" s="38">
        <v>33951.42</v>
      </c>
      <c r="BA84" s="38">
        <v>0</v>
      </c>
      <c r="BB84" s="38">
        <f>SUM(AY84:BA84)</f>
        <v>16715551.829999998</v>
      </c>
      <c r="BC84" s="143">
        <v>3</v>
      </c>
      <c r="BD84" s="38">
        <v>9222301.1000000015</v>
      </c>
      <c r="BE84" s="38">
        <v>124636.89</v>
      </c>
      <c r="BF84" s="38">
        <v>150000</v>
      </c>
      <c r="BG84" s="38">
        <v>0</v>
      </c>
      <c r="BH84" s="38">
        <f>SUM(BD84:BG84)</f>
        <v>9496937.9900000021</v>
      </c>
      <c r="BI84" s="143">
        <v>3</v>
      </c>
      <c r="BJ84" s="38">
        <v>9282523.7100000009</v>
      </c>
      <c r="BK84" s="38"/>
      <c r="BL84" s="38"/>
      <c r="BM84" s="38">
        <v>4890491.2300000004</v>
      </c>
      <c r="BN84" s="38">
        <f>SUM(BJ84:BM84)</f>
        <v>14173014.940000001</v>
      </c>
    </row>
    <row r="85" spans="1:66" ht="15" x14ac:dyDescent="0.25">
      <c r="A85" s="54" t="s">
        <v>241</v>
      </c>
      <c r="B85" s="143">
        <v>7</v>
      </c>
      <c r="C85" s="38">
        <v>14754285.509999998</v>
      </c>
      <c r="D85" s="38">
        <v>513121.81</v>
      </c>
      <c r="E85" s="38">
        <v>0</v>
      </c>
      <c r="F85" s="38">
        <v>720000</v>
      </c>
      <c r="G85" s="38">
        <f>SUM(C85:F85)</f>
        <v>15987407.319999998</v>
      </c>
      <c r="H85" s="143">
        <v>7</v>
      </c>
      <c r="I85" s="38">
        <v>12996211.52</v>
      </c>
      <c r="J85" s="38">
        <v>276854.56</v>
      </c>
      <c r="K85" s="38">
        <v>0</v>
      </c>
      <c r="L85" s="38">
        <f>SUM(I85:K85)</f>
        <v>13273066.08</v>
      </c>
      <c r="M85" s="143">
        <v>7</v>
      </c>
      <c r="N85" s="38">
        <v>13781149.9</v>
      </c>
      <c r="O85" s="38">
        <v>11871.67</v>
      </c>
      <c r="P85" s="38">
        <f>SUM(N85:O85)</f>
        <v>13793021.57</v>
      </c>
      <c r="Q85" s="143">
        <v>7</v>
      </c>
      <c r="R85" s="38">
        <v>15747956.060000001</v>
      </c>
      <c r="S85" s="38">
        <v>459049.84</v>
      </c>
      <c r="T85" s="38">
        <v>413899.60000000003</v>
      </c>
      <c r="U85" s="38">
        <f>SUM(R85:T85)</f>
        <v>16620905.5</v>
      </c>
      <c r="V85" s="143">
        <v>6</v>
      </c>
      <c r="W85" s="38">
        <v>13794903.100000001</v>
      </c>
      <c r="X85" s="38">
        <v>302285.68</v>
      </c>
      <c r="Y85" s="38">
        <v>0</v>
      </c>
      <c r="Z85" s="38">
        <f>SUM(W85:Y85)</f>
        <v>14097188.780000001</v>
      </c>
      <c r="AA85" s="143">
        <v>6</v>
      </c>
      <c r="AB85" s="38">
        <v>14455893.949999999</v>
      </c>
      <c r="AC85" s="38">
        <v>173086.58000000002</v>
      </c>
      <c r="AD85" s="38">
        <v>7830200.75</v>
      </c>
      <c r="AE85" s="38">
        <v>300000</v>
      </c>
      <c r="AF85" s="38">
        <f>SUM(AB85:AE85)</f>
        <v>22759181.280000001</v>
      </c>
      <c r="AG85" s="143">
        <v>5</v>
      </c>
      <c r="AH85" s="38">
        <v>180477904.23999998</v>
      </c>
      <c r="AI85" s="38">
        <v>189488.78</v>
      </c>
      <c r="AJ85" s="38">
        <v>2883359.73</v>
      </c>
      <c r="AK85" s="38">
        <v>300000</v>
      </c>
      <c r="AL85" s="38">
        <f>SUM(AH85:AK85)</f>
        <v>183850752.74999997</v>
      </c>
      <c r="AM85" s="143">
        <v>6</v>
      </c>
      <c r="AN85" s="38">
        <v>14811773.379999999</v>
      </c>
      <c r="AO85" s="38">
        <v>222900.32</v>
      </c>
      <c r="AP85" s="38">
        <v>131335</v>
      </c>
      <c r="AQ85" s="38">
        <v>0</v>
      </c>
      <c r="AR85" s="38">
        <f>SUM(AN85:AQ85)</f>
        <v>15166008.699999999</v>
      </c>
      <c r="AS85" s="143">
        <v>6</v>
      </c>
      <c r="AT85" s="38">
        <v>14427795.84</v>
      </c>
      <c r="AU85" s="38">
        <v>291345.95</v>
      </c>
      <c r="AV85" s="38">
        <v>0</v>
      </c>
      <c r="AW85" s="38">
        <f>SUM(AT85:AV85)</f>
        <v>14719141.789999999</v>
      </c>
      <c r="AX85" s="143">
        <v>6</v>
      </c>
      <c r="AY85" s="38">
        <v>25895947.919999998</v>
      </c>
      <c r="AZ85" s="38">
        <v>40997.94</v>
      </c>
      <c r="BA85" s="38">
        <v>0</v>
      </c>
      <c r="BB85" s="38">
        <f>SUM(AY85:BA85)</f>
        <v>25936945.859999999</v>
      </c>
      <c r="BC85" s="143">
        <v>6</v>
      </c>
      <c r="BD85" s="38">
        <v>19791247.849999994</v>
      </c>
      <c r="BE85" s="38">
        <v>203600.75</v>
      </c>
      <c r="BF85" s="38">
        <v>300000</v>
      </c>
      <c r="BG85" s="38">
        <v>1245778.71</v>
      </c>
      <c r="BH85" s="38">
        <f>SUM(BD85:BG85)</f>
        <v>21540627.309999995</v>
      </c>
      <c r="BI85" s="143">
        <v>5</v>
      </c>
      <c r="BJ85" s="38">
        <v>15366020.48</v>
      </c>
      <c r="BK85" s="38"/>
      <c r="BL85" s="38"/>
      <c r="BM85" s="38">
        <v>6814343.6399999997</v>
      </c>
      <c r="BN85" s="38">
        <f>SUM(BJ85:BM85)</f>
        <v>22180364.120000001</v>
      </c>
    </row>
    <row r="86" spans="1:66" ht="15" x14ac:dyDescent="0.25">
      <c r="A86" s="54" t="s">
        <v>349</v>
      </c>
      <c r="B86" s="143">
        <v>1</v>
      </c>
      <c r="C86" s="38">
        <v>2734469.1700000004</v>
      </c>
      <c r="D86" s="38">
        <v>0</v>
      </c>
      <c r="E86" s="38">
        <v>0</v>
      </c>
      <c r="F86" s="38">
        <v>0</v>
      </c>
      <c r="G86" s="38">
        <f>SUM(C86:F86)</f>
        <v>2734469.1700000004</v>
      </c>
      <c r="H86" s="143">
        <v>1</v>
      </c>
      <c r="I86" s="38">
        <v>8961393.8699999992</v>
      </c>
      <c r="J86" s="38">
        <v>51506.76</v>
      </c>
      <c r="K86" s="38">
        <v>0</v>
      </c>
      <c r="L86" s="38">
        <f>SUM(I86:K86)</f>
        <v>9012900.629999999</v>
      </c>
      <c r="M86" s="143">
        <v>1</v>
      </c>
      <c r="N86" s="38">
        <v>9490563.6199999992</v>
      </c>
      <c r="O86" s="38">
        <v>79709.87</v>
      </c>
      <c r="P86" s="38">
        <f>SUM(N86:O86)</f>
        <v>9570273.4899999984</v>
      </c>
      <c r="Q86" s="143">
        <v>1</v>
      </c>
      <c r="R86" s="38">
        <v>9904030.7799999975</v>
      </c>
      <c r="S86" s="38">
        <v>107002.6</v>
      </c>
      <c r="T86" s="38">
        <v>0</v>
      </c>
      <c r="U86" s="38">
        <f>SUM(R86:T86)</f>
        <v>10011033.379999997</v>
      </c>
      <c r="V86" s="143">
        <v>4</v>
      </c>
      <c r="W86" s="38">
        <v>9850549.9199999999</v>
      </c>
      <c r="X86" s="38">
        <v>77703.600000000006</v>
      </c>
      <c r="Y86" s="38">
        <v>0</v>
      </c>
      <c r="Z86" s="38">
        <f>SUM(W86:Y86)</f>
        <v>9928253.5199999996</v>
      </c>
      <c r="AA86" s="143">
        <v>4</v>
      </c>
      <c r="AB86" s="38">
        <v>10143581.479999999</v>
      </c>
      <c r="AC86" s="38">
        <v>80515.19</v>
      </c>
      <c r="AD86" s="38">
        <v>5088349.3099999996</v>
      </c>
      <c r="AE86" s="38">
        <v>200000</v>
      </c>
      <c r="AF86" s="38">
        <f>SUM(AB86:AE86)</f>
        <v>15512445.979999997</v>
      </c>
      <c r="AG86" s="143">
        <v>4</v>
      </c>
      <c r="AH86" s="38">
        <v>10613960.999999998</v>
      </c>
      <c r="AI86" s="38">
        <v>26529.34</v>
      </c>
      <c r="AJ86" s="38">
        <v>0</v>
      </c>
      <c r="AK86" s="38">
        <v>200000</v>
      </c>
      <c r="AL86" s="38">
        <f>SUM(AH86:AK86)</f>
        <v>10840490.339999998</v>
      </c>
      <c r="AM86" s="143">
        <v>3</v>
      </c>
      <c r="AN86" s="38">
        <v>6610881.1599999992</v>
      </c>
      <c r="AO86" s="38">
        <v>74477.08</v>
      </c>
      <c r="AP86" s="38">
        <v>0</v>
      </c>
      <c r="AQ86" s="38">
        <v>0</v>
      </c>
      <c r="AR86" s="38">
        <f>SUM(AN86:AQ86)</f>
        <v>6685358.2399999993</v>
      </c>
      <c r="AS86" s="143">
        <v>3</v>
      </c>
      <c r="AT86" s="38">
        <v>6280795.2800000012</v>
      </c>
      <c r="AU86" s="38">
        <v>95560.33</v>
      </c>
      <c r="AV86" s="38">
        <v>0</v>
      </c>
      <c r="AW86" s="38">
        <f>SUM(AT86:AV86)</f>
        <v>6376355.6100000013</v>
      </c>
      <c r="AX86" s="143">
        <v>3</v>
      </c>
      <c r="AY86" s="38">
        <v>10581495.66</v>
      </c>
      <c r="AZ86" s="38">
        <v>16488.13</v>
      </c>
      <c r="BA86" s="38">
        <v>0</v>
      </c>
      <c r="BB86" s="38">
        <f>SUM(AY86:BA86)</f>
        <v>10597983.790000001</v>
      </c>
      <c r="BC86" s="143">
        <v>3</v>
      </c>
      <c r="BD86" s="38">
        <v>7400723.1000000015</v>
      </c>
      <c r="BE86" s="38">
        <v>389448.02</v>
      </c>
      <c r="BF86" s="38">
        <v>150000</v>
      </c>
      <c r="BG86" s="38">
        <v>0</v>
      </c>
      <c r="BH86" s="38">
        <f>SUM(BD86:BG86)</f>
        <v>7940171.120000001</v>
      </c>
      <c r="BI86" s="143">
        <v>3</v>
      </c>
      <c r="BJ86" s="38">
        <v>6631310.4199999999</v>
      </c>
      <c r="BK86" s="38">
        <v>306277.34000000003</v>
      </c>
      <c r="BL86" s="38"/>
      <c r="BM86" s="38">
        <v>3521700.61</v>
      </c>
      <c r="BN86" s="38">
        <f>SUM(BJ86:BM86)</f>
        <v>10459288.369999999</v>
      </c>
    </row>
    <row r="87" spans="1:66" ht="15" x14ac:dyDescent="0.25">
      <c r="A87" s="33" t="s">
        <v>179</v>
      </c>
      <c r="B87" s="143">
        <v>1</v>
      </c>
      <c r="C87" s="38">
        <v>4074840.61</v>
      </c>
      <c r="D87" s="38">
        <v>0</v>
      </c>
      <c r="E87" s="38">
        <v>0</v>
      </c>
      <c r="F87" s="38">
        <v>120000</v>
      </c>
      <c r="G87" s="38">
        <f>SUM(C87:F87)</f>
        <v>4194840.6099999994</v>
      </c>
      <c r="H87" s="143">
        <v>1</v>
      </c>
      <c r="I87" s="38">
        <v>3777031.2700000005</v>
      </c>
      <c r="J87" s="38">
        <v>0</v>
      </c>
      <c r="K87" s="38">
        <v>0</v>
      </c>
      <c r="L87" s="38">
        <f>SUM(I87:K87)</f>
        <v>3777031.2700000005</v>
      </c>
      <c r="M87" s="143">
        <v>1</v>
      </c>
      <c r="N87" s="38">
        <v>4079193.61</v>
      </c>
      <c r="O87" s="38">
        <v>0</v>
      </c>
      <c r="P87" s="38">
        <f>SUM(N87:O87)</f>
        <v>4079193.61</v>
      </c>
      <c r="Q87" s="143">
        <v>1</v>
      </c>
      <c r="R87" s="38">
        <v>4131828.6599999997</v>
      </c>
      <c r="S87" s="38">
        <v>0</v>
      </c>
      <c r="T87" s="38">
        <v>0</v>
      </c>
      <c r="U87" s="38">
        <f>SUM(R87:T87)</f>
        <v>4131828.6599999997</v>
      </c>
      <c r="V87" s="143">
        <v>1</v>
      </c>
      <c r="W87" s="38">
        <v>4386488.97</v>
      </c>
      <c r="X87" s="38">
        <v>0</v>
      </c>
      <c r="Y87" s="38">
        <v>0</v>
      </c>
      <c r="Z87" s="38">
        <f>SUM(W87:Y87)</f>
        <v>4386488.97</v>
      </c>
      <c r="AA87" s="143">
        <v>1</v>
      </c>
      <c r="AB87" s="38">
        <v>4301588.62</v>
      </c>
      <c r="AC87" s="38">
        <v>0</v>
      </c>
      <c r="AD87" s="38">
        <v>2193244.1</v>
      </c>
      <c r="AE87" s="38">
        <v>50000</v>
      </c>
      <c r="AF87" s="38">
        <f>SUM(AB87:AE87)</f>
        <v>6544832.7200000007</v>
      </c>
      <c r="AG87" s="143">
        <v>1</v>
      </c>
      <c r="AH87" s="38">
        <v>4481434.8100000005</v>
      </c>
      <c r="AI87" s="38">
        <v>0</v>
      </c>
      <c r="AJ87" s="38">
        <v>0</v>
      </c>
      <c r="AK87" s="38">
        <v>50000</v>
      </c>
      <c r="AL87" s="38">
        <f>SUM(AH87:AK87)</f>
        <v>4531434.8100000005</v>
      </c>
      <c r="AM87" s="143">
        <v>1</v>
      </c>
      <c r="AN87" s="38">
        <v>4676216.12</v>
      </c>
      <c r="AO87" s="38">
        <v>0</v>
      </c>
      <c r="AP87" s="38">
        <v>0</v>
      </c>
      <c r="AQ87" s="38">
        <v>160000</v>
      </c>
      <c r="AR87" s="38">
        <f>SUM(AN87:AQ87)</f>
        <v>4836216.12</v>
      </c>
      <c r="AS87" s="143">
        <v>1</v>
      </c>
      <c r="AT87" s="38">
        <v>4738967.9099999992</v>
      </c>
      <c r="AU87" s="38">
        <v>0</v>
      </c>
      <c r="AV87" s="38">
        <v>0</v>
      </c>
      <c r="AW87" s="38">
        <f>SUM(AT87:AV87)</f>
        <v>4738967.9099999992</v>
      </c>
      <c r="AX87" s="143">
        <v>1</v>
      </c>
      <c r="AY87" s="38">
        <v>8722322.629999999</v>
      </c>
      <c r="AZ87" s="38">
        <v>0</v>
      </c>
      <c r="BA87" s="38">
        <v>0</v>
      </c>
      <c r="BB87" s="38">
        <f>SUM(AY87:BA87)</f>
        <v>8722322.629999999</v>
      </c>
      <c r="BC87" s="143">
        <v>1</v>
      </c>
      <c r="BD87" s="38">
        <v>5072295.74</v>
      </c>
      <c r="BE87" s="38">
        <v>0</v>
      </c>
      <c r="BF87" s="38">
        <v>50000</v>
      </c>
      <c r="BG87" s="38">
        <v>0</v>
      </c>
      <c r="BH87" s="38">
        <f>SUM(BD87:BG87)</f>
        <v>5122295.74</v>
      </c>
      <c r="BI87" s="143">
        <v>1</v>
      </c>
      <c r="BJ87" s="38">
        <v>4930905.63</v>
      </c>
      <c r="BK87" s="38"/>
      <c r="BL87" s="38"/>
      <c r="BM87" s="38">
        <v>2536147.8199999998</v>
      </c>
      <c r="BN87" s="38">
        <f>SUM(BJ87:BM87)</f>
        <v>7467053.4499999993</v>
      </c>
    </row>
    <row r="88" spans="1:66" ht="15" x14ac:dyDescent="0.2">
      <c r="A88" s="32" t="s">
        <v>118</v>
      </c>
      <c r="B88" s="147">
        <f t="shared" ref="B88:AG88" si="33">SUM(B84:B87)</f>
        <v>14</v>
      </c>
      <c r="C88" s="36">
        <f t="shared" si="33"/>
        <v>31243093.780000001</v>
      </c>
      <c r="D88" s="36">
        <f t="shared" si="33"/>
        <v>513121.81</v>
      </c>
      <c r="E88" s="36">
        <f t="shared" si="33"/>
        <v>0</v>
      </c>
      <c r="F88" s="36">
        <f t="shared" si="33"/>
        <v>1320000</v>
      </c>
      <c r="G88" s="36">
        <f t="shared" si="33"/>
        <v>33076215.59</v>
      </c>
      <c r="H88" s="147">
        <f t="shared" si="33"/>
        <v>14</v>
      </c>
      <c r="I88" s="36">
        <f t="shared" si="33"/>
        <v>35678587.079999998</v>
      </c>
      <c r="J88" s="36">
        <f t="shared" si="33"/>
        <v>328361.32</v>
      </c>
      <c r="K88" s="36">
        <f t="shared" si="33"/>
        <v>0</v>
      </c>
      <c r="L88" s="36">
        <f t="shared" si="33"/>
        <v>36006948.399999999</v>
      </c>
      <c r="M88" s="147">
        <f t="shared" si="33"/>
        <v>14</v>
      </c>
      <c r="N88" s="36">
        <f t="shared" si="33"/>
        <v>39476044.689999998</v>
      </c>
      <c r="O88" s="36">
        <f t="shared" si="33"/>
        <v>91581.54</v>
      </c>
      <c r="P88" s="36">
        <f t="shared" si="33"/>
        <v>39567626.230000004</v>
      </c>
      <c r="Q88" s="147">
        <f t="shared" si="33"/>
        <v>14</v>
      </c>
      <c r="R88" s="36">
        <f t="shared" si="33"/>
        <v>63510595.75999999</v>
      </c>
      <c r="S88" s="36">
        <f t="shared" si="33"/>
        <v>566052.44000000006</v>
      </c>
      <c r="T88" s="36">
        <f t="shared" si="33"/>
        <v>2277753.1800000002</v>
      </c>
      <c r="U88" s="36">
        <f t="shared" si="33"/>
        <v>66354401.37999998</v>
      </c>
      <c r="V88" s="147">
        <f t="shared" si="33"/>
        <v>14</v>
      </c>
      <c r="W88" s="36">
        <f t="shared" si="33"/>
        <v>35920486.159999996</v>
      </c>
      <c r="X88" s="36">
        <f t="shared" si="33"/>
        <v>379989.28</v>
      </c>
      <c r="Y88" s="36">
        <f t="shared" si="33"/>
        <v>0</v>
      </c>
      <c r="Z88" s="36">
        <f t="shared" si="33"/>
        <v>36300475.439999998</v>
      </c>
      <c r="AA88" s="147">
        <f t="shared" si="33"/>
        <v>14</v>
      </c>
      <c r="AB88" s="36">
        <f t="shared" si="33"/>
        <v>39037318.719999991</v>
      </c>
      <c r="AC88" s="36">
        <f t="shared" si="33"/>
        <v>253601.77000000002</v>
      </c>
      <c r="AD88" s="36">
        <f t="shared" si="33"/>
        <v>20505103.690000001</v>
      </c>
      <c r="AE88" s="36">
        <f t="shared" si="33"/>
        <v>750000</v>
      </c>
      <c r="AF88" s="36">
        <f t="shared" si="33"/>
        <v>60546024.18</v>
      </c>
      <c r="AG88" s="147">
        <f t="shared" si="33"/>
        <v>12</v>
      </c>
      <c r="AH88" s="36">
        <f t="shared" ref="AH88:BM88" si="34">SUM(AH84:AH87)</f>
        <v>237019668.63</v>
      </c>
      <c r="AI88" s="36">
        <f t="shared" si="34"/>
        <v>296008.82</v>
      </c>
      <c r="AJ88" s="36">
        <f t="shared" si="34"/>
        <v>3560769.95</v>
      </c>
      <c r="AK88" s="36">
        <f t="shared" si="34"/>
        <v>750000</v>
      </c>
      <c r="AL88" s="36">
        <f t="shared" si="34"/>
        <v>241626447.39999998</v>
      </c>
      <c r="AM88" s="147">
        <f t="shared" si="34"/>
        <v>13</v>
      </c>
      <c r="AN88" s="36">
        <f t="shared" si="34"/>
        <v>35271419.43</v>
      </c>
      <c r="AO88" s="36">
        <f t="shared" si="34"/>
        <v>330333.56</v>
      </c>
      <c r="AP88" s="36">
        <f t="shared" si="34"/>
        <v>183549</v>
      </c>
      <c r="AQ88" s="36">
        <f t="shared" si="34"/>
        <v>320000</v>
      </c>
      <c r="AR88" s="36">
        <f t="shared" si="34"/>
        <v>36105301.989999995</v>
      </c>
      <c r="AS88" s="147">
        <f t="shared" si="34"/>
        <v>13</v>
      </c>
      <c r="AT88" s="36">
        <f t="shared" si="34"/>
        <v>35066876.019999996</v>
      </c>
      <c r="AU88" s="36">
        <f t="shared" si="34"/>
        <v>521696.87000000005</v>
      </c>
      <c r="AV88" s="36">
        <f t="shared" si="34"/>
        <v>0</v>
      </c>
      <c r="AW88" s="36">
        <f t="shared" si="34"/>
        <v>35588572.889999993</v>
      </c>
      <c r="AX88" s="147">
        <f t="shared" si="34"/>
        <v>13</v>
      </c>
      <c r="AY88" s="36">
        <f t="shared" si="34"/>
        <v>61881366.61999999</v>
      </c>
      <c r="AZ88" s="36">
        <f t="shared" si="34"/>
        <v>91437.49</v>
      </c>
      <c r="BA88" s="36">
        <f t="shared" si="34"/>
        <v>0</v>
      </c>
      <c r="BB88" s="36">
        <f t="shared" si="34"/>
        <v>61972804.109999999</v>
      </c>
      <c r="BC88" s="147">
        <f t="shared" si="34"/>
        <v>13</v>
      </c>
      <c r="BD88" s="36">
        <f t="shared" si="34"/>
        <v>41486567.789999999</v>
      </c>
      <c r="BE88" s="36">
        <f t="shared" si="34"/>
        <v>717685.66</v>
      </c>
      <c r="BF88" s="36">
        <f t="shared" si="34"/>
        <v>650000</v>
      </c>
      <c r="BG88" s="36">
        <f t="shared" si="34"/>
        <v>1245778.71</v>
      </c>
      <c r="BH88" s="36">
        <f t="shared" si="34"/>
        <v>44100032.160000004</v>
      </c>
      <c r="BI88" s="147">
        <f t="shared" si="34"/>
        <v>12</v>
      </c>
      <c r="BJ88" s="36">
        <f t="shared" si="34"/>
        <v>36210760.240000002</v>
      </c>
      <c r="BK88" s="36">
        <f t="shared" si="34"/>
        <v>306277.34000000003</v>
      </c>
      <c r="BL88" s="36">
        <f t="shared" si="34"/>
        <v>0</v>
      </c>
      <c r="BM88" s="36">
        <f t="shared" si="34"/>
        <v>17762683.300000001</v>
      </c>
      <c r="BN88" s="36">
        <f>SUM(BN84:BN87)</f>
        <v>54279720.879999995</v>
      </c>
    </row>
    <row r="89" spans="1:66" x14ac:dyDescent="0.2">
      <c r="B89" s="137"/>
      <c r="C89" s="37"/>
      <c r="D89" s="37"/>
      <c r="E89" s="37"/>
      <c r="F89" s="37"/>
      <c r="G89" s="37"/>
      <c r="H89" s="137"/>
      <c r="I89" s="37"/>
      <c r="J89" s="37"/>
      <c r="K89" s="37"/>
      <c r="L89" s="37"/>
      <c r="M89" s="137"/>
      <c r="N89" s="37"/>
      <c r="O89" s="37"/>
      <c r="P89" s="37"/>
      <c r="Q89" s="137"/>
      <c r="R89" s="37"/>
      <c r="S89" s="37"/>
      <c r="T89" s="37"/>
      <c r="U89" s="37"/>
      <c r="V89" s="137"/>
      <c r="W89" s="37"/>
      <c r="X89" s="37"/>
      <c r="Y89" s="37"/>
      <c r="Z89" s="37"/>
      <c r="AA89" s="137"/>
      <c r="AB89" s="37"/>
      <c r="AC89" s="37"/>
      <c r="AD89" s="37"/>
      <c r="AE89" s="37"/>
      <c r="AF89" s="37"/>
      <c r="AG89" s="137"/>
      <c r="AH89" s="37"/>
      <c r="AI89" s="37"/>
      <c r="AJ89" s="37"/>
      <c r="AK89" s="37"/>
      <c r="AL89" s="37"/>
      <c r="AM89" s="137"/>
      <c r="AN89" s="37"/>
      <c r="AO89" s="37"/>
      <c r="AP89" s="37"/>
      <c r="AQ89" s="37"/>
      <c r="AR89" s="37"/>
      <c r="AS89" s="137"/>
      <c r="AT89" s="37"/>
      <c r="AU89" s="37"/>
      <c r="AV89" s="37"/>
      <c r="AW89" s="37"/>
      <c r="AX89" s="137"/>
      <c r="AY89" s="37"/>
      <c r="AZ89" s="37"/>
      <c r="BA89" s="37"/>
      <c r="BB89" s="37"/>
      <c r="BC89" s="137"/>
      <c r="BD89" s="37"/>
      <c r="BE89" s="37"/>
      <c r="BF89" s="37"/>
      <c r="BG89" s="37"/>
      <c r="BH89" s="37"/>
      <c r="BI89" s="137"/>
      <c r="BJ89" s="37"/>
      <c r="BK89" s="37"/>
      <c r="BL89" s="37"/>
      <c r="BM89" s="37"/>
      <c r="BN89" s="37"/>
    </row>
    <row r="90" spans="1:66" ht="15" x14ac:dyDescent="0.2">
      <c r="A90" s="32" t="s">
        <v>101</v>
      </c>
      <c r="B90" s="138" t="s">
        <v>114</v>
      </c>
      <c r="C90" s="133" t="s">
        <v>115</v>
      </c>
      <c r="D90" s="133" t="s">
        <v>116</v>
      </c>
      <c r="E90" s="44" t="s">
        <v>372</v>
      </c>
      <c r="F90" s="44" t="s">
        <v>373</v>
      </c>
      <c r="G90" s="133" t="s">
        <v>44</v>
      </c>
      <c r="H90" s="138" t="s">
        <v>114</v>
      </c>
      <c r="I90" s="133" t="s">
        <v>115</v>
      </c>
      <c r="J90" s="133" t="s">
        <v>116</v>
      </c>
      <c r="K90" s="44" t="s">
        <v>372</v>
      </c>
      <c r="L90" s="133" t="s">
        <v>44</v>
      </c>
      <c r="M90" s="138" t="s">
        <v>114</v>
      </c>
      <c r="N90" s="133" t="s">
        <v>115</v>
      </c>
      <c r="O90" s="133" t="s">
        <v>116</v>
      </c>
      <c r="P90" s="133" t="s">
        <v>44</v>
      </c>
      <c r="Q90" s="138" t="s">
        <v>114</v>
      </c>
      <c r="R90" s="133" t="s">
        <v>115</v>
      </c>
      <c r="S90" s="133" t="s">
        <v>116</v>
      </c>
      <c r="T90" s="44" t="s">
        <v>372</v>
      </c>
      <c r="U90" s="133" t="s">
        <v>44</v>
      </c>
      <c r="V90" s="138" t="s">
        <v>114</v>
      </c>
      <c r="W90" s="133" t="s">
        <v>115</v>
      </c>
      <c r="X90" s="133" t="s">
        <v>116</v>
      </c>
      <c r="Y90" s="44" t="s">
        <v>372</v>
      </c>
      <c r="Z90" s="133" t="s">
        <v>44</v>
      </c>
      <c r="AA90" s="138" t="s">
        <v>114</v>
      </c>
      <c r="AB90" s="133" t="s">
        <v>115</v>
      </c>
      <c r="AC90" s="133" t="s">
        <v>116</v>
      </c>
      <c r="AD90" s="44" t="s">
        <v>372</v>
      </c>
      <c r="AE90" s="44" t="s">
        <v>374</v>
      </c>
      <c r="AF90" s="133" t="s">
        <v>44</v>
      </c>
      <c r="AG90" s="138" t="s">
        <v>114</v>
      </c>
      <c r="AH90" s="133" t="s">
        <v>115</v>
      </c>
      <c r="AI90" s="133" t="s">
        <v>116</v>
      </c>
      <c r="AJ90" s="44" t="s">
        <v>372</v>
      </c>
      <c r="AK90" s="44" t="s">
        <v>374</v>
      </c>
      <c r="AL90" s="133" t="s">
        <v>44</v>
      </c>
      <c r="AM90" s="138" t="s">
        <v>114</v>
      </c>
      <c r="AN90" s="133" t="s">
        <v>115</v>
      </c>
      <c r="AO90" s="133" t="s">
        <v>116</v>
      </c>
      <c r="AP90" s="44" t="s">
        <v>372</v>
      </c>
      <c r="AQ90" s="44" t="s">
        <v>374</v>
      </c>
      <c r="AR90" s="133" t="s">
        <v>44</v>
      </c>
      <c r="AS90" s="138" t="s">
        <v>114</v>
      </c>
      <c r="AT90" s="133" t="s">
        <v>115</v>
      </c>
      <c r="AU90" s="133" t="s">
        <v>116</v>
      </c>
      <c r="AV90" s="44" t="s">
        <v>372</v>
      </c>
      <c r="AW90" s="133" t="s">
        <v>44</v>
      </c>
      <c r="AX90" s="138" t="s">
        <v>114</v>
      </c>
      <c r="AY90" s="133" t="s">
        <v>115</v>
      </c>
      <c r="AZ90" s="133" t="s">
        <v>116</v>
      </c>
      <c r="BA90" s="44" t="s">
        <v>372</v>
      </c>
      <c r="BB90" s="133" t="s">
        <v>44</v>
      </c>
      <c r="BC90" s="138" t="s">
        <v>114</v>
      </c>
      <c r="BD90" s="133" t="s">
        <v>115</v>
      </c>
      <c r="BE90" s="133" t="s">
        <v>116</v>
      </c>
      <c r="BF90" s="44" t="s">
        <v>375</v>
      </c>
      <c r="BG90" s="44" t="s">
        <v>372</v>
      </c>
      <c r="BH90" s="133" t="s">
        <v>44</v>
      </c>
      <c r="BI90" s="138" t="s">
        <v>114</v>
      </c>
      <c r="BJ90" s="133" t="s">
        <v>115</v>
      </c>
      <c r="BK90" s="133" t="s">
        <v>116</v>
      </c>
      <c r="BL90" s="44" t="s">
        <v>375</v>
      </c>
      <c r="BM90" s="44" t="s">
        <v>372</v>
      </c>
      <c r="BN90" s="133" t="s">
        <v>44</v>
      </c>
    </row>
    <row r="91" spans="1:66" ht="15" x14ac:dyDescent="0.2">
      <c r="A91" s="32" t="s">
        <v>134</v>
      </c>
      <c r="B91" s="139"/>
      <c r="C91" s="35"/>
      <c r="D91" s="35"/>
      <c r="E91" s="35"/>
      <c r="F91" s="35"/>
      <c r="G91" s="35"/>
      <c r="H91" s="139"/>
      <c r="I91" s="35"/>
      <c r="J91" s="35"/>
      <c r="K91" s="35"/>
      <c r="L91" s="35"/>
      <c r="M91" s="139"/>
      <c r="N91" s="35"/>
      <c r="O91" s="35"/>
      <c r="P91" s="35"/>
      <c r="Q91" s="139"/>
      <c r="R91" s="35"/>
      <c r="S91" s="35"/>
      <c r="T91" s="35"/>
      <c r="U91" s="35"/>
      <c r="V91" s="139"/>
      <c r="W91" s="35"/>
      <c r="X91" s="35"/>
      <c r="Y91" s="35"/>
      <c r="Z91" s="35"/>
      <c r="AA91" s="139"/>
      <c r="AB91" s="35"/>
      <c r="AC91" s="35"/>
      <c r="AD91" s="35"/>
      <c r="AE91" s="35"/>
      <c r="AF91" s="35"/>
      <c r="AG91" s="139"/>
      <c r="AH91" s="35"/>
      <c r="AI91" s="35"/>
      <c r="AJ91" s="35"/>
      <c r="AK91" s="35"/>
      <c r="AL91" s="35"/>
      <c r="AM91" s="139"/>
      <c r="AN91" s="35"/>
      <c r="AO91" s="35"/>
      <c r="AP91" s="35"/>
      <c r="AQ91" s="35"/>
      <c r="AR91" s="35"/>
      <c r="AS91" s="139"/>
      <c r="AT91" s="35"/>
      <c r="AU91" s="35"/>
      <c r="AV91" s="35"/>
      <c r="AW91" s="35"/>
      <c r="AX91" s="139"/>
      <c r="AY91" s="35"/>
      <c r="AZ91" s="35"/>
      <c r="BA91" s="35"/>
      <c r="BB91" s="35"/>
      <c r="BC91" s="139"/>
      <c r="BD91" s="35"/>
      <c r="BE91" s="35"/>
      <c r="BF91" s="35"/>
      <c r="BG91" s="35"/>
      <c r="BH91" s="35"/>
      <c r="BI91" s="139"/>
      <c r="BJ91" s="35"/>
      <c r="BK91" s="35"/>
      <c r="BL91" s="35"/>
      <c r="BM91" s="35"/>
      <c r="BN91" s="35"/>
    </row>
    <row r="92" spans="1:66" ht="15" x14ac:dyDescent="0.25">
      <c r="A92" s="33" t="s">
        <v>134</v>
      </c>
      <c r="B92" s="143">
        <v>14</v>
      </c>
      <c r="C92" s="38">
        <v>26838082.069999993</v>
      </c>
      <c r="D92" s="38">
        <v>228071.76</v>
      </c>
      <c r="E92" s="38">
        <v>57.06</v>
      </c>
      <c r="F92" s="38">
        <v>1680000</v>
      </c>
      <c r="G92" s="38">
        <f>SUM(C92:F92)</f>
        <v>28746210.889999993</v>
      </c>
      <c r="H92" s="143">
        <v>14</v>
      </c>
      <c r="I92" s="38">
        <v>23707664.400000002</v>
      </c>
      <c r="J92" s="38">
        <v>209975.52</v>
      </c>
      <c r="K92" s="38">
        <v>0</v>
      </c>
      <c r="L92" s="38">
        <f>SUM(I92:K92)</f>
        <v>23917639.920000002</v>
      </c>
      <c r="M92" s="143">
        <v>14</v>
      </c>
      <c r="N92" s="38">
        <v>24829905.07</v>
      </c>
      <c r="O92" s="38">
        <v>74232.34</v>
      </c>
      <c r="P92" s="38">
        <f>SUM(N92:O92)</f>
        <v>24904137.41</v>
      </c>
      <c r="Q92" s="143">
        <v>14</v>
      </c>
      <c r="R92" s="38">
        <v>34551319.050000004</v>
      </c>
      <c r="S92" s="38">
        <v>18897.78</v>
      </c>
      <c r="T92" s="38">
        <v>1409293.5999999996</v>
      </c>
      <c r="U92" s="38">
        <f>SUM(R92:T92)</f>
        <v>35979510.430000007</v>
      </c>
      <c r="V92" s="143">
        <v>11</v>
      </c>
      <c r="W92" s="38">
        <v>22669892.309999999</v>
      </c>
      <c r="X92" s="38">
        <v>0</v>
      </c>
      <c r="Y92" s="38">
        <v>0</v>
      </c>
      <c r="Z92" s="38">
        <f>SUM(W92:Y92)</f>
        <v>22669892.309999999</v>
      </c>
      <c r="AA92" s="143">
        <v>11</v>
      </c>
      <c r="AB92" s="38">
        <v>22758441.939999998</v>
      </c>
      <c r="AC92" s="38">
        <v>0</v>
      </c>
      <c r="AD92" s="38">
        <v>12198305.75</v>
      </c>
      <c r="AE92" s="38">
        <v>550000</v>
      </c>
      <c r="AF92" s="38">
        <f>SUM(AB92:AE92)</f>
        <v>35506747.689999998</v>
      </c>
      <c r="AG92" s="143">
        <v>9</v>
      </c>
      <c r="AH92" s="38">
        <v>177285155.32999995</v>
      </c>
      <c r="AI92" s="38">
        <v>310906.75</v>
      </c>
      <c r="AJ92" s="38">
        <v>3091575.65</v>
      </c>
      <c r="AK92" s="38">
        <v>550000</v>
      </c>
      <c r="AL92" s="38">
        <f>SUM(AH92:AK92)</f>
        <v>181237637.72999996</v>
      </c>
      <c r="AM92" s="143">
        <v>9</v>
      </c>
      <c r="AN92" s="38">
        <v>19070879.120000001</v>
      </c>
      <c r="AO92" s="38">
        <v>195415.29</v>
      </c>
      <c r="AP92" s="38">
        <v>0</v>
      </c>
      <c r="AQ92" s="38">
        <v>0</v>
      </c>
      <c r="AR92" s="38">
        <f>SUM(AN92:AQ92)</f>
        <v>19266294.41</v>
      </c>
      <c r="AS92" s="143">
        <v>9</v>
      </c>
      <c r="AT92" s="38">
        <v>18873866.579999991</v>
      </c>
      <c r="AU92" s="38">
        <v>0</v>
      </c>
      <c r="AV92" s="38">
        <v>426251.33</v>
      </c>
      <c r="AW92" s="38">
        <f>SUM(AT92:AV92)</f>
        <v>19300117.909999989</v>
      </c>
      <c r="AX92" s="143">
        <v>9</v>
      </c>
      <c r="AY92" s="38">
        <v>37426673.780000009</v>
      </c>
      <c r="AZ92" s="38">
        <v>167987.42</v>
      </c>
      <c r="BA92" s="38">
        <v>0</v>
      </c>
      <c r="BB92" s="38">
        <f>SUM(AY92:BA92)</f>
        <v>37594661.20000001</v>
      </c>
      <c r="BC92" s="143">
        <v>9</v>
      </c>
      <c r="BD92" s="38">
        <v>23245198.349999998</v>
      </c>
      <c r="BE92" s="38">
        <v>27442.959999999999</v>
      </c>
      <c r="BF92" s="38">
        <v>500000</v>
      </c>
      <c r="BG92" s="38">
        <v>0</v>
      </c>
      <c r="BH92" s="38">
        <f>SUM(BD92:BG92)</f>
        <v>23772641.309999999</v>
      </c>
      <c r="BI92" s="143">
        <v>10</v>
      </c>
      <c r="BJ92" s="38">
        <v>25324518.219999999</v>
      </c>
      <c r="BK92" s="38"/>
      <c r="BL92" s="38"/>
      <c r="BM92" s="38">
        <v>11917425.039999999</v>
      </c>
      <c r="BN92" s="38">
        <f>SUM(BJ92:BM92)</f>
        <v>37241943.259999998</v>
      </c>
    </row>
    <row r="93" spans="1:66" ht="15" x14ac:dyDescent="0.25">
      <c r="A93" s="33" t="s">
        <v>91</v>
      </c>
      <c r="B93" s="143">
        <v>6</v>
      </c>
      <c r="C93" s="38">
        <v>10904925.949999999</v>
      </c>
      <c r="D93" s="38">
        <v>0</v>
      </c>
      <c r="E93" s="38">
        <v>0</v>
      </c>
      <c r="F93" s="38">
        <v>720000</v>
      </c>
      <c r="G93" s="38">
        <f>SUM(C93:F93)</f>
        <v>11624925.949999999</v>
      </c>
      <c r="H93" s="143">
        <v>6</v>
      </c>
      <c r="I93" s="38">
        <v>9985916.4299999997</v>
      </c>
      <c r="J93" s="38">
        <v>0</v>
      </c>
      <c r="K93" s="38">
        <v>0</v>
      </c>
      <c r="L93" s="38">
        <f>SUM(I93:K93)</f>
        <v>9985916.4299999997</v>
      </c>
      <c r="M93" s="143">
        <v>6</v>
      </c>
      <c r="N93" s="38">
        <v>9643856.4699999988</v>
      </c>
      <c r="O93" s="38"/>
      <c r="P93" s="38">
        <f>SUM(N93:O93)</f>
        <v>9643856.4699999988</v>
      </c>
      <c r="Q93" s="143">
        <v>6</v>
      </c>
      <c r="R93" s="38">
        <v>9662543.8200000003</v>
      </c>
      <c r="S93" s="38">
        <v>0</v>
      </c>
      <c r="T93" s="38">
        <v>0</v>
      </c>
      <c r="U93" s="38">
        <f>SUM(R93:T93)</f>
        <v>9662543.8200000003</v>
      </c>
      <c r="V93" s="143">
        <v>6</v>
      </c>
      <c r="W93" s="38">
        <v>10224657.6</v>
      </c>
      <c r="X93" s="38">
        <v>0</v>
      </c>
      <c r="Y93" s="38">
        <v>0</v>
      </c>
      <c r="Z93" s="38">
        <f>SUM(W93:Y93)</f>
        <v>10224657.6</v>
      </c>
      <c r="AA93" s="143">
        <v>6</v>
      </c>
      <c r="AB93" s="38">
        <v>10174686.119999999</v>
      </c>
      <c r="AC93" s="38">
        <v>0</v>
      </c>
      <c r="AD93" s="38">
        <v>5879491.0599999996</v>
      </c>
      <c r="AE93" s="38">
        <v>300000</v>
      </c>
      <c r="AF93" s="38">
        <f>SUM(AB93:AE93)</f>
        <v>16354177.18</v>
      </c>
      <c r="AG93" s="143">
        <v>6</v>
      </c>
      <c r="AH93" s="38">
        <v>10673449.620000001</v>
      </c>
      <c r="AI93" s="38">
        <v>0</v>
      </c>
      <c r="AJ93" s="38">
        <v>0</v>
      </c>
      <c r="AK93" s="38">
        <v>300000</v>
      </c>
      <c r="AL93" s="38">
        <f>SUM(AH93:AK93)</f>
        <v>10973449.620000001</v>
      </c>
      <c r="AM93" s="143">
        <v>6</v>
      </c>
      <c r="AN93" s="38">
        <v>12174202.550000001</v>
      </c>
      <c r="AO93" s="38">
        <v>0</v>
      </c>
      <c r="AP93" s="38">
        <v>48869</v>
      </c>
      <c r="AQ93" s="38">
        <v>0</v>
      </c>
      <c r="AR93" s="38">
        <f>SUM(AN93:AQ93)</f>
        <v>12223071.550000001</v>
      </c>
      <c r="AS93" s="143">
        <v>6</v>
      </c>
      <c r="AT93" s="38">
        <v>11574730.809999999</v>
      </c>
      <c r="AU93" s="38">
        <v>29530.15</v>
      </c>
      <c r="AV93" s="38">
        <v>0</v>
      </c>
      <c r="AW93" s="38">
        <f>SUM(AT93:AV93)</f>
        <v>11604260.959999999</v>
      </c>
      <c r="AX93" s="143">
        <v>6</v>
      </c>
      <c r="AY93" s="38">
        <v>21066840.600000001</v>
      </c>
      <c r="AZ93" s="38">
        <v>30356.69</v>
      </c>
      <c r="BA93" s="38">
        <v>0</v>
      </c>
      <c r="BB93" s="38">
        <f>SUM(AY93:BA93)</f>
        <v>21097197.290000003</v>
      </c>
      <c r="BC93" s="143">
        <v>6</v>
      </c>
      <c r="BD93" s="38">
        <v>12655828.700000001</v>
      </c>
      <c r="BE93" s="38">
        <v>0</v>
      </c>
      <c r="BF93" s="38">
        <v>300000</v>
      </c>
      <c r="BG93" s="38">
        <v>0</v>
      </c>
      <c r="BH93" s="38">
        <f>SUM(BD93:BG93)</f>
        <v>12955828.700000001</v>
      </c>
      <c r="BI93" s="143">
        <v>6</v>
      </c>
      <c r="BJ93" s="38">
        <v>14544684.439999999</v>
      </c>
      <c r="BK93" s="38"/>
      <c r="BL93" s="38"/>
      <c r="BM93" s="38">
        <v>6674403.21</v>
      </c>
      <c r="BN93" s="38">
        <f>SUM(BJ93:BM93)</f>
        <v>21219087.649999999</v>
      </c>
    </row>
    <row r="94" spans="1:66" ht="15" x14ac:dyDescent="0.2">
      <c r="A94" s="32" t="s">
        <v>118</v>
      </c>
      <c r="B94" s="140">
        <f t="shared" ref="B94:AG94" si="35">SUM(B92:B93)</f>
        <v>20</v>
      </c>
      <c r="C94" s="36">
        <f t="shared" si="35"/>
        <v>37743008.019999996</v>
      </c>
      <c r="D94" s="36">
        <f t="shared" si="35"/>
        <v>228071.76</v>
      </c>
      <c r="E94" s="36">
        <f t="shared" si="35"/>
        <v>57.06</v>
      </c>
      <c r="F94" s="36">
        <f t="shared" si="35"/>
        <v>2400000</v>
      </c>
      <c r="G94" s="36">
        <f t="shared" si="35"/>
        <v>40371136.839999989</v>
      </c>
      <c r="H94" s="140">
        <f t="shared" si="35"/>
        <v>20</v>
      </c>
      <c r="I94" s="36">
        <f t="shared" si="35"/>
        <v>33693580.829999998</v>
      </c>
      <c r="J94" s="36">
        <f t="shared" si="35"/>
        <v>209975.52</v>
      </c>
      <c r="K94" s="36">
        <f t="shared" si="35"/>
        <v>0</v>
      </c>
      <c r="L94" s="36">
        <f t="shared" si="35"/>
        <v>33903556.350000001</v>
      </c>
      <c r="M94" s="140">
        <f t="shared" si="35"/>
        <v>20</v>
      </c>
      <c r="N94" s="36">
        <f t="shared" si="35"/>
        <v>34473761.539999999</v>
      </c>
      <c r="O94" s="36">
        <f t="shared" si="35"/>
        <v>74232.34</v>
      </c>
      <c r="P94" s="36">
        <f t="shared" si="35"/>
        <v>34547993.879999995</v>
      </c>
      <c r="Q94" s="140">
        <f t="shared" si="35"/>
        <v>20</v>
      </c>
      <c r="R94" s="36">
        <f t="shared" si="35"/>
        <v>44213862.870000005</v>
      </c>
      <c r="S94" s="36">
        <f t="shared" si="35"/>
        <v>18897.78</v>
      </c>
      <c r="T94" s="36">
        <f t="shared" si="35"/>
        <v>1409293.5999999996</v>
      </c>
      <c r="U94" s="36">
        <f t="shared" si="35"/>
        <v>45642054.250000007</v>
      </c>
      <c r="V94" s="140">
        <f t="shared" si="35"/>
        <v>17</v>
      </c>
      <c r="W94" s="36">
        <f t="shared" si="35"/>
        <v>32894549.909999996</v>
      </c>
      <c r="X94" s="36">
        <f t="shared" si="35"/>
        <v>0</v>
      </c>
      <c r="Y94" s="36">
        <f t="shared" si="35"/>
        <v>0</v>
      </c>
      <c r="Z94" s="36">
        <f t="shared" si="35"/>
        <v>32894549.909999996</v>
      </c>
      <c r="AA94" s="140">
        <f t="shared" si="35"/>
        <v>17</v>
      </c>
      <c r="AB94" s="36">
        <f t="shared" si="35"/>
        <v>32933128.059999995</v>
      </c>
      <c r="AC94" s="36">
        <f t="shared" si="35"/>
        <v>0</v>
      </c>
      <c r="AD94" s="36">
        <f t="shared" si="35"/>
        <v>18077796.809999999</v>
      </c>
      <c r="AE94" s="36">
        <f t="shared" si="35"/>
        <v>850000</v>
      </c>
      <c r="AF94" s="36">
        <f t="shared" si="35"/>
        <v>51860924.869999997</v>
      </c>
      <c r="AG94" s="140">
        <f t="shared" si="35"/>
        <v>15</v>
      </c>
      <c r="AH94" s="36">
        <f t="shared" ref="AH94:BM94" si="36">SUM(AH92:AH93)</f>
        <v>187958604.94999996</v>
      </c>
      <c r="AI94" s="36">
        <f t="shared" si="36"/>
        <v>310906.75</v>
      </c>
      <c r="AJ94" s="36">
        <f t="shared" si="36"/>
        <v>3091575.65</v>
      </c>
      <c r="AK94" s="36">
        <f t="shared" si="36"/>
        <v>850000</v>
      </c>
      <c r="AL94" s="36">
        <f t="shared" si="36"/>
        <v>192211087.34999996</v>
      </c>
      <c r="AM94" s="140">
        <f t="shared" si="36"/>
        <v>15</v>
      </c>
      <c r="AN94" s="36">
        <f t="shared" si="36"/>
        <v>31245081.670000002</v>
      </c>
      <c r="AO94" s="36">
        <f t="shared" si="36"/>
        <v>195415.29</v>
      </c>
      <c r="AP94" s="36">
        <f t="shared" si="36"/>
        <v>48869</v>
      </c>
      <c r="AQ94" s="36">
        <f t="shared" si="36"/>
        <v>0</v>
      </c>
      <c r="AR94" s="36">
        <f t="shared" si="36"/>
        <v>31489365.960000001</v>
      </c>
      <c r="AS94" s="140">
        <f t="shared" si="36"/>
        <v>15</v>
      </c>
      <c r="AT94" s="36">
        <f t="shared" si="36"/>
        <v>30448597.389999989</v>
      </c>
      <c r="AU94" s="36">
        <f t="shared" si="36"/>
        <v>29530.15</v>
      </c>
      <c r="AV94" s="36">
        <f t="shared" si="36"/>
        <v>426251.33</v>
      </c>
      <c r="AW94" s="36">
        <f t="shared" si="36"/>
        <v>30904378.86999999</v>
      </c>
      <c r="AX94" s="140">
        <f t="shared" si="36"/>
        <v>15</v>
      </c>
      <c r="AY94" s="36">
        <f t="shared" si="36"/>
        <v>58493514.38000001</v>
      </c>
      <c r="AZ94" s="36">
        <f t="shared" si="36"/>
        <v>198344.11000000002</v>
      </c>
      <c r="BA94" s="36">
        <f t="shared" si="36"/>
        <v>0</v>
      </c>
      <c r="BB94" s="36">
        <f t="shared" si="36"/>
        <v>58691858.49000001</v>
      </c>
      <c r="BC94" s="140">
        <f t="shared" si="36"/>
        <v>15</v>
      </c>
      <c r="BD94" s="36">
        <f t="shared" si="36"/>
        <v>35901027.049999997</v>
      </c>
      <c r="BE94" s="36">
        <f t="shared" si="36"/>
        <v>27442.959999999999</v>
      </c>
      <c r="BF94" s="36">
        <f t="shared" si="36"/>
        <v>800000</v>
      </c>
      <c r="BG94" s="36">
        <f t="shared" si="36"/>
        <v>0</v>
      </c>
      <c r="BH94" s="36">
        <f t="shared" si="36"/>
        <v>36728470.009999998</v>
      </c>
      <c r="BI94" s="140">
        <f t="shared" si="36"/>
        <v>16</v>
      </c>
      <c r="BJ94" s="36">
        <f t="shared" si="36"/>
        <v>39869202.659999996</v>
      </c>
      <c r="BK94" s="36">
        <f t="shared" si="36"/>
        <v>0</v>
      </c>
      <c r="BL94" s="36">
        <f t="shared" si="36"/>
        <v>0</v>
      </c>
      <c r="BM94" s="36">
        <f t="shared" si="36"/>
        <v>18591828.25</v>
      </c>
      <c r="BN94" s="36">
        <f>SUM(BN92:BN93)</f>
        <v>58461030.909999996</v>
      </c>
    </row>
    <row r="95" spans="1:66" x14ac:dyDescent="0.2">
      <c r="A95" s="33"/>
      <c r="B95" s="137"/>
      <c r="C95" s="37"/>
      <c r="D95" s="37"/>
      <c r="E95" s="37"/>
      <c r="F95" s="37"/>
      <c r="G95" s="37"/>
      <c r="H95" s="137"/>
      <c r="I95" s="37"/>
      <c r="J95" s="37"/>
      <c r="K95" s="37"/>
      <c r="L95" s="37"/>
      <c r="M95" s="137"/>
      <c r="N95" s="37"/>
      <c r="O95" s="37"/>
      <c r="P95" s="37"/>
      <c r="Q95" s="137"/>
      <c r="R95" s="37"/>
      <c r="S95" s="37"/>
      <c r="T95" s="37"/>
      <c r="U95" s="37"/>
      <c r="V95" s="137"/>
      <c r="W95" s="37"/>
      <c r="X95" s="37"/>
      <c r="Y95" s="37"/>
      <c r="Z95" s="37"/>
      <c r="AA95" s="137"/>
      <c r="AB95" s="37"/>
      <c r="AC95" s="37"/>
      <c r="AD95" s="37"/>
      <c r="AE95" s="37"/>
      <c r="AF95" s="37"/>
      <c r="AG95" s="137"/>
      <c r="AH95" s="37"/>
      <c r="AI95" s="37"/>
      <c r="AJ95" s="37"/>
      <c r="AK95" s="37"/>
      <c r="AL95" s="37"/>
      <c r="AM95" s="137"/>
      <c r="AN95" s="37"/>
      <c r="AO95" s="37"/>
      <c r="AP95" s="37"/>
      <c r="AQ95" s="37"/>
      <c r="AR95" s="37"/>
      <c r="AS95" s="137"/>
      <c r="AT95" s="37"/>
      <c r="AU95" s="37"/>
      <c r="AV95" s="37"/>
      <c r="AW95" s="37"/>
      <c r="AX95" s="137"/>
      <c r="AY95" s="37"/>
      <c r="AZ95" s="37"/>
      <c r="BA95" s="37"/>
      <c r="BB95" s="37"/>
      <c r="BC95" s="137"/>
      <c r="BD95" s="37"/>
      <c r="BE95" s="37"/>
      <c r="BF95" s="37"/>
      <c r="BG95" s="37"/>
      <c r="BH95" s="37"/>
      <c r="BI95" s="137"/>
      <c r="BJ95" s="37"/>
      <c r="BK95" s="37"/>
      <c r="BL95" s="37"/>
      <c r="BM95" s="37"/>
      <c r="BN95" s="37"/>
    </row>
    <row r="96" spans="1:66" ht="15" hidden="1" x14ac:dyDescent="0.2">
      <c r="A96" s="32" t="s">
        <v>101</v>
      </c>
      <c r="B96" s="138" t="s">
        <v>114</v>
      </c>
      <c r="C96" s="133" t="s">
        <v>115</v>
      </c>
      <c r="D96" s="133" t="s">
        <v>116</v>
      </c>
      <c r="E96" s="44"/>
      <c r="F96" s="44"/>
      <c r="G96" s="133" t="s">
        <v>44</v>
      </c>
      <c r="H96" s="138" t="s">
        <v>114</v>
      </c>
      <c r="I96" s="133" t="s">
        <v>115</v>
      </c>
      <c r="J96" s="133" t="s">
        <v>116</v>
      </c>
      <c r="K96" s="44"/>
      <c r="L96" s="133" t="s">
        <v>44</v>
      </c>
      <c r="M96" s="138" t="s">
        <v>114</v>
      </c>
      <c r="N96" s="133" t="s">
        <v>115</v>
      </c>
      <c r="O96" s="133" t="s">
        <v>116</v>
      </c>
      <c r="P96" s="133" t="s">
        <v>44</v>
      </c>
      <c r="Q96" s="138" t="s">
        <v>114</v>
      </c>
      <c r="R96" s="133" t="s">
        <v>115</v>
      </c>
      <c r="S96" s="133" t="s">
        <v>116</v>
      </c>
      <c r="T96" s="44"/>
      <c r="U96" s="133" t="s">
        <v>44</v>
      </c>
      <c r="V96" s="138" t="s">
        <v>114</v>
      </c>
      <c r="W96" s="133" t="s">
        <v>115</v>
      </c>
      <c r="X96" s="133" t="s">
        <v>116</v>
      </c>
      <c r="Y96" s="44"/>
      <c r="Z96" s="133" t="s">
        <v>44</v>
      </c>
      <c r="AA96" s="138" t="s">
        <v>114</v>
      </c>
      <c r="AB96" s="133" t="s">
        <v>115</v>
      </c>
      <c r="AC96" s="133" t="s">
        <v>116</v>
      </c>
      <c r="AD96" s="44"/>
      <c r="AE96" s="44"/>
      <c r="AF96" s="133" t="s">
        <v>44</v>
      </c>
      <c r="AG96" s="138" t="s">
        <v>114</v>
      </c>
      <c r="AH96" s="133" t="s">
        <v>115</v>
      </c>
      <c r="AI96" s="133" t="s">
        <v>116</v>
      </c>
      <c r="AJ96" s="44"/>
      <c r="AK96" s="44"/>
      <c r="AL96" s="133" t="s">
        <v>44</v>
      </c>
      <c r="AM96" s="138" t="s">
        <v>114</v>
      </c>
      <c r="AN96" s="133" t="s">
        <v>115</v>
      </c>
      <c r="AO96" s="133" t="s">
        <v>116</v>
      </c>
      <c r="AP96" s="44"/>
      <c r="AQ96" s="44"/>
      <c r="AR96" s="133" t="s">
        <v>44</v>
      </c>
      <c r="AS96" s="138" t="s">
        <v>114</v>
      </c>
      <c r="AT96" s="133" t="s">
        <v>115</v>
      </c>
      <c r="AU96" s="133" t="s">
        <v>116</v>
      </c>
      <c r="AV96" s="44"/>
      <c r="AW96" s="133" t="s">
        <v>44</v>
      </c>
      <c r="AX96" s="138" t="s">
        <v>114</v>
      </c>
      <c r="AY96" s="133" t="s">
        <v>115</v>
      </c>
      <c r="AZ96" s="133" t="s">
        <v>116</v>
      </c>
      <c r="BA96" s="44"/>
      <c r="BB96" s="133" t="s">
        <v>44</v>
      </c>
      <c r="BC96" s="138" t="s">
        <v>114</v>
      </c>
      <c r="BD96" s="133" t="s">
        <v>115</v>
      </c>
      <c r="BE96" s="133" t="s">
        <v>116</v>
      </c>
      <c r="BF96" s="44"/>
      <c r="BG96" s="44"/>
      <c r="BH96" s="133" t="s">
        <v>44</v>
      </c>
      <c r="BI96" s="138" t="s">
        <v>114</v>
      </c>
      <c r="BJ96" s="133" t="s">
        <v>115</v>
      </c>
      <c r="BK96" s="133" t="s">
        <v>116</v>
      </c>
      <c r="BL96" s="44"/>
      <c r="BM96" s="44"/>
      <c r="BN96" s="133" t="s">
        <v>44</v>
      </c>
    </row>
    <row r="97" spans="1:66" ht="15" hidden="1" x14ac:dyDescent="0.2">
      <c r="A97" s="32" t="s">
        <v>218</v>
      </c>
      <c r="B97" s="139"/>
      <c r="C97" s="35"/>
      <c r="D97" s="35"/>
      <c r="E97" s="35"/>
      <c r="F97" s="35"/>
      <c r="G97" s="35"/>
      <c r="H97" s="139"/>
      <c r="I97" s="35"/>
      <c r="J97" s="35"/>
      <c r="K97" s="35"/>
      <c r="L97" s="35"/>
      <c r="M97" s="139"/>
      <c r="N97" s="35"/>
      <c r="O97" s="35"/>
      <c r="P97" s="35"/>
      <c r="Q97" s="139"/>
      <c r="R97" s="35"/>
      <c r="S97" s="35"/>
      <c r="T97" s="35"/>
      <c r="U97" s="35"/>
      <c r="V97" s="139"/>
      <c r="W97" s="35"/>
      <c r="X97" s="35"/>
      <c r="Y97" s="35"/>
      <c r="Z97" s="35"/>
      <c r="AA97" s="139"/>
      <c r="AB97" s="35"/>
      <c r="AC97" s="35"/>
      <c r="AD97" s="35"/>
      <c r="AE97" s="35"/>
      <c r="AF97" s="35"/>
      <c r="AG97" s="139"/>
      <c r="AH97" s="35"/>
      <c r="AI97" s="35"/>
      <c r="AJ97" s="35"/>
      <c r="AK97" s="35"/>
      <c r="AL97" s="35"/>
      <c r="AM97" s="139"/>
      <c r="AN97" s="35"/>
      <c r="AO97" s="35"/>
      <c r="AP97" s="35"/>
      <c r="AQ97" s="35"/>
      <c r="AR97" s="35"/>
      <c r="AS97" s="139"/>
      <c r="AT97" s="35"/>
      <c r="AU97" s="35"/>
      <c r="AV97" s="35"/>
      <c r="AW97" s="35"/>
      <c r="AX97" s="139"/>
      <c r="AY97" s="35"/>
      <c r="AZ97" s="35"/>
      <c r="BA97" s="35"/>
      <c r="BB97" s="35"/>
      <c r="BC97" s="139"/>
      <c r="BD97" s="35"/>
      <c r="BE97" s="35"/>
      <c r="BF97" s="35"/>
      <c r="BG97" s="35"/>
      <c r="BH97" s="35"/>
      <c r="BI97" s="139"/>
      <c r="BJ97" s="35"/>
      <c r="BK97" s="35"/>
      <c r="BL97" s="35"/>
      <c r="BM97" s="35"/>
      <c r="BN97" s="35"/>
    </row>
    <row r="98" spans="1:66" ht="15" hidden="1" x14ac:dyDescent="0.25">
      <c r="A98" s="54" t="s">
        <v>218</v>
      </c>
      <c r="B98" s="107">
        <v>0</v>
      </c>
      <c r="C98" s="38">
        <v>0</v>
      </c>
      <c r="D98" s="38">
        <v>0</v>
      </c>
      <c r="E98" s="38"/>
      <c r="F98" s="38"/>
      <c r="G98" s="38">
        <f>SUM(C98:E98)</f>
        <v>0</v>
      </c>
      <c r="H98" s="107">
        <v>0</v>
      </c>
      <c r="I98" s="38">
        <v>0</v>
      </c>
      <c r="J98" s="38">
        <v>0</v>
      </c>
      <c r="K98" s="38"/>
      <c r="L98" s="38">
        <f>SUM(I98:K98)</f>
        <v>0</v>
      </c>
      <c r="M98" s="107">
        <v>0</v>
      </c>
      <c r="N98" s="38">
        <v>0</v>
      </c>
      <c r="O98" s="38">
        <v>0</v>
      </c>
      <c r="P98" s="38">
        <f>SUM(N98:O98)</f>
        <v>0</v>
      </c>
      <c r="Q98" s="107">
        <v>0</v>
      </c>
      <c r="R98" s="38">
        <v>0</v>
      </c>
      <c r="S98" s="38">
        <v>0</v>
      </c>
      <c r="T98" s="38"/>
      <c r="U98" s="38">
        <f>SUM(R98:T98)</f>
        <v>0</v>
      </c>
      <c r="V98" s="107">
        <v>0</v>
      </c>
      <c r="W98" s="38">
        <v>0</v>
      </c>
      <c r="X98" s="38">
        <v>0</v>
      </c>
      <c r="Y98" s="38"/>
      <c r="Z98" s="38">
        <f>SUM(W98:Y98)</f>
        <v>0</v>
      </c>
      <c r="AA98" s="107">
        <v>0</v>
      </c>
      <c r="AB98" s="38">
        <v>0</v>
      </c>
      <c r="AC98" s="38">
        <v>0</v>
      </c>
      <c r="AD98" s="38"/>
      <c r="AE98" s="38"/>
      <c r="AF98" s="38">
        <f>SUM(AB98:AD98)</f>
        <v>0</v>
      </c>
      <c r="AG98" s="107">
        <v>0</v>
      </c>
      <c r="AH98" s="38">
        <v>0</v>
      </c>
      <c r="AI98" s="38">
        <v>0</v>
      </c>
      <c r="AJ98" s="38"/>
      <c r="AK98" s="38"/>
      <c r="AL98" s="38">
        <f>SUM(AH98:AJ98)</f>
        <v>0</v>
      </c>
      <c r="AM98" s="107">
        <v>0</v>
      </c>
      <c r="AN98" s="38">
        <v>0</v>
      </c>
      <c r="AO98" s="38">
        <v>0</v>
      </c>
      <c r="AP98" s="38"/>
      <c r="AQ98" s="38"/>
      <c r="AR98" s="38">
        <f>SUM(AN98:AP98)</f>
        <v>0</v>
      </c>
      <c r="AS98" s="107">
        <v>0</v>
      </c>
      <c r="AT98" s="38">
        <v>0</v>
      </c>
      <c r="AU98" s="38">
        <v>0</v>
      </c>
      <c r="AV98" s="38"/>
      <c r="AW98" s="38">
        <f>SUM(AT98:AV98)</f>
        <v>0</v>
      </c>
      <c r="AX98" s="107">
        <v>0</v>
      </c>
      <c r="AY98" s="38">
        <v>0</v>
      </c>
      <c r="AZ98" s="38">
        <v>0</v>
      </c>
      <c r="BA98" s="38"/>
      <c r="BB98" s="38">
        <f>SUM(AY98:BA98)</f>
        <v>0</v>
      </c>
      <c r="BC98" s="107">
        <v>0</v>
      </c>
      <c r="BD98" s="38">
        <v>0</v>
      </c>
      <c r="BE98" s="38">
        <v>0</v>
      </c>
      <c r="BF98" s="38"/>
      <c r="BG98" s="38"/>
      <c r="BH98" s="38">
        <f>SUM(BD98:BG98)</f>
        <v>0</v>
      </c>
      <c r="BI98" s="107">
        <v>0</v>
      </c>
      <c r="BJ98" s="38">
        <v>0</v>
      </c>
      <c r="BK98" s="38">
        <v>0</v>
      </c>
      <c r="BL98" s="38"/>
      <c r="BM98" s="38"/>
      <c r="BN98" s="38">
        <f>SUM(BJ98:BM98)</f>
        <v>0</v>
      </c>
    </row>
    <row r="99" spans="1:66" ht="15" hidden="1" x14ac:dyDescent="0.2">
      <c r="A99" s="32" t="s">
        <v>118</v>
      </c>
      <c r="B99" s="140">
        <f>SUM(B98)</f>
        <v>0</v>
      </c>
      <c r="C99" s="36">
        <f>SUM(C98)</f>
        <v>0</v>
      </c>
      <c r="D99" s="36">
        <f>SUM(D98)</f>
        <v>0</v>
      </c>
      <c r="E99" s="36"/>
      <c r="F99" s="36"/>
      <c r="G99" s="36">
        <f>SUM(G98)</f>
        <v>0</v>
      </c>
      <c r="H99" s="140">
        <f>SUM(H98)</f>
        <v>0</v>
      </c>
      <c r="I99" s="36">
        <f>SUM(I98)</f>
        <v>0</v>
      </c>
      <c r="J99" s="36">
        <f>SUM(J98)</f>
        <v>0</v>
      </c>
      <c r="K99" s="36"/>
      <c r="L99" s="36">
        <f t="shared" ref="L99:S99" si="37">SUM(L98)</f>
        <v>0</v>
      </c>
      <c r="M99" s="140">
        <f t="shared" si="37"/>
        <v>0</v>
      </c>
      <c r="N99" s="36">
        <f t="shared" si="37"/>
        <v>0</v>
      </c>
      <c r="O99" s="36">
        <f t="shared" si="37"/>
        <v>0</v>
      </c>
      <c r="P99" s="36">
        <f t="shared" si="37"/>
        <v>0</v>
      </c>
      <c r="Q99" s="140">
        <f t="shared" si="37"/>
        <v>0</v>
      </c>
      <c r="R99" s="36">
        <f t="shared" si="37"/>
        <v>0</v>
      </c>
      <c r="S99" s="36">
        <f t="shared" si="37"/>
        <v>0</v>
      </c>
      <c r="T99" s="36"/>
      <c r="U99" s="36">
        <f>SUM(U98)</f>
        <v>0</v>
      </c>
      <c r="V99" s="140">
        <f>SUM(V98)</f>
        <v>0</v>
      </c>
      <c r="W99" s="36">
        <f>SUM(W98)</f>
        <v>0</v>
      </c>
      <c r="X99" s="36">
        <f>SUM(X98)</f>
        <v>0</v>
      </c>
      <c r="Y99" s="36"/>
      <c r="Z99" s="36">
        <f>SUM(Z98)</f>
        <v>0</v>
      </c>
      <c r="AA99" s="140">
        <f>SUM(AA98)</f>
        <v>0</v>
      </c>
      <c r="AB99" s="36">
        <f>SUM(AB98)</f>
        <v>0</v>
      </c>
      <c r="AC99" s="36">
        <f>SUM(AC98)</f>
        <v>0</v>
      </c>
      <c r="AD99" s="36"/>
      <c r="AE99" s="36"/>
      <c r="AF99" s="36">
        <f>SUM(AF98)</f>
        <v>0</v>
      </c>
      <c r="AG99" s="140">
        <f>SUM(AG98)</f>
        <v>0</v>
      </c>
      <c r="AH99" s="36">
        <f>SUM(AH98)</f>
        <v>0</v>
      </c>
      <c r="AI99" s="36">
        <f>SUM(AI98)</f>
        <v>0</v>
      </c>
      <c r="AJ99" s="36"/>
      <c r="AK99" s="36"/>
      <c r="AL99" s="36">
        <f>SUM(AL98)</f>
        <v>0</v>
      </c>
      <c r="AM99" s="140">
        <f>SUM(AM98)</f>
        <v>0</v>
      </c>
      <c r="AN99" s="36">
        <f>SUM(AN98)</f>
        <v>0</v>
      </c>
      <c r="AO99" s="36">
        <f>SUM(AO98)</f>
        <v>0</v>
      </c>
      <c r="AP99" s="36"/>
      <c r="AQ99" s="36"/>
      <c r="AR99" s="36">
        <f>SUM(AR98)</f>
        <v>0</v>
      </c>
      <c r="AS99" s="140">
        <f>SUM(AS98)</f>
        <v>0</v>
      </c>
      <c r="AT99" s="36">
        <f>SUM(AT98)</f>
        <v>0</v>
      </c>
      <c r="AU99" s="36">
        <f>SUM(AU98)</f>
        <v>0</v>
      </c>
      <c r="AV99" s="36"/>
      <c r="AW99" s="36">
        <f>SUM(AW98)</f>
        <v>0</v>
      </c>
      <c r="AX99" s="140">
        <f>SUM(AX98)</f>
        <v>0</v>
      </c>
      <c r="AY99" s="36">
        <f>SUM(AY98)</f>
        <v>0</v>
      </c>
      <c r="AZ99" s="36">
        <f>SUM(AZ98)</f>
        <v>0</v>
      </c>
      <c r="BA99" s="36"/>
      <c r="BB99" s="36">
        <f>SUM(BB98)</f>
        <v>0</v>
      </c>
      <c r="BC99" s="140">
        <f>SUM(BC98)</f>
        <v>0</v>
      </c>
      <c r="BD99" s="36">
        <f>SUM(BD98)</f>
        <v>0</v>
      </c>
      <c r="BE99" s="36">
        <f>SUM(BE98)</f>
        <v>0</v>
      </c>
      <c r="BF99" s="36"/>
      <c r="BG99" s="36"/>
      <c r="BH99" s="36">
        <f>SUM(BH98)</f>
        <v>0</v>
      </c>
      <c r="BI99" s="140">
        <f>SUM(BI98)</f>
        <v>0</v>
      </c>
      <c r="BJ99" s="36">
        <f>SUM(BJ98)</f>
        <v>0</v>
      </c>
      <c r="BK99" s="36">
        <f>SUM(BK98)</f>
        <v>0</v>
      </c>
      <c r="BL99" s="36"/>
      <c r="BM99" s="36"/>
      <c r="BN99" s="36">
        <f>SUM(BN98)</f>
        <v>0</v>
      </c>
    </row>
    <row r="100" spans="1:66" hidden="1" x14ac:dyDescent="0.2">
      <c r="A100" s="33"/>
      <c r="B100" s="137"/>
      <c r="C100" s="37"/>
      <c r="D100" s="37"/>
      <c r="E100" s="37"/>
      <c r="F100" s="37"/>
      <c r="G100" s="37"/>
      <c r="H100" s="137"/>
      <c r="I100" s="37"/>
      <c r="J100" s="37"/>
      <c r="K100" s="37"/>
      <c r="L100" s="37"/>
      <c r="M100" s="137"/>
      <c r="N100" s="37"/>
      <c r="O100" s="37"/>
      <c r="P100" s="37"/>
      <c r="Q100" s="137"/>
      <c r="R100" s="37"/>
      <c r="S100" s="37"/>
      <c r="T100" s="37"/>
      <c r="U100" s="37"/>
      <c r="V100" s="137"/>
      <c r="W100" s="37"/>
      <c r="X100" s="37"/>
      <c r="Y100" s="37"/>
      <c r="Z100" s="37"/>
      <c r="AA100" s="137"/>
      <c r="AB100" s="37"/>
      <c r="AC100" s="37"/>
      <c r="AD100" s="37"/>
      <c r="AE100" s="37"/>
      <c r="AF100" s="37"/>
      <c r="AG100" s="137"/>
      <c r="AH100" s="37"/>
      <c r="AI100" s="37"/>
      <c r="AJ100" s="37"/>
      <c r="AK100" s="37"/>
      <c r="AL100" s="37"/>
      <c r="AM100" s="137"/>
      <c r="AN100" s="37"/>
      <c r="AO100" s="37"/>
      <c r="AP100" s="37"/>
      <c r="AQ100" s="37"/>
      <c r="AR100" s="37"/>
      <c r="AS100" s="137"/>
      <c r="AT100" s="37"/>
      <c r="AU100" s="37"/>
      <c r="AV100" s="37"/>
      <c r="AW100" s="37"/>
      <c r="AX100" s="137"/>
      <c r="AY100" s="37"/>
      <c r="AZ100" s="37"/>
      <c r="BA100" s="37"/>
      <c r="BB100" s="37"/>
      <c r="BC100" s="137"/>
      <c r="BD100" s="37"/>
      <c r="BE100" s="37"/>
      <c r="BF100" s="37"/>
      <c r="BG100" s="37"/>
      <c r="BH100" s="37"/>
      <c r="BI100" s="137"/>
      <c r="BJ100" s="37"/>
      <c r="BK100" s="37"/>
      <c r="BL100" s="37"/>
      <c r="BM100" s="37"/>
      <c r="BN100" s="37"/>
    </row>
    <row r="101" spans="1:66" ht="15" hidden="1" x14ac:dyDescent="0.2">
      <c r="A101" s="32" t="s">
        <v>101</v>
      </c>
      <c r="B101" s="138" t="s">
        <v>114</v>
      </c>
      <c r="C101" s="133" t="s">
        <v>115</v>
      </c>
      <c r="D101" s="133" t="s">
        <v>116</v>
      </c>
      <c r="E101" s="44"/>
      <c r="F101" s="44"/>
      <c r="G101" s="133" t="s">
        <v>44</v>
      </c>
      <c r="H101" s="138" t="s">
        <v>114</v>
      </c>
      <c r="I101" s="133" t="s">
        <v>115</v>
      </c>
      <c r="J101" s="133" t="s">
        <v>116</v>
      </c>
      <c r="K101" s="44"/>
      <c r="L101" s="133" t="s">
        <v>44</v>
      </c>
      <c r="M101" s="138" t="s">
        <v>114</v>
      </c>
      <c r="N101" s="133" t="s">
        <v>115</v>
      </c>
      <c r="O101" s="133" t="s">
        <v>116</v>
      </c>
      <c r="P101" s="133" t="s">
        <v>44</v>
      </c>
      <c r="Q101" s="138" t="s">
        <v>114</v>
      </c>
      <c r="R101" s="133" t="s">
        <v>115</v>
      </c>
      <c r="S101" s="133" t="s">
        <v>116</v>
      </c>
      <c r="T101" s="44"/>
      <c r="U101" s="133" t="s">
        <v>44</v>
      </c>
      <c r="V101" s="138" t="s">
        <v>114</v>
      </c>
      <c r="W101" s="133" t="s">
        <v>115</v>
      </c>
      <c r="X101" s="133" t="s">
        <v>116</v>
      </c>
      <c r="Y101" s="44"/>
      <c r="Z101" s="133" t="s">
        <v>44</v>
      </c>
      <c r="AA101" s="138" t="s">
        <v>114</v>
      </c>
      <c r="AB101" s="133" t="s">
        <v>115</v>
      </c>
      <c r="AC101" s="133" t="s">
        <v>116</v>
      </c>
      <c r="AD101" s="44"/>
      <c r="AE101" s="44"/>
      <c r="AF101" s="133" t="s">
        <v>44</v>
      </c>
      <c r="AG101" s="138" t="s">
        <v>114</v>
      </c>
      <c r="AH101" s="133" t="s">
        <v>115</v>
      </c>
      <c r="AI101" s="133" t="s">
        <v>116</v>
      </c>
      <c r="AJ101" s="44"/>
      <c r="AK101" s="44"/>
      <c r="AL101" s="133" t="s">
        <v>44</v>
      </c>
      <c r="AM101" s="138" t="s">
        <v>114</v>
      </c>
      <c r="AN101" s="133" t="s">
        <v>115</v>
      </c>
      <c r="AO101" s="133" t="s">
        <v>116</v>
      </c>
      <c r="AP101" s="44"/>
      <c r="AQ101" s="44"/>
      <c r="AR101" s="133" t="s">
        <v>44</v>
      </c>
      <c r="AS101" s="138" t="s">
        <v>114</v>
      </c>
      <c r="AT101" s="133" t="s">
        <v>115</v>
      </c>
      <c r="AU101" s="133" t="s">
        <v>116</v>
      </c>
      <c r="AV101" s="44"/>
      <c r="AW101" s="133" t="s">
        <v>44</v>
      </c>
      <c r="AX101" s="138" t="s">
        <v>114</v>
      </c>
      <c r="AY101" s="133" t="s">
        <v>115</v>
      </c>
      <c r="AZ101" s="133" t="s">
        <v>116</v>
      </c>
      <c r="BA101" s="44"/>
      <c r="BB101" s="133" t="s">
        <v>44</v>
      </c>
      <c r="BC101" s="138" t="s">
        <v>114</v>
      </c>
      <c r="BD101" s="133" t="s">
        <v>115</v>
      </c>
      <c r="BE101" s="133" t="s">
        <v>116</v>
      </c>
      <c r="BF101" s="44"/>
      <c r="BG101" s="44"/>
      <c r="BH101" s="133" t="s">
        <v>44</v>
      </c>
      <c r="BI101" s="138" t="s">
        <v>114</v>
      </c>
      <c r="BJ101" s="133" t="s">
        <v>115</v>
      </c>
      <c r="BK101" s="133" t="s">
        <v>116</v>
      </c>
      <c r="BL101" s="44"/>
      <c r="BM101" s="44"/>
      <c r="BN101" s="133" t="s">
        <v>44</v>
      </c>
    </row>
    <row r="102" spans="1:66" ht="15" hidden="1" x14ac:dyDescent="0.2">
      <c r="A102" s="32" t="s">
        <v>137</v>
      </c>
      <c r="B102" s="139"/>
      <c r="C102" s="35"/>
      <c r="D102" s="35"/>
      <c r="E102" s="35"/>
      <c r="F102" s="35"/>
      <c r="G102" s="35"/>
      <c r="H102" s="139"/>
      <c r="I102" s="35"/>
      <c r="J102" s="35"/>
      <c r="K102" s="35"/>
      <c r="L102" s="35"/>
      <c r="M102" s="139"/>
      <c r="N102" s="35"/>
      <c r="O102" s="35"/>
      <c r="P102" s="35"/>
      <c r="Q102" s="139"/>
      <c r="R102" s="35"/>
      <c r="S102" s="35"/>
      <c r="T102" s="35"/>
      <c r="U102" s="35"/>
      <c r="V102" s="139"/>
      <c r="W102" s="35"/>
      <c r="X102" s="35"/>
      <c r="Y102" s="35"/>
      <c r="Z102" s="35"/>
      <c r="AA102" s="139"/>
      <c r="AB102" s="35"/>
      <c r="AC102" s="35"/>
      <c r="AD102" s="35"/>
      <c r="AE102" s="35"/>
      <c r="AF102" s="35"/>
      <c r="AG102" s="139"/>
      <c r="AH102" s="35"/>
      <c r="AI102" s="35"/>
      <c r="AJ102" s="35"/>
      <c r="AK102" s="35"/>
      <c r="AL102" s="35"/>
      <c r="AM102" s="139"/>
      <c r="AN102" s="35"/>
      <c r="AO102" s="35"/>
      <c r="AP102" s="35"/>
      <c r="AQ102" s="35"/>
      <c r="AR102" s="35"/>
      <c r="AS102" s="139"/>
      <c r="AT102" s="35"/>
      <c r="AU102" s="35"/>
      <c r="AV102" s="35"/>
      <c r="AW102" s="35"/>
      <c r="AX102" s="139"/>
      <c r="AY102" s="35"/>
      <c r="AZ102" s="35"/>
      <c r="BA102" s="35"/>
      <c r="BB102" s="35"/>
      <c r="BC102" s="139"/>
      <c r="BD102" s="35"/>
      <c r="BE102" s="35"/>
      <c r="BF102" s="35"/>
      <c r="BG102" s="35"/>
      <c r="BH102" s="35"/>
      <c r="BI102" s="139"/>
      <c r="BJ102" s="35"/>
      <c r="BK102" s="35"/>
      <c r="BL102" s="35"/>
      <c r="BM102" s="35"/>
      <c r="BN102" s="35"/>
    </row>
    <row r="103" spans="1:66" ht="15" hidden="1" x14ac:dyDescent="0.25">
      <c r="A103" s="54" t="s">
        <v>234</v>
      </c>
      <c r="B103" s="107">
        <v>0</v>
      </c>
      <c r="C103" s="38">
        <v>0</v>
      </c>
      <c r="D103" s="38">
        <v>0</v>
      </c>
      <c r="E103" s="38"/>
      <c r="F103" s="38"/>
      <c r="G103" s="38">
        <f>SUM(C103:E103)</f>
        <v>0</v>
      </c>
      <c r="H103" s="107">
        <v>0</v>
      </c>
      <c r="I103" s="38">
        <v>0</v>
      </c>
      <c r="J103" s="38">
        <v>0</v>
      </c>
      <c r="K103" s="38"/>
      <c r="L103" s="38">
        <f>SUM(I103:K103)</f>
        <v>0</v>
      </c>
      <c r="M103" s="107">
        <v>0</v>
      </c>
      <c r="N103" s="38">
        <v>0</v>
      </c>
      <c r="O103" s="38">
        <v>0</v>
      </c>
      <c r="P103" s="38">
        <f>SUM(N103:O103)</f>
        <v>0</v>
      </c>
      <c r="Q103" s="107">
        <v>0</v>
      </c>
      <c r="R103" s="38">
        <v>0</v>
      </c>
      <c r="S103" s="38">
        <v>0</v>
      </c>
      <c r="T103" s="38"/>
      <c r="U103" s="38">
        <f>SUM(R103:T103)</f>
        <v>0</v>
      </c>
      <c r="V103" s="107">
        <v>0</v>
      </c>
      <c r="W103" s="38">
        <v>0</v>
      </c>
      <c r="X103" s="38">
        <v>0</v>
      </c>
      <c r="Y103" s="38"/>
      <c r="Z103" s="38">
        <f>SUM(W103:Y103)</f>
        <v>0</v>
      </c>
      <c r="AA103" s="107">
        <v>0</v>
      </c>
      <c r="AB103" s="38">
        <v>0</v>
      </c>
      <c r="AC103" s="38">
        <v>0</v>
      </c>
      <c r="AD103" s="38"/>
      <c r="AE103" s="38"/>
      <c r="AF103" s="38">
        <f>SUM(AB103:AD103)</f>
        <v>0</v>
      </c>
      <c r="AG103" s="107">
        <v>0</v>
      </c>
      <c r="AH103" s="38">
        <v>0</v>
      </c>
      <c r="AI103" s="38">
        <v>0</v>
      </c>
      <c r="AJ103" s="38"/>
      <c r="AK103" s="38"/>
      <c r="AL103" s="38">
        <f>SUM(AH103:AJ103)</f>
        <v>0</v>
      </c>
      <c r="AM103" s="107">
        <v>0</v>
      </c>
      <c r="AN103" s="38">
        <v>0</v>
      </c>
      <c r="AO103" s="38">
        <v>0</v>
      </c>
      <c r="AP103" s="38"/>
      <c r="AQ103" s="38"/>
      <c r="AR103" s="38">
        <f>SUM(AN103:AP103)</f>
        <v>0</v>
      </c>
      <c r="AS103" s="107">
        <v>0</v>
      </c>
      <c r="AT103" s="38">
        <v>0</v>
      </c>
      <c r="AU103" s="38">
        <v>0</v>
      </c>
      <c r="AV103" s="38"/>
      <c r="AW103" s="38">
        <f>SUM(AT103:AV103)</f>
        <v>0</v>
      </c>
      <c r="AX103" s="107">
        <v>0</v>
      </c>
      <c r="AY103" s="38">
        <v>0</v>
      </c>
      <c r="AZ103" s="38">
        <v>0</v>
      </c>
      <c r="BA103" s="38"/>
      <c r="BB103" s="38">
        <f>SUM(AY103:BA103)</f>
        <v>0</v>
      </c>
      <c r="BC103" s="107">
        <v>0</v>
      </c>
      <c r="BD103" s="38">
        <v>0</v>
      </c>
      <c r="BE103" s="38">
        <v>0</v>
      </c>
      <c r="BF103" s="38"/>
      <c r="BG103" s="38"/>
      <c r="BH103" s="38">
        <f>SUM(BD103:BG103)</f>
        <v>0</v>
      </c>
      <c r="BI103" s="107">
        <v>0</v>
      </c>
      <c r="BJ103" s="38">
        <v>0</v>
      </c>
      <c r="BK103" s="38">
        <v>0</v>
      </c>
      <c r="BL103" s="38"/>
      <c r="BM103" s="38"/>
      <c r="BN103" s="38">
        <f>SUM(BJ103:BM103)</f>
        <v>0</v>
      </c>
    </row>
    <row r="104" spans="1:66" ht="15" hidden="1" x14ac:dyDescent="0.2">
      <c r="A104" s="32" t="s">
        <v>118</v>
      </c>
      <c r="B104" s="140">
        <f>SUM(B103)</f>
        <v>0</v>
      </c>
      <c r="C104" s="36">
        <f>SUM(C103)</f>
        <v>0</v>
      </c>
      <c r="D104" s="36">
        <f>SUM(D103)</f>
        <v>0</v>
      </c>
      <c r="E104" s="36"/>
      <c r="F104" s="36"/>
      <c r="G104" s="36">
        <f>SUM(G103)</f>
        <v>0</v>
      </c>
      <c r="H104" s="140">
        <f>SUM(H103)</f>
        <v>0</v>
      </c>
      <c r="I104" s="36">
        <f>SUM(I103)</f>
        <v>0</v>
      </c>
      <c r="J104" s="36">
        <f>SUM(J103)</f>
        <v>0</v>
      </c>
      <c r="K104" s="36"/>
      <c r="L104" s="36">
        <f t="shared" ref="L104:S104" si="38">SUM(L103)</f>
        <v>0</v>
      </c>
      <c r="M104" s="140">
        <f t="shared" si="38"/>
        <v>0</v>
      </c>
      <c r="N104" s="36">
        <f t="shared" si="38"/>
        <v>0</v>
      </c>
      <c r="O104" s="36">
        <f t="shared" si="38"/>
        <v>0</v>
      </c>
      <c r="P104" s="36">
        <f t="shared" si="38"/>
        <v>0</v>
      </c>
      <c r="Q104" s="140">
        <f t="shared" si="38"/>
        <v>0</v>
      </c>
      <c r="R104" s="36">
        <f t="shared" si="38"/>
        <v>0</v>
      </c>
      <c r="S104" s="36">
        <f t="shared" si="38"/>
        <v>0</v>
      </c>
      <c r="T104" s="36"/>
      <c r="U104" s="36">
        <f>SUM(U103)</f>
        <v>0</v>
      </c>
      <c r="V104" s="140">
        <f>SUM(V103)</f>
        <v>0</v>
      </c>
      <c r="W104" s="36">
        <f>SUM(W103)</f>
        <v>0</v>
      </c>
      <c r="X104" s="36">
        <f>SUM(X103)</f>
        <v>0</v>
      </c>
      <c r="Y104" s="36"/>
      <c r="Z104" s="36">
        <f>SUM(Z103)</f>
        <v>0</v>
      </c>
      <c r="AA104" s="140">
        <f>SUM(AA103)</f>
        <v>0</v>
      </c>
      <c r="AB104" s="36">
        <f>SUM(AB103)</f>
        <v>0</v>
      </c>
      <c r="AC104" s="36">
        <f>SUM(AC103)</f>
        <v>0</v>
      </c>
      <c r="AD104" s="36"/>
      <c r="AE104" s="36"/>
      <c r="AF104" s="36">
        <f>SUM(AF103)</f>
        <v>0</v>
      </c>
      <c r="AG104" s="140">
        <f>SUM(AG103)</f>
        <v>0</v>
      </c>
      <c r="AH104" s="36">
        <f>SUM(AH103)</f>
        <v>0</v>
      </c>
      <c r="AI104" s="36">
        <f>SUM(AI103)</f>
        <v>0</v>
      </c>
      <c r="AJ104" s="36"/>
      <c r="AK104" s="36"/>
      <c r="AL104" s="36">
        <f>SUM(AL103)</f>
        <v>0</v>
      </c>
      <c r="AM104" s="140">
        <f>SUM(AM103)</f>
        <v>0</v>
      </c>
      <c r="AN104" s="36">
        <f>SUM(AN103)</f>
        <v>0</v>
      </c>
      <c r="AO104" s="36">
        <f>SUM(AO103)</f>
        <v>0</v>
      </c>
      <c r="AP104" s="36"/>
      <c r="AQ104" s="36"/>
      <c r="AR104" s="36">
        <f>SUM(AR103)</f>
        <v>0</v>
      </c>
      <c r="AS104" s="140">
        <f>SUM(AS103)</f>
        <v>0</v>
      </c>
      <c r="AT104" s="36">
        <f>SUM(AT103)</f>
        <v>0</v>
      </c>
      <c r="AU104" s="36">
        <f>SUM(AU103)</f>
        <v>0</v>
      </c>
      <c r="AV104" s="36"/>
      <c r="AW104" s="36">
        <f>SUM(AW103)</f>
        <v>0</v>
      </c>
      <c r="AX104" s="140">
        <f>SUM(AX103)</f>
        <v>0</v>
      </c>
      <c r="AY104" s="36">
        <f>SUM(AY103)</f>
        <v>0</v>
      </c>
      <c r="AZ104" s="36">
        <f>SUM(AZ103)</f>
        <v>0</v>
      </c>
      <c r="BA104" s="36"/>
      <c r="BB104" s="36">
        <f>SUM(BB103)</f>
        <v>0</v>
      </c>
      <c r="BC104" s="140">
        <f>SUM(BC103)</f>
        <v>0</v>
      </c>
      <c r="BD104" s="36">
        <f>SUM(BD103)</f>
        <v>0</v>
      </c>
      <c r="BE104" s="36">
        <f>SUM(BE103)</f>
        <v>0</v>
      </c>
      <c r="BF104" s="36"/>
      <c r="BG104" s="36"/>
      <c r="BH104" s="36">
        <f>SUM(BH103)</f>
        <v>0</v>
      </c>
      <c r="BI104" s="140">
        <f>SUM(BI103)</f>
        <v>0</v>
      </c>
      <c r="BJ104" s="36">
        <f>SUM(BJ103)</f>
        <v>0</v>
      </c>
      <c r="BK104" s="36">
        <f>SUM(BK103)</f>
        <v>0</v>
      </c>
      <c r="BL104" s="36"/>
      <c r="BM104" s="36"/>
      <c r="BN104" s="36">
        <f>SUM(BN103)</f>
        <v>0</v>
      </c>
    </row>
    <row r="105" spans="1:66" hidden="1" x14ac:dyDescent="0.2">
      <c r="B105" s="137"/>
      <c r="C105" s="37"/>
      <c r="D105" s="37"/>
      <c r="E105" s="37"/>
      <c r="F105" s="37"/>
      <c r="G105" s="37"/>
      <c r="H105" s="137"/>
      <c r="I105" s="37"/>
      <c r="J105" s="37"/>
      <c r="K105" s="37"/>
      <c r="L105" s="37"/>
      <c r="M105" s="137"/>
      <c r="N105" s="37"/>
      <c r="O105" s="37"/>
      <c r="P105" s="37"/>
      <c r="Q105" s="137"/>
      <c r="R105" s="37"/>
      <c r="S105" s="37"/>
      <c r="T105" s="37"/>
      <c r="U105" s="37"/>
      <c r="V105" s="137"/>
      <c r="W105" s="37"/>
      <c r="X105" s="37"/>
      <c r="Y105" s="37"/>
      <c r="Z105" s="37"/>
      <c r="AA105" s="137"/>
      <c r="AB105" s="37"/>
      <c r="AC105" s="37"/>
      <c r="AD105" s="37"/>
      <c r="AE105" s="37"/>
      <c r="AF105" s="37"/>
      <c r="AG105" s="137"/>
      <c r="AH105" s="37"/>
      <c r="AI105" s="37"/>
      <c r="AJ105" s="37"/>
      <c r="AK105" s="37"/>
      <c r="AL105" s="37"/>
      <c r="AM105" s="137"/>
      <c r="AN105" s="37"/>
      <c r="AO105" s="37"/>
      <c r="AP105" s="37"/>
      <c r="AQ105" s="37"/>
      <c r="AR105" s="37"/>
      <c r="AS105" s="137"/>
      <c r="AT105" s="37"/>
      <c r="AU105" s="37"/>
      <c r="AV105" s="37"/>
      <c r="AW105" s="37"/>
      <c r="AX105" s="137"/>
      <c r="AY105" s="37"/>
      <c r="AZ105" s="37"/>
      <c r="BA105" s="37"/>
      <c r="BB105" s="37"/>
      <c r="BC105" s="137"/>
      <c r="BD105" s="37"/>
      <c r="BE105" s="37"/>
      <c r="BF105" s="37"/>
      <c r="BG105" s="37"/>
      <c r="BH105" s="37"/>
      <c r="BI105" s="137"/>
      <c r="BJ105" s="37"/>
      <c r="BK105" s="37"/>
      <c r="BL105" s="37"/>
      <c r="BM105" s="37"/>
      <c r="BN105" s="37"/>
    </row>
    <row r="106" spans="1:66" ht="15" hidden="1" x14ac:dyDescent="0.2">
      <c r="A106" s="32" t="s">
        <v>101</v>
      </c>
      <c r="B106" s="138" t="s">
        <v>114</v>
      </c>
      <c r="C106" s="133" t="s">
        <v>115</v>
      </c>
      <c r="D106" s="133" t="s">
        <v>116</v>
      </c>
      <c r="E106" s="44"/>
      <c r="F106" s="44"/>
      <c r="G106" s="133" t="s">
        <v>44</v>
      </c>
      <c r="H106" s="138" t="s">
        <v>114</v>
      </c>
      <c r="I106" s="133" t="s">
        <v>115</v>
      </c>
      <c r="J106" s="133" t="s">
        <v>116</v>
      </c>
      <c r="K106" s="44"/>
      <c r="L106" s="133" t="s">
        <v>44</v>
      </c>
      <c r="M106" s="138" t="s">
        <v>114</v>
      </c>
      <c r="N106" s="133" t="s">
        <v>115</v>
      </c>
      <c r="O106" s="133" t="s">
        <v>116</v>
      </c>
      <c r="P106" s="133" t="s">
        <v>44</v>
      </c>
      <c r="Q106" s="138" t="s">
        <v>114</v>
      </c>
      <c r="R106" s="133" t="s">
        <v>115</v>
      </c>
      <c r="S106" s="133" t="s">
        <v>116</v>
      </c>
      <c r="T106" s="44"/>
      <c r="U106" s="133" t="s">
        <v>44</v>
      </c>
      <c r="V106" s="138" t="s">
        <v>114</v>
      </c>
      <c r="W106" s="133" t="s">
        <v>115</v>
      </c>
      <c r="X106" s="133" t="s">
        <v>116</v>
      </c>
      <c r="Y106" s="44"/>
      <c r="Z106" s="133" t="s">
        <v>44</v>
      </c>
      <c r="AA106" s="138" t="s">
        <v>114</v>
      </c>
      <c r="AB106" s="133" t="s">
        <v>115</v>
      </c>
      <c r="AC106" s="133" t="s">
        <v>116</v>
      </c>
      <c r="AD106" s="44"/>
      <c r="AE106" s="44"/>
      <c r="AF106" s="133" t="s">
        <v>44</v>
      </c>
      <c r="AG106" s="138" t="s">
        <v>114</v>
      </c>
      <c r="AH106" s="133" t="s">
        <v>115</v>
      </c>
      <c r="AI106" s="133" t="s">
        <v>116</v>
      </c>
      <c r="AJ106" s="44"/>
      <c r="AK106" s="44"/>
      <c r="AL106" s="133" t="s">
        <v>44</v>
      </c>
      <c r="AM106" s="138" t="s">
        <v>114</v>
      </c>
      <c r="AN106" s="133" t="s">
        <v>115</v>
      </c>
      <c r="AO106" s="133" t="s">
        <v>116</v>
      </c>
      <c r="AP106" s="44"/>
      <c r="AQ106" s="44"/>
      <c r="AR106" s="133" t="s">
        <v>44</v>
      </c>
      <c r="AS106" s="138" t="s">
        <v>114</v>
      </c>
      <c r="AT106" s="133" t="s">
        <v>115</v>
      </c>
      <c r="AU106" s="133" t="s">
        <v>116</v>
      </c>
      <c r="AV106" s="44"/>
      <c r="AW106" s="133" t="s">
        <v>44</v>
      </c>
      <c r="AX106" s="138" t="s">
        <v>114</v>
      </c>
      <c r="AY106" s="133" t="s">
        <v>115</v>
      </c>
      <c r="AZ106" s="133" t="s">
        <v>116</v>
      </c>
      <c r="BA106" s="44"/>
      <c r="BB106" s="133" t="s">
        <v>44</v>
      </c>
      <c r="BC106" s="138" t="s">
        <v>114</v>
      </c>
      <c r="BD106" s="133" t="s">
        <v>115</v>
      </c>
      <c r="BE106" s="133" t="s">
        <v>116</v>
      </c>
      <c r="BF106" s="44"/>
      <c r="BG106" s="44"/>
      <c r="BH106" s="133" t="s">
        <v>44</v>
      </c>
      <c r="BI106" s="138" t="s">
        <v>114</v>
      </c>
      <c r="BJ106" s="133" t="s">
        <v>115</v>
      </c>
      <c r="BK106" s="133" t="s">
        <v>116</v>
      </c>
      <c r="BL106" s="44"/>
      <c r="BM106" s="44"/>
      <c r="BN106" s="133" t="s">
        <v>44</v>
      </c>
    </row>
    <row r="107" spans="1:66" ht="15" hidden="1" x14ac:dyDescent="0.2">
      <c r="A107" s="32" t="s">
        <v>138</v>
      </c>
      <c r="B107" s="139"/>
      <c r="C107" s="35"/>
      <c r="D107" s="35"/>
      <c r="E107" s="35"/>
      <c r="F107" s="35"/>
      <c r="G107" s="35"/>
      <c r="H107" s="139"/>
      <c r="I107" s="35"/>
      <c r="J107" s="35"/>
      <c r="K107" s="35"/>
      <c r="L107" s="35"/>
      <c r="M107" s="139"/>
      <c r="N107" s="35"/>
      <c r="O107" s="35"/>
      <c r="P107" s="35"/>
      <c r="Q107" s="139"/>
      <c r="R107" s="35"/>
      <c r="S107" s="35"/>
      <c r="T107" s="35"/>
      <c r="U107" s="35"/>
      <c r="V107" s="139"/>
      <c r="W107" s="35"/>
      <c r="X107" s="35"/>
      <c r="Y107" s="35"/>
      <c r="Z107" s="35"/>
      <c r="AA107" s="139"/>
      <c r="AB107" s="35"/>
      <c r="AC107" s="35"/>
      <c r="AD107" s="35"/>
      <c r="AE107" s="35"/>
      <c r="AF107" s="35"/>
      <c r="AG107" s="139"/>
      <c r="AH107" s="35"/>
      <c r="AI107" s="35"/>
      <c r="AJ107" s="35"/>
      <c r="AK107" s="35"/>
      <c r="AL107" s="35"/>
      <c r="AM107" s="139"/>
      <c r="AN107" s="35"/>
      <c r="AO107" s="35"/>
      <c r="AP107" s="35"/>
      <c r="AQ107" s="35"/>
      <c r="AR107" s="35"/>
      <c r="AS107" s="139"/>
      <c r="AT107" s="35"/>
      <c r="AU107" s="35"/>
      <c r="AV107" s="35"/>
      <c r="AW107" s="35"/>
      <c r="AX107" s="139"/>
      <c r="AY107" s="35"/>
      <c r="AZ107" s="35"/>
      <c r="BA107" s="35"/>
      <c r="BB107" s="35"/>
      <c r="BC107" s="139"/>
      <c r="BD107" s="35"/>
      <c r="BE107" s="35"/>
      <c r="BF107" s="35"/>
      <c r="BG107" s="35"/>
      <c r="BH107" s="35"/>
      <c r="BI107" s="139"/>
      <c r="BJ107" s="35"/>
      <c r="BK107" s="35"/>
      <c r="BL107" s="35"/>
      <c r="BM107" s="35"/>
      <c r="BN107" s="35"/>
    </row>
    <row r="108" spans="1:66" ht="15" hidden="1" x14ac:dyDescent="0.25">
      <c r="A108" s="33" t="s">
        <v>138</v>
      </c>
      <c r="B108" s="107">
        <v>0</v>
      </c>
      <c r="C108" s="38">
        <v>0</v>
      </c>
      <c r="D108" s="38">
        <v>0</v>
      </c>
      <c r="E108" s="38"/>
      <c r="F108" s="38"/>
      <c r="G108" s="38">
        <f>SUM(C108:E108)</f>
        <v>0</v>
      </c>
      <c r="H108" s="107">
        <v>0</v>
      </c>
      <c r="I108" s="38">
        <v>0</v>
      </c>
      <c r="J108" s="38">
        <v>0</v>
      </c>
      <c r="K108" s="38"/>
      <c r="L108" s="38">
        <f>SUM(I108:K108)</f>
        <v>0</v>
      </c>
      <c r="M108" s="107">
        <v>0</v>
      </c>
      <c r="N108" s="38">
        <v>0</v>
      </c>
      <c r="O108" s="38">
        <v>0</v>
      </c>
      <c r="P108" s="38">
        <f>SUM(N108:O108)</f>
        <v>0</v>
      </c>
      <c r="Q108" s="107">
        <v>0</v>
      </c>
      <c r="R108" s="38">
        <v>0</v>
      </c>
      <c r="S108" s="38">
        <v>0</v>
      </c>
      <c r="T108" s="38"/>
      <c r="U108" s="38">
        <f>SUM(R108:T108)</f>
        <v>0</v>
      </c>
      <c r="V108" s="107">
        <v>0</v>
      </c>
      <c r="W108" s="38">
        <v>0</v>
      </c>
      <c r="X108" s="38">
        <v>0</v>
      </c>
      <c r="Y108" s="38"/>
      <c r="Z108" s="38">
        <f>SUM(W108:Y108)</f>
        <v>0</v>
      </c>
      <c r="AA108" s="107">
        <v>0</v>
      </c>
      <c r="AB108" s="38">
        <v>0</v>
      </c>
      <c r="AC108" s="38">
        <v>0</v>
      </c>
      <c r="AD108" s="38"/>
      <c r="AE108" s="38"/>
      <c r="AF108" s="38">
        <f>SUM(AB108:AD108)</f>
        <v>0</v>
      </c>
      <c r="AG108" s="107">
        <v>0</v>
      </c>
      <c r="AH108" s="38">
        <v>0</v>
      </c>
      <c r="AI108" s="38">
        <v>0</v>
      </c>
      <c r="AJ108" s="38"/>
      <c r="AK108" s="38"/>
      <c r="AL108" s="38">
        <f>SUM(AH108:AJ108)</f>
        <v>0</v>
      </c>
      <c r="AM108" s="107">
        <v>0</v>
      </c>
      <c r="AN108" s="38">
        <v>0</v>
      </c>
      <c r="AO108" s="38">
        <v>0</v>
      </c>
      <c r="AP108" s="38"/>
      <c r="AQ108" s="38"/>
      <c r="AR108" s="38">
        <f>SUM(AN108:AP108)</f>
        <v>0</v>
      </c>
      <c r="AS108" s="107">
        <v>0</v>
      </c>
      <c r="AT108" s="38">
        <v>0</v>
      </c>
      <c r="AU108" s="38">
        <v>0</v>
      </c>
      <c r="AV108" s="38"/>
      <c r="AW108" s="38">
        <f>SUM(AT108:AV108)</f>
        <v>0</v>
      </c>
      <c r="AX108" s="107">
        <v>0</v>
      </c>
      <c r="AY108" s="38">
        <v>0</v>
      </c>
      <c r="AZ108" s="38">
        <v>0</v>
      </c>
      <c r="BA108" s="38"/>
      <c r="BB108" s="38">
        <f>SUM(AY108:BA108)</f>
        <v>0</v>
      </c>
      <c r="BC108" s="107">
        <v>0</v>
      </c>
      <c r="BD108" s="38">
        <v>0</v>
      </c>
      <c r="BE108" s="38">
        <v>0</v>
      </c>
      <c r="BF108" s="38"/>
      <c r="BG108" s="38"/>
      <c r="BH108" s="38">
        <f>SUM(BD108:BG108)</f>
        <v>0</v>
      </c>
      <c r="BI108" s="107">
        <v>0</v>
      </c>
      <c r="BJ108" s="38">
        <v>0</v>
      </c>
      <c r="BK108" s="38">
        <v>0</v>
      </c>
      <c r="BL108" s="38"/>
      <c r="BM108" s="38"/>
      <c r="BN108" s="38">
        <f>SUM(BJ108:BM108)</f>
        <v>0</v>
      </c>
    </row>
    <row r="109" spans="1:66" ht="15" hidden="1" x14ac:dyDescent="0.2">
      <c r="A109" s="32" t="s">
        <v>118</v>
      </c>
      <c r="B109" s="140">
        <v>0</v>
      </c>
      <c r="C109" s="36">
        <v>0</v>
      </c>
      <c r="D109" s="36">
        <f t="shared" ref="D109:BH109" si="39">SUM(D108)</f>
        <v>0</v>
      </c>
      <c r="E109" s="36">
        <f t="shared" si="39"/>
        <v>0</v>
      </c>
      <c r="F109" s="36">
        <f t="shared" si="39"/>
        <v>0</v>
      </c>
      <c r="G109" s="36">
        <f t="shared" si="39"/>
        <v>0</v>
      </c>
      <c r="H109" s="36">
        <f t="shared" si="39"/>
        <v>0</v>
      </c>
      <c r="I109" s="36">
        <f t="shared" si="39"/>
        <v>0</v>
      </c>
      <c r="J109" s="36">
        <f t="shared" si="39"/>
        <v>0</v>
      </c>
      <c r="K109" s="36">
        <f t="shared" si="39"/>
        <v>0</v>
      </c>
      <c r="L109" s="36">
        <f t="shared" si="39"/>
        <v>0</v>
      </c>
      <c r="M109" s="36">
        <f t="shared" si="39"/>
        <v>0</v>
      </c>
      <c r="N109" s="36">
        <f t="shared" si="39"/>
        <v>0</v>
      </c>
      <c r="O109" s="36">
        <f t="shared" si="39"/>
        <v>0</v>
      </c>
      <c r="P109" s="36">
        <f t="shared" si="39"/>
        <v>0</v>
      </c>
      <c r="Q109" s="36">
        <f t="shared" si="39"/>
        <v>0</v>
      </c>
      <c r="R109" s="36">
        <f t="shared" si="39"/>
        <v>0</v>
      </c>
      <c r="S109" s="36">
        <f t="shared" si="39"/>
        <v>0</v>
      </c>
      <c r="T109" s="36">
        <f t="shared" si="39"/>
        <v>0</v>
      </c>
      <c r="U109" s="36">
        <f t="shared" si="39"/>
        <v>0</v>
      </c>
      <c r="V109" s="36">
        <f t="shared" si="39"/>
        <v>0</v>
      </c>
      <c r="W109" s="36">
        <f t="shared" si="39"/>
        <v>0</v>
      </c>
      <c r="X109" s="36">
        <f t="shared" si="39"/>
        <v>0</v>
      </c>
      <c r="Y109" s="36">
        <f t="shared" si="39"/>
        <v>0</v>
      </c>
      <c r="Z109" s="36">
        <f t="shared" si="39"/>
        <v>0</v>
      </c>
      <c r="AA109" s="36">
        <f t="shared" si="39"/>
        <v>0</v>
      </c>
      <c r="AB109" s="36">
        <f t="shared" si="39"/>
        <v>0</v>
      </c>
      <c r="AC109" s="36">
        <f t="shared" si="39"/>
        <v>0</v>
      </c>
      <c r="AD109" s="36">
        <f t="shared" si="39"/>
        <v>0</v>
      </c>
      <c r="AE109" s="36">
        <f t="shared" si="39"/>
        <v>0</v>
      </c>
      <c r="AF109" s="36">
        <f t="shared" si="39"/>
        <v>0</v>
      </c>
      <c r="AG109" s="36">
        <f t="shared" si="39"/>
        <v>0</v>
      </c>
      <c r="AH109" s="36">
        <f t="shared" si="39"/>
        <v>0</v>
      </c>
      <c r="AI109" s="36">
        <f t="shared" si="39"/>
        <v>0</v>
      </c>
      <c r="AJ109" s="36">
        <f t="shared" si="39"/>
        <v>0</v>
      </c>
      <c r="AK109" s="36">
        <f t="shared" si="39"/>
        <v>0</v>
      </c>
      <c r="AL109" s="36">
        <f t="shared" si="39"/>
        <v>0</v>
      </c>
      <c r="AM109" s="36">
        <f t="shared" si="39"/>
        <v>0</v>
      </c>
      <c r="AN109" s="36">
        <f t="shared" si="39"/>
        <v>0</v>
      </c>
      <c r="AO109" s="36">
        <f t="shared" si="39"/>
        <v>0</v>
      </c>
      <c r="AP109" s="36">
        <f t="shared" si="39"/>
        <v>0</v>
      </c>
      <c r="AQ109" s="36">
        <f t="shared" si="39"/>
        <v>0</v>
      </c>
      <c r="AR109" s="36">
        <f t="shared" si="39"/>
        <v>0</v>
      </c>
      <c r="AS109" s="36">
        <f t="shared" si="39"/>
        <v>0</v>
      </c>
      <c r="AT109" s="36">
        <f t="shared" si="39"/>
        <v>0</v>
      </c>
      <c r="AU109" s="36">
        <f t="shared" si="39"/>
        <v>0</v>
      </c>
      <c r="AV109" s="36">
        <f t="shared" si="39"/>
        <v>0</v>
      </c>
      <c r="AW109" s="36">
        <f t="shared" si="39"/>
        <v>0</v>
      </c>
      <c r="AX109" s="36">
        <f t="shared" si="39"/>
        <v>0</v>
      </c>
      <c r="AY109" s="36">
        <f t="shared" si="39"/>
        <v>0</v>
      </c>
      <c r="AZ109" s="36">
        <f t="shared" si="39"/>
        <v>0</v>
      </c>
      <c r="BA109" s="36">
        <f t="shared" si="39"/>
        <v>0</v>
      </c>
      <c r="BB109" s="36">
        <f t="shared" si="39"/>
        <v>0</v>
      </c>
      <c r="BC109" s="36">
        <f t="shared" si="39"/>
        <v>0</v>
      </c>
      <c r="BD109" s="36">
        <f t="shared" si="39"/>
        <v>0</v>
      </c>
      <c r="BE109" s="36">
        <f t="shared" si="39"/>
        <v>0</v>
      </c>
      <c r="BF109" s="36">
        <f t="shared" si="39"/>
        <v>0</v>
      </c>
      <c r="BG109" s="36">
        <f t="shared" si="39"/>
        <v>0</v>
      </c>
      <c r="BH109" s="36">
        <f t="shared" si="39"/>
        <v>0</v>
      </c>
      <c r="BI109" s="36">
        <f t="shared" ref="BI109:BN109" si="40">SUM(BI108)</f>
        <v>0</v>
      </c>
      <c r="BJ109" s="36">
        <f t="shared" si="40"/>
        <v>0</v>
      </c>
      <c r="BK109" s="36">
        <f t="shared" si="40"/>
        <v>0</v>
      </c>
      <c r="BL109" s="36">
        <f t="shared" si="40"/>
        <v>0</v>
      </c>
      <c r="BM109" s="36">
        <f t="shared" si="40"/>
        <v>0</v>
      </c>
      <c r="BN109" s="36">
        <f t="shared" si="40"/>
        <v>0</v>
      </c>
    </row>
    <row r="110" spans="1:66" hidden="1" x14ac:dyDescent="0.2">
      <c r="B110" s="137"/>
      <c r="C110" s="37"/>
      <c r="D110" s="37"/>
      <c r="E110" s="37"/>
      <c r="F110" s="37"/>
      <c r="G110" s="37"/>
      <c r="H110" s="137"/>
      <c r="I110" s="37"/>
      <c r="J110" s="37"/>
      <c r="K110" s="37"/>
      <c r="L110" s="37"/>
      <c r="M110" s="137"/>
      <c r="N110" s="37"/>
      <c r="O110" s="37"/>
      <c r="P110" s="37"/>
      <c r="Q110" s="137"/>
      <c r="R110" s="37"/>
      <c r="S110" s="37"/>
      <c r="T110" s="37"/>
      <c r="U110" s="37"/>
      <c r="V110" s="137"/>
      <c r="W110" s="37"/>
      <c r="X110" s="37"/>
      <c r="Y110" s="37"/>
      <c r="Z110" s="37"/>
      <c r="AA110" s="137"/>
      <c r="AB110" s="37"/>
      <c r="AC110" s="37"/>
      <c r="AD110" s="37"/>
      <c r="AE110" s="37"/>
      <c r="AF110" s="37"/>
      <c r="AG110" s="137"/>
      <c r="AH110" s="37"/>
      <c r="AI110" s="37"/>
      <c r="AJ110" s="37"/>
      <c r="AK110" s="37"/>
      <c r="AL110" s="37"/>
      <c r="AM110" s="137"/>
      <c r="AN110" s="37"/>
      <c r="AO110" s="37"/>
      <c r="AP110" s="37"/>
      <c r="AQ110" s="37"/>
      <c r="AR110" s="37"/>
      <c r="AS110" s="137"/>
      <c r="AT110" s="37"/>
      <c r="AU110" s="37"/>
      <c r="AV110" s="37"/>
      <c r="AW110" s="37"/>
      <c r="AX110" s="137"/>
      <c r="AY110" s="37"/>
      <c r="AZ110" s="37"/>
      <c r="BA110" s="37"/>
      <c r="BB110" s="37"/>
      <c r="BC110" s="137"/>
      <c r="BD110" s="37"/>
      <c r="BE110" s="37"/>
      <c r="BF110" s="37"/>
      <c r="BG110" s="37"/>
      <c r="BH110" s="37"/>
      <c r="BI110" s="137"/>
      <c r="BJ110" s="37"/>
      <c r="BK110" s="37"/>
      <c r="BL110" s="37"/>
      <c r="BM110" s="37"/>
      <c r="BN110" s="37"/>
    </row>
    <row r="111" spans="1:66" ht="15" hidden="1" x14ac:dyDescent="0.2">
      <c r="A111" s="32" t="s">
        <v>101</v>
      </c>
      <c r="B111" s="138" t="s">
        <v>114</v>
      </c>
      <c r="C111" s="133" t="s">
        <v>115</v>
      </c>
      <c r="D111" s="133" t="s">
        <v>116</v>
      </c>
      <c r="E111" s="44"/>
      <c r="F111" s="44"/>
      <c r="G111" s="133" t="s">
        <v>44</v>
      </c>
      <c r="H111" s="138" t="s">
        <v>114</v>
      </c>
      <c r="I111" s="133" t="s">
        <v>115</v>
      </c>
      <c r="J111" s="133" t="s">
        <v>116</v>
      </c>
      <c r="K111" s="44"/>
      <c r="L111" s="133" t="s">
        <v>44</v>
      </c>
      <c r="M111" s="138" t="s">
        <v>114</v>
      </c>
      <c r="N111" s="133" t="s">
        <v>115</v>
      </c>
      <c r="O111" s="133" t="s">
        <v>116</v>
      </c>
      <c r="P111" s="133" t="s">
        <v>44</v>
      </c>
      <c r="Q111" s="138" t="s">
        <v>114</v>
      </c>
      <c r="R111" s="133" t="s">
        <v>115</v>
      </c>
      <c r="S111" s="133" t="s">
        <v>116</v>
      </c>
      <c r="T111" s="44"/>
      <c r="U111" s="133" t="s">
        <v>44</v>
      </c>
      <c r="V111" s="138" t="s">
        <v>114</v>
      </c>
      <c r="W111" s="133" t="s">
        <v>115</v>
      </c>
      <c r="X111" s="133" t="s">
        <v>116</v>
      </c>
      <c r="Y111" s="44"/>
      <c r="Z111" s="133" t="s">
        <v>44</v>
      </c>
      <c r="AA111" s="138" t="s">
        <v>114</v>
      </c>
      <c r="AB111" s="133" t="s">
        <v>115</v>
      </c>
      <c r="AC111" s="133" t="s">
        <v>116</v>
      </c>
      <c r="AD111" s="44"/>
      <c r="AE111" s="44"/>
      <c r="AF111" s="133" t="s">
        <v>44</v>
      </c>
      <c r="AG111" s="138" t="s">
        <v>114</v>
      </c>
      <c r="AH111" s="133" t="s">
        <v>115</v>
      </c>
      <c r="AI111" s="133" t="s">
        <v>116</v>
      </c>
      <c r="AJ111" s="44"/>
      <c r="AK111" s="44"/>
      <c r="AL111" s="133" t="s">
        <v>44</v>
      </c>
      <c r="AM111" s="138" t="s">
        <v>114</v>
      </c>
      <c r="AN111" s="133" t="s">
        <v>115</v>
      </c>
      <c r="AO111" s="133" t="s">
        <v>116</v>
      </c>
      <c r="AP111" s="44"/>
      <c r="AQ111" s="44"/>
      <c r="AR111" s="133" t="s">
        <v>44</v>
      </c>
      <c r="AS111" s="138" t="s">
        <v>114</v>
      </c>
      <c r="AT111" s="133" t="s">
        <v>115</v>
      </c>
      <c r="AU111" s="133" t="s">
        <v>116</v>
      </c>
      <c r="AV111" s="44"/>
      <c r="AW111" s="133" t="s">
        <v>44</v>
      </c>
      <c r="AX111" s="138" t="s">
        <v>114</v>
      </c>
      <c r="AY111" s="133" t="s">
        <v>115</v>
      </c>
      <c r="AZ111" s="133" t="s">
        <v>116</v>
      </c>
      <c r="BA111" s="44"/>
      <c r="BB111" s="133" t="s">
        <v>44</v>
      </c>
      <c r="BC111" s="138" t="s">
        <v>114</v>
      </c>
      <c r="BD111" s="133" t="s">
        <v>115</v>
      </c>
      <c r="BE111" s="133" t="s">
        <v>116</v>
      </c>
      <c r="BF111" s="44"/>
      <c r="BG111" s="44"/>
      <c r="BH111" s="133" t="s">
        <v>44</v>
      </c>
      <c r="BI111" s="138" t="s">
        <v>114</v>
      </c>
      <c r="BJ111" s="133" t="s">
        <v>115</v>
      </c>
      <c r="BK111" s="133" t="s">
        <v>116</v>
      </c>
      <c r="BL111" s="44"/>
      <c r="BM111" s="44"/>
      <c r="BN111" s="133" t="s">
        <v>44</v>
      </c>
    </row>
    <row r="112" spans="1:66" ht="15" hidden="1" x14ac:dyDescent="0.2">
      <c r="A112" s="32" t="s">
        <v>139</v>
      </c>
      <c r="B112" s="139"/>
      <c r="C112" s="35"/>
      <c r="D112" s="35"/>
      <c r="E112" s="35"/>
      <c r="F112" s="35"/>
      <c r="G112" s="35"/>
      <c r="H112" s="139"/>
      <c r="I112" s="35"/>
      <c r="J112" s="35"/>
      <c r="K112" s="35"/>
      <c r="L112" s="35"/>
      <c r="M112" s="139"/>
      <c r="N112" s="35"/>
      <c r="O112" s="35"/>
      <c r="P112" s="35"/>
      <c r="Q112" s="139"/>
      <c r="R112" s="35"/>
      <c r="S112" s="35"/>
      <c r="T112" s="35"/>
      <c r="U112" s="35"/>
      <c r="V112" s="139"/>
      <c r="W112" s="35"/>
      <c r="X112" s="35"/>
      <c r="Y112" s="35"/>
      <c r="Z112" s="35"/>
      <c r="AA112" s="139"/>
      <c r="AB112" s="35"/>
      <c r="AC112" s="35"/>
      <c r="AD112" s="35"/>
      <c r="AE112" s="35"/>
      <c r="AF112" s="35"/>
      <c r="AG112" s="139"/>
      <c r="AH112" s="35"/>
      <c r="AI112" s="35"/>
      <c r="AJ112" s="35"/>
      <c r="AK112" s="35"/>
      <c r="AL112" s="35"/>
      <c r="AM112" s="139"/>
      <c r="AN112" s="35"/>
      <c r="AO112" s="35"/>
      <c r="AP112" s="35"/>
      <c r="AQ112" s="35"/>
      <c r="AR112" s="35"/>
      <c r="AS112" s="139"/>
      <c r="AT112" s="35"/>
      <c r="AU112" s="35"/>
      <c r="AV112" s="35"/>
      <c r="AW112" s="35"/>
      <c r="AX112" s="139"/>
      <c r="AY112" s="35"/>
      <c r="AZ112" s="35"/>
      <c r="BA112" s="35"/>
      <c r="BB112" s="35"/>
      <c r="BC112" s="139"/>
      <c r="BD112" s="35"/>
      <c r="BE112" s="35"/>
      <c r="BF112" s="35"/>
      <c r="BG112" s="35"/>
      <c r="BH112" s="35"/>
      <c r="BI112" s="139"/>
      <c r="BJ112" s="35"/>
      <c r="BK112" s="35"/>
      <c r="BL112" s="35"/>
      <c r="BM112" s="35"/>
      <c r="BN112" s="35"/>
    </row>
    <row r="113" spans="1:66" ht="15" hidden="1" x14ac:dyDescent="0.25">
      <c r="A113" s="33" t="s">
        <v>139</v>
      </c>
      <c r="B113" s="107">
        <v>0</v>
      </c>
      <c r="C113" s="38">
        <v>0</v>
      </c>
      <c r="D113" s="38">
        <v>0</v>
      </c>
      <c r="E113" s="38"/>
      <c r="F113" s="38"/>
      <c r="G113" s="38">
        <f>SUM(C113:E113)</f>
        <v>0</v>
      </c>
      <c r="H113" s="107">
        <v>0</v>
      </c>
      <c r="I113" s="38">
        <v>0</v>
      </c>
      <c r="J113" s="38">
        <v>0</v>
      </c>
      <c r="K113" s="38"/>
      <c r="L113" s="38">
        <f>SUM(I113:K113)</f>
        <v>0</v>
      </c>
      <c r="M113" s="107">
        <v>0</v>
      </c>
      <c r="N113" s="38">
        <v>0</v>
      </c>
      <c r="O113" s="38">
        <v>0</v>
      </c>
      <c r="P113" s="38">
        <f>SUM(N113:O113)</f>
        <v>0</v>
      </c>
      <c r="Q113" s="107">
        <v>0</v>
      </c>
      <c r="R113" s="38">
        <v>0</v>
      </c>
      <c r="S113" s="38">
        <v>0</v>
      </c>
      <c r="T113" s="38"/>
      <c r="U113" s="38">
        <f>SUM(R113:T113)</f>
        <v>0</v>
      </c>
      <c r="V113" s="107">
        <v>0</v>
      </c>
      <c r="W113" s="38">
        <v>0</v>
      </c>
      <c r="X113" s="38">
        <v>0</v>
      </c>
      <c r="Y113" s="38"/>
      <c r="Z113" s="38">
        <f>SUM(W113:Y113)</f>
        <v>0</v>
      </c>
      <c r="AA113" s="107">
        <v>0</v>
      </c>
      <c r="AB113" s="38">
        <v>0</v>
      </c>
      <c r="AC113" s="38">
        <v>0</v>
      </c>
      <c r="AD113" s="38"/>
      <c r="AE113" s="38"/>
      <c r="AF113" s="38">
        <f>SUM(AB113:AD113)</f>
        <v>0</v>
      </c>
      <c r="AG113" s="107">
        <v>0</v>
      </c>
      <c r="AH113" s="38">
        <v>0</v>
      </c>
      <c r="AI113" s="38">
        <v>0</v>
      </c>
      <c r="AJ113" s="38"/>
      <c r="AK113" s="38"/>
      <c r="AL113" s="38">
        <f>SUM(AH113:AJ113)</f>
        <v>0</v>
      </c>
      <c r="AM113" s="107">
        <v>0</v>
      </c>
      <c r="AN113" s="38">
        <v>0</v>
      </c>
      <c r="AO113" s="38">
        <v>0</v>
      </c>
      <c r="AP113" s="38"/>
      <c r="AQ113" s="38"/>
      <c r="AR113" s="38">
        <f>SUM(AN113:AP113)</f>
        <v>0</v>
      </c>
      <c r="AS113" s="107">
        <v>0</v>
      </c>
      <c r="AT113" s="38">
        <v>0</v>
      </c>
      <c r="AU113" s="38">
        <v>0</v>
      </c>
      <c r="AV113" s="38"/>
      <c r="AW113" s="38">
        <f>SUM(AT113:AV113)</f>
        <v>0</v>
      </c>
      <c r="AX113" s="107">
        <v>0</v>
      </c>
      <c r="AY113" s="38">
        <v>0</v>
      </c>
      <c r="AZ113" s="38">
        <v>0</v>
      </c>
      <c r="BA113" s="38"/>
      <c r="BB113" s="38">
        <f>SUM(AY113:BA113)</f>
        <v>0</v>
      </c>
      <c r="BC113" s="107">
        <v>0</v>
      </c>
      <c r="BD113" s="38">
        <v>0</v>
      </c>
      <c r="BE113" s="38">
        <v>0</v>
      </c>
      <c r="BF113" s="38"/>
      <c r="BG113" s="38"/>
      <c r="BH113" s="38">
        <f>SUM(BD113:BG113)</f>
        <v>0</v>
      </c>
      <c r="BI113" s="107">
        <v>0</v>
      </c>
      <c r="BJ113" s="38">
        <v>0</v>
      </c>
      <c r="BK113" s="38">
        <v>0</v>
      </c>
      <c r="BL113" s="38"/>
      <c r="BM113" s="38"/>
      <c r="BN113" s="38">
        <f>SUM(BJ113:BM113)</f>
        <v>0</v>
      </c>
    </row>
    <row r="114" spans="1:66" ht="15" hidden="1" x14ac:dyDescent="0.2">
      <c r="A114" s="32" t="s">
        <v>118</v>
      </c>
      <c r="B114" s="140">
        <f>SUM(B113)</f>
        <v>0</v>
      </c>
      <c r="C114" s="36">
        <f>SUM(C113)</f>
        <v>0</v>
      </c>
      <c r="D114" s="36">
        <f>SUM(D113)</f>
        <v>0</v>
      </c>
      <c r="E114" s="36"/>
      <c r="F114" s="36"/>
      <c r="G114" s="36">
        <f>SUM(G113)</f>
        <v>0</v>
      </c>
      <c r="H114" s="140">
        <f>SUM(H113)</f>
        <v>0</v>
      </c>
      <c r="I114" s="36">
        <f>SUM(I113)</f>
        <v>0</v>
      </c>
      <c r="J114" s="36">
        <f>SUM(J113)</f>
        <v>0</v>
      </c>
      <c r="K114" s="36"/>
      <c r="L114" s="36">
        <f t="shared" ref="L114:S114" si="41">SUM(L113)</f>
        <v>0</v>
      </c>
      <c r="M114" s="140">
        <f t="shared" si="41"/>
        <v>0</v>
      </c>
      <c r="N114" s="36">
        <f t="shared" si="41"/>
        <v>0</v>
      </c>
      <c r="O114" s="36">
        <f t="shared" si="41"/>
        <v>0</v>
      </c>
      <c r="P114" s="36">
        <f t="shared" si="41"/>
        <v>0</v>
      </c>
      <c r="Q114" s="140">
        <f t="shared" si="41"/>
        <v>0</v>
      </c>
      <c r="R114" s="36">
        <f t="shared" si="41"/>
        <v>0</v>
      </c>
      <c r="S114" s="36">
        <f t="shared" si="41"/>
        <v>0</v>
      </c>
      <c r="T114" s="36"/>
      <c r="U114" s="36">
        <f>SUM(U113)</f>
        <v>0</v>
      </c>
      <c r="V114" s="140">
        <f>SUM(V113)</f>
        <v>0</v>
      </c>
      <c r="W114" s="36">
        <f>SUM(W113)</f>
        <v>0</v>
      </c>
      <c r="X114" s="36">
        <f>SUM(X113)</f>
        <v>0</v>
      </c>
      <c r="Y114" s="36"/>
      <c r="Z114" s="36">
        <f>SUM(Z113)</f>
        <v>0</v>
      </c>
      <c r="AA114" s="140">
        <f>SUM(AA113)</f>
        <v>0</v>
      </c>
      <c r="AB114" s="36">
        <f>SUM(AB113)</f>
        <v>0</v>
      </c>
      <c r="AC114" s="36">
        <f>SUM(AC113)</f>
        <v>0</v>
      </c>
      <c r="AD114" s="36"/>
      <c r="AE114" s="36"/>
      <c r="AF114" s="36">
        <f>SUM(AF113)</f>
        <v>0</v>
      </c>
      <c r="AG114" s="140">
        <f>SUM(AG113)</f>
        <v>0</v>
      </c>
      <c r="AH114" s="36">
        <f>SUM(AH113)</f>
        <v>0</v>
      </c>
      <c r="AI114" s="36">
        <f>SUM(AI113)</f>
        <v>0</v>
      </c>
      <c r="AJ114" s="36"/>
      <c r="AK114" s="36"/>
      <c r="AL114" s="36">
        <f>SUM(AL113)</f>
        <v>0</v>
      </c>
      <c r="AM114" s="140">
        <f>SUM(AM113)</f>
        <v>0</v>
      </c>
      <c r="AN114" s="36">
        <f>SUM(AN113)</f>
        <v>0</v>
      </c>
      <c r="AO114" s="36">
        <f>SUM(AO113)</f>
        <v>0</v>
      </c>
      <c r="AP114" s="36"/>
      <c r="AQ114" s="36"/>
      <c r="AR114" s="36">
        <f>SUM(AR113)</f>
        <v>0</v>
      </c>
      <c r="AS114" s="140">
        <f>SUM(AS113)</f>
        <v>0</v>
      </c>
      <c r="AT114" s="36">
        <f>SUM(AT113)</f>
        <v>0</v>
      </c>
      <c r="AU114" s="36">
        <f>SUM(AU113)</f>
        <v>0</v>
      </c>
      <c r="AV114" s="36"/>
      <c r="AW114" s="36">
        <f>SUM(AW113)</f>
        <v>0</v>
      </c>
      <c r="AX114" s="140">
        <f>SUM(AX113)</f>
        <v>0</v>
      </c>
      <c r="AY114" s="36">
        <f>SUM(AY113)</f>
        <v>0</v>
      </c>
      <c r="AZ114" s="36">
        <f>SUM(AZ113)</f>
        <v>0</v>
      </c>
      <c r="BA114" s="36"/>
      <c r="BB114" s="36">
        <f>SUM(BB113)</f>
        <v>0</v>
      </c>
      <c r="BC114" s="140">
        <f>SUM(BC113)</f>
        <v>0</v>
      </c>
      <c r="BD114" s="36">
        <f>SUM(BD113)</f>
        <v>0</v>
      </c>
      <c r="BE114" s="36">
        <f>SUM(BE113)</f>
        <v>0</v>
      </c>
      <c r="BF114" s="36"/>
      <c r="BG114" s="36"/>
      <c r="BH114" s="36">
        <f>SUM(BH113)</f>
        <v>0</v>
      </c>
      <c r="BI114" s="140">
        <f>SUM(BI113)</f>
        <v>0</v>
      </c>
      <c r="BJ114" s="36">
        <f>SUM(BJ113)</f>
        <v>0</v>
      </c>
      <c r="BK114" s="36">
        <f>SUM(BK113)</f>
        <v>0</v>
      </c>
      <c r="BL114" s="36"/>
      <c r="BM114" s="36"/>
      <c r="BN114" s="36">
        <f>SUM(BN113)</f>
        <v>0</v>
      </c>
    </row>
    <row r="115" spans="1:66" hidden="1" x14ac:dyDescent="0.2">
      <c r="B115" s="70"/>
      <c r="C115" s="1"/>
      <c r="D115" s="1"/>
      <c r="E115" s="1"/>
      <c r="F115" s="1"/>
      <c r="G115" s="1"/>
      <c r="H115" s="70"/>
      <c r="I115" s="1"/>
      <c r="J115" s="1"/>
      <c r="K115" s="1"/>
      <c r="L115" s="1"/>
      <c r="M115" s="70"/>
      <c r="N115" s="1"/>
      <c r="O115" s="1"/>
      <c r="P115" s="1"/>
      <c r="Q115" s="70"/>
      <c r="R115" s="1"/>
      <c r="S115" s="1"/>
      <c r="T115" s="1"/>
      <c r="U115" s="1"/>
      <c r="V115" s="70"/>
      <c r="W115" s="1"/>
      <c r="X115" s="1"/>
      <c r="Y115" s="1"/>
      <c r="Z115" s="1"/>
      <c r="AA115" s="70"/>
      <c r="AB115" s="1"/>
      <c r="AC115" s="1"/>
      <c r="AD115" s="1"/>
      <c r="AE115" s="1"/>
      <c r="AF115" s="1"/>
      <c r="AG115" s="70"/>
      <c r="AH115" s="1"/>
      <c r="AI115" s="1"/>
      <c r="AJ115" s="1"/>
      <c r="AK115" s="1"/>
      <c r="AL115" s="1"/>
      <c r="AM115" s="70"/>
      <c r="AN115" s="1"/>
      <c r="AO115" s="1"/>
      <c r="AP115" s="1"/>
      <c r="AQ115" s="1"/>
      <c r="AR115" s="1"/>
      <c r="AS115" s="70"/>
      <c r="AT115" s="1"/>
      <c r="AU115" s="1"/>
      <c r="AV115" s="1"/>
      <c r="AW115" s="1"/>
      <c r="AX115" s="70"/>
      <c r="AY115" s="1"/>
      <c r="AZ115" s="1"/>
      <c r="BA115" s="1"/>
      <c r="BB115" s="1"/>
      <c r="BC115" s="70"/>
      <c r="BD115" s="1"/>
      <c r="BE115" s="1"/>
      <c r="BF115" s="1"/>
      <c r="BG115" s="1"/>
      <c r="BH115" s="1"/>
      <c r="BI115" s="70"/>
      <c r="BJ115" s="1"/>
      <c r="BK115" s="1"/>
      <c r="BL115" s="1"/>
      <c r="BM115" s="1"/>
      <c r="BN115" s="1"/>
    </row>
    <row r="116" spans="1:66" ht="15" hidden="1" x14ac:dyDescent="0.2">
      <c r="A116" s="32" t="s">
        <v>101</v>
      </c>
      <c r="B116" s="148" t="s">
        <v>114</v>
      </c>
      <c r="C116" s="44" t="s">
        <v>115</v>
      </c>
      <c r="D116" s="133" t="s">
        <v>116</v>
      </c>
      <c r="E116" s="44"/>
      <c r="F116" s="44"/>
      <c r="G116" s="133" t="s">
        <v>44</v>
      </c>
      <c r="H116" s="148" t="s">
        <v>114</v>
      </c>
      <c r="I116" s="44" t="s">
        <v>115</v>
      </c>
      <c r="J116" s="133" t="s">
        <v>116</v>
      </c>
      <c r="K116" s="44"/>
      <c r="L116" s="133" t="s">
        <v>44</v>
      </c>
      <c r="M116" s="148" t="s">
        <v>114</v>
      </c>
      <c r="N116" s="44" t="s">
        <v>115</v>
      </c>
      <c r="O116" s="133" t="s">
        <v>116</v>
      </c>
      <c r="P116" s="133" t="s">
        <v>44</v>
      </c>
      <c r="Q116" s="148" t="s">
        <v>114</v>
      </c>
      <c r="R116" s="44" t="s">
        <v>115</v>
      </c>
      <c r="S116" s="133" t="s">
        <v>116</v>
      </c>
      <c r="T116" s="44"/>
      <c r="U116" s="133" t="s">
        <v>44</v>
      </c>
      <c r="V116" s="148" t="s">
        <v>114</v>
      </c>
      <c r="W116" s="44" t="s">
        <v>115</v>
      </c>
      <c r="X116" s="133" t="s">
        <v>116</v>
      </c>
      <c r="Y116" s="44"/>
      <c r="Z116" s="133" t="s">
        <v>44</v>
      </c>
      <c r="AA116" s="148" t="s">
        <v>114</v>
      </c>
      <c r="AB116" s="44" t="s">
        <v>115</v>
      </c>
      <c r="AC116" s="133" t="s">
        <v>116</v>
      </c>
      <c r="AD116" s="44"/>
      <c r="AE116" s="44"/>
      <c r="AF116" s="133" t="s">
        <v>44</v>
      </c>
      <c r="AG116" s="148" t="s">
        <v>114</v>
      </c>
      <c r="AH116" s="44" t="s">
        <v>115</v>
      </c>
      <c r="AI116" s="133" t="s">
        <v>116</v>
      </c>
      <c r="AJ116" s="44"/>
      <c r="AK116" s="44"/>
      <c r="AL116" s="133" t="s">
        <v>44</v>
      </c>
      <c r="AM116" s="148" t="s">
        <v>114</v>
      </c>
      <c r="AN116" s="44" t="s">
        <v>115</v>
      </c>
      <c r="AO116" s="133" t="s">
        <v>116</v>
      </c>
      <c r="AP116" s="44"/>
      <c r="AQ116" s="44"/>
      <c r="AR116" s="133" t="s">
        <v>44</v>
      </c>
      <c r="AS116" s="148" t="s">
        <v>114</v>
      </c>
      <c r="AT116" s="44" t="s">
        <v>115</v>
      </c>
      <c r="AU116" s="133" t="s">
        <v>116</v>
      </c>
      <c r="AV116" s="44"/>
      <c r="AW116" s="133" t="s">
        <v>44</v>
      </c>
      <c r="AX116" s="148" t="s">
        <v>114</v>
      </c>
      <c r="AY116" s="44" t="s">
        <v>115</v>
      </c>
      <c r="AZ116" s="133" t="s">
        <v>116</v>
      </c>
      <c r="BA116" s="44"/>
      <c r="BB116" s="133" t="s">
        <v>44</v>
      </c>
      <c r="BC116" s="148" t="s">
        <v>114</v>
      </c>
      <c r="BD116" s="44" t="s">
        <v>115</v>
      </c>
      <c r="BE116" s="133" t="s">
        <v>116</v>
      </c>
      <c r="BF116" s="44"/>
      <c r="BG116" s="44"/>
      <c r="BH116" s="133" t="s">
        <v>44</v>
      </c>
      <c r="BI116" s="148" t="s">
        <v>114</v>
      </c>
      <c r="BJ116" s="44" t="s">
        <v>115</v>
      </c>
      <c r="BK116" s="133" t="s">
        <v>116</v>
      </c>
      <c r="BL116" s="44"/>
      <c r="BM116" s="44"/>
      <c r="BN116" s="133" t="s">
        <v>44</v>
      </c>
    </row>
    <row r="117" spans="1:66" ht="15" hidden="1" x14ac:dyDescent="0.2">
      <c r="A117" s="32" t="s">
        <v>140</v>
      </c>
      <c r="B117" s="149"/>
      <c r="C117" s="43"/>
      <c r="D117" s="43"/>
      <c r="E117" s="43"/>
      <c r="F117" s="43"/>
      <c r="G117" s="43"/>
      <c r="H117" s="149"/>
      <c r="I117" s="43"/>
      <c r="J117" s="43"/>
      <c r="K117" s="43"/>
      <c r="L117" s="43"/>
      <c r="M117" s="149"/>
      <c r="N117" s="43"/>
      <c r="O117" s="43"/>
      <c r="P117" s="43"/>
      <c r="Q117" s="149"/>
      <c r="R117" s="43"/>
      <c r="S117" s="43"/>
      <c r="T117" s="43"/>
      <c r="U117" s="43"/>
      <c r="V117" s="149"/>
      <c r="W117" s="43"/>
      <c r="X117" s="43"/>
      <c r="Y117" s="43"/>
      <c r="Z117" s="43"/>
      <c r="AA117" s="149"/>
      <c r="AB117" s="43"/>
      <c r="AC117" s="43"/>
      <c r="AD117" s="43"/>
      <c r="AE117" s="43"/>
      <c r="AF117" s="43"/>
      <c r="AG117" s="149"/>
      <c r="AH117" s="43"/>
      <c r="AI117" s="43"/>
      <c r="AJ117" s="43"/>
      <c r="AK117" s="43"/>
      <c r="AL117" s="43"/>
      <c r="AM117" s="149"/>
      <c r="AN117" s="43"/>
      <c r="AO117" s="43"/>
      <c r="AP117" s="43"/>
      <c r="AQ117" s="43"/>
      <c r="AR117" s="43"/>
      <c r="AS117" s="149"/>
      <c r="AT117" s="43"/>
      <c r="AU117" s="43"/>
      <c r="AV117" s="43"/>
      <c r="AW117" s="43"/>
      <c r="AX117" s="149"/>
      <c r="AY117" s="43"/>
      <c r="AZ117" s="43"/>
      <c r="BA117" s="43"/>
      <c r="BB117" s="43"/>
      <c r="BC117" s="149"/>
      <c r="BD117" s="43"/>
      <c r="BE117" s="43"/>
      <c r="BF117" s="43"/>
      <c r="BG117" s="43"/>
      <c r="BH117" s="43"/>
      <c r="BI117" s="149"/>
      <c r="BJ117" s="43"/>
      <c r="BK117" s="43"/>
      <c r="BL117" s="43"/>
      <c r="BM117" s="43"/>
      <c r="BN117" s="43"/>
    </row>
    <row r="118" spans="1:66" ht="15" hidden="1" x14ac:dyDescent="0.25">
      <c r="A118" s="33" t="s">
        <v>140</v>
      </c>
      <c r="B118" s="107">
        <v>0</v>
      </c>
      <c r="C118" s="38">
        <v>0</v>
      </c>
      <c r="D118" s="38">
        <v>0</v>
      </c>
      <c r="E118" s="38"/>
      <c r="F118" s="38"/>
      <c r="G118" s="38">
        <f>SUM(C118:E118)</f>
        <v>0</v>
      </c>
      <c r="H118" s="107">
        <v>0</v>
      </c>
      <c r="I118" s="38">
        <v>0</v>
      </c>
      <c r="J118" s="38">
        <v>0</v>
      </c>
      <c r="K118" s="38"/>
      <c r="L118" s="38">
        <f>SUM(I118:K118)</f>
        <v>0</v>
      </c>
      <c r="M118" s="107">
        <v>0</v>
      </c>
      <c r="N118" s="38">
        <v>0</v>
      </c>
      <c r="O118" s="38">
        <v>0</v>
      </c>
      <c r="P118" s="38">
        <f>SUM(N118:O118)</f>
        <v>0</v>
      </c>
      <c r="Q118" s="107">
        <v>0</v>
      </c>
      <c r="R118" s="38">
        <v>0</v>
      </c>
      <c r="S118" s="38">
        <v>0</v>
      </c>
      <c r="T118" s="38"/>
      <c r="U118" s="38">
        <f>SUM(R118:T118)</f>
        <v>0</v>
      </c>
      <c r="V118" s="107">
        <v>0</v>
      </c>
      <c r="W118" s="38">
        <v>0</v>
      </c>
      <c r="X118" s="38">
        <v>0</v>
      </c>
      <c r="Y118" s="38"/>
      <c r="Z118" s="38">
        <f>SUM(W118:Y118)</f>
        <v>0</v>
      </c>
      <c r="AA118" s="107">
        <v>0</v>
      </c>
      <c r="AB118" s="38">
        <v>0</v>
      </c>
      <c r="AC118" s="38">
        <v>0</v>
      </c>
      <c r="AD118" s="38"/>
      <c r="AE118" s="38"/>
      <c r="AF118" s="38">
        <f>SUM(AB118:AD118)</f>
        <v>0</v>
      </c>
      <c r="AG118" s="107">
        <v>0</v>
      </c>
      <c r="AH118" s="38">
        <v>0</v>
      </c>
      <c r="AI118" s="38">
        <v>0</v>
      </c>
      <c r="AJ118" s="38"/>
      <c r="AK118" s="38"/>
      <c r="AL118" s="38">
        <f>SUM(AH118:AJ118)</f>
        <v>0</v>
      </c>
      <c r="AM118" s="107">
        <v>0</v>
      </c>
      <c r="AN118" s="38">
        <v>0</v>
      </c>
      <c r="AO118" s="38">
        <v>0</v>
      </c>
      <c r="AP118" s="38"/>
      <c r="AQ118" s="38"/>
      <c r="AR118" s="38">
        <f>SUM(AN118:AP118)</f>
        <v>0</v>
      </c>
      <c r="AS118" s="107">
        <v>0</v>
      </c>
      <c r="AT118" s="38">
        <v>0</v>
      </c>
      <c r="AU118" s="38">
        <v>0</v>
      </c>
      <c r="AV118" s="38"/>
      <c r="AW118" s="38">
        <f>SUM(AT118:AV118)</f>
        <v>0</v>
      </c>
      <c r="AX118" s="107">
        <v>0</v>
      </c>
      <c r="AY118" s="38">
        <v>0</v>
      </c>
      <c r="AZ118" s="38">
        <v>0</v>
      </c>
      <c r="BA118" s="38"/>
      <c r="BB118" s="38">
        <f>SUM(AY118:BA118)</f>
        <v>0</v>
      </c>
      <c r="BC118" s="107">
        <v>0</v>
      </c>
      <c r="BD118" s="38">
        <v>0</v>
      </c>
      <c r="BE118" s="38">
        <v>0</v>
      </c>
      <c r="BF118" s="38"/>
      <c r="BG118" s="38"/>
      <c r="BH118" s="38">
        <f>SUM(BD118:BG118)</f>
        <v>0</v>
      </c>
      <c r="BI118" s="107">
        <v>0</v>
      </c>
      <c r="BJ118" s="38">
        <v>0</v>
      </c>
      <c r="BK118" s="38">
        <v>0</v>
      </c>
      <c r="BL118" s="38"/>
      <c r="BM118" s="38"/>
      <c r="BN118" s="38">
        <f>SUM(BJ118:BM118)</f>
        <v>0</v>
      </c>
    </row>
    <row r="119" spans="1:66" ht="15" hidden="1" x14ac:dyDescent="0.2">
      <c r="A119" s="32" t="s">
        <v>118</v>
      </c>
      <c r="B119" s="140">
        <f>SUM(B118)</f>
        <v>0</v>
      </c>
      <c r="C119" s="36">
        <f>SUM(C118)</f>
        <v>0</v>
      </c>
      <c r="D119" s="36">
        <f>SUM(D118)</f>
        <v>0</v>
      </c>
      <c r="E119" s="36"/>
      <c r="F119" s="36"/>
      <c r="G119" s="36">
        <f>SUM(G118)</f>
        <v>0</v>
      </c>
      <c r="H119" s="140">
        <f>SUM(H118)</f>
        <v>0</v>
      </c>
      <c r="I119" s="36">
        <f>SUM(I118)</f>
        <v>0</v>
      </c>
      <c r="J119" s="36">
        <f>SUM(J118)</f>
        <v>0</v>
      </c>
      <c r="K119" s="36"/>
      <c r="L119" s="36">
        <f t="shared" ref="L119:S119" si="42">SUM(L118)</f>
        <v>0</v>
      </c>
      <c r="M119" s="140">
        <f t="shared" si="42"/>
        <v>0</v>
      </c>
      <c r="N119" s="36">
        <f t="shared" si="42"/>
        <v>0</v>
      </c>
      <c r="O119" s="36">
        <f t="shared" si="42"/>
        <v>0</v>
      </c>
      <c r="P119" s="36">
        <f t="shared" si="42"/>
        <v>0</v>
      </c>
      <c r="Q119" s="140">
        <f t="shared" si="42"/>
        <v>0</v>
      </c>
      <c r="R119" s="36">
        <f t="shared" si="42"/>
        <v>0</v>
      </c>
      <c r="S119" s="36">
        <f t="shared" si="42"/>
        <v>0</v>
      </c>
      <c r="T119" s="36"/>
      <c r="U119" s="36">
        <f>SUM(U118)</f>
        <v>0</v>
      </c>
      <c r="V119" s="140">
        <f>SUM(V118)</f>
        <v>0</v>
      </c>
      <c r="W119" s="36">
        <f>SUM(W118)</f>
        <v>0</v>
      </c>
      <c r="X119" s="36">
        <f>SUM(X118)</f>
        <v>0</v>
      </c>
      <c r="Y119" s="36"/>
      <c r="Z119" s="36">
        <f>SUM(Z118)</f>
        <v>0</v>
      </c>
      <c r="AA119" s="140">
        <f>SUM(AA118)</f>
        <v>0</v>
      </c>
      <c r="AB119" s="36">
        <f>SUM(AB118)</f>
        <v>0</v>
      </c>
      <c r="AC119" s="36">
        <f>SUM(AC118)</f>
        <v>0</v>
      </c>
      <c r="AD119" s="36"/>
      <c r="AE119" s="36"/>
      <c r="AF119" s="36">
        <f>SUM(AF118)</f>
        <v>0</v>
      </c>
      <c r="AG119" s="140">
        <f>SUM(AG118)</f>
        <v>0</v>
      </c>
      <c r="AH119" s="36">
        <f>SUM(AH118)</f>
        <v>0</v>
      </c>
      <c r="AI119" s="36">
        <f>SUM(AI118)</f>
        <v>0</v>
      </c>
      <c r="AJ119" s="36"/>
      <c r="AK119" s="36"/>
      <c r="AL119" s="36">
        <f>SUM(AL118)</f>
        <v>0</v>
      </c>
      <c r="AM119" s="140">
        <f>SUM(AM118)</f>
        <v>0</v>
      </c>
      <c r="AN119" s="36">
        <f>SUM(AN118)</f>
        <v>0</v>
      </c>
      <c r="AO119" s="36">
        <f>SUM(AO118)</f>
        <v>0</v>
      </c>
      <c r="AP119" s="36"/>
      <c r="AQ119" s="36"/>
      <c r="AR119" s="36">
        <f>SUM(AR118)</f>
        <v>0</v>
      </c>
      <c r="AS119" s="140">
        <f>SUM(AS118)</f>
        <v>0</v>
      </c>
      <c r="AT119" s="36">
        <f>SUM(AT118)</f>
        <v>0</v>
      </c>
      <c r="AU119" s="36">
        <f>SUM(AU118)</f>
        <v>0</v>
      </c>
      <c r="AV119" s="36"/>
      <c r="AW119" s="36">
        <f>SUM(AW118)</f>
        <v>0</v>
      </c>
      <c r="AX119" s="140">
        <f>SUM(AX118)</f>
        <v>0</v>
      </c>
      <c r="AY119" s="36">
        <f>SUM(AY118)</f>
        <v>0</v>
      </c>
      <c r="AZ119" s="36">
        <f>SUM(AZ118)</f>
        <v>0</v>
      </c>
      <c r="BA119" s="36"/>
      <c r="BB119" s="36">
        <f>SUM(BB118)</f>
        <v>0</v>
      </c>
      <c r="BC119" s="140">
        <f>SUM(BC118)</f>
        <v>0</v>
      </c>
      <c r="BD119" s="36">
        <f>SUM(BD118)</f>
        <v>0</v>
      </c>
      <c r="BE119" s="36">
        <f>SUM(BE118)</f>
        <v>0</v>
      </c>
      <c r="BF119" s="36"/>
      <c r="BG119" s="36"/>
      <c r="BH119" s="36">
        <f>SUM(BH118)</f>
        <v>0</v>
      </c>
      <c r="BI119" s="140">
        <f>SUM(BI118)</f>
        <v>0</v>
      </c>
      <c r="BJ119" s="36">
        <f>SUM(BJ118)</f>
        <v>0</v>
      </c>
      <c r="BK119" s="36">
        <f>SUM(BK118)</f>
        <v>0</v>
      </c>
      <c r="BL119" s="36"/>
      <c r="BM119" s="36"/>
      <c r="BN119" s="36">
        <f>SUM(BN118)</f>
        <v>0</v>
      </c>
    </row>
    <row r="120" spans="1:66" hidden="1" x14ac:dyDescent="0.2">
      <c r="A120" s="45"/>
      <c r="B120" s="137"/>
      <c r="C120" s="37"/>
      <c r="D120" s="37"/>
      <c r="E120" s="37"/>
      <c r="F120" s="37"/>
      <c r="G120" s="37"/>
      <c r="H120" s="137"/>
      <c r="I120" s="37"/>
      <c r="J120" s="37"/>
      <c r="K120" s="37"/>
      <c r="L120" s="37"/>
      <c r="M120" s="137"/>
      <c r="N120" s="37"/>
      <c r="O120" s="37"/>
      <c r="P120" s="37"/>
      <c r="Q120" s="137"/>
      <c r="R120" s="37"/>
      <c r="S120" s="37"/>
      <c r="T120" s="37"/>
      <c r="U120" s="37"/>
      <c r="V120" s="137"/>
      <c r="W120" s="37"/>
      <c r="X120" s="37"/>
      <c r="Y120" s="37"/>
      <c r="Z120" s="37"/>
      <c r="AA120" s="137"/>
      <c r="AB120" s="37"/>
      <c r="AC120" s="37"/>
      <c r="AD120" s="37"/>
      <c r="AE120" s="37"/>
      <c r="AF120" s="37"/>
      <c r="AG120" s="137"/>
      <c r="AH120" s="37"/>
      <c r="AI120" s="37"/>
      <c r="AJ120" s="37"/>
      <c r="AK120" s="37"/>
      <c r="AL120" s="37"/>
      <c r="AM120" s="137"/>
      <c r="AN120" s="37"/>
      <c r="AO120" s="37"/>
      <c r="AP120" s="37"/>
      <c r="AQ120" s="37"/>
      <c r="AR120" s="37"/>
      <c r="AS120" s="137"/>
      <c r="AT120" s="37"/>
      <c r="AU120" s="37"/>
      <c r="AV120" s="37"/>
      <c r="AW120" s="37"/>
      <c r="AX120" s="137"/>
      <c r="AY120" s="37"/>
      <c r="AZ120" s="37"/>
      <c r="BA120" s="37"/>
      <c r="BB120" s="37"/>
      <c r="BC120" s="137"/>
      <c r="BD120" s="37"/>
      <c r="BE120" s="37"/>
      <c r="BF120" s="37"/>
      <c r="BG120" s="37"/>
      <c r="BH120" s="37"/>
      <c r="BI120" s="137"/>
      <c r="BJ120" s="37"/>
      <c r="BK120" s="37"/>
      <c r="BL120" s="37"/>
      <c r="BM120" s="37"/>
      <c r="BN120" s="37"/>
    </row>
    <row r="121" spans="1:66" ht="15" x14ac:dyDescent="0.2">
      <c r="A121" s="32" t="s">
        <v>101</v>
      </c>
      <c r="B121" s="148" t="s">
        <v>114</v>
      </c>
      <c r="C121" s="44" t="s">
        <v>115</v>
      </c>
      <c r="D121" s="133" t="s">
        <v>116</v>
      </c>
      <c r="E121" s="44" t="s">
        <v>372</v>
      </c>
      <c r="F121" s="44" t="s">
        <v>373</v>
      </c>
      <c r="G121" s="133" t="s">
        <v>44</v>
      </c>
      <c r="H121" s="148" t="s">
        <v>114</v>
      </c>
      <c r="I121" s="44" t="s">
        <v>115</v>
      </c>
      <c r="J121" s="133" t="s">
        <v>116</v>
      </c>
      <c r="K121" s="44" t="s">
        <v>372</v>
      </c>
      <c r="L121" s="133" t="s">
        <v>44</v>
      </c>
      <c r="M121" s="148" t="s">
        <v>114</v>
      </c>
      <c r="N121" s="44" t="s">
        <v>115</v>
      </c>
      <c r="O121" s="133" t="s">
        <v>116</v>
      </c>
      <c r="P121" s="133" t="s">
        <v>44</v>
      </c>
      <c r="Q121" s="148" t="s">
        <v>114</v>
      </c>
      <c r="R121" s="44" t="s">
        <v>115</v>
      </c>
      <c r="S121" s="133" t="s">
        <v>116</v>
      </c>
      <c r="T121" s="44" t="s">
        <v>372</v>
      </c>
      <c r="U121" s="133" t="s">
        <v>44</v>
      </c>
      <c r="V121" s="148" t="s">
        <v>114</v>
      </c>
      <c r="W121" s="44" t="s">
        <v>115</v>
      </c>
      <c r="X121" s="133" t="s">
        <v>116</v>
      </c>
      <c r="Y121" s="44" t="s">
        <v>372</v>
      </c>
      <c r="Z121" s="133" t="s">
        <v>44</v>
      </c>
      <c r="AA121" s="148" t="s">
        <v>114</v>
      </c>
      <c r="AB121" s="44" t="s">
        <v>115</v>
      </c>
      <c r="AC121" s="133" t="s">
        <v>116</v>
      </c>
      <c r="AD121" s="44" t="s">
        <v>372</v>
      </c>
      <c r="AE121" s="44" t="s">
        <v>374</v>
      </c>
      <c r="AF121" s="133" t="s">
        <v>44</v>
      </c>
      <c r="AG121" s="148" t="s">
        <v>114</v>
      </c>
      <c r="AH121" s="44" t="s">
        <v>115</v>
      </c>
      <c r="AI121" s="133" t="s">
        <v>116</v>
      </c>
      <c r="AJ121" s="44" t="s">
        <v>372</v>
      </c>
      <c r="AK121" s="44" t="s">
        <v>374</v>
      </c>
      <c r="AL121" s="133" t="s">
        <v>44</v>
      </c>
      <c r="AM121" s="148" t="s">
        <v>114</v>
      </c>
      <c r="AN121" s="44" t="s">
        <v>115</v>
      </c>
      <c r="AO121" s="133" t="s">
        <v>116</v>
      </c>
      <c r="AP121" s="44" t="s">
        <v>372</v>
      </c>
      <c r="AQ121" s="44" t="s">
        <v>374</v>
      </c>
      <c r="AR121" s="133" t="s">
        <v>44</v>
      </c>
      <c r="AS121" s="148" t="s">
        <v>114</v>
      </c>
      <c r="AT121" s="44" t="s">
        <v>115</v>
      </c>
      <c r="AU121" s="133" t="s">
        <v>116</v>
      </c>
      <c r="AV121" s="44" t="s">
        <v>372</v>
      </c>
      <c r="AW121" s="133" t="s">
        <v>44</v>
      </c>
      <c r="AX121" s="148" t="s">
        <v>114</v>
      </c>
      <c r="AY121" s="44" t="s">
        <v>115</v>
      </c>
      <c r="AZ121" s="133" t="s">
        <v>116</v>
      </c>
      <c r="BA121" s="44" t="s">
        <v>372</v>
      </c>
      <c r="BB121" s="133" t="s">
        <v>44</v>
      </c>
      <c r="BC121" s="148" t="s">
        <v>114</v>
      </c>
      <c r="BD121" s="44" t="s">
        <v>115</v>
      </c>
      <c r="BE121" s="133" t="s">
        <v>116</v>
      </c>
      <c r="BF121" s="44" t="s">
        <v>375</v>
      </c>
      <c r="BG121" s="44" t="s">
        <v>372</v>
      </c>
      <c r="BH121" s="133" t="s">
        <v>44</v>
      </c>
      <c r="BI121" s="148" t="s">
        <v>114</v>
      </c>
      <c r="BJ121" s="44" t="s">
        <v>115</v>
      </c>
      <c r="BK121" s="133" t="s">
        <v>116</v>
      </c>
      <c r="BL121" s="44" t="s">
        <v>375</v>
      </c>
      <c r="BM121" s="44" t="s">
        <v>372</v>
      </c>
      <c r="BN121" s="133" t="s">
        <v>44</v>
      </c>
    </row>
    <row r="122" spans="1:66" ht="15" x14ac:dyDescent="0.25">
      <c r="A122" s="32" t="s">
        <v>266</v>
      </c>
      <c r="B122" s="149"/>
      <c r="C122" s="38"/>
      <c r="D122" s="43"/>
      <c r="E122" s="43"/>
      <c r="F122" s="43"/>
      <c r="G122" s="43"/>
      <c r="H122" s="149"/>
      <c r="I122" s="38"/>
      <c r="J122" s="43"/>
      <c r="K122" s="43"/>
      <c r="L122" s="43"/>
      <c r="M122" s="149"/>
      <c r="N122" s="38"/>
      <c r="O122" s="43"/>
      <c r="P122" s="43"/>
      <c r="Q122" s="149"/>
      <c r="R122" s="38"/>
      <c r="S122" s="43"/>
      <c r="T122" s="43"/>
      <c r="U122" s="43"/>
      <c r="V122" s="149"/>
      <c r="W122" s="38"/>
      <c r="X122" s="43"/>
      <c r="Y122" s="43"/>
      <c r="Z122" s="43"/>
      <c r="AA122" s="149"/>
      <c r="AB122" s="38"/>
      <c r="AC122" s="43"/>
      <c r="AD122" s="43"/>
      <c r="AE122" s="43"/>
      <c r="AF122" s="43"/>
      <c r="AG122" s="149"/>
      <c r="AH122" s="38"/>
      <c r="AI122" s="43"/>
      <c r="AJ122" s="43"/>
      <c r="AK122" s="43"/>
      <c r="AL122" s="43"/>
      <c r="AM122" s="149"/>
      <c r="AN122" s="38"/>
      <c r="AO122" s="43"/>
      <c r="AP122" s="43"/>
      <c r="AQ122" s="43"/>
      <c r="AR122" s="43"/>
      <c r="AS122" s="149"/>
      <c r="AT122" s="38"/>
      <c r="AU122" s="43"/>
      <c r="AV122" s="43"/>
      <c r="AW122" s="43"/>
      <c r="AX122" s="149"/>
      <c r="AY122" s="38"/>
      <c r="AZ122" s="43"/>
      <c r="BA122" s="43"/>
      <c r="BB122" s="43"/>
      <c r="BC122" s="149"/>
      <c r="BD122" s="38"/>
      <c r="BE122" s="43"/>
      <c r="BF122" s="43"/>
      <c r="BG122" s="43"/>
      <c r="BH122" s="43"/>
      <c r="BI122" s="149"/>
      <c r="BJ122" s="38"/>
      <c r="BK122" s="43"/>
      <c r="BL122" s="43"/>
      <c r="BM122" s="43"/>
      <c r="BN122" s="43"/>
    </row>
    <row r="123" spans="1:66" ht="15" x14ac:dyDescent="0.25">
      <c r="A123" s="45" t="s">
        <v>267</v>
      </c>
      <c r="B123" s="107">
        <v>2</v>
      </c>
      <c r="C123" s="38">
        <v>7610770.4399999995</v>
      </c>
      <c r="D123" s="38">
        <v>0</v>
      </c>
      <c r="E123" s="38">
        <v>0</v>
      </c>
      <c r="F123" s="38">
        <v>240000</v>
      </c>
      <c r="G123" s="38">
        <f t="shared" ref="G123:G136" si="43">SUM(C123:F123)</f>
        <v>7850770.4399999995</v>
      </c>
      <c r="H123" s="107">
        <v>2</v>
      </c>
      <c r="I123" s="38">
        <v>7629778.1699999981</v>
      </c>
      <c r="J123" s="38">
        <v>0</v>
      </c>
      <c r="K123" s="38">
        <v>0</v>
      </c>
      <c r="L123" s="38">
        <f>SUM(I123:K123)</f>
        <v>7629778.1699999981</v>
      </c>
      <c r="M123" s="107">
        <v>2</v>
      </c>
      <c r="N123" s="38">
        <v>7366471.1999999983</v>
      </c>
      <c r="O123" s="38">
        <v>0</v>
      </c>
      <c r="P123" s="38">
        <f>SUM(N123:O123)</f>
        <v>7366471.1999999983</v>
      </c>
      <c r="Q123" s="107">
        <v>2</v>
      </c>
      <c r="R123" s="38">
        <v>32337801.129999999</v>
      </c>
      <c r="S123" s="38">
        <v>0</v>
      </c>
      <c r="T123" s="38">
        <v>1019260.24</v>
      </c>
      <c r="U123" s="38">
        <f>SUM(R123:T123)</f>
        <v>33357061.369999997</v>
      </c>
      <c r="V123" s="107">
        <v>1</v>
      </c>
      <c r="W123" s="38">
        <v>6308910.4999999991</v>
      </c>
      <c r="X123" s="38">
        <v>0</v>
      </c>
      <c r="Y123" s="38">
        <v>0</v>
      </c>
      <c r="Z123" s="38">
        <f>SUM(W123:Y123)</f>
        <v>6308910.4999999991</v>
      </c>
      <c r="AA123" s="107">
        <v>1</v>
      </c>
      <c r="AB123" s="38">
        <v>6226976.3700000001</v>
      </c>
      <c r="AC123" s="38">
        <v>0</v>
      </c>
      <c r="AD123" s="38">
        <v>3154454.95</v>
      </c>
      <c r="AE123" s="38">
        <v>50000</v>
      </c>
      <c r="AF123" s="38">
        <f>SUM(AB123:AE123)</f>
        <v>9431431.3200000003</v>
      </c>
      <c r="AG123" s="107">
        <v>1</v>
      </c>
      <c r="AH123" s="38">
        <v>6485179.71</v>
      </c>
      <c r="AI123" s="38">
        <v>0</v>
      </c>
      <c r="AJ123" s="38">
        <v>0</v>
      </c>
      <c r="AK123" s="38">
        <v>50000</v>
      </c>
      <c r="AL123" s="38">
        <f>SUM(AH123:AK123)</f>
        <v>6535179.71</v>
      </c>
      <c r="AM123" s="107">
        <v>1</v>
      </c>
      <c r="AN123" s="38">
        <v>6677899</v>
      </c>
      <c r="AO123" s="38">
        <v>0</v>
      </c>
      <c r="AP123" s="38">
        <v>0</v>
      </c>
      <c r="AQ123" s="38">
        <v>160000</v>
      </c>
      <c r="AR123" s="38">
        <f>SUM(AN123:AQ123)</f>
        <v>6837899</v>
      </c>
      <c r="AS123" s="107">
        <v>1</v>
      </c>
      <c r="AT123" s="38">
        <v>7255345.830000001</v>
      </c>
      <c r="AU123" s="38">
        <v>0</v>
      </c>
      <c r="AV123" s="38">
        <v>0</v>
      </c>
      <c r="AW123" s="38">
        <f>SUM(AT123:AV123)</f>
        <v>7255345.830000001</v>
      </c>
      <c r="AX123" s="107">
        <v>1</v>
      </c>
      <c r="AY123" s="38">
        <v>12483081.219999999</v>
      </c>
      <c r="AZ123" s="38">
        <v>0</v>
      </c>
      <c r="BA123" s="38">
        <v>0</v>
      </c>
      <c r="BB123" s="38">
        <f>SUM(AY123:BA123)</f>
        <v>12483081.219999999</v>
      </c>
      <c r="BC123" s="107">
        <v>1</v>
      </c>
      <c r="BD123" s="38">
        <v>6968210.3099999996</v>
      </c>
      <c r="BE123" s="38">
        <v>0</v>
      </c>
      <c r="BF123" s="38">
        <v>50000</v>
      </c>
      <c r="BG123" s="38">
        <v>0</v>
      </c>
      <c r="BH123" s="38">
        <f>SUM(BD123:BG123)</f>
        <v>7018210.3099999996</v>
      </c>
      <c r="BI123" s="107">
        <v>1</v>
      </c>
      <c r="BJ123" s="38">
        <v>6990986.5800000001</v>
      </c>
      <c r="BK123" s="38"/>
      <c r="BL123" s="38"/>
      <c r="BM123" s="38">
        <v>3627672.67</v>
      </c>
      <c r="BN123" s="38">
        <f>SUM(BJ123:BM123)</f>
        <v>10618659.25</v>
      </c>
    </row>
    <row r="124" spans="1:66" ht="15" x14ac:dyDescent="0.25">
      <c r="A124" s="54" t="s">
        <v>348</v>
      </c>
      <c r="B124" s="107">
        <v>3</v>
      </c>
      <c r="C124" s="38">
        <v>8321569.7399999974</v>
      </c>
      <c r="D124" s="38">
        <v>0</v>
      </c>
      <c r="E124" s="38">
        <v>0</v>
      </c>
      <c r="F124" s="38">
        <v>360000</v>
      </c>
      <c r="G124" s="38">
        <f t="shared" si="43"/>
        <v>8681569.7399999984</v>
      </c>
      <c r="H124" s="107">
        <v>3</v>
      </c>
      <c r="I124" s="38">
        <v>7718868.0800000001</v>
      </c>
      <c r="J124" s="38">
        <v>0</v>
      </c>
      <c r="K124" s="38">
        <v>0</v>
      </c>
      <c r="L124" s="38">
        <f t="shared" ref="L124:L136" si="44">SUM(I124:K124)</f>
        <v>7718868.0800000001</v>
      </c>
      <c r="M124" s="107">
        <v>3</v>
      </c>
      <c r="N124" s="38">
        <v>7755810.9800000014</v>
      </c>
      <c r="O124" s="38">
        <v>0</v>
      </c>
      <c r="P124" s="38">
        <f t="shared" ref="P124:P136" si="45">SUM(N124:O124)</f>
        <v>7755810.9800000014</v>
      </c>
      <c r="Q124" s="107">
        <v>3</v>
      </c>
      <c r="R124" s="38">
        <v>7829316.1600000001</v>
      </c>
      <c r="S124" s="38">
        <v>0</v>
      </c>
      <c r="T124" s="38">
        <v>0</v>
      </c>
      <c r="U124" s="38">
        <f t="shared" ref="U124:U136" si="46">SUM(R124:T124)</f>
        <v>7829316.1600000001</v>
      </c>
      <c r="V124" s="107">
        <v>3</v>
      </c>
      <c r="W124" s="38">
        <v>94091295.120000005</v>
      </c>
      <c r="X124" s="38">
        <v>0</v>
      </c>
      <c r="Y124" s="38">
        <v>3810394.95</v>
      </c>
      <c r="Z124" s="38">
        <f t="shared" ref="Z124:Z136" si="47">SUM(W124:Y124)</f>
        <v>97901690.070000008</v>
      </c>
      <c r="AA124" s="107">
        <v>3</v>
      </c>
      <c r="AB124" s="38">
        <v>0</v>
      </c>
      <c r="AC124" s="38">
        <v>0</v>
      </c>
      <c r="AD124" s="38">
        <v>0</v>
      </c>
      <c r="AE124" s="38"/>
      <c r="AF124" s="38">
        <f t="shared" ref="AF124:AF136" si="48">SUM(AB124:AE124)</f>
        <v>0</v>
      </c>
      <c r="AG124" s="107">
        <v>3</v>
      </c>
      <c r="AH124" s="38">
        <v>0</v>
      </c>
      <c r="AI124" s="38">
        <v>0</v>
      </c>
      <c r="AJ124" s="38">
        <v>0</v>
      </c>
      <c r="AK124" s="38">
        <v>0</v>
      </c>
      <c r="AL124" s="38">
        <f t="shared" ref="AL124:AL132" si="49">SUM(AH124:AK124)</f>
        <v>0</v>
      </c>
      <c r="AM124" s="107">
        <v>0</v>
      </c>
      <c r="AN124" s="38">
        <v>0</v>
      </c>
      <c r="AO124" s="38">
        <v>0</v>
      </c>
      <c r="AP124" s="38">
        <v>0</v>
      </c>
      <c r="AQ124" s="38">
        <v>0</v>
      </c>
      <c r="AR124" s="38">
        <f t="shared" ref="AR124:AR132" si="50">SUM(AN124:AQ124)</f>
        <v>0</v>
      </c>
      <c r="AS124" s="107">
        <v>0</v>
      </c>
      <c r="AT124" s="38">
        <v>0</v>
      </c>
      <c r="AU124" s="38">
        <v>0</v>
      </c>
      <c r="AV124" s="38">
        <v>0</v>
      </c>
      <c r="AW124" s="38">
        <f t="shared" ref="AW124:AW136" si="51">SUM(AT124:AV124)</f>
        <v>0</v>
      </c>
      <c r="AX124" s="107">
        <v>0</v>
      </c>
      <c r="AY124" s="38">
        <v>0</v>
      </c>
      <c r="AZ124" s="38">
        <v>0</v>
      </c>
      <c r="BA124" s="38">
        <v>0</v>
      </c>
      <c r="BB124" s="38">
        <f t="shared" ref="BB124:BB136" si="52">SUM(AY124:BA124)</f>
        <v>0</v>
      </c>
      <c r="BC124" s="107">
        <v>0</v>
      </c>
      <c r="BD124" s="38">
        <v>0</v>
      </c>
      <c r="BE124" s="38">
        <v>0</v>
      </c>
      <c r="BF124" s="38"/>
      <c r="BG124" s="38">
        <v>0</v>
      </c>
      <c r="BH124" s="38">
        <f t="shared" ref="BH124:BH136" si="53">SUM(BD124:BG124)</f>
        <v>0</v>
      </c>
      <c r="BI124" s="107">
        <v>0</v>
      </c>
      <c r="BJ124" s="38"/>
      <c r="BK124" s="38"/>
      <c r="BL124" s="38"/>
      <c r="BM124" s="38"/>
      <c r="BN124" s="38">
        <f t="shared" ref="BN124:BN136" si="54">SUM(BJ124:BM124)</f>
        <v>0</v>
      </c>
    </row>
    <row r="125" spans="1:66" ht="15.75" customHeight="1" x14ac:dyDescent="0.25">
      <c r="A125" s="45" t="s">
        <v>346</v>
      </c>
      <c r="B125" s="107">
        <v>4</v>
      </c>
      <c r="C125" s="38">
        <v>10661353.129999997</v>
      </c>
      <c r="D125" s="38">
        <v>0</v>
      </c>
      <c r="E125" s="38">
        <v>0</v>
      </c>
      <c r="F125" s="38">
        <v>480000</v>
      </c>
      <c r="G125" s="38">
        <f t="shared" si="43"/>
        <v>11141353.129999997</v>
      </c>
      <c r="H125" s="107">
        <v>4</v>
      </c>
      <c r="I125" s="38">
        <v>9045600.589999998</v>
      </c>
      <c r="J125" s="38">
        <v>0</v>
      </c>
      <c r="K125" s="38">
        <v>0</v>
      </c>
      <c r="L125" s="38">
        <f t="shared" si="44"/>
        <v>9045600.589999998</v>
      </c>
      <c r="M125" s="107">
        <v>4</v>
      </c>
      <c r="N125" s="38">
        <v>9573925.0999999996</v>
      </c>
      <c r="O125" s="38">
        <v>0</v>
      </c>
      <c r="P125" s="38">
        <f t="shared" si="45"/>
        <v>9573925.0999999996</v>
      </c>
      <c r="Q125" s="107">
        <v>4</v>
      </c>
      <c r="R125" s="38">
        <v>9634773.75</v>
      </c>
      <c r="S125" s="38">
        <v>0</v>
      </c>
      <c r="T125" s="38">
        <v>0</v>
      </c>
      <c r="U125" s="38">
        <f t="shared" si="46"/>
        <v>9634773.75</v>
      </c>
      <c r="V125" s="107">
        <v>4</v>
      </c>
      <c r="W125" s="38">
        <v>10593380.719999999</v>
      </c>
      <c r="X125" s="38">
        <v>0</v>
      </c>
      <c r="Y125" s="38">
        <v>0</v>
      </c>
      <c r="Z125" s="38">
        <f t="shared" si="47"/>
        <v>10593380.719999999</v>
      </c>
      <c r="AA125" s="107">
        <v>4</v>
      </c>
      <c r="AB125" s="38">
        <v>10463774.289999999</v>
      </c>
      <c r="AC125" s="38">
        <v>0</v>
      </c>
      <c r="AD125" s="38">
        <v>5339969.74</v>
      </c>
      <c r="AE125" s="38">
        <v>200000</v>
      </c>
      <c r="AF125" s="38">
        <f t="shared" si="48"/>
        <v>16003744.029999999</v>
      </c>
      <c r="AG125" s="107">
        <v>4</v>
      </c>
      <c r="AH125" s="38">
        <v>11998396.719999999</v>
      </c>
      <c r="AI125" s="38">
        <v>0</v>
      </c>
      <c r="AJ125" s="38">
        <v>317588.5</v>
      </c>
      <c r="AK125" s="38">
        <v>200000</v>
      </c>
      <c r="AL125" s="38">
        <f t="shared" si="49"/>
        <v>12515985.219999999</v>
      </c>
      <c r="AM125" s="107">
        <v>3</v>
      </c>
      <c r="AN125" s="38">
        <v>9049505.540000001</v>
      </c>
      <c r="AO125" s="38">
        <v>0</v>
      </c>
      <c r="AP125" s="38">
        <v>0</v>
      </c>
      <c r="AQ125" s="38">
        <v>320000</v>
      </c>
      <c r="AR125" s="38">
        <f t="shared" si="50"/>
        <v>9369505.540000001</v>
      </c>
      <c r="AS125" s="107">
        <v>3</v>
      </c>
      <c r="AT125" s="38">
        <v>9345372.1899999995</v>
      </c>
      <c r="AU125" s="38">
        <v>0</v>
      </c>
      <c r="AV125" s="38">
        <v>0</v>
      </c>
      <c r="AW125" s="38">
        <f t="shared" si="51"/>
        <v>9345372.1899999995</v>
      </c>
      <c r="AX125" s="107">
        <v>3</v>
      </c>
      <c r="AY125" s="38">
        <v>17269595.52</v>
      </c>
      <c r="AZ125" s="38">
        <v>0</v>
      </c>
      <c r="BA125" s="38">
        <v>0</v>
      </c>
      <c r="BB125" s="38">
        <f t="shared" si="52"/>
        <v>17269595.52</v>
      </c>
      <c r="BC125" s="107">
        <v>3</v>
      </c>
      <c r="BD125" s="38">
        <v>9600906.4399999995</v>
      </c>
      <c r="BE125" s="38">
        <v>0</v>
      </c>
      <c r="BF125" s="38">
        <v>150000</v>
      </c>
      <c r="BG125" s="38">
        <v>0</v>
      </c>
      <c r="BH125" s="38">
        <f t="shared" si="53"/>
        <v>9750906.4399999995</v>
      </c>
      <c r="BI125" s="107">
        <v>2</v>
      </c>
      <c r="BJ125" s="38">
        <v>10431370.109999999</v>
      </c>
      <c r="BK125" s="38"/>
      <c r="BL125" s="38"/>
      <c r="BM125" s="38">
        <v>5215685.05</v>
      </c>
      <c r="BN125" s="38">
        <f t="shared" si="54"/>
        <v>15647055.16</v>
      </c>
    </row>
    <row r="126" spans="1:66" ht="15" x14ac:dyDescent="0.25">
      <c r="A126" s="45" t="s">
        <v>268</v>
      </c>
      <c r="B126" s="107">
        <v>4</v>
      </c>
      <c r="C126" s="38">
        <v>11594879.26</v>
      </c>
      <c r="D126" s="38">
        <v>0</v>
      </c>
      <c r="E126" s="38">
        <v>0</v>
      </c>
      <c r="F126" s="38">
        <v>480000</v>
      </c>
      <c r="G126" s="38">
        <f t="shared" si="43"/>
        <v>12074879.26</v>
      </c>
      <c r="H126" s="107">
        <v>4</v>
      </c>
      <c r="I126" s="38">
        <v>10880875.49</v>
      </c>
      <c r="J126" s="38">
        <v>0</v>
      </c>
      <c r="K126" s="38">
        <v>0</v>
      </c>
      <c r="L126" s="38">
        <f t="shared" si="44"/>
        <v>10880875.49</v>
      </c>
      <c r="M126" s="107">
        <v>4</v>
      </c>
      <c r="N126" s="38">
        <v>11522961.689999998</v>
      </c>
      <c r="O126" s="38">
        <v>0</v>
      </c>
      <c r="P126" s="38">
        <f t="shared" si="45"/>
        <v>11522961.689999998</v>
      </c>
      <c r="Q126" s="107">
        <v>4</v>
      </c>
      <c r="R126" s="38">
        <v>15651439.050000001</v>
      </c>
      <c r="S126" s="38">
        <v>0</v>
      </c>
      <c r="T126" s="38">
        <v>928766.71</v>
      </c>
      <c r="U126" s="38">
        <f t="shared" si="46"/>
        <v>16580205.760000002</v>
      </c>
      <c r="V126" s="107">
        <v>3</v>
      </c>
      <c r="W126" s="38">
        <v>9710339.6799999978</v>
      </c>
      <c r="X126" s="38">
        <v>0</v>
      </c>
      <c r="Y126" s="38">
        <v>0</v>
      </c>
      <c r="Z126" s="38">
        <f t="shared" si="47"/>
        <v>9710339.6799999978</v>
      </c>
      <c r="AA126" s="107">
        <v>3</v>
      </c>
      <c r="AB126" s="38">
        <v>9643105.2399999984</v>
      </c>
      <c r="AC126" s="38">
        <v>0</v>
      </c>
      <c r="AD126" s="38">
        <v>4953990.6900000004</v>
      </c>
      <c r="AE126" s="38">
        <v>150000</v>
      </c>
      <c r="AF126" s="38">
        <f t="shared" si="48"/>
        <v>14747095.93</v>
      </c>
      <c r="AG126" s="107">
        <v>3</v>
      </c>
      <c r="AH126" s="38">
        <v>9921965.8599999975</v>
      </c>
      <c r="AI126" s="38">
        <v>0</v>
      </c>
      <c r="AJ126" s="38">
        <v>0</v>
      </c>
      <c r="AK126" s="38">
        <v>150000</v>
      </c>
      <c r="AL126" s="38">
        <f t="shared" si="49"/>
        <v>10071965.859999998</v>
      </c>
      <c r="AM126" s="107">
        <v>3</v>
      </c>
      <c r="AN126" s="38">
        <v>10606744.420000002</v>
      </c>
      <c r="AO126" s="38">
        <v>0</v>
      </c>
      <c r="AP126" s="38">
        <v>0</v>
      </c>
      <c r="AQ126" s="38">
        <v>320000</v>
      </c>
      <c r="AR126" s="38">
        <f t="shared" si="50"/>
        <v>10926744.420000002</v>
      </c>
      <c r="AS126" s="107">
        <v>2</v>
      </c>
      <c r="AT126" s="38">
        <v>7822904.8499999987</v>
      </c>
      <c r="AU126" s="38">
        <v>0</v>
      </c>
      <c r="AV126" s="38">
        <v>0</v>
      </c>
      <c r="AW126" s="38">
        <f t="shared" si="51"/>
        <v>7822904.8499999987</v>
      </c>
      <c r="AX126" s="107">
        <v>2</v>
      </c>
      <c r="AY126" s="38">
        <v>14193603.140000001</v>
      </c>
      <c r="AZ126" s="38">
        <v>0</v>
      </c>
      <c r="BA126" s="38">
        <v>0</v>
      </c>
      <c r="BB126" s="38">
        <f t="shared" si="52"/>
        <v>14193603.140000001</v>
      </c>
      <c r="BC126" s="107">
        <v>2</v>
      </c>
      <c r="BD126" s="38">
        <v>8041423.1899999995</v>
      </c>
      <c r="BE126" s="38">
        <v>0</v>
      </c>
      <c r="BF126" s="38">
        <v>100000</v>
      </c>
      <c r="BG126" s="38">
        <v>0</v>
      </c>
      <c r="BH126" s="38">
        <f t="shared" si="53"/>
        <v>8141423.1899999995</v>
      </c>
      <c r="BI126" s="107">
        <v>2</v>
      </c>
      <c r="BJ126" s="38">
        <v>8532725.8900000006</v>
      </c>
      <c r="BK126" s="38"/>
      <c r="BL126" s="38"/>
      <c r="BM126" s="38">
        <v>4266362.9400000004</v>
      </c>
      <c r="BN126" s="38">
        <f t="shared" si="54"/>
        <v>12799088.830000002</v>
      </c>
    </row>
    <row r="127" spans="1:66" ht="15" x14ac:dyDescent="0.25">
      <c r="A127" s="45" t="s">
        <v>269</v>
      </c>
      <c r="B127" s="107">
        <v>8</v>
      </c>
      <c r="C127" s="38">
        <v>17165350.840000004</v>
      </c>
      <c r="D127" s="38">
        <v>0</v>
      </c>
      <c r="E127" s="38">
        <v>0</v>
      </c>
      <c r="F127" s="38">
        <v>960000</v>
      </c>
      <c r="G127" s="38">
        <f t="shared" si="43"/>
        <v>18125350.840000004</v>
      </c>
      <c r="H127" s="107">
        <v>8</v>
      </c>
      <c r="I127" s="38">
        <v>16184594.85</v>
      </c>
      <c r="J127" s="38">
        <v>0</v>
      </c>
      <c r="K127" s="38">
        <v>0</v>
      </c>
      <c r="L127" s="38">
        <f t="shared" si="44"/>
        <v>16184594.85</v>
      </c>
      <c r="M127" s="107">
        <v>8</v>
      </c>
      <c r="N127" s="38">
        <v>16569155.420000004</v>
      </c>
      <c r="O127" s="38">
        <v>0</v>
      </c>
      <c r="P127" s="38">
        <f t="shared" si="45"/>
        <v>16569155.420000004</v>
      </c>
      <c r="Q127" s="107">
        <v>8</v>
      </c>
      <c r="R127" s="38">
        <v>16017616.439999998</v>
      </c>
      <c r="S127" s="38">
        <v>0</v>
      </c>
      <c r="T127" s="38">
        <v>0</v>
      </c>
      <c r="U127" s="38">
        <f t="shared" si="46"/>
        <v>16017616.439999998</v>
      </c>
      <c r="V127" s="107">
        <v>9</v>
      </c>
      <c r="W127" s="38">
        <v>17286015.070000008</v>
      </c>
      <c r="X127" s="38">
        <v>0</v>
      </c>
      <c r="Y127" s="38">
        <v>0</v>
      </c>
      <c r="Z127" s="38">
        <f t="shared" si="47"/>
        <v>17286015.070000008</v>
      </c>
      <c r="AA127" s="107">
        <v>9</v>
      </c>
      <c r="AB127" s="38">
        <v>17422008.599999994</v>
      </c>
      <c r="AC127" s="38">
        <v>0</v>
      </c>
      <c r="AD127" s="38">
        <v>9513313.4000000004</v>
      </c>
      <c r="AE127" s="38">
        <v>450000</v>
      </c>
      <c r="AF127" s="38">
        <f t="shared" si="48"/>
        <v>27385321.999999993</v>
      </c>
      <c r="AG127" s="107">
        <v>9</v>
      </c>
      <c r="AH127" s="38">
        <v>16805118.819999997</v>
      </c>
      <c r="AI127" s="38">
        <v>0</v>
      </c>
      <c r="AJ127" s="38">
        <v>0</v>
      </c>
      <c r="AK127" s="38">
        <v>450000</v>
      </c>
      <c r="AL127" s="38">
        <f t="shared" si="49"/>
        <v>17255118.819999997</v>
      </c>
      <c r="AM127" s="107">
        <v>9</v>
      </c>
      <c r="AN127" s="38">
        <v>21294047.089999996</v>
      </c>
      <c r="AO127" s="38">
        <v>0</v>
      </c>
      <c r="AP127" s="38">
        <v>87274</v>
      </c>
      <c r="AQ127" s="38">
        <v>160000</v>
      </c>
      <c r="AR127" s="38">
        <f t="shared" si="50"/>
        <v>21541321.089999996</v>
      </c>
      <c r="AS127" s="107">
        <v>9</v>
      </c>
      <c r="AT127" s="38">
        <v>20457401.940000001</v>
      </c>
      <c r="AU127" s="38">
        <v>0</v>
      </c>
      <c r="AV127" s="38">
        <v>0</v>
      </c>
      <c r="AW127" s="38">
        <f t="shared" si="51"/>
        <v>20457401.940000001</v>
      </c>
      <c r="AX127" s="107">
        <v>9</v>
      </c>
      <c r="AY127" s="38">
        <v>31203231.840000004</v>
      </c>
      <c r="AZ127" s="38">
        <v>0</v>
      </c>
      <c r="BA127" s="38">
        <v>0</v>
      </c>
      <c r="BB127" s="38">
        <f t="shared" si="52"/>
        <v>31203231.840000004</v>
      </c>
      <c r="BC127" s="107">
        <v>9</v>
      </c>
      <c r="BD127" s="38">
        <v>19816492.889999997</v>
      </c>
      <c r="BE127" s="38">
        <v>0</v>
      </c>
      <c r="BF127" s="38">
        <v>400000</v>
      </c>
      <c r="BG127" s="38">
        <v>0</v>
      </c>
      <c r="BH127" s="38">
        <f t="shared" si="53"/>
        <v>20216492.889999997</v>
      </c>
      <c r="BI127" s="107">
        <v>8</v>
      </c>
      <c r="BJ127" s="38">
        <v>19696587.510000002</v>
      </c>
      <c r="BK127" s="38"/>
      <c r="BL127" s="38"/>
      <c r="BM127" s="38">
        <v>10070214.24</v>
      </c>
      <c r="BN127" s="38">
        <f t="shared" si="54"/>
        <v>29766801.75</v>
      </c>
    </row>
    <row r="128" spans="1:66" ht="15" x14ac:dyDescent="0.25">
      <c r="A128" s="45" t="s">
        <v>319</v>
      </c>
      <c r="B128" s="107">
        <v>5</v>
      </c>
      <c r="C128" s="38">
        <v>10456085.970000001</v>
      </c>
      <c r="D128" s="38">
        <v>0</v>
      </c>
      <c r="E128" s="38">
        <v>0</v>
      </c>
      <c r="F128" s="38">
        <v>600000</v>
      </c>
      <c r="G128" s="38">
        <f t="shared" si="43"/>
        <v>11056085.970000001</v>
      </c>
      <c r="H128" s="107">
        <v>5</v>
      </c>
      <c r="I128" s="38">
        <v>10236289.08</v>
      </c>
      <c r="J128" s="38">
        <v>0</v>
      </c>
      <c r="K128" s="38">
        <v>0</v>
      </c>
      <c r="L128" s="38">
        <f t="shared" si="44"/>
        <v>10236289.08</v>
      </c>
      <c r="M128" s="107">
        <v>5</v>
      </c>
      <c r="N128" s="38">
        <v>8531228.1899999995</v>
      </c>
      <c r="O128" s="38">
        <v>0</v>
      </c>
      <c r="P128" s="38">
        <f t="shared" si="45"/>
        <v>8531228.1899999995</v>
      </c>
      <c r="Q128" s="107">
        <v>5</v>
      </c>
      <c r="R128" s="38">
        <v>28672931.57</v>
      </c>
      <c r="S128" s="38">
        <v>0</v>
      </c>
      <c r="T128" s="38">
        <v>2609449.7199999997</v>
      </c>
      <c r="U128" s="38">
        <f t="shared" si="46"/>
        <v>31282381.289999999</v>
      </c>
      <c r="V128" s="107">
        <v>1</v>
      </c>
      <c r="W128" s="38">
        <v>3153375.23</v>
      </c>
      <c r="X128" s="38">
        <v>0</v>
      </c>
      <c r="Y128" s="38">
        <v>0</v>
      </c>
      <c r="Z128" s="38">
        <f t="shared" si="47"/>
        <v>3153375.23</v>
      </c>
      <c r="AA128" s="107">
        <v>1</v>
      </c>
      <c r="AB128" s="38">
        <v>3153375.96</v>
      </c>
      <c r="AC128" s="38">
        <v>0</v>
      </c>
      <c r="AD128" s="38">
        <v>1559168.75</v>
      </c>
      <c r="AE128" s="38">
        <v>50000</v>
      </c>
      <c r="AF128" s="38">
        <f t="shared" si="48"/>
        <v>4762544.71</v>
      </c>
      <c r="AG128" s="107">
        <v>1</v>
      </c>
      <c r="AH128" s="38">
        <v>3785943.17</v>
      </c>
      <c r="AI128" s="38">
        <v>0</v>
      </c>
      <c r="AJ128" s="38">
        <v>0</v>
      </c>
      <c r="AK128" s="38">
        <v>50000</v>
      </c>
      <c r="AL128" s="38">
        <f t="shared" si="49"/>
        <v>3835943.17</v>
      </c>
      <c r="AM128" s="107">
        <v>1</v>
      </c>
      <c r="AN128" s="38">
        <v>10640648.43</v>
      </c>
      <c r="AO128" s="38">
        <v>0</v>
      </c>
      <c r="AP128" s="38">
        <v>1247400.5899999999</v>
      </c>
      <c r="AQ128" s="38">
        <v>3521656</v>
      </c>
      <c r="AR128" s="38">
        <f t="shared" si="50"/>
        <v>15409705.02</v>
      </c>
      <c r="AS128" s="107">
        <v>0</v>
      </c>
      <c r="AT128" s="38">
        <v>0</v>
      </c>
      <c r="AU128" s="38">
        <v>0</v>
      </c>
      <c r="AV128" s="38">
        <v>0</v>
      </c>
      <c r="AW128" s="38">
        <f t="shared" si="51"/>
        <v>0</v>
      </c>
      <c r="AX128" s="107">
        <v>0</v>
      </c>
      <c r="AY128" s="38">
        <v>0</v>
      </c>
      <c r="AZ128" s="38">
        <v>0</v>
      </c>
      <c r="BA128" s="38">
        <v>0</v>
      </c>
      <c r="BB128" s="38">
        <f t="shared" si="52"/>
        <v>0</v>
      </c>
      <c r="BC128" s="107">
        <v>0</v>
      </c>
      <c r="BD128" s="38">
        <v>0</v>
      </c>
      <c r="BE128" s="38">
        <v>0</v>
      </c>
      <c r="BF128" s="38"/>
      <c r="BG128" s="38">
        <v>0</v>
      </c>
      <c r="BH128" s="38">
        <f t="shared" si="53"/>
        <v>0</v>
      </c>
      <c r="BI128" s="107">
        <v>0</v>
      </c>
      <c r="BJ128" s="38"/>
      <c r="BK128" s="38"/>
      <c r="BL128" s="38"/>
      <c r="BM128" s="38"/>
      <c r="BN128" s="38">
        <f t="shared" si="54"/>
        <v>0</v>
      </c>
    </row>
    <row r="129" spans="1:66" ht="15" x14ac:dyDescent="0.25">
      <c r="A129" s="45" t="s">
        <v>345</v>
      </c>
      <c r="B129" s="107">
        <v>23</v>
      </c>
      <c r="C129" s="38">
        <v>53469069.790000007</v>
      </c>
      <c r="D129" s="38">
        <v>40105.14</v>
      </c>
      <c r="E129" s="38">
        <v>538140.55000000005</v>
      </c>
      <c r="F129" s="38">
        <v>2760000</v>
      </c>
      <c r="G129" s="38">
        <f t="shared" si="43"/>
        <v>56807315.480000004</v>
      </c>
      <c r="H129" s="107">
        <v>23</v>
      </c>
      <c r="I129" s="38">
        <v>38247321.219999984</v>
      </c>
      <c r="J129" s="38">
        <v>7486.28</v>
      </c>
      <c r="K129" s="38">
        <v>0</v>
      </c>
      <c r="L129" s="38">
        <f t="shared" si="44"/>
        <v>38254807.499999985</v>
      </c>
      <c r="M129" s="107">
        <v>23</v>
      </c>
      <c r="N129" s="38">
        <v>38223054.030000016</v>
      </c>
      <c r="O129" s="38">
        <v>11030.22</v>
      </c>
      <c r="P129" s="38">
        <f t="shared" si="45"/>
        <v>38234084.250000015</v>
      </c>
      <c r="Q129" s="107">
        <v>23</v>
      </c>
      <c r="R129" s="38">
        <v>115359571.2</v>
      </c>
      <c r="S129" s="38">
        <v>2577180.67</v>
      </c>
      <c r="T129" s="38">
        <v>3608738.43</v>
      </c>
      <c r="U129" s="38">
        <f t="shared" si="46"/>
        <v>121545490.30000001</v>
      </c>
      <c r="V129" s="107">
        <v>17</v>
      </c>
      <c r="W129" s="38">
        <v>31359505.509999998</v>
      </c>
      <c r="X129" s="38">
        <v>1550019.64</v>
      </c>
      <c r="Y129" s="38">
        <v>0</v>
      </c>
      <c r="Z129" s="38">
        <f t="shared" si="47"/>
        <v>32909525.149999999</v>
      </c>
      <c r="AA129" s="107">
        <v>17</v>
      </c>
      <c r="AB129" s="38">
        <v>31170760.320000004</v>
      </c>
      <c r="AC129" s="38">
        <v>6471696.5200000005</v>
      </c>
      <c r="AD129" s="38">
        <v>19050303.82</v>
      </c>
      <c r="AE129" s="38">
        <v>850000</v>
      </c>
      <c r="AF129" s="38">
        <f t="shared" si="48"/>
        <v>57542760.660000004</v>
      </c>
      <c r="AG129" s="107">
        <v>17</v>
      </c>
      <c r="AH129" s="38">
        <v>35542630.99000001</v>
      </c>
      <c r="AI129" s="38">
        <v>7340291.4799999995</v>
      </c>
      <c r="AJ129" s="38">
        <v>0</v>
      </c>
      <c r="AK129" s="38">
        <v>850000</v>
      </c>
      <c r="AL129" s="38">
        <f t="shared" si="49"/>
        <v>43732922.470000006</v>
      </c>
      <c r="AM129" s="107">
        <v>17</v>
      </c>
      <c r="AN129" s="38">
        <v>43686685.399999976</v>
      </c>
      <c r="AO129" s="38">
        <v>5572576.4000000004</v>
      </c>
      <c r="AP129" s="38">
        <v>406102.12</v>
      </c>
      <c r="AQ129" s="38">
        <v>480000</v>
      </c>
      <c r="AR129" s="38">
        <f t="shared" si="50"/>
        <v>50145363.919999972</v>
      </c>
      <c r="AS129" s="107">
        <v>16</v>
      </c>
      <c r="AT129" s="38">
        <v>39335851.970000006</v>
      </c>
      <c r="AU129" s="38">
        <v>1177522.3</v>
      </c>
      <c r="AV129" s="38">
        <v>0</v>
      </c>
      <c r="AW129" s="38">
        <f t="shared" si="51"/>
        <v>40513374.270000003</v>
      </c>
      <c r="AX129" s="107">
        <v>16</v>
      </c>
      <c r="AY129" s="38">
        <v>68714641.909999996</v>
      </c>
      <c r="AZ129" s="38">
        <v>3295400.79</v>
      </c>
      <c r="BA129" s="38">
        <v>0</v>
      </c>
      <c r="BB129" s="38">
        <f t="shared" si="52"/>
        <v>72010042.700000003</v>
      </c>
      <c r="BC129" s="107">
        <v>16</v>
      </c>
      <c r="BD129" s="38">
        <v>38467935.639999978</v>
      </c>
      <c r="BE129" s="38">
        <v>494025.03</v>
      </c>
      <c r="BF129" s="38">
        <v>800000</v>
      </c>
      <c r="BG129" s="38">
        <v>0</v>
      </c>
      <c r="BH129" s="38">
        <f t="shared" si="53"/>
        <v>39761960.669999979</v>
      </c>
      <c r="BI129" s="107">
        <v>16</v>
      </c>
      <c r="BJ129" s="38">
        <v>38548982.130000003</v>
      </c>
      <c r="BK129" s="38">
        <v>159813.14000000001</v>
      </c>
      <c r="BL129" s="38"/>
      <c r="BM129" s="38">
        <v>21940496.329999998</v>
      </c>
      <c r="BN129" s="38">
        <f t="shared" si="54"/>
        <v>60649291.600000001</v>
      </c>
    </row>
    <row r="130" spans="1:66" ht="15" x14ac:dyDescent="0.25">
      <c r="A130" s="45" t="s">
        <v>286</v>
      </c>
      <c r="B130" s="107">
        <v>18</v>
      </c>
      <c r="C130" s="38">
        <v>31352923.390000001</v>
      </c>
      <c r="D130" s="38">
        <v>0</v>
      </c>
      <c r="E130" s="38">
        <v>0</v>
      </c>
      <c r="F130" s="38">
        <v>2160000</v>
      </c>
      <c r="G130" s="38">
        <f t="shared" si="43"/>
        <v>33512923.390000001</v>
      </c>
      <c r="H130" s="107">
        <v>18</v>
      </c>
      <c r="I130" s="38">
        <v>29419631.540000007</v>
      </c>
      <c r="J130" s="38">
        <v>441645.38</v>
      </c>
      <c r="K130" s="38">
        <v>0</v>
      </c>
      <c r="L130" s="38">
        <f t="shared" si="44"/>
        <v>29861276.920000006</v>
      </c>
      <c r="M130" s="107">
        <v>18</v>
      </c>
      <c r="N130" s="38">
        <v>28659287.000000004</v>
      </c>
      <c r="O130" s="38">
        <v>0</v>
      </c>
      <c r="P130" s="38">
        <f t="shared" si="45"/>
        <v>28659287.000000004</v>
      </c>
      <c r="Q130" s="107">
        <v>18</v>
      </c>
      <c r="R130" s="38">
        <v>67137531.429999992</v>
      </c>
      <c r="S130" s="38">
        <v>2027923.65</v>
      </c>
      <c r="T130" s="38">
        <v>2194963.41</v>
      </c>
      <c r="U130" s="38">
        <f t="shared" si="46"/>
        <v>71360418.489999995</v>
      </c>
      <c r="V130" s="107">
        <v>14</v>
      </c>
      <c r="W130" s="38">
        <v>24596330.069999997</v>
      </c>
      <c r="X130" s="38">
        <v>0</v>
      </c>
      <c r="Y130" s="38">
        <v>0</v>
      </c>
      <c r="Z130" s="38">
        <f t="shared" si="47"/>
        <v>24596330.069999997</v>
      </c>
      <c r="AA130" s="107">
        <v>14</v>
      </c>
      <c r="AB130" s="38">
        <v>23459856.079999998</v>
      </c>
      <c r="AC130" s="38">
        <v>3121314.39</v>
      </c>
      <c r="AD130" s="38">
        <v>14326225.210000001</v>
      </c>
      <c r="AE130" s="38">
        <v>700000</v>
      </c>
      <c r="AF130" s="38">
        <f t="shared" si="48"/>
        <v>41607395.68</v>
      </c>
      <c r="AG130" s="107">
        <v>14</v>
      </c>
      <c r="AH130" s="38">
        <v>25872701.000000004</v>
      </c>
      <c r="AI130" s="38">
        <v>4229568.66</v>
      </c>
      <c r="AJ130" s="38">
        <v>0</v>
      </c>
      <c r="AK130" s="38">
        <v>700000</v>
      </c>
      <c r="AL130" s="38">
        <f t="shared" si="49"/>
        <v>30802269.660000004</v>
      </c>
      <c r="AM130" s="107">
        <v>14</v>
      </c>
      <c r="AN130" s="38">
        <v>29043558.22000001</v>
      </c>
      <c r="AO130" s="38">
        <v>1155129.99</v>
      </c>
      <c r="AP130" s="38">
        <v>141946</v>
      </c>
      <c r="AQ130" s="38">
        <v>0</v>
      </c>
      <c r="AR130" s="38">
        <f t="shared" si="50"/>
        <v>30340634.210000008</v>
      </c>
      <c r="AS130" s="107">
        <v>14</v>
      </c>
      <c r="AT130" s="38">
        <v>27087805.549999997</v>
      </c>
      <c r="AU130" s="38">
        <v>3759623.12</v>
      </c>
      <c r="AV130" s="38">
        <v>0</v>
      </c>
      <c r="AW130" s="38">
        <f t="shared" si="51"/>
        <v>30847428.669999998</v>
      </c>
      <c r="AX130" s="107">
        <v>14</v>
      </c>
      <c r="AY130" s="38">
        <v>54935795.740000002</v>
      </c>
      <c r="AZ130" s="38">
        <v>4929703.49</v>
      </c>
      <c r="BA130" s="38">
        <v>0</v>
      </c>
      <c r="BB130" s="38">
        <f t="shared" si="52"/>
        <v>59865499.230000004</v>
      </c>
      <c r="BC130" s="107">
        <v>14</v>
      </c>
      <c r="BD130" s="38">
        <v>31935778.680000003</v>
      </c>
      <c r="BE130" s="38">
        <v>2341080.41</v>
      </c>
      <c r="BF130" s="38">
        <v>700000</v>
      </c>
      <c r="BG130" s="38">
        <v>1167441.08</v>
      </c>
      <c r="BH130" s="38">
        <f t="shared" si="53"/>
        <v>36144300.170000002</v>
      </c>
      <c r="BI130" s="107">
        <v>13</v>
      </c>
      <c r="BJ130" s="38">
        <v>30532863.780000001</v>
      </c>
      <c r="BK130" s="38">
        <v>51785.38</v>
      </c>
      <c r="BL130" s="38"/>
      <c r="BM130" s="38">
        <v>17381435.350000001</v>
      </c>
      <c r="BN130" s="38">
        <f t="shared" si="54"/>
        <v>47966084.510000005</v>
      </c>
    </row>
    <row r="131" spans="1:66" ht="15" x14ac:dyDescent="0.25">
      <c r="A131" s="118" t="s">
        <v>299</v>
      </c>
      <c r="B131" s="107">
        <v>12</v>
      </c>
      <c r="C131" s="38">
        <v>20765687.080000002</v>
      </c>
      <c r="D131" s="38">
        <v>0</v>
      </c>
      <c r="E131" s="38">
        <v>0</v>
      </c>
      <c r="F131" s="38">
        <v>1320000</v>
      </c>
      <c r="G131" s="38">
        <f t="shared" si="43"/>
        <v>22085687.080000002</v>
      </c>
      <c r="H131" s="107">
        <v>12</v>
      </c>
      <c r="I131" s="38">
        <v>19699971.25</v>
      </c>
      <c r="J131" s="38">
        <v>171929.08</v>
      </c>
      <c r="K131" s="38">
        <v>0</v>
      </c>
      <c r="L131" s="38">
        <f t="shared" si="44"/>
        <v>19871900.329999998</v>
      </c>
      <c r="M131" s="107">
        <v>12</v>
      </c>
      <c r="N131" s="38">
        <v>20492466.57</v>
      </c>
      <c r="O131" s="38">
        <v>0</v>
      </c>
      <c r="P131" s="38">
        <f t="shared" si="45"/>
        <v>20492466.57</v>
      </c>
      <c r="Q131" s="107">
        <v>12</v>
      </c>
      <c r="R131" s="38">
        <v>77153935.870000005</v>
      </c>
      <c r="S131" s="38">
        <v>20851.169999999998</v>
      </c>
      <c r="T131" s="38">
        <v>1590697.02</v>
      </c>
      <c r="U131" s="38">
        <f t="shared" si="46"/>
        <v>78765484.060000002</v>
      </c>
      <c r="V131" s="107">
        <v>10</v>
      </c>
      <c r="W131" s="38">
        <v>16983045.639999993</v>
      </c>
      <c r="X131" s="38">
        <v>0</v>
      </c>
      <c r="Y131" s="38">
        <v>0</v>
      </c>
      <c r="Z131" s="38">
        <f t="shared" si="47"/>
        <v>16983045.639999993</v>
      </c>
      <c r="AA131" s="107">
        <v>10</v>
      </c>
      <c r="AB131" s="38">
        <v>16736519.159999998</v>
      </c>
      <c r="AC131" s="38">
        <v>2972224.86</v>
      </c>
      <c r="AD131" s="38">
        <v>10496968.800000001</v>
      </c>
      <c r="AE131" s="38">
        <v>500000</v>
      </c>
      <c r="AF131" s="38">
        <f t="shared" si="48"/>
        <v>30705712.82</v>
      </c>
      <c r="AG131" s="107">
        <v>10</v>
      </c>
      <c r="AH131" s="38">
        <v>17933170.129999999</v>
      </c>
      <c r="AI131" s="38">
        <v>2620948.86</v>
      </c>
      <c r="AJ131" s="38">
        <v>0</v>
      </c>
      <c r="AK131" s="38">
        <v>500000</v>
      </c>
      <c r="AL131" s="38">
        <f t="shared" si="49"/>
        <v>21054118.989999998</v>
      </c>
      <c r="AM131" s="107">
        <v>10</v>
      </c>
      <c r="AN131" s="38">
        <v>20993107.470000003</v>
      </c>
      <c r="AO131" s="38">
        <v>2511692.7599999998</v>
      </c>
      <c r="AP131" s="38">
        <v>191437</v>
      </c>
      <c r="AQ131" s="38">
        <v>0</v>
      </c>
      <c r="AR131" s="38">
        <f t="shared" si="50"/>
        <v>23696237.230000004</v>
      </c>
      <c r="AS131" s="107">
        <v>10</v>
      </c>
      <c r="AT131" s="38">
        <v>20749722.910000004</v>
      </c>
      <c r="AU131" s="38">
        <v>0</v>
      </c>
      <c r="AV131" s="38">
        <v>0</v>
      </c>
      <c r="AW131" s="38">
        <f t="shared" si="51"/>
        <v>20749722.910000004</v>
      </c>
      <c r="AX131" s="107">
        <v>10</v>
      </c>
      <c r="AY131" s="38">
        <v>35469847.130000003</v>
      </c>
      <c r="AZ131" s="38">
        <v>0</v>
      </c>
      <c r="BA131" s="38">
        <v>0</v>
      </c>
      <c r="BB131" s="38">
        <f t="shared" si="52"/>
        <v>35469847.130000003</v>
      </c>
      <c r="BC131" s="107">
        <v>10</v>
      </c>
      <c r="BD131" s="38">
        <v>21178923.299999997</v>
      </c>
      <c r="BE131" s="38">
        <v>0</v>
      </c>
      <c r="BF131" s="38">
        <v>500000</v>
      </c>
      <c r="BG131" s="38">
        <v>0</v>
      </c>
      <c r="BH131" s="38">
        <f t="shared" si="53"/>
        <v>21678923.299999997</v>
      </c>
      <c r="BI131" s="107">
        <v>10</v>
      </c>
      <c r="BJ131" s="38">
        <v>22190625.219999999</v>
      </c>
      <c r="BK131" s="38">
        <v>83237.52</v>
      </c>
      <c r="BL131" s="38"/>
      <c r="BM131" s="38">
        <v>12218607.689999999</v>
      </c>
      <c r="BN131" s="38">
        <f t="shared" si="54"/>
        <v>34492470.43</v>
      </c>
    </row>
    <row r="132" spans="1:66" ht="15" x14ac:dyDescent="0.25">
      <c r="A132" s="45" t="s">
        <v>284</v>
      </c>
      <c r="B132" s="107">
        <v>12</v>
      </c>
      <c r="C132" s="38">
        <v>21887148.879999999</v>
      </c>
      <c r="D132" s="38">
        <v>0</v>
      </c>
      <c r="E132" s="38">
        <v>0</v>
      </c>
      <c r="F132" s="38">
        <v>1440000</v>
      </c>
      <c r="G132" s="38">
        <f t="shared" si="43"/>
        <v>23327148.879999999</v>
      </c>
      <c r="H132" s="107">
        <v>12</v>
      </c>
      <c r="I132" s="38">
        <v>19648835.030000005</v>
      </c>
      <c r="J132" s="38">
        <v>0</v>
      </c>
      <c r="K132" s="38">
        <v>0</v>
      </c>
      <c r="L132" s="38">
        <f t="shared" si="44"/>
        <v>19648835.030000005</v>
      </c>
      <c r="M132" s="107">
        <v>12</v>
      </c>
      <c r="N132" s="38">
        <v>20147024.57</v>
      </c>
      <c r="O132" s="38">
        <v>0</v>
      </c>
      <c r="P132" s="38">
        <f t="shared" si="45"/>
        <v>20147024.57</v>
      </c>
      <c r="Q132" s="107">
        <v>12</v>
      </c>
      <c r="R132" s="38">
        <v>44751327.54999999</v>
      </c>
      <c r="S132" s="38">
        <v>1407148.08</v>
      </c>
      <c r="T132" s="38">
        <v>1978282.75</v>
      </c>
      <c r="U132" s="38">
        <f t="shared" si="46"/>
        <v>48136758.379999988</v>
      </c>
      <c r="V132" s="107">
        <v>9</v>
      </c>
      <c r="W132" s="38">
        <v>16809240.109999999</v>
      </c>
      <c r="X132" s="38">
        <v>281318.28999999998</v>
      </c>
      <c r="Y132" s="38">
        <v>0</v>
      </c>
      <c r="Z132" s="38">
        <f t="shared" si="47"/>
        <v>17090558.399999999</v>
      </c>
      <c r="AA132" s="107">
        <v>9</v>
      </c>
      <c r="AB132" s="38">
        <v>16842346.270000003</v>
      </c>
      <c r="AC132" s="38">
        <v>3279986.09</v>
      </c>
      <c r="AD132" s="38">
        <v>10370468.98</v>
      </c>
      <c r="AE132" s="38">
        <v>450000</v>
      </c>
      <c r="AF132" s="38">
        <f t="shared" si="48"/>
        <v>30942801.340000004</v>
      </c>
      <c r="AG132" s="107">
        <v>9</v>
      </c>
      <c r="AH132" s="38">
        <v>17171844.180000003</v>
      </c>
      <c r="AI132" s="38">
        <v>7273129.4199999999</v>
      </c>
      <c r="AJ132" s="38">
        <v>0</v>
      </c>
      <c r="AK132" s="38">
        <v>450000</v>
      </c>
      <c r="AL132" s="38">
        <f t="shared" si="49"/>
        <v>24894973.600000001</v>
      </c>
      <c r="AM132" s="107">
        <v>9</v>
      </c>
      <c r="AN132" s="38">
        <v>20270497.770000003</v>
      </c>
      <c r="AO132" s="38">
        <v>5167833.2699999996</v>
      </c>
      <c r="AP132" s="38">
        <v>137358</v>
      </c>
      <c r="AQ132" s="38">
        <v>0</v>
      </c>
      <c r="AR132" s="38">
        <f t="shared" si="50"/>
        <v>25575689.040000003</v>
      </c>
      <c r="AS132" s="107">
        <v>9</v>
      </c>
      <c r="AT132" s="38">
        <v>19933217.709999997</v>
      </c>
      <c r="AU132" s="38">
        <v>2304852.58</v>
      </c>
      <c r="AV132" s="38">
        <v>0</v>
      </c>
      <c r="AW132" s="38">
        <f t="shared" si="51"/>
        <v>22238070.289999999</v>
      </c>
      <c r="AX132" s="107">
        <v>9</v>
      </c>
      <c r="AY132" s="38">
        <v>33426295.700000003</v>
      </c>
      <c r="AZ132" s="38">
        <v>381415.56</v>
      </c>
      <c r="BA132" s="38">
        <v>0</v>
      </c>
      <c r="BB132" s="38">
        <f t="shared" si="52"/>
        <v>33807711.260000005</v>
      </c>
      <c r="BC132" s="107">
        <v>9</v>
      </c>
      <c r="BD132" s="38">
        <v>22635690.539999992</v>
      </c>
      <c r="BE132" s="38">
        <v>1640957.99</v>
      </c>
      <c r="BF132" s="38">
        <v>450000</v>
      </c>
      <c r="BG132" s="38">
        <v>0</v>
      </c>
      <c r="BH132" s="38">
        <f t="shared" si="53"/>
        <v>24726648.52999999</v>
      </c>
      <c r="BI132" s="107">
        <v>8</v>
      </c>
      <c r="BJ132" s="38">
        <v>20373761.440000001</v>
      </c>
      <c r="BK132" s="38">
        <v>907409.7</v>
      </c>
      <c r="BL132" s="38"/>
      <c r="BM132" s="38">
        <v>12448887.93</v>
      </c>
      <c r="BN132" s="38">
        <f t="shared" si="54"/>
        <v>33730059.07</v>
      </c>
    </row>
    <row r="133" spans="1:66" ht="15" x14ac:dyDescent="0.25">
      <c r="A133" s="45" t="s">
        <v>287</v>
      </c>
      <c r="B133" s="107">
        <v>26</v>
      </c>
      <c r="C133" s="38">
        <v>48155546.44000002</v>
      </c>
      <c r="D133" s="38">
        <v>0</v>
      </c>
      <c r="E133" s="38">
        <v>0</v>
      </c>
      <c r="F133" s="38">
        <v>3120000</v>
      </c>
      <c r="G133" s="38">
        <f t="shared" si="43"/>
        <v>51275546.44000002</v>
      </c>
      <c r="H133" s="107">
        <v>26</v>
      </c>
      <c r="I133" s="38">
        <v>42035964.95000001</v>
      </c>
      <c r="J133" s="38">
        <v>0</v>
      </c>
      <c r="K133" s="38">
        <v>0</v>
      </c>
      <c r="L133" s="38">
        <f t="shared" si="44"/>
        <v>42035964.95000001</v>
      </c>
      <c r="M133" s="107">
        <v>26</v>
      </c>
      <c r="N133" s="38">
        <v>39794709.360000022</v>
      </c>
      <c r="O133" s="38">
        <v>0</v>
      </c>
      <c r="P133" s="38">
        <f t="shared" si="45"/>
        <v>39794709.360000022</v>
      </c>
      <c r="Q133" s="107">
        <v>26</v>
      </c>
      <c r="R133" s="38">
        <v>44687748.390000015</v>
      </c>
      <c r="S133" s="38">
        <v>2318958.1800000002</v>
      </c>
      <c r="T133" s="38">
        <v>623763.42000000004</v>
      </c>
      <c r="U133" s="38">
        <f t="shared" si="46"/>
        <v>47630469.990000017</v>
      </c>
      <c r="V133" s="107">
        <v>21</v>
      </c>
      <c r="W133" s="38">
        <v>36777881.850000001</v>
      </c>
      <c r="X133" s="38">
        <v>1127083.22</v>
      </c>
      <c r="Y133" s="38">
        <v>0</v>
      </c>
      <c r="Z133" s="38">
        <f t="shared" si="47"/>
        <v>37904965.07</v>
      </c>
      <c r="AA133" s="107">
        <v>21</v>
      </c>
      <c r="AB133" s="38">
        <v>37431862.719999999</v>
      </c>
      <c r="AC133" s="38">
        <v>11665403.1</v>
      </c>
      <c r="AD133" s="38">
        <v>24994019.559999999</v>
      </c>
      <c r="AE133" s="38">
        <v>1050000</v>
      </c>
      <c r="AF133" s="38">
        <f>SUM(AB133:AE133)</f>
        <v>75141285.379999995</v>
      </c>
      <c r="AG133" s="107">
        <v>21</v>
      </c>
      <c r="AH133" s="38">
        <v>40310186.540000007</v>
      </c>
      <c r="AI133" s="38">
        <v>11611118.99</v>
      </c>
      <c r="AJ133" s="38">
        <v>0</v>
      </c>
      <c r="AK133" s="38">
        <v>1050000</v>
      </c>
      <c r="AL133" s="38">
        <f>SUM(AH133:AK133)</f>
        <v>52971305.530000009</v>
      </c>
      <c r="AM133" s="107">
        <v>21</v>
      </c>
      <c r="AN133" s="38">
        <v>45207236.25</v>
      </c>
      <c r="AO133" s="38">
        <v>11234128.010000002</v>
      </c>
      <c r="AP133" s="38">
        <v>520837</v>
      </c>
      <c r="AQ133" s="38">
        <v>160000</v>
      </c>
      <c r="AR133" s="38">
        <f>SUM(AN133:AQ133)</f>
        <v>57122201.260000005</v>
      </c>
      <c r="AS133" s="107">
        <v>21</v>
      </c>
      <c r="AT133" s="38">
        <v>46696542.290000007</v>
      </c>
      <c r="AU133" s="38">
        <v>2653167.92</v>
      </c>
      <c r="AV133" s="38">
        <v>0</v>
      </c>
      <c r="AW133" s="38">
        <f t="shared" si="51"/>
        <v>49349710.210000008</v>
      </c>
      <c r="AX133" s="107">
        <v>21</v>
      </c>
      <c r="AY133" s="38">
        <v>78782291.269999981</v>
      </c>
      <c r="AZ133" s="38">
        <v>1508626.04</v>
      </c>
      <c r="BA133" s="38">
        <v>0</v>
      </c>
      <c r="BB133" s="38">
        <f t="shared" si="52"/>
        <v>80290917.309999987</v>
      </c>
      <c r="BC133" s="107">
        <v>21</v>
      </c>
      <c r="BD133" s="38">
        <v>48633857.069999993</v>
      </c>
      <c r="BE133" s="38">
        <v>963028.08</v>
      </c>
      <c r="BF133" s="38">
        <v>1050000</v>
      </c>
      <c r="BG133" s="38">
        <v>0</v>
      </c>
      <c r="BH133" s="38">
        <f t="shared" si="53"/>
        <v>50646885.149999991</v>
      </c>
      <c r="BI133" s="107">
        <v>21</v>
      </c>
      <c r="BJ133" s="38">
        <v>49095680.780000001</v>
      </c>
      <c r="BK133" s="38">
        <v>1961957.85</v>
      </c>
      <c r="BL133" s="38"/>
      <c r="BM133" s="38">
        <v>29991533.239999998</v>
      </c>
      <c r="BN133" s="38">
        <f t="shared" si="54"/>
        <v>81049171.870000005</v>
      </c>
    </row>
    <row r="134" spans="1:66" ht="15" x14ac:dyDescent="0.25">
      <c r="A134" s="45" t="s">
        <v>288</v>
      </c>
      <c r="B134" s="107">
        <v>10</v>
      </c>
      <c r="C134" s="38">
        <v>17729141.240000002</v>
      </c>
      <c r="D134" s="38">
        <v>605430</v>
      </c>
      <c r="E134" s="38">
        <v>0</v>
      </c>
      <c r="F134" s="38">
        <v>1200000</v>
      </c>
      <c r="G134" s="38">
        <f t="shared" si="43"/>
        <v>19534571.240000002</v>
      </c>
      <c r="H134" s="107">
        <v>10</v>
      </c>
      <c r="I134" s="38">
        <v>16749488.799999999</v>
      </c>
      <c r="J134" s="38">
        <v>115298.43</v>
      </c>
      <c r="K134" s="38">
        <v>0</v>
      </c>
      <c r="L134" s="38">
        <f t="shared" si="44"/>
        <v>16864787.23</v>
      </c>
      <c r="M134" s="107">
        <v>10</v>
      </c>
      <c r="N134" s="38">
        <v>15962468.409999996</v>
      </c>
      <c r="O134" s="38">
        <v>0</v>
      </c>
      <c r="P134" s="38">
        <f t="shared" si="45"/>
        <v>15962468.409999996</v>
      </c>
      <c r="Q134" s="107">
        <v>10</v>
      </c>
      <c r="R134" s="38">
        <v>20621892.960000005</v>
      </c>
      <c r="S134" s="38">
        <v>119706.45999999999</v>
      </c>
      <c r="T134" s="38">
        <v>558105.87</v>
      </c>
      <c r="U134" s="38">
        <f t="shared" si="46"/>
        <v>21299705.290000007</v>
      </c>
      <c r="V134" s="107">
        <v>9</v>
      </c>
      <c r="W134" s="38">
        <v>15188496.15</v>
      </c>
      <c r="X134" s="38">
        <v>0</v>
      </c>
      <c r="Y134" s="38">
        <v>0</v>
      </c>
      <c r="Z134" s="38">
        <f t="shared" si="47"/>
        <v>15188496.15</v>
      </c>
      <c r="AA134" s="107">
        <v>9</v>
      </c>
      <c r="AB134" s="38">
        <v>15043140.279999999</v>
      </c>
      <c r="AC134" s="38">
        <v>5966649.5899999999</v>
      </c>
      <c r="AD134" s="38">
        <v>10546815.51</v>
      </c>
      <c r="AE134" s="38">
        <v>450000</v>
      </c>
      <c r="AF134" s="38">
        <f t="shared" si="48"/>
        <v>32006605.379999995</v>
      </c>
      <c r="AG134" s="107">
        <v>9</v>
      </c>
      <c r="AH134" s="38">
        <v>16910274.920000002</v>
      </c>
      <c r="AI134" s="38">
        <v>79145.240000000005</v>
      </c>
      <c r="AJ134" s="38">
        <v>0</v>
      </c>
      <c r="AK134" s="38">
        <v>450000</v>
      </c>
      <c r="AL134" s="38">
        <f>SUM(AH134:AK134)</f>
        <v>17439420.16</v>
      </c>
      <c r="AM134" s="107">
        <v>9</v>
      </c>
      <c r="AN134" s="38">
        <v>18788799.289999999</v>
      </c>
      <c r="AO134" s="38">
        <v>2828689</v>
      </c>
      <c r="AP134" s="38">
        <v>250963</v>
      </c>
      <c r="AQ134" s="38">
        <v>0</v>
      </c>
      <c r="AR134" s="38">
        <f>SUM(AN134:AQ134)</f>
        <v>21868451.289999999</v>
      </c>
      <c r="AS134" s="107">
        <v>9</v>
      </c>
      <c r="AT134" s="38">
        <v>17769276.749999993</v>
      </c>
      <c r="AU134" s="38">
        <v>2051017.6099999999</v>
      </c>
      <c r="AV134" s="38">
        <v>0</v>
      </c>
      <c r="AW134" s="38">
        <f t="shared" si="51"/>
        <v>19820294.359999992</v>
      </c>
      <c r="AX134" s="107">
        <v>9</v>
      </c>
      <c r="AY134" s="38">
        <v>35078774.619999997</v>
      </c>
      <c r="AZ134" s="38">
        <v>389496.46</v>
      </c>
      <c r="BA134" s="38">
        <v>1455029.66</v>
      </c>
      <c r="BB134" s="38">
        <f t="shared" si="52"/>
        <v>36923300.739999995</v>
      </c>
      <c r="BC134" s="107">
        <v>9</v>
      </c>
      <c r="BD134" s="38">
        <v>16050442.350000001</v>
      </c>
      <c r="BE134" s="38">
        <v>0</v>
      </c>
      <c r="BF134" s="38">
        <v>400000</v>
      </c>
      <c r="BG134" s="38">
        <v>0</v>
      </c>
      <c r="BH134" s="38">
        <f t="shared" si="53"/>
        <v>16450442.350000001</v>
      </c>
      <c r="BI134" s="107">
        <v>8</v>
      </c>
      <c r="BJ134" s="38">
        <v>16264529.08</v>
      </c>
      <c r="BK134" s="38">
        <v>562641.76</v>
      </c>
      <c r="BL134" s="38"/>
      <c r="BM134" s="38">
        <v>8850123.4299999997</v>
      </c>
      <c r="BN134" s="38">
        <f t="shared" si="54"/>
        <v>25677294.27</v>
      </c>
    </row>
    <row r="135" spans="1:66" ht="15" x14ac:dyDescent="0.25">
      <c r="A135" s="45" t="s">
        <v>289</v>
      </c>
      <c r="B135" s="107">
        <v>11</v>
      </c>
      <c r="C135" s="38">
        <v>19902888.350000001</v>
      </c>
      <c r="D135" s="38">
        <v>617477.44999999995</v>
      </c>
      <c r="E135" s="38">
        <v>0</v>
      </c>
      <c r="F135" s="38">
        <v>1320000</v>
      </c>
      <c r="G135" s="38">
        <f t="shared" si="43"/>
        <v>21840365.800000001</v>
      </c>
      <c r="H135" s="107">
        <v>11</v>
      </c>
      <c r="I135" s="38">
        <v>17035555.969999999</v>
      </c>
      <c r="J135" s="38">
        <v>672565.84000000008</v>
      </c>
      <c r="K135" s="38">
        <v>0</v>
      </c>
      <c r="L135" s="38">
        <f t="shared" si="44"/>
        <v>17708121.809999999</v>
      </c>
      <c r="M135" s="107">
        <v>11</v>
      </c>
      <c r="N135" s="38">
        <v>16724196.219999997</v>
      </c>
      <c r="O135" s="38">
        <v>556984.27</v>
      </c>
      <c r="P135" s="38">
        <f t="shared" si="45"/>
        <v>17281180.489999998</v>
      </c>
      <c r="Q135" s="107">
        <v>11</v>
      </c>
      <c r="R135" s="38">
        <v>50516893.829999998</v>
      </c>
      <c r="S135" s="38">
        <v>311246.61</v>
      </c>
      <c r="T135" s="38">
        <v>1398345.74</v>
      </c>
      <c r="U135" s="38">
        <f t="shared" si="46"/>
        <v>52226486.18</v>
      </c>
      <c r="V135" s="107">
        <v>7</v>
      </c>
      <c r="W135" s="38">
        <v>12439275.359999998</v>
      </c>
      <c r="X135" s="38">
        <v>0</v>
      </c>
      <c r="Y135" s="38">
        <v>0</v>
      </c>
      <c r="Z135" s="38">
        <f t="shared" si="47"/>
        <v>12439275.359999998</v>
      </c>
      <c r="AA135" s="107">
        <v>7</v>
      </c>
      <c r="AB135" s="38">
        <v>12345233.140000002</v>
      </c>
      <c r="AC135" s="38">
        <v>243711.21999999997</v>
      </c>
      <c r="AD135" s="38">
        <v>7065911.5700000003</v>
      </c>
      <c r="AE135" s="38">
        <v>350000</v>
      </c>
      <c r="AF135" s="38">
        <f t="shared" si="48"/>
        <v>20004855.930000003</v>
      </c>
      <c r="AG135" s="107">
        <v>7</v>
      </c>
      <c r="AH135" s="38">
        <v>12764476.479999999</v>
      </c>
      <c r="AI135" s="38">
        <v>2902331.3000000003</v>
      </c>
      <c r="AJ135" s="38">
        <v>0</v>
      </c>
      <c r="AK135" s="38">
        <v>350000</v>
      </c>
      <c r="AL135" s="38">
        <f>SUM(AH135:AK135)</f>
        <v>16016807.779999999</v>
      </c>
      <c r="AM135" s="107">
        <v>7</v>
      </c>
      <c r="AN135" s="38">
        <v>14514595.5</v>
      </c>
      <c r="AO135" s="38">
        <v>2123456.31</v>
      </c>
      <c r="AP135" s="38">
        <v>33618</v>
      </c>
      <c r="AQ135" s="38">
        <v>0</v>
      </c>
      <c r="AR135" s="38">
        <f>SUM(AN135:AQ135)</f>
        <v>16671669.810000001</v>
      </c>
      <c r="AS135" s="107">
        <v>7</v>
      </c>
      <c r="AT135" s="38">
        <v>14142951.1</v>
      </c>
      <c r="AU135" s="38">
        <v>3244496.72</v>
      </c>
      <c r="AV135" s="38">
        <v>0</v>
      </c>
      <c r="AW135" s="38">
        <f t="shared" si="51"/>
        <v>17387447.82</v>
      </c>
      <c r="AX135" s="107">
        <v>7</v>
      </c>
      <c r="AY135" s="38">
        <v>29328529.150000002</v>
      </c>
      <c r="AZ135" s="38">
        <v>3423516.59</v>
      </c>
      <c r="BA135" s="38">
        <v>0</v>
      </c>
      <c r="BB135" s="38">
        <f t="shared" si="52"/>
        <v>32752045.740000002</v>
      </c>
      <c r="BC135" s="107">
        <v>7</v>
      </c>
      <c r="BD135" s="38">
        <v>16341274</v>
      </c>
      <c r="BE135" s="38">
        <v>550311.38</v>
      </c>
      <c r="BF135" s="38">
        <v>350000</v>
      </c>
      <c r="BG135" s="38">
        <v>0</v>
      </c>
      <c r="BH135" s="38">
        <f t="shared" si="53"/>
        <v>17241585.379999999</v>
      </c>
      <c r="BI135" s="107">
        <v>7</v>
      </c>
      <c r="BJ135" s="38">
        <v>16511711.279999999</v>
      </c>
      <c r="BK135" s="38">
        <v>422911.06</v>
      </c>
      <c r="BL135" s="38"/>
      <c r="BM135" s="38">
        <v>9523157.0899999999</v>
      </c>
      <c r="BN135" s="38">
        <f t="shared" si="54"/>
        <v>26457779.43</v>
      </c>
    </row>
    <row r="136" spans="1:66" ht="15" x14ac:dyDescent="0.25">
      <c r="A136" s="45" t="s">
        <v>270</v>
      </c>
      <c r="B136" s="107">
        <v>1</v>
      </c>
      <c r="C136" s="38">
        <v>4172934.35</v>
      </c>
      <c r="D136" s="38">
        <v>0</v>
      </c>
      <c r="E136" s="38">
        <v>0</v>
      </c>
      <c r="F136" s="38">
        <v>120000</v>
      </c>
      <c r="G136" s="38">
        <f t="shared" si="43"/>
        <v>4292934.3499999996</v>
      </c>
      <c r="H136" s="107">
        <v>1</v>
      </c>
      <c r="I136" s="38">
        <v>4021201.9500000007</v>
      </c>
      <c r="J136" s="38">
        <v>0</v>
      </c>
      <c r="K136" s="38">
        <v>0</v>
      </c>
      <c r="L136" s="38">
        <f t="shared" si="44"/>
        <v>4021201.9500000007</v>
      </c>
      <c r="M136" s="107">
        <v>1</v>
      </c>
      <c r="N136" s="38">
        <v>1170242.98</v>
      </c>
      <c r="O136" s="38">
        <v>0</v>
      </c>
      <c r="P136" s="38">
        <f t="shared" si="45"/>
        <v>1170242.98</v>
      </c>
      <c r="Q136" s="107">
        <v>1</v>
      </c>
      <c r="R136" s="38">
        <v>130027.09</v>
      </c>
      <c r="S136" s="38">
        <v>0</v>
      </c>
      <c r="T136" s="38">
        <v>0</v>
      </c>
      <c r="U136" s="38">
        <f t="shared" si="46"/>
        <v>130027.09</v>
      </c>
      <c r="V136" s="107">
        <v>1</v>
      </c>
      <c r="W136" s="38">
        <v>7944642.7199999997</v>
      </c>
      <c r="X136" s="38">
        <v>0</v>
      </c>
      <c r="Y136" s="38">
        <v>0</v>
      </c>
      <c r="Z136" s="38">
        <f t="shared" si="47"/>
        <v>7944642.7199999997</v>
      </c>
      <c r="AA136" s="107">
        <v>1</v>
      </c>
      <c r="AB136" s="38">
        <v>4173863.4099999997</v>
      </c>
      <c r="AC136" s="38">
        <v>0</v>
      </c>
      <c r="AD136" s="38">
        <v>1171000.3999999999</v>
      </c>
      <c r="AE136" s="38">
        <v>50000</v>
      </c>
      <c r="AF136" s="38">
        <f t="shared" si="48"/>
        <v>5394863.8099999996</v>
      </c>
      <c r="AG136" s="107">
        <v>1</v>
      </c>
      <c r="AH136" s="38">
        <v>4319948.1999999993</v>
      </c>
      <c r="AI136" s="38">
        <v>0</v>
      </c>
      <c r="AJ136" s="38">
        <v>0</v>
      </c>
      <c r="AK136" s="38">
        <v>50000</v>
      </c>
      <c r="AL136" s="38">
        <f>SUM(AH136:AK136)</f>
        <v>4369948.1999999993</v>
      </c>
      <c r="AM136" s="107">
        <v>1</v>
      </c>
      <c r="AN136" s="38">
        <v>4449547.6800000016</v>
      </c>
      <c r="AO136" s="38">
        <v>0</v>
      </c>
      <c r="AP136" s="38">
        <v>0</v>
      </c>
      <c r="AQ136" s="38">
        <v>160000</v>
      </c>
      <c r="AR136" s="38">
        <f>SUM(AN136:AQ136)</f>
        <v>4609547.6800000016</v>
      </c>
      <c r="AS136" s="107">
        <v>1</v>
      </c>
      <c r="AT136" s="38">
        <v>4538538.2799999993</v>
      </c>
      <c r="AU136" s="38">
        <v>0</v>
      </c>
      <c r="AV136" s="38">
        <v>0</v>
      </c>
      <c r="AW136" s="38">
        <f t="shared" si="51"/>
        <v>4538538.2799999993</v>
      </c>
      <c r="AX136" s="107">
        <v>1</v>
      </c>
      <c r="AY136" s="38">
        <v>8260613.3299999991</v>
      </c>
      <c r="AZ136" s="38">
        <v>0</v>
      </c>
      <c r="BA136" s="38">
        <v>0</v>
      </c>
      <c r="BB136" s="38">
        <f t="shared" si="52"/>
        <v>8260613.3299999991</v>
      </c>
      <c r="BC136" s="107">
        <v>1</v>
      </c>
      <c r="BD136" s="38">
        <v>4701481.45</v>
      </c>
      <c r="BE136" s="38">
        <v>0</v>
      </c>
      <c r="BF136" s="38">
        <v>50000</v>
      </c>
      <c r="BG136" s="38">
        <v>0</v>
      </c>
      <c r="BH136" s="38">
        <f t="shared" si="53"/>
        <v>4751481.45</v>
      </c>
      <c r="BI136" s="107">
        <v>1</v>
      </c>
      <c r="BJ136" s="38">
        <v>4748495.6500000004</v>
      </c>
      <c r="BK136" s="38"/>
      <c r="BL136" s="38"/>
      <c r="BM136" s="38">
        <v>2374247.8199999998</v>
      </c>
      <c r="BN136" s="38">
        <f t="shared" si="54"/>
        <v>7122743.4700000007</v>
      </c>
    </row>
    <row r="137" spans="1:66" ht="15" x14ac:dyDescent="0.2">
      <c r="A137" s="32" t="s">
        <v>118</v>
      </c>
      <c r="B137" s="117">
        <f t="shared" ref="B137:AG137" si="55">SUM(B123:B136)</f>
        <v>139</v>
      </c>
      <c r="C137" s="117">
        <f t="shared" si="55"/>
        <v>283245348.9000001</v>
      </c>
      <c r="D137" s="117">
        <f t="shared" si="55"/>
        <v>1263012.5899999999</v>
      </c>
      <c r="E137" s="117">
        <f t="shared" si="55"/>
        <v>538140.55000000005</v>
      </c>
      <c r="F137" s="117">
        <f t="shared" si="55"/>
        <v>16560000</v>
      </c>
      <c r="G137" s="117">
        <f t="shared" si="55"/>
        <v>301606502.04000008</v>
      </c>
      <c r="H137" s="117">
        <f t="shared" si="55"/>
        <v>139</v>
      </c>
      <c r="I137" s="117">
        <f t="shared" si="55"/>
        <v>248553976.97</v>
      </c>
      <c r="J137" s="117">
        <f t="shared" si="55"/>
        <v>1408925.01</v>
      </c>
      <c r="K137" s="117">
        <f t="shared" si="55"/>
        <v>0</v>
      </c>
      <c r="L137" s="117">
        <f t="shared" si="55"/>
        <v>249962901.97999999</v>
      </c>
      <c r="M137" s="117">
        <f t="shared" si="55"/>
        <v>139</v>
      </c>
      <c r="N137" s="117">
        <f t="shared" si="55"/>
        <v>242493001.72</v>
      </c>
      <c r="O137" s="117">
        <f t="shared" si="55"/>
        <v>568014.49</v>
      </c>
      <c r="P137" s="117">
        <f t="shared" si="55"/>
        <v>243061016.21000001</v>
      </c>
      <c r="Q137" s="117">
        <f t="shared" si="55"/>
        <v>139</v>
      </c>
      <c r="R137" s="117">
        <f t="shared" si="55"/>
        <v>530502806.42000002</v>
      </c>
      <c r="S137" s="117">
        <f t="shared" si="55"/>
        <v>8783014.8200000003</v>
      </c>
      <c r="T137" s="117">
        <f t="shared" si="55"/>
        <v>16510373.309999999</v>
      </c>
      <c r="U137" s="117">
        <f t="shared" si="55"/>
        <v>555796194.55000007</v>
      </c>
      <c r="V137" s="117">
        <f t="shared" si="55"/>
        <v>109</v>
      </c>
      <c r="W137" s="117">
        <f t="shared" si="55"/>
        <v>303241733.73000002</v>
      </c>
      <c r="X137" s="117">
        <f t="shared" si="55"/>
        <v>2958421.15</v>
      </c>
      <c r="Y137" s="117">
        <f t="shared" si="55"/>
        <v>3810394.95</v>
      </c>
      <c r="Z137" s="117">
        <f t="shared" si="55"/>
        <v>310010549.83000004</v>
      </c>
      <c r="AA137" s="117">
        <f t="shared" si="55"/>
        <v>109</v>
      </c>
      <c r="AB137" s="117">
        <f t="shared" si="55"/>
        <v>204112821.84</v>
      </c>
      <c r="AC137" s="117">
        <f t="shared" si="55"/>
        <v>33720985.770000003</v>
      </c>
      <c r="AD137" s="117">
        <f t="shared" si="55"/>
        <v>122542611.38000003</v>
      </c>
      <c r="AE137" s="117">
        <f t="shared" si="55"/>
        <v>5300000</v>
      </c>
      <c r="AF137" s="117">
        <f t="shared" si="55"/>
        <v>365676418.99000001</v>
      </c>
      <c r="AG137" s="117">
        <f t="shared" si="55"/>
        <v>109</v>
      </c>
      <c r="AH137" s="117">
        <f t="shared" ref="AH137:BM137" si="56">SUM(AH123:AH136)</f>
        <v>219821836.72</v>
      </c>
      <c r="AI137" s="117">
        <f t="shared" si="56"/>
        <v>36056533.950000003</v>
      </c>
      <c r="AJ137" s="117">
        <f t="shared" si="56"/>
        <v>317588.5</v>
      </c>
      <c r="AK137" s="117">
        <f t="shared" si="56"/>
        <v>5300000</v>
      </c>
      <c r="AL137" s="117">
        <f t="shared" si="56"/>
        <v>261495959.16999999</v>
      </c>
      <c r="AM137" s="117">
        <f t="shared" si="56"/>
        <v>105</v>
      </c>
      <c r="AN137" s="117">
        <f t="shared" si="56"/>
        <v>255222872.06</v>
      </c>
      <c r="AO137" s="117">
        <f t="shared" si="56"/>
        <v>30593505.739999998</v>
      </c>
      <c r="AP137" s="117">
        <f t="shared" si="56"/>
        <v>3016935.71</v>
      </c>
      <c r="AQ137" s="117">
        <f t="shared" si="56"/>
        <v>5281656</v>
      </c>
      <c r="AR137" s="117">
        <f t="shared" si="56"/>
        <v>294114969.51000005</v>
      </c>
      <c r="AS137" s="117">
        <f t="shared" si="56"/>
        <v>102</v>
      </c>
      <c r="AT137" s="117">
        <f t="shared" si="56"/>
        <v>235134931.37</v>
      </c>
      <c r="AU137" s="117">
        <f t="shared" si="56"/>
        <v>15190680.25</v>
      </c>
      <c r="AV137" s="117">
        <f t="shared" si="56"/>
        <v>0</v>
      </c>
      <c r="AW137" s="117">
        <f t="shared" si="56"/>
        <v>250325611.62</v>
      </c>
      <c r="AX137" s="117">
        <f t="shared" si="56"/>
        <v>102</v>
      </c>
      <c r="AY137" s="117">
        <f t="shared" si="56"/>
        <v>419146300.56999993</v>
      </c>
      <c r="AZ137" s="117">
        <f t="shared" si="56"/>
        <v>13928158.93</v>
      </c>
      <c r="BA137" s="117">
        <f t="shared" si="56"/>
        <v>1455029.66</v>
      </c>
      <c r="BB137" s="117">
        <f t="shared" si="56"/>
        <v>434529489.16000003</v>
      </c>
      <c r="BC137" s="117">
        <f t="shared" si="56"/>
        <v>102</v>
      </c>
      <c r="BD137" s="117">
        <f t="shared" si="56"/>
        <v>244372415.85999995</v>
      </c>
      <c r="BE137" s="117">
        <f t="shared" si="56"/>
        <v>5989402.8900000006</v>
      </c>
      <c r="BF137" s="117">
        <f t="shared" si="56"/>
        <v>5000000</v>
      </c>
      <c r="BG137" s="117">
        <f t="shared" si="56"/>
        <v>1167441.08</v>
      </c>
      <c r="BH137" s="117">
        <f t="shared" si="56"/>
        <v>256529259.82999995</v>
      </c>
      <c r="BI137" s="117">
        <f t="shared" si="56"/>
        <v>97</v>
      </c>
      <c r="BJ137" s="117">
        <f t="shared" si="56"/>
        <v>243918319.45000002</v>
      </c>
      <c r="BK137" s="117">
        <f t="shared" si="56"/>
        <v>4149756.4099999997</v>
      </c>
      <c r="BL137" s="117">
        <f t="shared" si="56"/>
        <v>0</v>
      </c>
      <c r="BM137" s="117">
        <f t="shared" si="56"/>
        <v>137908423.77999997</v>
      </c>
      <c r="BN137" s="117">
        <f>SUM(BN123:BN136)</f>
        <v>385976499.64000005</v>
      </c>
    </row>
    <row r="138" spans="1:66" x14ac:dyDescent="0.2">
      <c r="A138" s="45"/>
      <c r="B138" s="137"/>
      <c r="C138" s="37"/>
      <c r="D138" s="37"/>
      <c r="E138" s="37"/>
      <c r="F138" s="37"/>
      <c r="G138" s="37"/>
      <c r="H138" s="137"/>
      <c r="I138" s="37"/>
      <c r="J138" s="37"/>
      <c r="K138" s="37"/>
      <c r="L138" s="37"/>
      <c r="M138" s="137"/>
      <c r="N138" s="37"/>
      <c r="O138" s="37"/>
      <c r="P138" s="37"/>
      <c r="Q138" s="137"/>
      <c r="R138" s="37"/>
      <c r="S138" s="37"/>
      <c r="T138" s="37"/>
      <c r="U138" s="37"/>
      <c r="V138" s="137"/>
      <c r="W138" s="37"/>
      <c r="X138" s="37"/>
      <c r="Y138" s="37"/>
      <c r="Z138" s="37"/>
      <c r="AA138" s="137"/>
      <c r="AB138" s="37"/>
      <c r="AC138" s="37"/>
      <c r="AD138" s="37"/>
      <c r="AE138" s="37"/>
      <c r="AF138" s="37"/>
      <c r="AG138" s="137"/>
      <c r="AH138" s="37"/>
      <c r="AI138" s="37"/>
      <c r="AJ138" s="37"/>
      <c r="AK138" s="37"/>
      <c r="AL138" s="37"/>
      <c r="AM138" s="137"/>
      <c r="AN138" s="37"/>
      <c r="AO138" s="37"/>
      <c r="AP138" s="37"/>
      <c r="AQ138" s="37"/>
      <c r="AR138" s="37"/>
      <c r="AS138" s="137"/>
      <c r="AT138" s="37"/>
      <c r="AU138" s="37"/>
      <c r="AV138" s="37"/>
      <c r="AW138" s="37"/>
      <c r="AX138" s="137"/>
      <c r="AY138" s="37"/>
      <c r="AZ138" s="37"/>
      <c r="BA138" s="37"/>
      <c r="BB138" s="37"/>
      <c r="BC138" s="137"/>
      <c r="BD138" s="37"/>
      <c r="BE138" s="37"/>
      <c r="BF138" s="37"/>
      <c r="BG138" s="37"/>
      <c r="BH138" s="37"/>
      <c r="BI138" s="137"/>
      <c r="BJ138" s="37"/>
      <c r="BK138" s="37"/>
      <c r="BL138" s="37"/>
      <c r="BM138" s="37"/>
      <c r="BN138" s="37"/>
    </row>
    <row r="139" spans="1:66" ht="15" x14ac:dyDescent="0.2">
      <c r="A139" s="32" t="s">
        <v>101</v>
      </c>
      <c r="B139" s="138" t="s">
        <v>114</v>
      </c>
      <c r="C139" s="133" t="s">
        <v>115</v>
      </c>
      <c r="D139" s="133" t="s">
        <v>116</v>
      </c>
      <c r="E139" s="44" t="s">
        <v>372</v>
      </c>
      <c r="F139" s="44" t="s">
        <v>373</v>
      </c>
      <c r="G139" s="133" t="s">
        <v>44</v>
      </c>
      <c r="H139" s="138" t="s">
        <v>114</v>
      </c>
      <c r="I139" s="133" t="s">
        <v>115</v>
      </c>
      <c r="J139" s="133" t="s">
        <v>116</v>
      </c>
      <c r="K139" s="44" t="s">
        <v>372</v>
      </c>
      <c r="L139" s="133" t="s">
        <v>44</v>
      </c>
      <c r="M139" s="138" t="s">
        <v>114</v>
      </c>
      <c r="N139" s="133" t="s">
        <v>115</v>
      </c>
      <c r="O139" s="133" t="s">
        <v>116</v>
      </c>
      <c r="P139" s="133" t="s">
        <v>44</v>
      </c>
      <c r="Q139" s="138" t="s">
        <v>114</v>
      </c>
      <c r="R139" s="133" t="s">
        <v>115</v>
      </c>
      <c r="S139" s="133" t="s">
        <v>116</v>
      </c>
      <c r="T139" s="44" t="s">
        <v>372</v>
      </c>
      <c r="U139" s="133" t="s">
        <v>44</v>
      </c>
      <c r="V139" s="138" t="s">
        <v>114</v>
      </c>
      <c r="W139" s="133" t="s">
        <v>115</v>
      </c>
      <c r="X139" s="133" t="s">
        <v>116</v>
      </c>
      <c r="Y139" s="44" t="s">
        <v>372</v>
      </c>
      <c r="Z139" s="133" t="s">
        <v>44</v>
      </c>
      <c r="AA139" s="138" t="s">
        <v>114</v>
      </c>
      <c r="AB139" s="133" t="s">
        <v>115</v>
      </c>
      <c r="AC139" s="133" t="s">
        <v>116</v>
      </c>
      <c r="AD139" s="44" t="s">
        <v>372</v>
      </c>
      <c r="AE139" s="44" t="s">
        <v>374</v>
      </c>
      <c r="AF139" s="133" t="s">
        <v>44</v>
      </c>
      <c r="AG139" s="138" t="s">
        <v>114</v>
      </c>
      <c r="AH139" s="133" t="s">
        <v>115</v>
      </c>
      <c r="AI139" s="133" t="s">
        <v>116</v>
      </c>
      <c r="AJ139" s="44" t="s">
        <v>372</v>
      </c>
      <c r="AK139" s="44" t="s">
        <v>374</v>
      </c>
      <c r="AL139" s="133" t="s">
        <v>44</v>
      </c>
      <c r="AM139" s="138" t="s">
        <v>114</v>
      </c>
      <c r="AN139" s="133" t="s">
        <v>115</v>
      </c>
      <c r="AO139" s="133" t="s">
        <v>116</v>
      </c>
      <c r="AP139" s="44" t="s">
        <v>372</v>
      </c>
      <c r="AQ139" s="44" t="s">
        <v>374</v>
      </c>
      <c r="AR139" s="133" t="s">
        <v>44</v>
      </c>
      <c r="AS139" s="138" t="s">
        <v>114</v>
      </c>
      <c r="AT139" s="133" t="s">
        <v>115</v>
      </c>
      <c r="AU139" s="133" t="s">
        <v>116</v>
      </c>
      <c r="AV139" s="44" t="s">
        <v>372</v>
      </c>
      <c r="AW139" s="133" t="s">
        <v>44</v>
      </c>
      <c r="AX139" s="138" t="s">
        <v>114</v>
      </c>
      <c r="AY139" s="133" t="s">
        <v>115</v>
      </c>
      <c r="AZ139" s="133" t="s">
        <v>116</v>
      </c>
      <c r="BA139" s="44" t="s">
        <v>372</v>
      </c>
      <c r="BB139" s="133" t="s">
        <v>44</v>
      </c>
      <c r="BC139" s="138" t="s">
        <v>114</v>
      </c>
      <c r="BD139" s="133" t="s">
        <v>115</v>
      </c>
      <c r="BE139" s="133" t="s">
        <v>116</v>
      </c>
      <c r="BF139" s="44" t="s">
        <v>375</v>
      </c>
      <c r="BG139" s="44" t="s">
        <v>372</v>
      </c>
      <c r="BH139" s="133" t="s">
        <v>44</v>
      </c>
      <c r="BI139" s="138" t="s">
        <v>114</v>
      </c>
      <c r="BJ139" s="133" t="s">
        <v>115</v>
      </c>
      <c r="BK139" s="133" t="s">
        <v>116</v>
      </c>
      <c r="BL139" s="44" t="s">
        <v>375</v>
      </c>
      <c r="BM139" s="44" t="s">
        <v>372</v>
      </c>
      <c r="BN139" s="133" t="s">
        <v>44</v>
      </c>
    </row>
    <row r="140" spans="1:66" ht="15" x14ac:dyDescent="0.2">
      <c r="A140" s="46" t="s">
        <v>141</v>
      </c>
      <c r="B140" s="150">
        <f>B114+B109+B104+B99+B94+B88+B80+B71+B67+B63+B59+B54+B43+B38+B32+B11+B119+B48+B137+B16</f>
        <v>515</v>
      </c>
      <c r="C140" s="150">
        <f t="shared" ref="C140:BH140" si="57">C114+C109+C104+C99+C94+C88+C80+C71+C67+C63+C59+C54+C43+C38+C32+C11+C119+C48+C137+C16</f>
        <v>1125840850.4100003</v>
      </c>
      <c r="D140" s="150">
        <f t="shared" si="57"/>
        <v>55966851.109999999</v>
      </c>
      <c r="E140" s="150">
        <f t="shared" si="57"/>
        <v>4810293.2300000004</v>
      </c>
      <c r="F140" s="150">
        <f t="shared" si="57"/>
        <v>60480000</v>
      </c>
      <c r="G140" s="150">
        <f t="shared" si="57"/>
        <v>1247097994.7500002</v>
      </c>
      <c r="H140" s="150">
        <f t="shared" si="57"/>
        <v>515</v>
      </c>
      <c r="I140" s="150">
        <f t="shared" si="57"/>
        <v>911733360.18000019</v>
      </c>
      <c r="J140" s="150">
        <f t="shared" si="57"/>
        <v>73345546.75</v>
      </c>
      <c r="K140" s="150">
        <f t="shared" si="57"/>
        <v>416458.20999999996</v>
      </c>
      <c r="L140" s="150">
        <f t="shared" si="57"/>
        <v>985495365.1400001</v>
      </c>
      <c r="M140" s="150">
        <f t="shared" si="57"/>
        <v>515</v>
      </c>
      <c r="N140" s="150">
        <f t="shared" si="57"/>
        <v>932567326.16999996</v>
      </c>
      <c r="O140" s="150">
        <f t="shared" si="57"/>
        <v>47092939.469999999</v>
      </c>
      <c r="P140" s="150">
        <f t="shared" si="57"/>
        <v>979660265.63999999</v>
      </c>
      <c r="Q140" s="150">
        <f t="shared" si="57"/>
        <v>515</v>
      </c>
      <c r="R140" s="150">
        <f t="shared" si="57"/>
        <v>1594454224.78</v>
      </c>
      <c r="S140" s="150">
        <f t="shared" si="57"/>
        <v>72788374.310000017</v>
      </c>
      <c r="T140" s="150">
        <f t="shared" si="57"/>
        <v>35243136.099999994</v>
      </c>
      <c r="U140" s="150">
        <f t="shared" si="57"/>
        <v>1702485735.1900001</v>
      </c>
      <c r="V140" s="150">
        <f t="shared" si="57"/>
        <v>455</v>
      </c>
      <c r="W140" s="150">
        <f t="shared" si="57"/>
        <v>992160069.98000002</v>
      </c>
      <c r="X140" s="150">
        <f t="shared" si="57"/>
        <v>72066490.12000002</v>
      </c>
      <c r="Y140" s="150">
        <f t="shared" si="57"/>
        <v>4941748.8800000008</v>
      </c>
      <c r="Z140" s="150">
        <f t="shared" si="57"/>
        <v>1069168308.9799999</v>
      </c>
      <c r="AA140" s="150">
        <f t="shared" si="57"/>
        <v>449</v>
      </c>
      <c r="AB140" s="150">
        <f t="shared" si="57"/>
        <v>910509222.68000007</v>
      </c>
      <c r="AC140" s="150">
        <f t="shared" si="57"/>
        <v>235728498.39999998</v>
      </c>
      <c r="AD140" s="150">
        <f t="shared" si="57"/>
        <v>577842105.95999992</v>
      </c>
      <c r="AE140" s="150">
        <f t="shared" si="57"/>
        <v>22700000</v>
      </c>
      <c r="AF140" s="150">
        <f t="shared" si="57"/>
        <v>1746779827.0400002</v>
      </c>
      <c r="AG140" s="150">
        <f t="shared" si="57"/>
        <v>440</v>
      </c>
      <c r="AH140" s="150">
        <f t="shared" si="57"/>
        <v>1431841557.3</v>
      </c>
      <c r="AI140" s="150">
        <f t="shared" si="57"/>
        <v>174898231.01999998</v>
      </c>
      <c r="AJ140" s="150">
        <f t="shared" si="57"/>
        <v>8900740.6699999999</v>
      </c>
      <c r="AK140" s="150">
        <f t="shared" si="57"/>
        <v>22450000</v>
      </c>
      <c r="AL140" s="150">
        <f t="shared" si="57"/>
        <v>1638090528.9899998</v>
      </c>
      <c r="AM140" s="150">
        <f t="shared" si="57"/>
        <v>440</v>
      </c>
      <c r="AN140" s="150">
        <f t="shared" si="57"/>
        <v>1076175608.0400002</v>
      </c>
      <c r="AO140" s="150">
        <f t="shared" si="57"/>
        <v>174739970.97999999</v>
      </c>
      <c r="AP140" s="150">
        <f t="shared" si="57"/>
        <v>12727090.650000002</v>
      </c>
      <c r="AQ140" s="150">
        <f t="shared" si="57"/>
        <v>13818801</v>
      </c>
      <c r="AR140" s="150">
        <f t="shared" si="57"/>
        <v>1277461470.6700001</v>
      </c>
      <c r="AS140" s="150">
        <f t="shared" si="57"/>
        <v>431</v>
      </c>
      <c r="AT140" s="150">
        <f t="shared" si="57"/>
        <v>1007626842.46</v>
      </c>
      <c r="AU140" s="150">
        <f t="shared" si="57"/>
        <v>74286605.520000011</v>
      </c>
      <c r="AV140" s="150">
        <f t="shared" si="57"/>
        <v>2420529.75</v>
      </c>
      <c r="AW140" s="150">
        <f t="shared" si="57"/>
        <v>1084333977.73</v>
      </c>
      <c r="AX140" s="150">
        <f t="shared" si="57"/>
        <v>431</v>
      </c>
      <c r="AY140" s="150">
        <f t="shared" si="57"/>
        <v>1794105668.9500003</v>
      </c>
      <c r="AZ140" s="150">
        <f t="shared" si="57"/>
        <v>54782954.640000001</v>
      </c>
      <c r="BA140" s="150">
        <f t="shared" si="57"/>
        <v>5136991.04</v>
      </c>
      <c r="BB140" s="150">
        <f t="shared" si="57"/>
        <v>1854025614.6300004</v>
      </c>
      <c r="BC140" s="150">
        <f t="shared" si="57"/>
        <v>431</v>
      </c>
      <c r="BD140" s="150">
        <f t="shared" si="57"/>
        <v>1038879909.53</v>
      </c>
      <c r="BE140" s="150">
        <f t="shared" si="57"/>
        <v>128166332.62</v>
      </c>
      <c r="BF140" s="150">
        <f t="shared" si="57"/>
        <v>21200000</v>
      </c>
      <c r="BG140" s="150">
        <f t="shared" si="57"/>
        <v>2413219.79</v>
      </c>
      <c r="BH140" s="150">
        <f t="shared" si="57"/>
        <v>1190659461.9399998</v>
      </c>
      <c r="BI140" s="150">
        <f t="shared" ref="BI140:BN140" si="58">BI114+BI109+BI104+BI99+BI94+BI88+BI80+BI71+BI67+BI63+BI59+BI54+BI43+BI38+BI32+BI11+BI119+BI48+BI137+BI16</f>
        <v>423</v>
      </c>
      <c r="BJ140" s="150">
        <f t="shared" si="58"/>
        <v>1056542835.99</v>
      </c>
      <c r="BK140" s="150">
        <f t="shared" si="58"/>
        <v>71487223.799999997</v>
      </c>
      <c r="BL140" s="150">
        <f t="shared" si="58"/>
        <v>0</v>
      </c>
      <c r="BM140" s="150">
        <f t="shared" si="58"/>
        <v>622156988.52999985</v>
      </c>
      <c r="BN140" s="150">
        <f t="shared" si="58"/>
        <v>1750187048.3200004</v>
      </c>
    </row>
  </sheetData>
  <mergeCells count="14">
    <mergeCell ref="A1:BN1"/>
    <mergeCell ref="B4:G4"/>
    <mergeCell ref="H4:L4"/>
    <mergeCell ref="M4:P4"/>
    <mergeCell ref="Q4:U4"/>
    <mergeCell ref="V4:Z4"/>
    <mergeCell ref="AA4:AF4"/>
    <mergeCell ref="AG4:AL4"/>
    <mergeCell ref="AM4:AR4"/>
    <mergeCell ref="AS4:AW4"/>
    <mergeCell ref="AX4:BB4"/>
    <mergeCell ref="BC4:BH4"/>
    <mergeCell ref="BI4:BN4"/>
    <mergeCell ref="B3:BN3"/>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12</vt:i4>
      </vt:variant>
      <vt:variant>
        <vt:lpstr>Rangos con nombre</vt:lpstr>
      </vt:variant>
      <vt:variant>
        <vt:i4>1</vt:i4>
      </vt:variant>
    </vt:vector>
  </HeadingPairs>
  <TitlesOfParts>
    <vt:vector size="13" baseType="lpstr">
      <vt:lpstr>AUSENTISMO CONVENIO</vt:lpstr>
      <vt:lpstr>AUSENTISMO FC</vt:lpstr>
      <vt:lpstr>DISTRIBUCION MENSUAL DE HORAS</vt:lpstr>
      <vt:lpstr>TOTAL POR SECTOR</vt:lpstr>
      <vt:lpstr>INDICE ACCIDENTES</vt:lpstr>
      <vt:lpstr>DATOS</vt:lpstr>
      <vt:lpstr>DISTRIBUCION DE HORAS C</vt:lpstr>
      <vt:lpstr>DISTRIBUCION DE HORAS FC</vt:lpstr>
      <vt:lpstr>Apertura de Acc </vt:lpstr>
      <vt:lpstr>APERTURA ACCIDENTES</vt:lpstr>
      <vt:lpstr>ALTAS Y BAJAS</vt:lpstr>
      <vt:lpstr>Haberes</vt:lpstr>
      <vt:lpstr>DATOS!Área_de_impresión</vt:lpstr>
    </vt:vector>
  </TitlesOfParts>
  <Company>Tandanor</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m.Palma</dc:creator>
  <cp:lastModifiedBy>t.081</cp:lastModifiedBy>
  <cp:lastPrinted>2018-03-06T14:05:02Z</cp:lastPrinted>
  <dcterms:created xsi:type="dcterms:W3CDTF">2010-01-12T14:45:01Z</dcterms:created>
  <dcterms:modified xsi:type="dcterms:W3CDTF">2026-04-15T12:21:13Z</dcterms:modified>
</cp:coreProperties>
</file>