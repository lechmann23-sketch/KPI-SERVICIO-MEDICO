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5b1a5e67c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1208e1d1bd84d05"/>
    <x:sheet xmlns:r="http://schemas.openxmlformats.org/officeDocument/2006/relationships" name="Ausentismo_Medico" sheetId="2" r:id="R7526fa045ebf4b14"/>
    <x:sheet xmlns:r="http://schemas.openxmlformats.org/officeDocument/2006/relationships" name="Actividad_Servicio" sheetId="3" r:id="Rff3e4b7042a24344"/>
    <x:sheet xmlns:r="http://schemas.openxmlformats.org/officeDocument/2006/relationships" name="Ranking_Sectores" sheetId="4" r:id="Rd6f76f94416745fd"/>
    <x:sheet xmlns:r="http://schemas.openxmlformats.org/officeDocument/2006/relationships" name="BP_Seguimiento" sheetId="5" r:id="R259a36b9f0c740d5"/>
    <x:sheet xmlns:r="http://schemas.openxmlformats.org/officeDocument/2006/relationships" name="ART_Seguimiento" sheetId="6" r:id="Rb72f700d6e8c4f0a"/>
    <x:sheet xmlns:r="http://schemas.openxmlformats.org/officeDocument/2006/relationships" name="ART_Resumen" sheetId="7" r:id="R9361fdc45fc8419e"/>
    <x:sheet xmlns:r="http://schemas.openxmlformats.org/officeDocument/2006/relationships" name="Fuentes_y_Criterios" sheetId="8" r:id="R360484129a2a48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FFFFFF"/>
      <x:name val="Carlito"/>
    </x:font>
    <x:font>
      <x:b/>
      <x:sz val="11"/>
      <x:color rgb="FF17324D"/>
      <x:name val="Carlito"/>
    </x:font>
    <x:font>
      <x:b/>
      <x:sz val="12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7324D"/>
      </x:patternFill>
    </x:fill>
    <x:fill>
      <x:patternFill patternType="solid">
        <x:fgColor rgb="FFF3F6F8"/>
      </x:patternFill>
    </x:fill>
  </x:fills>
  <x:borders count="2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b97c0f9a8e41f4" /><Relationship Type="http://schemas.openxmlformats.org/officeDocument/2006/relationships/theme" Target="/xl/theme/theme1.xml" Id="R514eddc9a0604a93" /><Relationship Type="http://schemas.openxmlformats.org/officeDocument/2006/relationships/sharedStrings" Target="/xl/sharedStrings.xml" Id="R7f2775f3e96243f2" /><Relationship Type="http://schemas.openxmlformats.org/officeDocument/2006/relationships/worksheet" Target="/xl/worksheets/sheet1.xml" Id="R01208e1d1bd84d05" /><Relationship Type="http://schemas.openxmlformats.org/officeDocument/2006/relationships/worksheet" Target="/xl/worksheets/sheet2.xml" Id="R7526fa045ebf4b14" /><Relationship Type="http://schemas.openxmlformats.org/officeDocument/2006/relationships/worksheet" Target="/xl/worksheets/sheet3.xml" Id="Rff3e4b7042a24344" /><Relationship Type="http://schemas.openxmlformats.org/officeDocument/2006/relationships/worksheet" Target="/xl/worksheets/sheet4.xml" Id="Rd6f76f94416745fd" /><Relationship Type="http://schemas.openxmlformats.org/officeDocument/2006/relationships/worksheet" Target="/xl/worksheets/sheet5.xml" Id="R259a36b9f0c740d5" /><Relationship Type="http://schemas.openxmlformats.org/officeDocument/2006/relationships/worksheet" Target="/xl/worksheets/sheet6.xml" Id="Rb72f700d6e8c4f0a" /><Relationship Type="http://schemas.openxmlformats.org/officeDocument/2006/relationships/worksheet" Target="/xl/worksheets/sheet7.xml" Id="R9361fdc45fc8419e" /><Relationship Type="http://schemas.openxmlformats.org/officeDocument/2006/relationships/worksheet" Target="/xl/worksheets/sheet8.xml" Id="R360484129a2a48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1fda1b13cf4968" /><Relationship Type="http://schemas.openxmlformats.org/officeDocument/2006/relationships/chart" Target="/xl/drawings/charts/chart2.xml" Id="Rd99fb407923446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Tasas: ausentismo medico vs total sin vacaciones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Aus. medico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'Dashboard'!$A$18:$A$33</c:f>
              <c:strCache>
                <c:ptCount val="0"/>
              </c:strCache>
            </c:strRef>
          </c:cat>
          <c:val>
            <c:numRef>
              <c:f>'Dashboard'!$B$18:$B$33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Total s/vac.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'Dashboard'!$A$18:$A$33</c:f>
              <c:strCache>
                <c:ptCount val="0"/>
              </c:strCache>
            </c:strRef>
          </c:cat>
          <c:val>
            <c:numRef>
              <c:f>'Dashboard'!$C$18:$C$33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Participacion medica dentro del ausentismo total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Medico/total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'Dashboard'!$A$37:$A$52</c:f>
              <c:strCache>
                <c:ptCount val="0"/>
              </c:strCache>
            </c:strRef>
          </c:cat>
          <c:val>
            <c:numRef>
              <c:f>'Dashboard'!$B$37:$B$52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16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1fda1b13cf4968"/>
        </a:graphicData>
      </a:graphic>
    </xdr:graphicFrame>
    <xdr:clientData/>
  </xdr:twoCellAnchor>
  <xdr:twoCellAnchor>
    <xdr:from>
      <xdr:col>5</xdr:col>
      <xdr:colOff>0</xdr:colOff>
      <xdr:row>32</xdr:row>
      <xdr:rowOff>0</xdr:rowOff>
    </xdr:from>
    <xdr:to>
      <xdr:col>14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9fb407923446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usentismoMedico" displayName="AusentismoMedico" ref="A1:P17" headerRowCount="1">
  <x:tableColumns count="16">
    <x:tableColumn id="1" name="Mes"/>
    <x:tableColumn id="2" name="Hs normales"/>
    <x:tableColumn id="3" name="Hs trabajadas"/>
    <x:tableColumn id="4" name="Hs enfermedad"/>
    <x:tableColumn id="5" name="Hs accidentes/ART"/>
    <x:tableColumn id="6" name="Hs medicas"/>
    <x:tableColumn id="7" name="Hs ausentismo total s/vac."/>
    <x:tableColumn id="8" name="% ausentismo medico"/>
    <x:tableColumn id="9" name="% ausentismo total s/vac."/>
    <x:tableColumn id="10" name="% ausentismo total c/vac."/>
    <x:tableColumn id="11" name="% medico sobre total"/>
    <x:tableColumn id="12" name="Hs vacaciones"/>
    <x:tableColumn id="13" name="Dotacion"/>
    <x:tableColumn id="14" name="Hs medicas por persona"/>
    <x:tableColumn id="15" name="Semaforo medico"/>
    <x:tableColumn id="16" name="Fuente"/>
  </x:tableColumns>
  <x:tableStyleInfo name="TableStyleMedium2" showRowStripes="1"/>
</x:table>
</file>

<file path=xl/tables/table2.xml><?xml version="1.0" encoding="utf-8"?>
<x:table xmlns:x="http://schemas.openxmlformats.org/spreadsheetml/2006/main" id="2" name="ActividadServicio" displayName="ActividadServicio" ref="A1:F7" headerRowCount="1">
  <x:tableColumns count="6">
    <x:tableColumn id="1" name="Mes"/>
    <x:tableColumn id="2" name="Atenciones"/>
    <x:tableColumn id="3" name="Personas atendidas"/>
    <x:tableColumn id="4" name="Registros con licencia"/>
    <x:tableColumn id="5" name="Dias indicados"/>
    <x:tableColumn id="6" name="Horas indicadas"/>
  </x:tableColumns>
  <x:tableStyleInfo name="TableStyleMedium2" showRowStripes="1"/>
</x:table>
</file>

<file path=xl/tables/table3.xml><?xml version="1.0" encoding="utf-8"?>
<x:table xmlns:x="http://schemas.openxmlformats.org/spreadsheetml/2006/main" id="3" name="RankingSectores" displayName="RankingSectores" ref="A1:I232" headerRowCount="1">
  <x:tableColumns count="9">
    <x:tableColumn id="1" name="Mes"/>
    <x:tableColumn id="2" name="Convenio"/>
    <x:tableColumn id="3" name="Sector"/>
    <x:tableColumn id="4" name="Hs enfermedad"/>
    <x:tableColumn id="5" name="Hs accidentes"/>
    <x:tableColumn id="6" name="Hs medicas"/>
    <x:tableColumn id="7" name="Dotacion"/>
    <x:tableColumn id="8" name="Hs medicas/persona"/>
    <x:tableColumn id="9" name="Fuente"/>
  </x:tableColumns>
  <x:tableStyleInfo name="TableStyleMedium2" showRowStripes="1"/>
</x:table>
</file>

<file path=xl/tables/table4.xml><?xml version="1.0" encoding="utf-8"?>
<x:table xmlns:x="http://schemas.openxmlformats.org/spreadsheetml/2006/main" id="4" name="BPSeguimiento" displayName="BPSeguimiento" ref="A1:K35" headerRowCount="1">
  <x:tableColumns count="11">
    <x:tableColumn id="1" name="Estado"/>
    <x:tableColumn id="2" name="Legajo"/>
    <x:tableColumn id="3" name="Persona"/>
    <x:tableColumn id="4" name="Baja"/>
    <x:tableColumn id="5" name="Ult. cons."/>
    <x:tableColumn id="6" name="Prox. cons."/>
    <x:tableColumn id="7" name="Alta"/>
    <x:tableColumn id="8" name="Diagnostico"/>
    <x:tableColumn id="9" name="Dias BL"/>
    <x:tableColumn id="10" name="Dias saldo"/>
    <x:tableColumn id="11" name="Comentarios"/>
  </x:tableColumns>
  <x:tableStyleInfo name="TableStyleMedium2" showRowStripes="1"/>
</x:table>
</file>

<file path=xl/tables/table5.xml><?xml version="1.0" encoding="utf-8"?>
<x:table xmlns:x="http://schemas.openxmlformats.org/spreadsheetml/2006/main" id="5" name="ARTSeguimiento" displayName="ARTSeguimiento" ref="A1:M31" headerRowCount="1">
  <x:tableColumns count="13">
    <x:tableColumn id="1" name="Estado"/>
    <x:tableColumn id="2" name="Rechazado"/>
    <x:tableColumn id="3" name="Legajo"/>
    <x:tableColumn id="4" name="Persona"/>
    <x:tableColumn id="5" name="Sector"/>
    <x:tableColumn id="6" name="Contingencia"/>
    <x:tableColumn id="7" name="Baja"/>
    <x:tableColumn id="8" name="Alta"/>
    <x:tableColumn id="9" name="Diagnostico"/>
    <x:tableColumn id="10" name="ILT"/>
    <x:tableColumn id="11" name="ILP"/>
    <x:tableColumn id="12" name="Recalificacion"/>
    <x:tableColumn id="13" name="Observaciones"/>
  </x:tableColumns>
  <x:tableStyleInfo name="TableStyleMedium2" showRowStripes="1"/>
</x:table>
</file>

<file path=xl/tables/table6.xml><?xml version="1.0" encoding="utf-8"?>
<x:table xmlns:x="http://schemas.openxmlformats.org/spreadsheetml/2006/main" id="6" name="RankingATSectores" displayName="RankingATSectores" ref="A12:F21" headerRowCount="1">
  <x:tableColumns count="6">
    <x:tableColumn id="1" name="Rank"/>
    <x:tableColumn id="2" name="Sector AT"/>
    <x:tableColumn id="3" name="Denunciados AT"/>
    <x:tableColumn id="4" name="Rechazados"/>
    <x:tableColumn id="5" name="Activos no rechazados"/>
    <x:tableColumn id="6" name="Cerrados no rechazad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bda7af435146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fb31c7aeb047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21ab70d64f4a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ca59ab5aa440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b88a3fafdd40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2ac1fb0e6b4c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ca3186e70247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6" hidden="0" customWidth="1"/>
    <x:col min="3" max="3" width="14.5" hidden="0" customWidth="1"/>
    <x:col min="4" max="4" width="15.75" hidden="0" customWidth="1"/>
    <x:col min="5" max="5" width="15.75" hidden="0" customWidth="1"/>
    <x:col min="6" max="6" width="15.75" hidden="0" customWidth="1"/>
    <x:col min="7" max="7" width="15.75" hidden="0" customWidth="1"/>
    <x:col min="8" max="8" width="15.75" hidden="0" customWidth="1"/>
    <x:col min="9" max="9" width="15.75" hidden="0" customWidth="1"/>
    <x:col min="10" max="10" width="3" hidden="0" customWidth="1"/>
    <x:col min="11" max="11" width="15.75" hidden="0" customWidth="1"/>
    <x:col min="12" max="12" width="15.75" hidden="0" customWidth="1"/>
    <x:col min="13" max="13" width="15.75" hidden="0" customWidth="1"/>
    <x:col min="14" max="14" width="26.25" hidden="0" customWidth="1"/>
  </x:cols>
  <x:sheetData>
    <x:row r="1" ht="22.5" customHeight="1">
      <x:c r="A1" s="12" t="str">
        <x:v>Dashboard Medicina Laboral Tandanor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</x:row>
    <x:row r="2">
      <x:c r="A2" s="13" t="str">
        <x:v>Gestion de ausentismo medico, ART, atenciones y focos sectoriales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16" t="str">
        <x:v>Mes seleccionado</x:v>
      </x:c>
      <x:c r="B4" s="16" t="str">
        <x:v>2026-04</x:v>
      </x:c>
    </x:row>
    <x:row r="6">
      <x:c r="A6" s="16" t="str">
        <x:v>Mes</x:v>
      </x:c>
      <x:c r="B6" s="16" t="str">
        <x:v>Aus. medico</x:v>
      </x:c>
      <x:c r="C6" s="16" t="str">
        <x:v>Total s/vac.</x:v>
      </x:c>
      <x:c r="D6" s="16" t="str">
        <x:v>Total c/vac.</x:v>
      </x:c>
      <x:c r="E6" s="16" t="str">
        <x:v>Medico/total</x:v>
      </x:c>
      <x:c r="F6" s="16" t="str">
        <x:v>Hs enfermedad</x:v>
      </x:c>
      <x:c r="G6" s="16" t="str">
        <x:v>Hs ART/acc.</x:v>
      </x:c>
      <x:c r="H6" s="16" t="str">
        <x:v>Hs medicas</x:v>
      </x:c>
      <x:c r="I6" s="16" t="str">
        <x:v>Hs med./persona</x:v>
      </x:c>
      <x:c r="K6" s="16" t="str">
        <x:v>Atenciones</x:v>
      </x:c>
      <x:c r="L6" s="16" t="str">
        <x:v>Licencias</x:v>
      </x:c>
      <x:c r="M6" s="16" t="str">
        <x:v>BP activos reales</x:v>
      </x:c>
      <x:c r="N6" s="16" t="str">
        <x:v>ART act. no rech.</x:v>
      </x:c>
    </x:row>
    <x:row r="7">
      <x:c r="A7" s="18" t="str">
        <x:f>$B$4</x:f>
        <x:v>2026-04</x:v>
      </x:c>
      <x:c r="B7" s="19" t="n">
        <x:f>INDEX($B$18:$B$33,MATCH($B$4,$A$18:$A$33,0))</x:f>
        <x:v>0.042030502392344495</x:v>
      </x:c>
      <x:c r="C7" s="19" t="n">
        <x:f>INDEX($C$18:$C$33,MATCH($B$4,$A$18:$A$33,0))</x:f>
        <x:v>0.1526913876</x:v>
      </x:c>
      <x:c r="D7" s="19" t="n">
        <x:f>INDEX($D$18:$D$33,MATCH($B$4,$A$18:$A$33,0))</x:f>
        <x:v>0.1941910885167464</x:v>
      </x:c>
      <x:c r="E7" s="19" t="n">
        <x:f>INDEX($E$18:$E$33,MATCH($B$4,$A$18:$A$33,0))</x:f>
        <x:v>0.27526439482961224</x:v>
      </x:c>
      <x:c r="F7" s="18" t="n">
        <x:f>INDEX(Ausentismo_Medico!$D$2:$D$17,MATCH($B$4,Ausentismo_Medico!$A$2:$A$17,0))</x:f>
        <x:v>2467</x:v>
      </x:c>
      <x:c r="G7" s="18" t="n">
        <x:f>INDEX(Ausentismo_Medico!$E$2:$E$17,MATCH($B$4,Ausentismo_Medico!$A$2:$A$17,0))</x:f>
        <x:v>344</x:v>
      </x:c>
      <x:c r="H7" s="18" t="n">
        <x:f>INDEX(Ausentismo_Medico!$F$2:$F$17,MATCH($B$4,Ausentismo_Medico!$A$2:$A$17,0))</x:f>
        <x:v>2811</x:v>
      </x:c>
      <x:c r="I7" s="20" t="n">
        <x:f>INDEX(Ausentismo_Medico!$N$2:$N$17,MATCH($B$4,Ausentismo_Medico!$A$2:$A$17,0))</x:f>
        <x:v>6.72488038277512</x:v>
      </x:c>
      <x:c r="J7" s="18"/>
      <x:c r="K7" s="18" t="n">
        <x:f>IFERROR(INDEX(Actividad_Servicio!$B$2:$B$7,MATCH($B$4,Actividad_Servicio!$A$2:$A$7,0)),0)</x:f>
        <x:v>470</x:v>
      </x:c>
      <x:c r="L7" s="18" t="n">
        <x:f>IFERROR(INDEX(Actividad_Servicio!$D$2:$D$7,MATCH($B$4,Actividad_Servicio!$A$2:$A$7,0)),0)</x:f>
        <x:v>294</x:v>
      </x:c>
      <x:c r="M7" s="18" t="n">
        <x:f>11</x:f>
        <x:v>11</x:v>
      </x:c>
      <x:c r="N7" s="18" t="n">
        <x:f>5</x:f>
        <x:v>5</x:v>
      </x:c>
    </x:row>
    <x:row r="10">
      <x:c r="A10" s="2" t="str">
        <x:v>Lectura para gestion</x:v>
      </x:c>
      <x:c r="B10" s="2"/>
      <x:c r="C10" s="2"/>
      <x:c r="D10" s="2"/>
      <x:c r="F10" s="2" t="str">
        <x:v>Semaforo sugerido</x:v>
      </x:c>
      <x:c r="G10" s="2"/>
      <x:c r="H10" s="2"/>
      <x:c r="I10" s="2"/>
      <x:c r="K10" s="2" t="str">
        <x:v>Resumen ART</x:v>
      </x:c>
      <x:c r="L10" s="2"/>
      <x:c r="M10" s="2"/>
      <x:c r="N10" s="2"/>
    </x:row>
    <x:row r="11">
      <x:c r="A11" s="16" t="str">
        <x:v>Foco</x:v>
      </x:c>
      <x:c r="B11" s="7" t="str">
        <x:v>Enfermedad + accidentes/ART.</x:v>
      </x:c>
      <x:c r="C11" s="7" t="str"/>
      <x:c r="D11" s="7" t="str"/>
      <x:c r="F11" s="16" t="str">
        <x:v>Indicador</x:v>
      </x:c>
      <x:c r="G11" s="16" t="str">
        <x:v>Valor</x:v>
      </x:c>
      <x:c r="H11" s="16" t="str">
        <x:v>Criterio</x:v>
      </x:c>
      <x:c r="I11" s="16" t="str">
        <x:v>Estado</x:v>
      </x:c>
      <x:c r="K11" s="16" t="str">
        <x:v>Indicador</x:v>
      </x:c>
      <x:c r="L11" s="16" t="str">
        <x:v>Valor</x:v>
      </x:c>
      <x:c r="M11" s="16" t="str">
        <x:v>Criterio</x:v>
      </x:c>
      <x:c r="N11" s="16" t="str">
        <x:v>Comentario</x:v>
      </x:c>
    </x:row>
    <x:row r="12">
      <x:c r="A12" s="16" t="str">
        <x:v>Comparativo</x:v>
      </x:c>
      <x:c r="B12" s="7" t="str">
        <x:v>Contra ausentismo total sin vacaciones.</x:v>
      </x:c>
      <x:c r="C12" s="7" t="str"/>
      <x:c r="D12" s="7" t="str"/>
      <x:c r="F12" s="7" t="str">
        <x:v>Aus. medico</x:v>
      </x:c>
      <x:c r="G12" s="8" t="n">
        <x:f>$B$7</x:f>
        <x:v>0.042030502392344495</x:v>
      </x:c>
      <x:c r="H12" s="7" t="str">
        <x:v>&lt;3,5% verde; &lt;5% atencion</x:v>
      </x:c>
      <x:c r="I12" s="7" t="str">
        <x:f>IF(G12&lt;0.035,"Verde",IF(G12&lt;0.05,"Atencion","Critico"))</x:f>
        <x:v>Atencion</x:v>
      </x:c>
      <x:c r="K12" s="7" t="str">
        <x:v>Denunciados</x:v>
      </x:c>
      <x:c r="L12" s="7" t="n">
        <x:v>29</x:v>
      </x:c>
      <x:c r="M12" s="7" t="str">
        <x:v>Casos unicos</x:v>
      </x:c>
      <x:c r="N12" s="7" t="str"/>
    </x:row>
    <x:row r="13">
      <x:c r="A13" s="16" t="str">
        <x:v>Servicio</x:v>
      </x:c>
      <x:c r="B13" s="7" t="str">
        <x:v>Atenciones, licencias, BP y ART.</x:v>
      </x:c>
      <x:c r="C13" s="7" t="str"/>
      <x:c r="D13" s="7" t="str"/>
      <x:c r="F13" s="7" t="str">
        <x:v>Medico/total</x:v>
      </x:c>
      <x:c r="G13" s="8" t="n">
        <x:f>$E$7</x:f>
        <x:v>0.27526439482961224</x:v>
      </x:c>
      <x:c r="H13" s="7" t="str">
        <x:v>Peso medico del ausentismo</x:v>
      </x:c>
      <x:c r="I13" s="7" t="str"/>
      <x:c r="K13" s="7" t="str">
        <x:v>Rechazados</x:v>
      </x:c>
      <x:c r="L13" s="7" t="n">
        <x:v>11</x:v>
      </x:c>
      <x:c r="M13" s="7" t="str">
        <x:v>Obs. RECHAZO</x:v>
      </x:c>
      <x:c r="N13" s="7" t="str"/>
    </x:row>
    <x:row r="14">
      <x:c r="A14" s="16" t="str">
        <x:v>Sectores</x:v>
      </x:c>
      <x:c r="B14" s="7" t="str">
        <x:v>Ranking por horas medicas.</x:v>
      </x:c>
      <x:c r="C14" s="7" t="str"/>
      <x:c r="D14" s="7" t="str"/>
      <x:c r="F14" s="7" t="str">
        <x:v>ART activos</x:v>
      </x:c>
      <x:c r="G14" s="7" t="n">
        <x:v>5</x:v>
      </x:c>
      <x:c r="H14" s="7" t="str">
        <x:v>No rechazados sin alta</x:v>
      </x:c>
      <x:c r="I14" s="7" t="str"/>
      <x:c r="K14" s="7" t="str">
        <x:v>AT / AI</x:v>
      </x:c>
      <x:c r="L14" s="7" t="str">
        <x:v>19 / 9</x:v>
      </x:c>
      <x:c r="M14" s="7" t="str">
        <x:v>Tipo contingencia</x:v>
      </x:c>
      <x:c r="N14" s="7" t="str"/>
    </x:row>
    <x:row r="15">
      <x:c r="A15" s="16" t="str">
        <x:v>Actualizado</x:v>
      </x:c>
      <x:c r="B15" s="7" t="str">
        <x:v>2026-06-17</x:v>
      </x:c>
      <x:c r="C15" s="7" t="str"/>
      <x:c r="D15" s="7" t="str"/>
      <x:c r="F15" s="7" t="str">
        <x:v>BP activos</x:v>
      </x:c>
      <x:c r="G15" s="7" t="n">
        <x:v>11</x:v>
      </x:c>
      <x:c r="H15" s="7" t="str">
        <x:v>Sin fecha de alta</x:v>
      </x:c>
      <x:c r="I15" s="7" t="str"/>
      <x:c r="K15" s="7" t="str">
        <x:v>Activos no rech.</x:v>
      </x:c>
      <x:c r="L15" s="7" t="n">
        <x:v>5</x:v>
      </x:c>
      <x:c r="M15" s="7" t="str">
        <x:v>Sin alta</x:v>
      </x:c>
      <x:c r="N15" s="7" t="str"/>
    </x:row>
    <x:row r="16">
      <x:c r="K16" s="7" t="str">
        <x:v>Cerrados no rech.</x:v>
      </x:c>
      <x:c r="L16" s="7" t="n">
        <x:v>13</x:v>
      </x:c>
      <x:c r="M16" s="7" t="str">
        <x:v>Con alta</x:v>
      </x:c>
      <x:c r="N16" s="7" t="str"/>
    </x:row>
    <x:row r="17">
      <x:c r="A17" s="16" t="str">
        <x:v>Mes</x:v>
      </x:c>
      <x:c r="B17" s="16" t="str">
        <x:v>Aus. medico</x:v>
      </x:c>
      <x:c r="C17" s="16" t="str">
        <x:v>Total s/vac.</x:v>
      </x:c>
      <x:c r="D17" s="16" t="str">
        <x:v>Total c/vac.</x:v>
      </x:c>
      <x:c r="E17" s="16" t="str">
        <x:v>Medico/total</x:v>
      </x:c>
    </x:row>
    <x:row r="18">
      <x:c r="A18" s="7" t="str">
        <x:v>2025-01</x:v>
      </x:c>
      <x:c r="B18" s="8" t="n">
        <x:v>0.03046048369682574</x:v>
      </x:c>
      <x:c r="C18" s="8" t="n">
        <x:v>0.06125836752</x:v>
      </x:c>
      <x:c r="D18" s="8"/>
      <x:c r="E18" s="8" t="n">
        <x:v>0.269621311671246</x:v>
      </x:c>
    </x:row>
    <x:row r="19">
      <x:c r="A19" s="7" t="str">
        <x:v>2025-02</x:v>
      </x:c>
      <x:c r="B19" s="8" t="n">
        <x:v>0.0389618138424821</x:v>
      </x:c>
      <x:c r="C19" s="8" t="n">
        <x:v>0.1137977327</x:v>
      </x:c>
      <x:c r="D19" s="8"/>
      <x:c r="E19" s="8" t="n">
        <x:v>0.34237776903919254</x:v>
      </x:c>
    </x:row>
    <x:row r="20">
      <x:c r="A20" s="7" t="str">
        <x:v>2025-03</x:v>
      </x:c>
      <x:c r="B20" s="8" t="n">
        <x:v>0.04117063492063492</x:v>
      </x:c>
      <x:c r="C20" s="8" t="n">
        <x:v>0.1357969577</x:v>
      </x:c>
      <x:c r="D20" s="8"/>
      <x:c r="E20" s="8" t="n">
        <x:v>0.30317788871301593</x:v>
      </x:c>
    </x:row>
    <x:row r="21">
      <x:c r="A21" s="7" t="str">
        <x:v>2025-04</x:v>
      </x:c>
      <x:c r="B21" s="8" t="n">
        <x:v>0.04003258293838863</x:v>
      </x:c>
      <x:c r="C21" s="8" t="n">
        <x:v>0.1525325829</x:v>
      </x:c>
      <x:c r="D21" s="8"/>
      <x:c r="E21" s="8" t="n">
        <x:v>0.2624526653073114</x:v>
      </x:c>
    </x:row>
    <x:row r="22">
      <x:c r="A22" s="7" t="str">
        <x:v>2025-05</x:v>
      </x:c>
      <x:c r="B22" s="8" t="n">
        <x:v>0.03835697399527187</x:v>
      </x:c>
      <x:c r="C22" s="8" t="n">
        <x:v>0.1226507092</x:v>
      </x:c>
      <x:c r="D22" s="8"/>
      <x:c r="E22" s="8" t="n">
        <x:v>0.3127334056137815</x:v>
      </x:c>
    </x:row>
    <x:row r="23">
      <x:c r="A23" s="7" t="str">
        <x:v>2025-06</x:v>
      </x:c>
      <x:c r="B23" s="8" t="n">
        <x:v>0.04776346895607814</x:v>
      </x:c>
      <x:c r="C23" s="8" t="n">
        <x:v>0.1249066816</x:v>
      </x:c>
      <x:c r="D23" s="8"/>
      <x:c r="E23" s="8" t="n">
        <x:v>0.38239322624828787</x:v>
      </x:c>
    </x:row>
    <x:row r="24">
      <x:c r="A24" s="7" t="str">
        <x:v>2025-07</x:v>
      </x:c>
      <x:c r="B24" s="8" t="n">
        <x:v>0.05184995691512279</x:v>
      </x:c>
      <x:c r="C24" s="8" t="n">
        <x:v>0.1228322921</x:v>
      </x:c>
      <x:c r="D24" s="8"/>
      <x:c r="E24" s="8" t="n">
        <x:v>0.42211991669406995</x:v>
      </x:c>
    </x:row>
    <x:row r="25">
      <x:c r="A25" s="7" t="str">
        <x:v>2025-08</x:v>
      </x:c>
      <x:c r="B25" s="8" t="n">
        <x:v>0.06171130952380952</x:v>
      </x:c>
      <x:c r="C25" s="8" t="n">
        <x:v>0.1268452381</x:v>
      </x:c>
      <x:c r="D25" s="8"/>
      <x:c r="E25" s="8" t="n">
        <x:v>0.4865086813702487</x:v>
      </x:c>
    </x:row>
    <x:row r="26">
      <x:c r="A26" s="7" t="str">
        <x:v>2025-09</x:v>
      </x:c>
      <x:c r="B26" s="8" t="n">
        <x:v>0.059988179669030736</x:v>
      </x:c>
      <x:c r="C26" s="8" t="n">
        <x:v>0.1235224586</x:v>
      </x:c>
      <x:c r="D26" s="8"/>
      <x:c r="E26" s="8" t="n">
        <x:v>0.48564593301435405</x:v>
      </x:c>
    </x:row>
    <x:row r="27">
      <x:c r="A27" s="7" t="str">
        <x:v>2025-10</x:v>
      </x:c>
      <x:c r="B27" s="8" t="n">
        <x:v>0.05709893048128342</x:v>
      </x:c>
      <x:c r="C27" s="8" t="n">
        <x:v>0.1470053476</x:v>
      </x:c>
      <x:c r="D27" s="8"/>
      <x:c r="E27" s="8" t="n">
        <x:v>0.3884139687158967</x:v>
      </x:c>
    </x:row>
    <x:row r="28">
      <x:c r="A28" s="7" t="str">
        <x:v>2025-11</x:v>
      </x:c>
      <x:c r="B28" s="8" t="n">
        <x:v>0.057892311743022645</x:v>
      </x:c>
      <x:c r="C28" s="8" t="n">
        <x:v>0.1689869668</x:v>
      </x:c>
      <x:c r="D28" s="8"/>
      <x:c r="E28" s="8" t="n">
        <x:v>0.3425844775538027</x:v>
      </x:c>
    </x:row>
    <x:row r="29">
      <x:c r="A29" s="7" t="str">
        <x:v>2025-12</x:v>
      </x:c>
      <x:c r="B29" s="8" t="n">
        <x:v>0.04756609834445268</x:v>
      </x:c>
      <x:c r="C29" s="8" t="n">
        <x:v>0.1704194465</x:v>
      </x:c>
      <x:c r="D29" s="8"/>
      <x:c r="E29" s="8" t="n">
        <x:v>0.279111916628908</x:v>
      </x:c>
    </x:row>
    <x:row r="30">
      <x:c r="A30" s="7" t="str">
        <x:v>2026-01</x:v>
      </x:c>
      <x:c r="B30" s="8" t="n">
        <x:v>0.043604326976692316</x:v>
      </x:c>
      <x:c r="C30" s="8" t="n">
        <x:v>0.1305760009</x:v>
      </x:c>
      <x:c r="D30" s="8" t="n">
        <x:v>0.3463602654176425</x:v>
      </x:c>
      <x:c r="E30" s="8" t="n">
        <x:v>0.3339382940108893</x:v>
      </x:c>
    </x:row>
    <x:row r="31">
      <x:c r="A31" s="7" t="str">
        <x:v>2026-02</x:v>
      </x:c>
      <x:c r="B31" s="8" t="n">
        <x:v>0.04348896769109535</x:v>
      </x:c>
      <x:c r="C31" s="8" t="n">
        <x:v>0.1620534542</x:v>
      </x:c>
      <x:c r="D31" s="8" t="n">
        <x:v>0.3629908720777515</x:v>
      </x:c>
      <x:c r="E31" s="8" t="n">
        <x:v>0.2683618680984703</x:v>
      </x:c>
    </x:row>
    <x:row r="32">
      <x:c r="A32" s="7" t="str">
        <x:v>2026-03</x:v>
      </x:c>
      <x:c r="B32" s="8" t="n">
        <x:v>0.044376491646778045</x:v>
      </x:c>
      <x:c r="C32" s="8" t="n">
        <x:v>0.1562947494</x:v>
      </x:c>
      <x:c r="D32" s="8" t="n">
        <x:v>0.24351879474940333</x:v>
      </x:c>
      <x:c r="E32" s="8" t="n">
        <x:v>0.28392823057835465</x:v>
      </x:c>
    </x:row>
    <x:row r="33">
      <x:c r="A33" s="7" t="str">
        <x:v>2026-04</x:v>
      </x:c>
      <x:c r="B33" s="8" t="n">
        <x:v>0.042030502392344495</x:v>
      </x:c>
      <x:c r="C33" s="8" t="n">
        <x:v>0.1526913876</x:v>
      </x:c>
      <x:c r="D33" s="8" t="n">
        <x:v>0.1941910885167464</x:v>
      </x:c>
      <x:c r="E33" s="8" t="n">
        <x:v>0.27526439482961224</x:v>
      </x:c>
    </x:row>
    <x:row r="36">
      <x:c r="A36" s="16" t="str">
        <x:v>Mes</x:v>
      </x:c>
      <x:c r="B36" s="16" t="str">
        <x:v>Medico/total</x:v>
      </x:c>
    </x:row>
    <x:row r="37">
      <x:c r="A37" s="7" t="str">
        <x:v>2025-01</x:v>
      </x:c>
      <x:c r="B37" s="8" t="n">
        <x:v>0.269621311671246</x:v>
      </x:c>
    </x:row>
    <x:row r="38">
      <x:c r="A38" s="7" t="str">
        <x:v>2025-02</x:v>
      </x:c>
      <x:c r="B38" s="8" t="n">
        <x:v>0.34237776903919254</x:v>
      </x:c>
    </x:row>
    <x:row r="39">
      <x:c r="A39" s="7" t="str">
        <x:v>2025-03</x:v>
      </x:c>
      <x:c r="B39" s="8" t="n">
        <x:v>0.30317788871301593</x:v>
      </x:c>
    </x:row>
    <x:row r="40">
      <x:c r="A40" s="7" t="str">
        <x:v>2025-04</x:v>
      </x:c>
      <x:c r="B40" s="8" t="n">
        <x:v>0.2624526653073114</x:v>
      </x:c>
    </x:row>
    <x:row r="41">
      <x:c r="A41" s="7" t="str">
        <x:v>2025-05</x:v>
      </x:c>
      <x:c r="B41" s="8" t="n">
        <x:v>0.3127334056137815</x:v>
      </x:c>
    </x:row>
    <x:row r="42">
      <x:c r="A42" s="7" t="str">
        <x:v>2025-06</x:v>
      </x:c>
      <x:c r="B42" s="8" t="n">
        <x:v>0.38239322624828787</x:v>
      </x:c>
    </x:row>
    <x:row r="43">
      <x:c r="A43" s="7" t="str">
        <x:v>2025-07</x:v>
      </x:c>
      <x:c r="B43" s="8" t="n">
        <x:v>0.42211991669406995</x:v>
      </x:c>
    </x:row>
    <x:row r="44">
      <x:c r="A44" s="7" t="str">
        <x:v>2025-08</x:v>
      </x:c>
      <x:c r="B44" s="8" t="n">
        <x:v>0.4865086813702487</x:v>
      </x:c>
    </x:row>
    <x:row r="45">
      <x:c r="A45" s="7" t="str">
        <x:v>2025-09</x:v>
      </x:c>
      <x:c r="B45" s="8" t="n">
        <x:v>0.48564593301435405</x:v>
      </x:c>
    </x:row>
    <x:row r="46">
      <x:c r="A46" s="7" t="str">
        <x:v>2025-10</x:v>
      </x:c>
      <x:c r="B46" s="8" t="n">
        <x:v>0.3884139687158967</x:v>
      </x:c>
    </x:row>
    <x:row r="47">
      <x:c r="A47" s="7" t="str">
        <x:v>2025-11</x:v>
      </x:c>
      <x:c r="B47" s="8" t="n">
        <x:v>0.3425844775538027</x:v>
      </x:c>
    </x:row>
    <x:row r="48">
      <x:c r="A48" s="7" t="str">
        <x:v>2025-12</x:v>
      </x:c>
      <x:c r="B48" s="8" t="n">
        <x:v>0.279111916628908</x:v>
      </x:c>
    </x:row>
    <x:row r="49">
      <x:c r="A49" s="7" t="str">
        <x:v>2026-01</x:v>
      </x:c>
      <x:c r="B49" s="8" t="n">
        <x:v>0.3339382940108893</x:v>
      </x:c>
    </x:row>
    <x:row r="50">
      <x:c r="A50" s="7" t="str">
        <x:v>2026-02</x:v>
      </x:c>
      <x:c r="B50" s="8" t="n">
        <x:v>0.2683618680984703</x:v>
      </x:c>
    </x:row>
    <x:row r="51">
      <x:c r="A51" s="7" t="str">
        <x:v>2026-03</x:v>
      </x:c>
      <x:c r="B51" s="8" t="n">
        <x:v>0.28392823057835465</x:v>
      </x:c>
    </x:row>
    <x:row r="52">
      <x:c r="A52" s="7" t="str">
        <x:v>2026-04</x:v>
      </x:c>
      <x:c r="B52" s="8" t="n">
        <x:v>0.27526439482961224</x:v>
      </x:c>
    </x:row>
    <x:row r="54">
      <x:c r="A54" s="2" t="str">
        <x:v>Ranking sectorial acumulado indices cargados</x:v>
      </x:c>
      <x:c r="B54" s="2"/>
      <x:c r="C54" s="2"/>
      <x:c r="D54" s="2"/>
    </x:row>
    <x:row r="55">
      <x:c r="A55" s="16" t="str">
        <x:v>Rank</x:v>
      </x:c>
      <x:c r="B55" s="16" t="str">
        <x:v>Sector</x:v>
      </x:c>
      <x:c r="C55" s="16" t="str">
        <x:v>Hs medicas</x:v>
      </x:c>
      <x:c r="D55" s="16" t="str">
        <x:v>Hs/persona</x:v>
      </x:c>
    </x:row>
    <x:row r="56">
      <x:c r="A56" s="7" t="n">
        <x:v>1</x:v>
      </x:c>
      <x:c r="B56" s="7" t="str">
        <x:v>Depto. Casco y Acero</x:v>
      </x:c>
      <x:c r="C56" s="7" t="n">
        <x:v>2635</x:v>
      </x:c>
      <x:c r="D56" s="9" t="n">
        <x:v>39.92424242424242</x:v>
      </x:c>
    </x:row>
    <x:row r="57">
      <x:c r="A57" s="7" t="n">
        <x:v>2</x:v>
      </x:c>
      <x:c r="B57" s="7" t="str">
        <x:v>Depto. Mecánica</x:v>
      </x:c>
      <x:c r="C57" s="7" t="n">
        <x:v>2519</x:v>
      </x:c>
      <x:c r="D57" s="9" t="n">
        <x:v>44.584070796460175</x:v>
      </x:c>
    </x:row>
    <x:row r="58">
      <x:c r="A58" s="7" t="n">
        <x:v>3</x:v>
      </x:c>
      <x:c r="B58" s="7" t="str">
        <x:v>Depto. Cobrería</x:v>
      </x:c>
      <x:c r="C58" s="7" t="n">
        <x:v>1494</x:v>
      </x:c>
      <x:c r="D58" s="9" t="n">
        <x:v>46.325581395348834</x:v>
      </x:c>
    </x:row>
    <x:row r="59">
      <x:c r="A59" s="7" t="n">
        <x:v>4</x:v>
      </x:c>
      <x:c r="B59" s="7" t="str">
        <x:v>Dpto. Carenado</x:v>
      </x:c>
      <x:c r="C59" s="7" t="n">
        <x:v>1093</x:v>
      </x:c>
      <x:c r="D59" s="9" t="n">
        <x:v>36.43333333333333</x:v>
      </x:c>
    </x:row>
    <x:row r="60">
      <x:c r="A60" s="7" t="n">
        <x:v>5</x:v>
      </x:c>
      <x:c r="B60" s="7" t="str">
        <x:v>Depto. Syncrolift</x:v>
      </x:c>
      <x:c r="C60" s="7" t="n">
        <x:v>825</x:v>
      </x:c>
      <x:c r="D60" s="9" t="n">
        <x:v>40.24390243902439</x:v>
      </x:c>
    </x:row>
    <x:row r="61">
      <x:c r="A61" s="7" t="n">
        <x:v>6</x:v>
      </x:c>
      <x:c r="B61" s="7" t="str">
        <x:v>Mantenimiento</x:v>
      </x:c>
      <x:c r="C61" s="7" t="n">
        <x:v>544</x:v>
      </x:c>
      <x:c r="D61" s="9" t="n">
        <x:v>26.536585365853657</x:v>
      </x:c>
    </x:row>
    <x:row r="62">
      <x:c r="A62" s="7" t="n">
        <x:v>7</x:v>
      </x:c>
      <x:c r="B62" s="7" t="str">
        <x:v>Maniobras y Transportes</x:v>
      </x:c>
      <x:c r="C62" s="7" t="n">
        <x:v>519</x:v>
      </x:c>
      <x:c r="D62" s="9" t="n">
        <x:v>24.714285714285715</x:v>
      </x:c>
    </x:row>
    <x:row r="63">
      <x:c r="A63" s="7" t="n">
        <x:v>8</x:v>
      </x:c>
      <x:c r="B63" s="7" t="str">
        <x:v>Depto. Maniobras y Transportes</x:v>
      </x:c>
      <x:c r="C63" s="7" t="n">
        <x:v>321</x:v>
      </x:c>
      <x:c r="D63" s="9" t="n">
        <x:v>27.91304347826087</x:v>
      </x:c>
    </x:row>
    <x:row r="64">
      <x:c r="A64" s="7" t="n">
        <x:v>9</x:v>
      </x:c>
      <x:c r="B64" s="7" t="str">
        <x:v>Control Patrimonial</x:v>
      </x:c>
      <x:c r="C64" s="7" t="n">
        <x:v>304</x:v>
      </x:c>
      <x:c r="D64" s="9" t="n">
        <x:v>35.76470588235294</x:v>
      </x:c>
    </x:row>
    <x:row r="65">
      <x:c r="A65" s="7" t="n">
        <x:v>10</x:v>
      </x:c>
      <x:c r="B65" s="7" t="str">
        <x:v>Servicio Comedor</x:v>
      </x:c>
      <x:c r="C65" s="7" t="n">
        <x:v>227</x:v>
      </x:c>
      <x:c r="D65" s="9" t="n">
        <x:v>32.42857142857143</x:v>
      </x:c>
    </x:row>
  </x:sheetData>
  <x:mergeCells>
    <x:mergeCell ref="A1:N1"/>
    <x:mergeCell ref="A2:N2"/>
    <x:mergeCell ref="A10:D10"/>
    <x:mergeCell ref="B11:D11"/>
    <x:mergeCell ref="B12:D12"/>
    <x:mergeCell ref="B13:D13"/>
    <x:mergeCell ref="B14:D14"/>
    <x:mergeCell ref="B15:D15"/>
    <x:mergeCell ref="F10:I10"/>
    <x:mergeCell ref="K10:N10"/>
    <x:mergeCell ref="A54:D54"/>
  </x:mergeCells>
  <x:dataValidations count="1">
    <x:dataValidation type="list" sqref="B4">
      <x:formula1>Dashboard!$A$18:$A$33</x:formula1>
    </x:dataValidation>
  </x:dataValidations>
  <x:pageMargins left="0.7" right="0.7" top="0.75" bottom="0.75" header="0.3" footer="0.3"/>
  <x:drawing xmlns:r="http://schemas.openxmlformats.org/officeDocument/2006/relationships" r:id="R92bda7af43514690"/>
</x:worksheet>
</file>

<file path=xl/worksheets/sheet2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12" hidden="0" customWidth="1"/>
    <x:col min="3" max="3" width="13.25" hidden="0" customWidth="1"/>
    <x:col min="4" max="4" width="13" hidden="0" customWidth="1"/>
    <x:col min="5" max="5" width="13.75" hidden="0" customWidth="1"/>
    <x:col min="6" max="6" width="13" hidden="0" customWidth="1"/>
    <x:col min="7" max="7" width="16.5" hidden="0" customWidth="1"/>
    <x:col min="8" max="8" width="14.75" hidden="0" customWidth="1"/>
    <x:col min="9" max="9" width="15.75" hidden="0" customWidth="1"/>
    <x:col min="10" max="10" width="15.75" hidden="0" customWidth="1"/>
    <x:col min="11" max="11" width="15.5" hidden="0" customWidth="1"/>
    <x:col min="12" max="12" width="12.25" hidden="0" customWidth="1"/>
    <x:col min="13" max="13" width="10.75" hidden="0" customWidth="1"/>
    <x:col min="14" max="14" width="14.75" hidden="0" customWidth="1"/>
    <x:col min="15" max="15" width="13.5" hidden="0" customWidth="1"/>
    <x:col min="16" max="16" width="26.25" hidden="0" customWidth="1"/>
  </x:cols>
  <x:sheetData>
    <x:row r="1">
      <x:c r="A1" s="4" t="str">
        <x:v>Mes</x:v>
      </x:c>
      <x:c r="B1" s="4" t="str">
        <x:v>Hs normales</x:v>
      </x:c>
      <x:c r="C1" s="4" t="str">
        <x:v>Hs trabajadas</x:v>
      </x:c>
      <x:c r="D1" s="4" t="str">
        <x:v>Hs enfermedad</x:v>
      </x:c>
      <x:c r="E1" s="4" t="str">
        <x:v>Hs accidentes/ART</x:v>
      </x:c>
      <x:c r="F1" s="4" t="str">
        <x:v>Hs medicas</x:v>
      </x:c>
      <x:c r="G1" s="4" t="str">
        <x:v>Hs ausentismo total s/vac.</x:v>
      </x:c>
      <x:c r="H1" s="4" t="str">
        <x:v>% ausentismo medico</x:v>
      </x:c>
      <x:c r="I1" s="4" t="str">
        <x:v>% ausentismo total s/vac.</x:v>
      </x:c>
      <x:c r="J1" s="4" t="str">
        <x:v>% ausentismo total c/vac.</x:v>
      </x:c>
      <x:c r="K1" s="4" t="str">
        <x:v>% medico sobre total</x:v>
      </x:c>
      <x:c r="L1" s="4" t="str">
        <x:v>Hs vacaciones</x:v>
      </x:c>
      <x:c r="M1" s="4" t="str">
        <x:v>Dotacion</x:v>
      </x:c>
      <x:c r="N1" s="4" t="str">
        <x:v>Hs medicas por persona</x:v>
      </x:c>
      <x:c r="O1" s="4" t="str">
        <x:v>Semaforo medico</x:v>
      </x:c>
      <x:c r="P1" s="4" t="str">
        <x:v>Fuente</x:v>
      </x:c>
    </x:row>
    <x:row r="2">
      <x:c r="A2" s="7" t="str">
        <x:v>2025-01</x:v>
      </x:c>
      <x:c r="B2" s="7" t="n">
        <x:v>74096</x:v>
      </x:c>
      <x:c r="C2" s="7" t="n">
        <x:v>49582</x:v>
      </x:c>
      <x:c r="D2" s="7" t="n">
        <x:v>1921</x:v>
      </x:c>
      <x:c r="E2" s="7" t="n">
        <x:v>336</x:v>
      </x:c>
      <x:c r="F2" s="7" t="n">
        <x:v>2257</x:v>
      </x:c>
      <x:c r="G2" s="7" t="n">
        <x:v>8371</x:v>
      </x:c>
      <x:c r="H2" s="8" t="n">
        <x:v>0.03046048369682574</x:v>
      </x:c>
      <x:c r="I2" s="8" t="n">
        <x:v>0.06125836752</x:v>
      </x:c>
      <x:c r="J2" s="8"/>
      <x:c r="K2" s="8" t="n">
        <x:v>0.269621311671246</x:v>
      </x:c>
      <x:c r="L2" s="7"/>
      <x:c r="M2" s="7" t="n">
        <x:v>421</x:v>
      </x:c>
      <x:c r="N2" s="9" t="n">
        <x:v>5.3610451306413305</x:v>
      </x:c>
      <x:c r="O2" s="7" t="str">
        <x:f>IF(H2="","",IF(H2&lt;0.035,"Verde",IF(H2&lt;0.05,"Atencion","Critico")))</x:f>
        <x:v>Verde</x:v>
      </x:c>
      <x:c r="P2" s="7" t="str">
        <x:v>Indicador Ausentismo abril.xlsx</x:v>
      </x:c>
    </x:row>
    <x:row r="3">
      <x:c r="A3" s="7" t="str">
        <x:v>2025-02</x:v>
      </x:c>
      <x:c r="B3" s="7" t="n">
        <x:v>67040</x:v>
      </x:c>
      <x:c r="C3" s="7" t="n">
        <x:v>44700</x:v>
      </x:c>
      <x:c r="D3" s="7" t="n">
        <x:v>2160</x:v>
      </x:c>
      <x:c r="E3" s="7" t="n">
        <x:v>452</x:v>
      </x:c>
      <x:c r="F3" s="7" t="n">
        <x:v>2612</x:v>
      </x:c>
      <x:c r="G3" s="7" t="n">
        <x:v>7629</x:v>
      </x:c>
      <x:c r="H3" s="8" t="n">
        <x:v>0.0389618138424821</x:v>
      </x:c>
      <x:c r="I3" s="8" t="n">
        <x:v>0.1137977327</x:v>
      </x:c>
      <x:c r="J3" s="8"/>
      <x:c r="K3" s="8" t="n">
        <x:v>0.34237776903919254</x:v>
      </x:c>
      <x:c r="L3" s="7"/>
      <x:c r="M3" s="7" t="n">
        <x:v>419</x:v>
      </x:c>
      <x:c r="N3" s="9" t="n">
        <x:v>6.233890214797136</x:v>
      </x:c>
      <x:c r="O3" s="7" t="str">
        <x:f>IF(H3="","",IF(H3&lt;0.035,"Verde",IF(H3&lt;0.05,"Atencion","Critico")))</x:f>
        <x:v>Atencion</x:v>
      </x:c>
      <x:c r="P3" s="7" t="str">
        <x:v>Indicador Ausentismo abril.xlsx</x:v>
      </x:c>
    </x:row>
    <x:row r="4">
      <x:c r="A4" s="7" t="str">
        <x:v>2025-03</x:v>
      </x:c>
      <x:c r="B4" s="7" t="n">
        <x:v>60480</x:v>
      </x:c>
      <x:c r="C4" s="7" t="n">
        <x:v>47451</x:v>
      </x:c>
      <x:c r="D4" s="7" t="n">
        <x:v>2080</x:v>
      </x:c>
      <x:c r="E4" s="7" t="n">
        <x:v>410</x:v>
      </x:c>
      <x:c r="F4" s="7" t="n">
        <x:v>2490</x:v>
      </x:c>
      <x:c r="G4" s="7" t="n">
        <x:v>8213</x:v>
      </x:c>
      <x:c r="H4" s="8" t="n">
        <x:v>0.04117063492063492</x:v>
      </x:c>
      <x:c r="I4" s="8" t="n">
        <x:v>0.1357969577</x:v>
      </x:c>
      <x:c r="J4" s="8"/>
      <x:c r="K4" s="8" t="n">
        <x:v>0.30317788871301593</x:v>
      </x:c>
      <x:c r="L4" s="7"/>
      <x:c r="M4" s="7" t="n">
        <x:v>420</x:v>
      </x:c>
      <x:c r="N4" s="9" t="n">
        <x:v>5.928571428571429</x:v>
      </x:c>
      <x:c r="O4" s="7" t="str">
        <x:f>IF(H4="","",IF(H4&lt;0.035,"Verde",IF(H4&lt;0.05,"Atencion","Critico")))</x:f>
        <x:v>Atencion</x:v>
      </x:c>
      <x:c r="P4" s="7" t="str">
        <x:v>Indicador Ausentismo abril.xlsx</x:v>
      </x:c>
    </x:row>
    <x:row r="5">
      <x:c r="A5" s="7" t="str">
        <x:v>2025-04</x:v>
      </x:c>
      <x:c r="B5" s="7" t="n">
        <x:v>67520</x:v>
      </x:c>
      <x:c r="C5" s="7" t="n">
        <x:v>55661</x:v>
      </x:c>
      <x:c r="D5" s="7" t="n">
        <x:v>2143</x:v>
      </x:c>
      <x:c r="E5" s="7" t="n">
        <x:v>560</x:v>
      </x:c>
      <x:c r="F5" s="7" t="n">
        <x:v>2703</x:v>
      </x:c>
      <x:c r="G5" s="7" t="n">
        <x:v>10299</x:v>
      </x:c>
      <x:c r="H5" s="8" t="n">
        <x:v>0.04003258293838863</x:v>
      </x:c>
      <x:c r="I5" s="8" t="n">
        <x:v>0.1525325829</x:v>
      </x:c>
      <x:c r="J5" s="8"/>
      <x:c r="K5" s="8" t="n">
        <x:v>0.2624526653073114</x:v>
      </x:c>
      <x:c r="L5" s="7"/>
      <x:c r="M5" s="7" t="n">
        <x:v>422</x:v>
      </x:c>
      <x:c r="N5" s="9" t="n">
        <x:v>6.4052132701421804</x:v>
      </x:c>
      <x:c r="O5" s="7" t="str">
        <x:f>IF(H5="","",IF(H5&lt;0.035,"Verde",IF(H5&lt;0.05,"Atencion","Critico")))</x:f>
        <x:v>Atencion</x:v>
      </x:c>
      <x:c r="P5" s="7" t="str">
        <x:v>Indicador Ausentismo abril.xlsx</x:v>
      </x:c>
    </x:row>
    <x:row r="6">
      <x:c r="A6" s="7" t="str">
        <x:v>2025-05</x:v>
      </x:c>
      <x:c r="B6" s="7" t="n">
        <x:v>67680</x:v>
      </x:c>
      <x:c r="C6" s="7" t="n">
        <x:v>57179</x:v>
      </x:c>
      <x:c r="D6" s="7" t="n">
        <x:v>2395</x:v>
      </x:c>
      <x:c r="E6" s="7" t="n">
        <x:v>201</x:v>
      </x:c>
      <x:c r="F6" s="7" t="n">
        <x:v>2596</x:v>
      </x:c>
      <x:c r="G6" s="7" t="n">
        <x:v>8301</x:v>
      </x:c>
      <x:c r="H6" s="8" t="n">
        <x:v>0.03835697399527187</x:v>
      </x:c>
      <x:c r="I6" s="8" t="n">
        <x:v>0.1226507092</x:v>
      </x:c>
      <x:c r="J6" s="8"/>
      <x:c r="K6" s="8" t="n">
        <x:v>0.3127334056137815</x:v>
      </x:c>
      <x:c r="L6" s="7"/>
      <x:c r="M6" s="7" t="n">
        <x:v>423</x:v>
      </x:c>
      <x:c r="N6" s="9" t="n">
        <x:v>6.137115839243499</x:v>
      </x:c>
      <x:c r="O6" s="7" t="str">
        <x:f>IF(H6="","",IF(H6&lt;0.035,"Verde",IF(H6&lt;0.05,"Atencion","Critico")))</x:f>
        <x:v>Atencion</x:v>
      </x:c>
      <x:c r="P6" s="7" t="str">
        <x:v>Indicador Ausentismo abril.xlsx</x:v>
      </x:c>
    </x:row>
    <x:row r="7">
      <x:c r="A7" s="7" t="str">
        <x:v>2025-06</x:v>
      </x:c>
      <x:c r="B7" s="7" t="n">
        <x:v>64296</x:v>
      </x:c>
      <x:c r="C7" s="7" t="n">
        <x:v>54681</x:v>
      </x:c>
      <x:c r="D7" s="7" t="n">
        <x:v>2650</x:v>
      </x:c>
      <x:c r="E7" s="7" t="n">
        <x:v>421</x:v>
      </x:c>
      <x:c r="F7" s="7" t="n">
        <x:v>3071</x:v>
      </x:c>
      <x:c r="G7" s="7" t="n">
        <x:v>8031</x:v>
      </x:c>
      <x:c r="H7" s="8" t="n">
        <x:v>0.04776346895607814</x:v>
      </x:c>
      <x:c r="I7" s="8" t="n">
        <x:v>0.1249066816</x:v>
      </x:c>
      <x:c r="J7" s="8"/>
      <x:c r="K7" s="8" t="n">
        <x:v>0.38239322624828787</x:v>
      </x:c>
      <x:c r="L7" s="7"/>
      <x:c r="M7" s="7" t="n">
        <x:v>423</x:v>
      </x:c>
      <x:c r="N7" s="9" t="n">
        <x:v>7.260047281323877</x:v>
      </x:c>
      <x:c r="O7" s="7" t="str">
        <x:f>IF(H7="","",IF(H7&lt;0.035,"Verde",IF(H7&lt;0.05,"Atencion","Critico")))</x:f>
        <x:v>Atencion</x:v>
      </x:c>
      <x:c r="P7" s="7" t="str">
        <x:v>Indicador Ausentismo abril.xlsx</x:v>
      </x:c>
    </x:row>
    <x:row r="8">
      <x:c r="A8" s="7" t="str">
        <x:v>2025-07</x:v>
      </x:c>
      <x:c r="B8" s="7" t="n">
        <x:v>74272</x:v>
      </x:c>
      <x:c r="C8" s="7" t="n">
        <x:v>58966</x:v>
      </x:c>
      <x:c r="D8" s="7" t="n">
        <x:v>3218</x:v>
      </x:c>
      <x:c r="E8" s="7" t="n">
        <x:v>633</x:v>
      </x:c>
      <x:c r="F8" s="7" t="n">
        <x:v>3851</x:v>
      </x:c>
      <x:c r="G8" s="7" t="n">
        <x:v>9123</x:v>
      </x:c>
      <x:c r="H8" s="8" t="n">
        <x:v>0.05184995691512279</x:v>
      </x:c>
      <x:c r="I8" s="8" t="n">
        <x:v>0.1228322921</x:v>
      </x:c>
      <x:c r="J8" s="8"/>
      <x:c r="K8" s="8" t="n">
        <x:v>0.42211991669406995</x:v>
      </x:c>
      <x:c r="L8" s="7"/>
      <x:c r="M8" s="7" t="n">
        <x:v>422</x:v>
      </x:c>
      <x:c r="N8" s="9" t="n">
        <x:v>9.125592417061611</x:v>
      </x:c>
      <x:c r="O8" s="7" t="str">
        <x:f>IF(H8="","",IF(H8&lt;0.035,"Verde",IF(H8&lt;0.05,"Atencion","Critico")))</x:f>
        <x:v>Critico</x:v>
      </x:c>
      <x:c r="P8" s="7" t="str">
        <x:v>Indicador Ausentismo abril.xlsx</x:v>
      </x:c>
    </x:row>
    <x:row r="9">
      <x:c r="A9" s="7" t="str">
        <x:v>2025-08</x:v>
      </x:c>
      <x:c r="B9" s="7" t="n">
        <x:v>67200</x:v>
      </x:c>
      <x:c r="C9" s="7" t="n">
        <x:v>54829</x:v>
      </x:c>
      <x:c r="D9" s="7" t="n">
        <x:v>3408</x:v>
      </x:c>
      <x:c r="E9" s="7" t="n">
        <x:v>739</x:v>
      </x:c>
      <x:c r="F9" s="7" t="n">
        <x:v>4147</x:v>
      </x:c>
      <x:c r="G9" s="7" t="n">
        <x:v>8524</x:v>
      </x:c>
      <x:c r="H9" s="8" t="n">
        <x:v>0.06171130952380952</x:v>
      </x:c>
      <x:c r="I9" s="8" t="n">
        <x:v>0.1268452381</x:v>
      </x:c>
      <x:c r="J9" s="8"/>
      <x:c r="K9" s="8" t="n">
        <x:v>0.4865086813702487</x:v>
      </x:c>
      <x:c r="L9" s="7"/>
      <x:c r="M9" s="7" t="n">
        <x:v>420</x:v>
      </x:c>
      <x:c r="N9" s="9" t="n">
        <x:v>9.873809523809523</x:v>
      </x:c>
      <x:c r="O9" s="7" t="str">
        <x:f>IF(H9="","",IF(H9&lt;0.035,"Verde",IF(H9&lt;0.05,"Atencion","Critico")))</x:f>
        <x:v>Critico</x:v>
      </x:c>
      <x:c r="P9" s="7" t="str">
        <x:v>Indicador Ausentismo abril.xlsx</x:v>
      </x:c>
    </x:row>
    <x:row r="10">
      <x:c r="A10" s="7" t="str">
        <x:v>2025-09</x:v>
      </x:c>
      <x:c r="B10" s="7" t="n">
        <x:v>71064</x:v>
      </x:c>
      <x:c r="C10" s="7" t="n">
        <x:v>59350</x:v>
      </x:c>
      <x:c r="D10" s="7" t="n">
        <x:v>3506</x:v>
      </x:c>
      <x:c r="E10" s="7" t="n">
        <x:v>757</x:v>
      </x:c>
      <x:c r="F10" s="7" t="n">
        <x:v>4263</x:v>
      </x:c>
      <x:c r="G10" s="7" t="n">
        <x:v>8778</x:v>
      </x:c>
      <x:c r="H10" s="8" t="n">
        <x:v>0.059988179669030736</x:v>
      </x:c>
      <x:c r="I10" s="8" t="n">
        <x:v>0.1235224586</x:v>
      </x:c>
      <x:c r="J10" s="8"/>
      <x:c r="K10" s="8" t="n">
        <x:v>0.48564593301435405</x:v>
      </x:c>
      <x:c r="L10" s="7"/>
      <x:c r="M10" s="7" t="n">
        <x:v>423</x:v>
      </x:c>
      <x:c r="N10" s="9" t="n">
        <x:v>10.078014184397164</x:v>
      </x:c>
      <x:c r="O10" s="7" t="str">
        <x:f>IF(H10="","",IF(H10&lt;0.035,"Verde",IF(H10&lt;0.05,"Atencion","Critico")))</x:f>
        <x:v>Critico</x:v>
      </x:c>
      <x:c r="P10" s="7" t="str">
        <x:v>Indicador Ausentismo abril.xlsx</x:v>
      </x:c>
    </x:row>
    <x:row r="11">
      <x:c r="A11" s="7" t="str">
        <x:v>2025-10</x:v>
      </x:c>
      <x:c r="B11" s="7" t="n">
        <x:v>74800</x:v>
      </x:c>
      <x:c r="C11" s="7" t="n">
        <x:v>60933</x:v>
      </x:c>
      <x:c r="D11" s="7" t="n">
        <x:v>3688</x:v>
      </x:c>
      <x:c r="E11" s="7" t="n">
        <x:v>583</x:v>
      </x:c>
      <x:c r="F11" s="7" t="n">
        <x:v>4271</x:v>
      </x:c>
      <x:c r="G11" s="7" t="n">
        <x:v>10996</x:v>
      </x:c>
      <x:c r="H11" s="8" t="n">
        <x:v>0.05709893048128342</x:v>
      </x:c>
      <x:c r="I11" s="8" t="n">
        <x:v>0.1470053476</x:v>
      </x:c>
      <x:c r="J11" s="8"/>
      <x:c r="K11" s="8" t="n">
        <x:v>0.3884139687158967</x:v>
      </x:c>
      <x:c r="L11" s="7"/>
      <x:c r="M11" s="7" t="n">
        <x:v>425</x:v>
      </x:c>
      <x:c r="N11" s="9" t="n">
        <x:v>10.049411764705882</x:v>
      </x:c>
      <x:c r="O11" s="7" t="str">
        <x:f>IF(H11="","",IF(H11&lt;0.035,"Verde",IF(H11&lt;0.05,"Atencion","Critico")))</x:f>
        <x:v>Critico</x:v>
      </x:c>
      <x:c r="P11" s="7" t="str">
        <x:v>Indicador Ausentismo abril.xlsx</x:v>
      </x:c>
    </x:row>
    <x:row r="12">
      <x:c r="A12" s="7" t="str">
        <x:v>2025-11</x:v>
      </x:c>
      <x:c r="B12" s="7" t="n">
        <x:v>60768</x:v>
      </x:c>
      <x:c r="C12" s="7" t="n">
        <x:v>47988</x:v>
      </x:c>
      <x:c r="D12" s="7" t="n">
        <x:v>2913</x:v>
      </x:c>
      <x:c r="E12" s="7" t="n">
        <x:v>605</x:v>
      </x:c>
      <x:c r="F12" s="7" t="n">
        <x:v>3518</x:v>
      </x:c>
      <x:c r="G12" s="7" t="n">
        <x:v>10269</x:v>
      </x:c>
      <x:c r="H12" s="8" t="n">
        <x:v>0.057892311743022645</x:v>
      </x:c>
      <x:c r="I12" s="8" t="n">
        <x:v>0.1689869668</x:v>
      </x:c>
      <x:c r="J12" s="8"/>
      <x:c r="K12" s="8" t="n">
        <x:v>0.3425844775538027</x:v>
      </x:c>
      <x:c r="L12" s="7"/>
      <x:c r="M12" s="7" t="n">
        <x:v>422</x:v>
      </x:c>
      <x:c r="N12" s="9" t="n">
        <x:v>8.336492890995261</x:v>
      </x:c>
      <x:c r="O12" s="7" t="str">
        <x:f>IF(H12="","",IF(H12&lt;0.035,"Verde",IF(H12&lt;0.05,"Atencion","Critico")))</x:f>
        <x:v>Critico</x:v>
      </x:c>
      <x:c r="P12" s="7" t="str">
        <x:v>Indicador Ausentismo abril.xlsx</x:v>
      </x:c>
    </x:row>
    <x:row r="13">
      <x:c r="A13" s="7" t="str">
        <x:v>2025-12</x:v>
      </x:c>
      <x:c r="B13" s="7" t="n">
        <x:v>64752</x:v>
      </x:c>
      <x:c r="C13" s="7" t="n">
        <x:v>50998</x:v>
      </x:c>
      <x:c r="D13" s="7" t="n">
        <x:v>2447</x:v>
      </x:c>
      <x:c r="E13" s="7" t="n">
        <x:v>633</x:v>
      </x:c>
      <x:c r="F13" s="7" t="n">
        <x:v>3080</x:v>
      </x:c>
      <x:c r="G13" s="7" t="n">
        <x:v>11035</x:v>
      </x:c>
      <x:c r="H13" s="8" t="n">
        <x:v>0.04756609834445268</x:v>
      </x:c>
      <x:c r="I13" s="8" t="n">
        <x:v>0.1704194465</x:v>
      </x:c>
      <x:c r="J13" s="8"/>
      <x:c r="K13" s="8" t="n">
        <x:v>0.279111916628908</x:v>
      </x:c>
      <x:c r="L13" s="7"/>
      <x:c r="M13" s="7" t="n">
        <x:v>426</x:v>
      </x:c>
      <x:c r="N13" s="9" t="n">
        <x:v>7.230046948356808</x:v>
      </x:c>
      <x:c r="O13" s="7" t="str">
        <x:f>IF(H13="","",IF(H13&lt;0.035,"Verde",IF(H13&lt;0.05,"Atencion","Critico")))</x:f>
        <x:v>Atencion</x:v>
      </x:c>
      <x:c r="P13" s="7" t="str">
        <x:v>Indicador Ausentismo abril.xlsx</x:v>
      </x:c>
    </x:row>
    <x:row r="14">
      <x:c r="A14" s="7" t="str">
        <x:v>2026-01</x:v>
      </x:c>
      <x:c r="B14" s="7" t="n">
        <x:v>71736</x:v>
      </x:c>
      <x:c r="C14" s="7" t="n">
        <x:v>46890</x:v>
      </x:c>
      <x:c r="D14" s="7" t="n">
        <x:v>2208</x:v>
      </x:c>
      <x:c r="E14" s="7" t="n">
        <x:v>920</x:v>
      </x:c>
      <x:c r="F14" s="7" t="n">
        <x:v>3128</x:v>
      </x:c>
      <x:c r="G14" s="7" t="n">
        <x:v>9367</x:v>
      </x:c>
      <x:c r="H14" s="8" t="n">
        <x:v>0.043604326976692316</x:v>
      </x:c>
      <x:c r="I14" s="8" t="n">
        <x:v>0.1305760009</x:v>
      </x:c>
      <x:c r="J14" s="8" t="n">
        <x:v>0.3463602654176425</x:v>
      </x:c>
      <x:c r="K14" s="8" t="n">
        <x:v>0.3339382940108893</x:v>
      </x:c>
      <x:c r="L14" s="7" t="n">
        <x:v>15480</x:v>
      </x:c>
      <x:c r="M14" s="7" t="n">
        <x:v>427</x:v>
      </x:c>
      <x:c r="N14" s="9" t="n">
        <x:v>7.325526932084309</x:v>
      </x:c>
      <x:c r="O14" s="7" t="str">
        <x:f>IF(H14="","",IF(H14&lt;0.035,"Verde",IF(H14&lt;0.05,"Atencion","Critico")))</x:f>
        <x:v>Atencion</x:v>
      </x:c>
      <x:c r="P14" s="7" t="str">
        <x:v>Indicador Ausentismo abril.xlsx</x:v>
      </x:c>
    </x:row>
    <x:row r="15">
      <x:c r="A15" s="7" t="str">
        <x:v>2026-02</x:v>
      </x:c>
      <x:c r="B15" s="7" t="n">
        <x:v>60912</x:v>
      </x:c>
      <x:c r="C15" s="7" t="n">
        <x:v>38802</x:v>
      </x:c>
      <x:c r="D15" s="7" t="n">
        <x:v>1881</x:v>
      </x:c>
      <x:c r="E15" s="7" t="n">
        <x:v>768</x:v>
      </x:c>
      <x:c r="F15" s="7" t="n">
        <x:v>2649</x:v>
      </x:c>
      <x:c r="G15" s="7" t="n">
        <x:v>9871</x:v>
      </x:c>
      <x:c r="H15" s="8" t="n">
        <x:v>0.04348896769109535</x:v>
      </x:c>
      <x:c r="I15" s="8" t="n">
        <x:v>0.1620534542</x:v>
      </x:c>
      <x:c r="J15" s="8" t="n">
        <x:v>0.3629908720777515</x:v>
      </x:c>
      <x:c r="K15" s="8" t="n">
        <x:v>0.2683618680984703</x:v>
      </x:c>
      <x:c r="L15" s="7" t="n">
        <x:v>12240</x:v>
      </x:c>
      <x:c r="M15" s="7" t="n">
        <x:v>423</x:v>
      </x:c>
      <x:c r="N15" s="9" t="n">
        <x:v>6.26241134751773</x:v>
      </x:c>
      <x:c r="O15" s="7" t="str">
        <x:f>IF(H15="","",IF(H15&lt;0.035,"Verde",IF(H15&lt;0.05,"Atencion","Critico")))</x:f>
        <x:v>Atencion</x:v>
      </x:c>
      <x:c r="P15" s="7" t="str">
        <x:v>Indicador Ausentismo abril.xlsx</x:v>
      </x:c>
    </x:row>
    <x:row r="16">
      <x:c r="A16" s="7" t="str">
        <x:v>2026-03</x:v>
      </x:c>
      <x:c r="B16" s="7" t="n">
        <x:v>67040</x:v>
      </x:c>
      <x:c r="C16" s="7" t="n">
        <x:v>50715</x:v>
      </x:c>
      <x:c r="D16" s="7" t="n">
        <x:v>2095</x:v>
      </x:c>
      <x:c r="E16" s="7" t="n">
        <x:v>880</x:v>
      </x:c>
      <x:c r="F16" s="7" t="n">
        <x:v>2975</x:v>
      </x:c>
      <x:c r="G16" s="7" t="n">
        <x:v>10478</x:v>
      </x:c>
      <x:c r="H16" s="8" t="n">
        <x:v>0.044376491646778045</x:v>
      </x:c>
      <x:c r="I16" s="8" t="n">
        <x:v>0.1562947494</x:v>
      </x:c>
      <x:c r="J16" s="8" t="n">
        <x:v>0.24351879474940333</x:v>
      </x:c>
      <x:c r="K16" s="8" t="n">
        <x:v>0.28392823057835465</x:v>
      </x:c>
      <x:c r="L16" s="7" t="n">
        <x:v>5848</x:v>
      </x:c>
      <x:c r="M16" s="7" t="n">
        <x:v>419</x:v>
      </x:c>
      <x:c r="N16" s="9" t="n">
        <x:v>7.100238663484487</x:v>
      </x:c>
      <x:c r="O16" s="7" t="str">
        <x:f>IF(H16="","",IF(H16&lt;0.035,"Verde",IF(H16&lt;0.05,"Atencion","Critico")))</x:f>
        <x:v>Atencion</x:v>
      </x:c>
      <x:c r="P16" s="7" t="str">
        <x:v>Indicador Ausentismo abril.xlsx</x:v>
      </x:c>
    </x:row>
    <x:row r="17">
      <x:c r="A17" s="7" t="str">
        <x:v>2026-04</x:v>
      </x:c>
      <x:c r="B17" s="7" t="n">
        <x:v>66880</x:v>
      </x:c>
      <x:c r="C17" s="7" t="n">
        <x:v>53893</x:v>
      </x:c>
      <x:c r="D17" s="7" t="n">
        <x:v>2467</x:v>
      </x:c>
      <x:c r="E17" s="7" t="n">
        <x:v>344</x:v>
      </x:c>
      <x:c r="F17" s="7" t="n">
        <x:v>2811</x:v>
      </x:c>
      <x:c r="G17" s="7" t="n">
        <x:v>10212</x:v>
      </x:c>
      <x:c r="H17" s="8" t="n">
        <x:v>0.042030502392344495</x:v>
      </x:c>
      <x:c r="I17" s="8" t="n">
        <x:v>0.1526913876</x:v>
      </x:c>
      <x:c r="J17" s="8" t="n">
        <x:v>0.1941910885167464</x:v>
      </x:c>
      <x:c r="K17" s="8" t="n">
        <x:v>0.27526439482961224</x:v>
      </x:c>
      <x:c r="L17" s="7" t="n">
        <x:v>2776</x:v>
      </x:c>
      <x:c r="M17" s="7" t="n">
        <x:v>418</x:v>
      </x:c>
      <x:c r="N17" s="9" t="n">
        <x:v>6.72488038277512</x:v>
      </x:c>
      <x:c r="O17" s="7" t="str">
        <x:f>IF(H17="","",IF(H17&lt;0.035,"Verde",IF(H17&lt;0.05,"Atencion","Critico")))</x:f>
        <x:v>Atencion</x:v>
      </x:c>
      <x:c r="P17" s="7" t="str">
        <x:v>Indicador Ausentismo abril.xlsx</x:v>
      </x:c>
    </x:row>
    <x:row r="18">
      <x:c r="H18" s="5"/>
      <x:c r="I18" s="5"/>
      <x:c r="J18" s="5"/>
      <x:c r="K18" s="5"/>
      <x:c r="N18" s="6"/>
    </x:row>
    <x:row r="19">
      <x:c r="H19" s="5"/>
      <x:c r="I19" s="5"/>
      <x:c r="J19" s="5"/>
      <x:c r="K19" s="5"/>
      <x:c r="N19" s="6"/>
    </x:row>
    <x:row r="20">
      <x:c r="H20" s="5"/>
      <x:c r="I20" s="5"/>
      <x:c r="J20" s="5"/>
      <x:c r="K20" s="5"/>
      <x:c r="N20" s="6"/>
    </x:row>
    <x:row r="21">
      <x:c r="H21" s="5"/>
      <x:c r="I21" s="5"/>
      <x:c r="J21" s="5"/>
      <x:c r="K21" s="5"/>
      <x:c r="N21" s="6"/>
    </x:row>
    <x:row r="22">
      <x:c r="H22" s="5"/>
      <x:c r="I22" s="5"/>
      <x:c r="J22" s="5"/>
      <x:c r="K22" s="5"/>
      <x:c r="N22" s="6"/>
    </x:row>
    <x:row r="23">
      <x:c r="H23" s="5"/>
      <x:c r="I23" s="5"/>
      <x:c r="J23" s="5"/>
      <x:c r="K23" s="5"/>
      <x:c r="N23" s="6"/>
    </x:row>
    <x:row r="24">
      <x:c r="H24" s="5"/>
      <x:c r="I24" s="5"/>
      <x:c r="J24" s="5"/>
      <x:c r="K24" s="5"/>
      <x:c r="N24" s="6"/>
    </x:row>
    <x:row r="25">
      <x:c r="H25" s="5"/>
      <x:c r="I25" s="5"/>
      <x:c r="J25" s="5"/>
      <x:c r="K25" s="5"/>
      <x:c r="N25" s="6"/>
    </x:row>
    <x:row r="26">
      <x:c r="H26" s="5"/>
      <x:c r="I26" s="5"/>
      <x:c r="J26" s="5"/>
      <x:c r="K26" s="5"/>
      <x:c r="N26" s="6"/>
    </x:row>
    <x:row r="27">
      <x:c r="H27" s="5"/>
      <x:c r="I27" s="5"/>
      <x:c r="J27" s="5"/>
      <x:c r="K27" s="5"/>
      <x:c r="N27" s="6"/>
    </x:row>
    <x:row r="28">
      <x:c r="H28" s="5"/>
      <x:c r="I28" s="5"/>
      <x:c r="J28" s="5"/>
      <x:c r="K28" s="5"/>
      <x:c r="N28" s="6"/>
    </x:row>
    <x:row r="29">
      <x:c r="H29" s="5"/>
      <x:c r="I29" s="5"/>
      <x:c r="J29" s="5"/>
      <x:c r="K29" s="5"/>
      <x:c r="N29" s="6"/>
    </x:row>
    <x:row r="30">
      <x:c r="H30" s="5"/>
      <x:c r="I30" s="5"/>
      <x:c r="J30" s="5"/>
      <x:c r="K30" s="5"/>
      <x:c r="N30" s="6"/>
    </x:row>
    <x:row r="31">
      <x:c r="H31" s="5"/>
      <x:c r="I31" s="5"/>
      <x:c r="J31" s="5"/>
      <x:c r="K31" s="5"/>
      <x:c r="N31" s="6"/>
    </x:row>
    <x:row r="32">
      <x:c r="H32" s="5"/>
      <x:c r="I32" s="5"/>
      <x:c r="J32" s="5"/>
      <x:c r="K32" s="5"/>
      <x:c r="N32" s="6"/>
    </x:row>
    <x:row r="33">
      <x:c r="H33" s="5"/>
      <x:c r="I33" s="5"/>
      <x:c r="J33" s="5"/>
      <x:c r="K33" s="5"/>
      <x:c r="N33" s="6"/>
    </x:row>
    <x:row r="34">
      <x:c r="H34" s="5"/>
      <x:c r="I34" s="5"/>
      <x:c r="J34" s="5"/>
      <x:c r="K34" s="5"/>
      <x:c r="N34" s="6"/>
    </x:row>
    <x:row r="35">
      <x:c r="H35" s="5"/>
      <x:c r="I35" s="5"/>
      <x:c r="J35" s="5"/>
      <x:c r="K35" s="5"/>
      <x:c r="N35" s="6"/>
    </x:row>
    <x:row r="36">
      <x:c r="H36" s="5"/>
      <x:c r="I36" s="5"/>
      <x:c r="J36" s="5"/>
      <x:c r="K36" s="5"/>
      <x:c r="N36" s="6"/>
    </x:row>
    <x:row r="37">
      <x:c r="H37" s="5"/>
      <x:c r="I37" s="5"/>
      <x:c r="J37" s="5"/>
      <x:c r="K37" s="5"/>
      <x:c r="N37" s="6"/>
    </x:row>
    <x:row r="38">
      <x:c r="H38" s="5"/>
      <x:c r="I38" s="5"/>
      <x:c r="J38" s="5"/>
      <x:c r="K38" s="5"/>
      <x:c r="N38" s="6"/>
    </x:row>
    <x:row r="39">
      <x:c r="H39" s="5"/>
      <x:c r="I39" s="5"/>
      <x:c r="J39" s="5"/>
      <x:c r="K39" s="5"/>
      <x:c r="N39" s="6"/>
    </x:row>
    <x:row r="40">
      <x:c r="H40" s="5"/>
      <x:c r="I40" s="5"/>
      <x:c r="J40" s="5"/>
      <x:c r="K40" s="5"/>
      <x:c r="N40" s="6"/>
    </x:row>
    <x:row r="41">
      <x:c r="H41" s="5"/>
      <x:c r="I41" s="5"/>
      <x:c r="J41" s="5"/>
      <x:c r="K41" s="5"/>
      <x:c r="N41" s="6"/>
    </x:row>
    <x:row r="42">
      <x:c r="H42" s="5"/>
      <x:c r="I42" s="5"/>
      <x:c r="J42" s="5"/>
      <x:c r="K42" s="5"/>
      <x:c r="N42" s="6"/>
    </x:row>
    <x:row r="43">
      <x:c r="H43" s="5"/>
      <x:c r="I43" s="5"/>
      <x:c r="J43" s="5"/>
      <x:c r="K43" s="5"/>
      <x:c r="N43" s="6"/>
    </x:row>
    <x:row r="44">
      <x:c r="H44" s="5"/>
      <x:c r="I44" s="5"/>
      <x:c r="J44" s="5"/>
      <x:c r="K44" s="5"/>
      <x:c r="N44" s="6"/>
    </x:row>
    <x:row r="45">
      <x:c r="H45" s="5"/>
      <x:c r="I45" s="5"/>
      <x:c r="J45" s="5"/>
      <x:c r="K45" s="5"/>
      <x:c r="N45" s="6"/>
    </x:row>
    <x:row r="46">
      <x:c r="H46" s="5"/>
      <x:c r="I46" s="5"/>
      <x:c r="J46" s="5"/>
      <x:c r="K46" s="5"/>
      <x:c r="N46" s="6"/>
    </x:row>
    <x:row r="47">
      <x:c r="H47" s="5"/>
      <x:c r="I47" s="5"/>
      <x:c r="J47" s="5"/>
      <x:c r="K47" s="5"/>
      <x:c r="N47" s="6"/>
    </x:row>
    <x:row r="48">
      <x:c r="H48" s="5"/>
      <x:c r="I48" s="5"/>
      <x:c r="J48" s="5"/>
      <x:c r="K48" s="5"/>
      <x:c r="N48" s="6"/>
    </x:row>
    <x:row r="49">
      <x:c r="H49" s="5"/>
      <x:c r="I49" s="5"/>
      <x:c r="J49" s="5"/>
      <x:c r="K49" s="5"/>
      <x:c r="N49" s="6"/>
    </x:row>
    <x:row r="50">
      <x:c r="H50" s="5"/>
      <x:c r="I50" s="5"/>
      <x:c r="J50" s="5"/>
      <x:c r="K50" s="5"/>
      <x:c r="N50" s="6"/>
    </x:row>
    <x:row r="51">
      <x:c r="H51" s="5"/>
      <x:c r="I51" s="5"/>
      <x:c r="J51" s="5"/>
      <x:c r="K51" s="5"/>
      <x:c r="N51" s="6"/>
    </x:row>
    <x:row r="52">
      <x:c r="H52" s="5"/>
      <x:c r="I52" s="5"/>
      <x:c r="J52" s="5"/>
      <x:c r="K52" s="5"/>
      <x:c r="N52" s="6"/>
    </x:row>
    <x:row r="53">
      <x:c r="H53" s="5"/>
      <x:c r="I53" s="5"/>
      <x:c r="J53" s="5"/>
      <x:c r="K53" s="5"/>
      <x:c r="N53" s="6"/>
    </x:row>
    <x:row r="54">
      <x:c r="H54" s="5"/>
      <x:c r="I54" s="5"/>
      <x:c r="J54" s="5"/>
      <x:c r="K54" s="5"/>
      <x:c r="N54" s="6"/>
    </x:row>
    <x:row r="55">
      <x:c r="H55" s="5"/>
      <x:c r="I55" s="5"/>
      <x:c r="J55" s="5"/>
      <x:c r="K55" s="5"/>
      <x:c r="N55" s="6"/>
    </x:row>
    <x:row r="56">
      <x:c r="H56" s="5"/>
      <x:c r="I56" s="5"/>
      <x:c r="J56" s="5"/>
      <x:c r="K56" s="5"/>
      <x:c r="N56" s="6"/>
    </x:row>
    <x:row r="57">
      <x:c r="H57" s="5"/>
      <x:c r="I57" s="5"/>
      <x:c r="J57" s="5"/>
      <x:c r="K57" s="5"/>
      <x:c r="N57" s="6"/>
    </x:row>
    <x:row r="58">
      <x:c r="H58" s="5"/>
      <x:c r="I58" s="5"/>
      <x:c r="J58" s="5"/>
      <x:c r="K58" s="5"/>
      <x:c r="N58" s="6"/>
    </x:row>
    <x:row r="59">
      <x:c r="H59" s="5"/>
      <x:c r="I59" s="5"/>
      <x:c r="J59" s="5"/>
      <x:c r="K59" s="5"/>
      <x:c r="N59" s="6"/>
    </x:row>
    <x:row r="60">
      <x:c r="H60" s="5"/>
      <x:c r="I60" s="5"/>
      <x:c r="J60" s="5"/>
      <x:c r="K60" s="5"/>
      <x:c r="N60" s="6"/>
    </x:row>
    <x:row r="61">
      <x:c r="H61" s="5"/>
      <x:c r="I61" s="5"/>
      <x:c r="J61" s="5"/>
      <x:c r="K61" s="5"/>
      <x:c r="N61" s="6"/>
    </x:row>
    <x:row r="62">
      <x:c r="H62" s="5"/>
      <x:c r="I62" s="5"/>
      <x:c r="J62" s="5"/>
      <x:c r="K62" s="5"/>
      <x:c r="N62" s="6"/>
    </x:row>
    <x:row r="63">
      <x:c r="H63" s="5"/>
      <x:c r="I63" s="5"/>
      <x:c r="J63" s="5"/>
      <x:c r="K63" s="5"/>
      <x:c r="N63" s="6"/>
    </x:row>
    <x:row r="64">
      <x:c r="H64" s="5"/>
      <x:c r="I64" s="5"/>
      <x:c r="J64" s="5"/>
      <x:c r="K64" s="5"/>
      <x:c r="N64" s="6"/>
    </x:row>
    <x:row r="65">
      <x:c r="H65" s="5"/>
      <x:c r="I65" s="5"/>
      <x:c r="J65" s="5"/>
      <x:c r="K65" s="5"/>
      <x:c r="N65" s="6"/>
    </x:row>
    <x:row r="66">
      <x:c r="H66" s="5"/>
      <x:c r="I66" s="5"/>
      <x:c r="J66" s="5"/>
      <x:c r="K66" s="5"/>
      <x:c r="N66" s="6"/>
    </x:row>
    <x:row r="67">
      <x:c r="H67" s="5"/>
      <x:c r="I67" s="5"/>
      <x:c r="J67" s="5"/>
      <x:c r="K67" s="5"/>
      <x:c r="N67" s="6"/>
    </x:row>
    <x:row r="68">
      <x:c r="H68" s="5"/>
      <x:c r="I68" s="5"/>
      <x:c r="J68" s="5"/>
      <x:c r="K68" s="5"/>
      <x:c r="N68" s="6"/>
    </x:row>
    <x:row r="69">
      <x:c r="H69" s="5"/>
      <x:c r="I69" s="5"/>
      <x:c r="J69" s="5"/>
      <x:c r="K69" s="5"/>
      <x:c r="N69" s="6"/>
    </x:row>
    <x:row r="70">
      <x:c r="H70" s="5"/>
      <x:c r="I70" s="5"/>
      <x:c r="J70" s="5"/>
      <x:c r="K70" s="5"/>
      <x:c r="N70" s="6"/>
    </x:row>
    <x:row r="71">
      <x:c r="H71" s="5"/>
      <x:c r="I71" s="5"/>
      <x:c r="J71" s="5"/>
      <x:c r="K71" s="5"/>
      <x:c r="N71" s="6"/>
    </x:row>
    <x:row r="72">
      <x:c r="H72" s="5"/>
      <x:c r="I72" s="5"/>
      <x:c r="J72" s="5"/>
      <x:c r="K72" s="5"/>
      <x:c r="N72" s="6"/>
    </x:row>
    <x:row r="73">
      <x:c r="H73" s="5"/>
      <x:c r="I73" s="5"/>
      <x:c r="J73" s="5"/>
      <x:c r="K73" s="5"/>
      <x:c r="N73" s="6"/>
    </x:row>
    <x:row r="74">
      <x:c r="H74" s="5"/>
      <x:c r="I74" s="5"/>
      <x:c r="J74" s="5"/>
      <x:c r="K74" s="5"/>
      <x:c r="N74" s="6"/>
    </x:row>
    <x:row r="75">
      <x:c r="H75" s="5"/>
      <x:c r="I75" s="5"/>
      <x:c r="J75" s="5"/>
      <x:c r="K75" s="5"/>
      <x:c r="N75" s="6"/>
    </x:row>
    <x:row r="76">
      <x:c r="H76" s="5"/>
      <x:c r="I76" s="5"/>
      <x:c r="J76" s="5"/>
      <x:c r="K76" s="5"/>
      <x:c r="N76" s="6"/>
    </x:row>
    <x:row r="77">
      <x:c r="H77" s="5"/>
      <x:c r="I77" s="5"/>
      <x:c r="J77" s="5"/>
      <x:c r="K77" s="5"/>
      <x:c r="N77" s="6"/>
    </x:row>
    <x:row r="78">
      <x:c r="H78" s="5"/>
      <x:c r="I78" s="5"/>
      <x:c r="J78" s="5"/>
      <x:c r="K78" s="5"/>
      <x:c r="N78" s="6"/>
    </x:row>
    <x:row r="79">
      <x:c r="H79" s="5"/>
      <x:c r="I79" s="5"/>
      <x:c r="J79" s="5"/>
      <x:c r="K79" s="5"/>
      <x:c r="N79" s="6"/>
    </x:row>
    <x:row r="80">
      <x:c r="H80" s="5"/>
      <x:c r="I80" s="5"/>
      <x:c r="J80" s="5"/>
      <x:c r="K80" s="5"/>
      <x:c r="N80" s="6"/>
    </x:row>
    <x:row r="81">
      <x:c r="H81" s="5"/>
      <x:c r="I81" s="5"/>
      <x:c r="J81" s="5"/>
      <x:c r="K81" s="5"/>
      <x:c r="N81" s="6"/>
    </x:row>
    <x:row r="82">
      <x:c r="H82" s="5"/>
      <x:c r="I82" s="5"/>
      <x:c r="J82" s="5"/>
      <x:c r="K82" s="5"/>
      <x:c r="N82" s="6"/>
    </x:row>
    <x:row r="83">
      <x:c r="H83" s="5"/>
      <x:c r="I83" s="5"/>
      <x:c r="J83" s="5"/>
      <x:c r="K83" s="5"/>
      <x:c r="N83" s="6"/>
    </x:row>
    <x:row r="84">
      <x:c r="H84" s="5"/>
      <x:c r="I84" s="5"/>
      <x:c r="J84" s="5"/>
      <x:c r="K84" s="5"/>
      <x:c r="N84" s="6"/>
    </x:row>
    <x:row r="85">
      <x:c r="H85" s="5"/>
      <x:c r="I85" s="5"/>
      <x:c r="J85" s="5"/>
      <x:c r="K85" s="5"/>
      <x:c r="N85" s="6"/>
    </x:row>
    <x:row r="86">
      <x:c r="H86" s="5"/>
      <x:c r="I86" s="5"/>
      <x:c r="J86" s="5"/>
      <x:c r="K86" s="5"/>
      <x:c r="N86" s="6"/>
    </x:row>
    <x:row r="87">
      <x:c r="H87" s="5"/>
      <x:c r="I87" s="5"/>
      <x:c r="J87" s="5"/>
      <x:c r="K87" s="5"/>
      <x:c r="N87" s="6"/>
    </x:row>
    <x:row r="88">
      <x:c r="H88" s="5"/>
      <x:c r="I88" s="5"/>
      <x:c r="J88" s="5"/>
      <x:c r="K88" s="5"/>
      <x:c r="N88" s="6"/>
    </x:row>
    <x:row r="89">
      <x:c r="H89" s="5"/>
      <x:c r="I89" s="5"/>
      <x:c r="J89" s="5"/>
      <x:c r="K89" s="5"/>
      <x:c r="N89" s="6"/>
    </x:row>
    <x:row r="90">
      <x:c r="H90" s="5"/>
      <x:c r="I90" s="5"/>
      <x:c r="J90" s="5"/>
      <x:c r="K90" s="5"/>
      <x:c r="N90" s="6"/>
    </x:row>
    <x:row r="91">
      <x:c r="H91" s="5"/>
      <x:c r="I91" s="5"/>
      <x:c r="J91" s="5"/>
      <x:c r="K91" s="5"/>
      <x:c r="N91" s="6"/>
    </x:row>
    <x:row r="92">
      <x:c r="H92" s="5"/>
      <x:c r="I92" s="5"/>
      <x:c r="J92" s="5"/>
      <x:c r="K92" s="5"/>
      <x:c r="N92" s="6"/>
    </x:row>
    <x:row r="93">
      <x:c r="H93" s="5"/>
      <x:c r="I93" s="5"/>
      <x:c r="J93" s="5"/>
      <x:c r="K93" s="5"/>
      <x:c r="N93" s="6"/>
    </x:row>
    <x:row r="94">
      <x:c r="H94" s="5"/>
      <x:c r="I94" s="5"/>
      <x:c r="J94" s="5"/>
      <x:c r="K94" s="5"/>
      <x:c r="N94" s="6"/>
    </x:row>
    <x:row r="95">
      <x:c r="H95" s="5"/>
      <x:c r="I95" s="5"/>
      <x:c r="J95" s="5"/>
      <x:c r="K95" s="5"/>
      <x:c r="N95" s="6"/>
    </x:row>
    <x:row r="96">
      <x:c r="H96" s="5"/>
      <x:c r="I96" s="5"/>
      <x:c r="J96" s="5"/>
      <x:c r="K96" s="5"/>
      <x:c r="N96" s="6"/>
    </x:row>
    <x:row r="97">
      <x:c r="H97" s="5"/>
      <x:c r="I97" s="5"/>
      <x:c r="J97" s="5"/>
      <x:c r="K97" s="5"/>
      <x:c r="N97" s="6"/>
    </x:row>
    <x:row r="98">
      <x:c r="H98" s="5"/>
      <x:c r="I98" s="5"/>
      <x:c r="J98" s="5"/>
      <x:c r="K98" s="5"/>
      <x:c r="N98" s="6"/>
    </x:row>
    <x:row r="99">
      <x:c r="H99" s="5"/>
      <x:c r="I99" s="5"/>
      <x:c r="J99" s="5"/>
      <x:c r="K99" s="5"/>
      <x:c r="N99" s="6"/>
    </x:row>
    <x:row r="100">
      <x:c r="H100" s="5"/>
      <x:c r="I100" s="5"/>
      <x:c r="J100" s="5"/>
      <x:c r="K100" s="5"/>
      <x:c r="N100" s="6"/>
    </x:row>
  </x:sheetData>
  <x:pageMargins left="0.7" right="0.7" top="0.75" bottom="0.75" header="0.3" footer="0.3"/>
  <x:tableParts count="1">
    <x:tablePart xmlns:r="http://schemas.openxmlformats.org/officeDocument/2006/relationships" r:id="Rc7fb31c7aeb047e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13" hidden="0" customWidth="1"/>
    <x:col min="3" max="3" width="16.25" hidden="0" customWidth="1"/>
    <x:col min="4" max="4" width="17.5" hidden="0" customWidth="1"/>
    <x:col min="5" max="5" width="13.75" hidden="0" customWidth="1"/>
    <x:col min="6" max="6" width="13.75" hidden="0" customWidth="1"/>
  </x:cols>
  <x:sheetData>
    <x:row r="1">
      <x:c r="A1" s="4" t="str">
        <x:v>Mes</x:v>
      </x:c>
      <x:c r="B1" s="4" t="str">
        <x:v>Atenciones</x:v>
      </x:c>
      <x:c r="C1" s="4" t="str">
        <x:v>Personas atendidas</x:v>
      </x:c>
      <x:c r="D1" s="4" t="str">
        <x:v>Registros con licencia</x:v>
      </x:c>
      <x:c r="E1" s="4" t="str">
        <x:v>Dias indicados</x:v>
      </x:c>
      <x:c r="F1" s="4" t="str">
        <x:v>Horas indicadas</x:v>
      </x:c>
    </x:row>
    <x:row r="2">
      <x:c r="A2" s="7" t="str">
        <x:v>2026-01</x:v>
      </x:c>
      <x:c r="B2" s="7" t="n">
        <x:v>362</x:v>
      </x:c>
      <x:c r="C2" s="7" t="n">
        <x:v>175</x:v>
      </x:c>
      <x:c r="D2" s="7" t="n">
        <x:v>134</x:v>
      </x:c>
      <x:c r="E2" s="7" t="n">
        <x:v>230</x:v>
      </x:c>
      <x:c r="F2" s="7" t="n">
        <x:v>7.75000000008</x:v>
      </x:c>
    </x:row>
    <x:row r="3">
      <x:c r="A3" s="7" t="str">
        <x:v>2026-02</x:v>
      </x:c>
      <x:c r="B3" s="7" t="n">
        <x:v>273</x:v>
      </x:c>
      <x:c r="C3" s="7" t="n">
        <x:v>141</x:v>
      </x:c>
      <x:c r="D3" s="7" t="n">
        <x:v>132</x:v>
      </x:c>
      <x:c r="E3" s="7" t="n">
        <x:v>194</x:v>
      </x:c>
      <x:c r="F3" s="7" t="n">
        <x:v>8.416666666689997</x:v>
      </x:c>
    </x:row>
    <x:row r="4">
      <x:c r="A4" s="7" t="str">
        <x:v>2026-03</x:v>
      </x:c>
      <x:c r="B4" s="7" t="n">
        <x:v>488</x:v>
      </x:c>
      <x:c r="C4" s="7" t="n">
        <x:v>178</x:v>
      </x:c>
      <x:c r="D4" s="7" t="n">
        <x:v>301</x:v>
      </x:c>
      <x:c r="E4" s="7" t="n">
        <x:v>92967</x:v>
      </x:c>
      <x:c r="F4" s="7" t="n">
        <x:v>15.458333333279997</x:v>
      </x:c>
    </x:row>
    <x:row r="5">
      <x:c r="A5" s="7" t="str">
        <x:v>2026-04</x:v>
      </x:c>
      <x:c r="B5" s="7" t="n">
        <x:v>470</x:v>
      </x:c>
      <x:c r="C5" s="7" t="n">
        <x:v>183</x:v>
      </x:c>
      <x:c r="D5" s="7" t="n">
        <x:v>294</x:v>
      </x:c>
      <x:c r="E5" s="7" t="e"/>
      <x:c r="F5" s="7" t="n">
        <x:v>46139.1250000001</x:v>
      </x:c>
    </x:row>
    <x:row r="6">
      <x:c r="A6" s="7" t="str">
        <x:v>2026-05</x:v>
      </x:c>
      <x:c r="B6" s="7" t="n">
        <x:v>463</x:v>
      </x:c>
      <x:c r="C6" s="7" t="n">
        <x:v>195</x:v>
      </x:c>
      <x:c r="D6" s="7" t="n">
        <x:v>451</x:v>
      </x:c>
      <x:c r="E6" s="7" t="e"/>
      <x:c r="F6" s="7" t="n">
        <x:v>15.000000000449997</x:v>
      </x:c>
    </x:row>
    <x:row r="7">
      <x:c r="A7" s="7" t="str">
        <x:v>2026-06</x:v>
      </x:c>
      <x:c r="B7" s="7" t="n">
        <x:v>274</x:v>
      </x:c>
      <x:c r="C7" s="7" t="n">
        <x:v>133</x:v>
      </x:c>
      <x:c r="D7" s="7" t="n">
        <x:v>221</x:v>
      </x:c>
      <x:c r="E7" s="7" t="e"/>
      <x:c r="F7" s="7" t="n">
        <x:v>10.833333333470001</x:v>
      </x:c>
    </x:row>
  </x:sheetData>
  <x:pageMargins left="0.7" right="0.7" top="0.75" bottom="0.75" header="0.3" footer="0.3"/>
  <x:tableParts count="1">
    <x:tablePart xmlns:r="http://schemas.openxmlformats.org/officeDocument/2006/relationships" r:id="Rbc21ab70d64f4a7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.75" hidden="0" customWidth="1"/>
    <x:col min="3" max="3" width="28.75" hidden="0" customWidth="1"/>
    <x:col min="4" max="4" width="13.75" hidden="0" customWidth="1"/>
    <x:col min="5" max="5" width="13.75" hidden="0" customWidth="1"/>
    <x:col min="6" max="6" width="13" hidden="0" customWidth="1"/>
    <x:col min="7" max="7" width="10.75" hidden="0" customWidth="1"/>
    <x:col min="8" max="8" width="16.5" hidden="0" customWidth="1"/>
    <x:col min="9" max="9" width="22.5" hidden="0" customWidth="1"/>
  </x:cols>
  <x:sheetData>
    <x:row r="1">
      <x:c r="A1" s="4" t="str">
        <x:v>Mes</x:v>
      </x:c>
      <x:c r="B1" s="4" t="str">
        <x:v>Convenio</x:v>
      </x:c>
      <x:c r="C1" s="4" t="str">
        <x:v>Sector</x:v>
      </x:c>
      <x:c r="D1" s="4" t="str">
        <x:v>Hs enfermedad</x:v>
      </x:c>
      <x:c r="E1" s="4" t="str">
        <x:v>Hs accidentes</x:v>
      </x:c>
      <x:c r="F1" s="4" t="str">
        <x:v>Hs medicas</x:v>
      </x:c>
      <x:c r="G1" s="4" t="str">
        <x:v>Dotacion</x:v>
      </x:c>
      <x:c r="H1" s="4" t="str">
        <x:v>Hs medicas/persona</x:v>
      </x:c>
      <x:c r="I1" s="4" t="str">
        <x:v>Fuente</x:v>
      </x:c>
    </x:row>
    <x:row r="2">
      <x:c r="A2" s="7" t="str">
        <x:v>abril 2026</x:v>
      </x:c>
      <x:c r="B2" s="7" t="str">
        <x:v>Convenio</x:v>
      </x:c>
      <x:c r="C2" s="7" t="str">
        <x:v>Depto. Casco y Acero</x:v>
      </x:c>
      <x:c r="D2" s="7" t="n">
        <x:v>527</x:v>
      </x:c>
      <x:c r="E2" s="7" t="n">
        <x:v>64</x:v>
      </x:c>
      <x:c r="F2" s="7" t="n">
        <x:v>591</x:v>
      </x:c>
      <x:c r="G2" s="7" t="n">
        <x:v>65</x:v>
      </x:c>
      <x:c r="H2" s="9" t="n">
        <x:v>9.092307692307692</x:v>
      </x:c>
      <x:c r="I2" s="7" t="str">
        <x:v>Indice abril 2026.xlsx</x:v>
      </x:c>
    </x:row>
    <x:row r="3">
      <x:c r="A3" s="7" t="str">
        <x:v>abril 2026</x:v>
      </x:c>
      <x:c r="B3" s="7" t="str">
        <x:v>Convenio</x:v>
      </x:c>
      <x:c r="C3" s="7" t="str">
        <x:v>Depto. Mecánica</x:v>
      </x:c>
      <x:c r="D3" s="7" t="n">
        <x:v>306</x:v>
      </x:c>
      <x:c r="E3" s="7" t="n">
        <x:v>256</x:v>
      </x:c>
      <x:c r="F3" s="7" t="n">
        <x:v>562</x:v>
      </x:c>
      <x:c r="G3" s="7" t="n">
        <x:v>56</x:v>
      </x:c>
      <x:c r="H3" s="9" t="n">
        <x:v>10.035714285714286</x:v>
      </x:c>
      <x:c r="I3" s="7" t="str">
        <x:v>Indice abril 2026.xlsx</x:v>
      </x:c>
    </x:row>
    <x:row r="4">
      <x:c r="A4" s="7" t="str">
        <x:v>abril 2026</x:v>
      </x:c>
      <x:c r="B4" s="7" t="str">
        <x:v>Convenio</x:v>
      </x:c>
      <x:c r="C4" s="7" t="str">
        <x:v>Mantenimiento</x:v>
      </x:c>
      <x:c r="D4" s="7" t="n">
        <x:v>285</x:v>
      </x:c>
      <x:c r="E4" s="7" t="n">
        <x:v>0</x:v>
      </x:c>
      <x:c r="F4" s="7" t="n">
        <x:v>285</x:v>
      </x:c>
      <x:c r="G4" s="7" t="n">
        <x:v>20</x:v>
      </x:c>
      <x:c r="H4" s="9" t="n">
        <x:v>14.25</x:v>
      </x:c>
      <x:c r="I4" s="7" t="str">
        <x:v>Indice abril 2026.xlsx</x:v>
      </x:c>
    </x:row>
    <x:row r="5">
      <x:c r="A5" s="7" t="str">
        <x:v>abril 2026</x:v>
      </x:c>
      <x:c r="B5" s="7" t="str">
        <x:v>Convenio</x:v>
      </x:c>
      <x:c r="C5" s="7" t="str">
        <x:v>Depto. Cobrería</x:v>
      </x:c>
      <x:c r="D5" s="7" t="n">
        <x:v>283</x:v>
      </x:c>
      <x:c r="E5" s="7" t="n">
        <x:v>0</x:v>
      </x:c>
      <x:c r="F5" s="7" t="n">
        <x:v>283</x:v>
      </x:c>
      <x:c r="G5" s="7" t="n">
        <x:v>31</x:v>
      </x:c>
      <x:c r="H5" s="9" t="n">
        <x:v>9.129032258064516</x:v>
      </x:c>
      <x:c r="I5" s="7" t="str">
        <x:v>Indice abril 2026.xlsx</x:v>
      </x:c>
    </x:row>
    <x:row r="6">
      <x:c r="A6" s="7" t="str">
        <x:v>abril 2026</x:v>
      </x:c>
      <x:c r="B6" s="7" t="str">
        <x:v>Convenio</x:v>
      </x:c>
      <x:c r="C6" s="7" t="str">
        <x:v>Maniobras y Transportes</x:v>
      </x:c>
      <x:c r="D6" s="7" t="n">
        <x:v>213</x:v>
      </x:c>
      <x:c r="E6" s="7" t="n">
        <x:v>8</x:v>
      </x:c>
      <x:c r="F6" s="7" t="n">
        <x:v>221</x:v>
      </x:c>
      <x:c r="G6" s="7" t="n">
        <x:v>21</x:v>
      </x:c>
      <x:c r="H6" s="9" t="n">
        <x:v>10.523809523809524</x:v>
      </x:c>
      <x:c r="I6" s="7" t="str">
        <x:v>Indice abril 2026.xlsx</x:v>
      </x:c>
    </x:row>
    <x:row r="7">
      <x:c r="A7" s="7" t="str">
        <x:v>abril 2026</x:v>
      </x:c>
      <x:c r="B7" s="7" t="str">
        <x:v>Convenio</x:v>
      </x:c>
      <x:c r="C7" s="7" t="str">
        <x:v>Dpto. Carenado</x:v>
      </x:c>
      <x:c r="D7" s="7" t="n">
        <x:v>199</x:v>
      </x:c>
      <x:c r="E7" s="7" t="n">
        <x:v>0</x:v>
      </x:c>
      <x:c r="F7" s="7" t="n">
        <x:v>199</x:v>
      </x:c>
      <x:c r="G7" s="7" t="n">
        <x:v>29</x:v>
      </x:c>
      <x:c r="H7" s="9" t="n">
        <x:v>6.862068965517241</x:v>
      </x:c>
      <x:c r="I7" s="7" t="str">
        <x:v>Indice abril 2026.xlsx</x:v>
      </x:c>
    </x:row>
    <x:row r="8">
      <x:c r="A8" s="7" t="str">
        <x:v>abril 2026</x:v>
      </x:c>
      <x:c r="B8" s="7" t="str">
        <x:v>Convenio</x:v>
      </x:c>
      <x:c r="C8" s="7" t="str">
        <x:v>Control Patrimonial</x:v>
      </x:c>
      <x:c r="D8" s="7" t="n">
        <x:v>136</x:v>
      </x:c>
      <x:c r="E8" s="7" t="n">
        <x:v>0</x:v>
      </x:c>
      <x:c r="F8" s="7" t="n">
        <x:v>136</x:v>
      </x:c>
      <x:c r="G8" s="7" t="n">
        <x:v>9</x:v>
      </x:c>
      <x:c r="H8" s="9" t="n">
        <x:v>15.11111111111111</x:v>
      </x:c>
      <x:c r="I8" s="7" t="str">
        <x:v>Indice abril 2026.xlsx</x:v>
      </x:c>
    </x:row>
    <x:row r="9">
      <x:c r="A9" s="7" t="str">
        <x:v>abril 2026</x:v>
      </x:c>
      <x:c r="B9" s="7" t="str">
        <x:v>Convenio</x:v>
      </x:c>
      <x:c r="C9" s="7" t="str">
        <x:v>Depto. Syncrolift</x:v>
      </x:c>
      <x:c r="D9" s="7" t="n">
        <x:v>121</x:v>
      </x:c>
      <x:c r="E9" s="7" t="n">
        <x:v>0</x:v>
      </x:c>
      <x:c r="F9" s="7" t="n">
        <x:v>121</x:v>
      </x:c>
      <x:c r="G9" s="7" t="n">
        <x:v>19</x:v>
      </x:c>
      <x:c r="H9" s="9" t="n">
        <x:v>6.368421052631579</x:v>
      </x:c>
      <x:c r="I9" s="7" t="str">
        <x:v>Indice abril 2026.xlsx</x:v>
      </x:c>
    </x:row>
    <x:row r="10">
      <x:c r="A10" s="7" t="str">
        <x:v>abril 2026</x:v>
      </x:c>
      <x:c r="B10" s="7" t="str">
        <x:v>Convenio</x:v>
      </x:c>
      <x:c r="C10" s="7" t="str">
        <x:v>Servicio Comedor</x:v>
      </x:c>
      <x:c r="D10" s="7" t="n">
        <x:v>56</x:v>
      </x:c>
      <x:c r="E10" s="7" t="n">
        <x:v>16</x:v>
      </x:c>
      <x:c r="F10" s="7" t="n">
        <x:v>72</x:v>
      </x:c>
      <x:c r="G10" s="7" t="n">
        <x:v>7</x:v>
      </x:c>
      <x:c r="H10" s="9" t="n">
        <x:v>10.285714285714286</x:v>
      </x:c>
      <x:c r="I10" s="7" t="str">
        <x:v>Indice abril 2026.xlsx</x:v>
      </x:c>
    </x:row>
    <x:row r="11">
      <x:c r="A11" s="7" t="str">
        <x:v>abril 2026</x:v>
      </x:c>
      <x:c r="B11" s="7" t="str">
        <x:v>Convenio</x:v>
      </x:c>
      <x:c r="C11" s="7" t="str">
        <x:v>Depto. Electricidad</x:v>
      </x:c>
      <x:c r="D11" s="7" t="n">
        <x:v>62</x:v>
      </x:c>
      <x:c r="E11" s="7" t="n">
        <x:v>0</x:v>
      </x:c>
      <x:c r="F11" s="7" t="n">
        <x:v>62</x:v>
      </x:c>
      <x:c r="G11" s="7" t="n">
        <x:v>22</x:v>
      </x:c>
      <x:c r="H11" s="9" t="n">
        <x:v>2.8181818181818183</x:v>
      </x:c>
      <x:c r="I11" s="7" t="str">
        <x:v>Indice abril 2026.xlsx</x:v>
      </x:c>
    </x:row>
    <x:row r="12">
      <x:c r="A12" s="7" t="str">
        <x:v>abril 2026</x:v>
      </x:c>
      <x:c r="B12" s="7" t="str">
        <x:v>Convenio</x:v>
      </x:c>
      <x:c r="C12" s="7" t="str">
        <x:v>Mesa de Entrada</x:v>
      </x:c>
      <x:c r="D12" s="7" t="n">
        <x:v>40</x:v>
      </x:c>
      <x:c r="E12" s="7" t="n">
        <x:v>0</x:v>
      </x:c>
      <x:c r="F12" s="7" t="n">
        <x:v>40</x:v>
      </x:c>
      <x:c r="G12" s="7" t="n">
        <x:v>1</x:v>
      </x:c>
      <x:c r="H12" s="9" t="n">
        <x:v>40</x:v>
      </x:c>
      <x:c r="I12" s="7" t="str">
        <x:v>Indice abril 2026.xlsx</x:v>
      </x:c>
    </x:row>
    <x:row r="13">
      <x:c r="A13" s="7" t="str">
        <x:v>abril 2026</x:v>
      </x:c>
      <x:c r="B13" s="7" t="str">
        <x:v>Fuera de convenio</x:v>
      </x:c>
      <x:c r="C13" s="7" t="str">
        <x:v>Jefatura de Reparaciones</x:v>
      </x:c>
      <x:c r="D13" s="7" t="n">
        <x:v>40</x:v>
      </x:c>
      <x:c r="E13" s="7" t="n">
        <x:v>0</x:v>
      </x:c>
      <x:c r="F13" s="7" t="n">
        <x:v>40</x:v>
      </x:c>
      <x:c r="G13" s="7" t="n">
        <x:v>1</x:v>
      </x:c>
      <x:c r="H13" s="9" t="n">
        <x:v>40</x:v>
      </x:c>
      <x:c r="I13" s="7" t="str">
        <x:v>Indice abril 2026.xlsx</x:v>
      </x:c>
    </x:row>
    <x:row r="14">
      <x:c r="A14" s="7" t="str">
        <x:v>abril 2026</x:v>
      </x:c>
      <x:c r="B14" s="7" t="str">
        <x:v>Convenio</x:v>
      </x:c>
      <x:c r="C14" s="7" t="str">
        <x:v>Depto. Habitabilidad</x:v>
      </x:c>
      <x:c r="D14" s="7" t="n">
        <x:v>29</x:v>
      </x:c>
      <x:c r="E14" s="7" t="n">
        <x:v>0</x:v>
      </x:c>
      <x:c r="F14" s="7" t="n">
        <x:v>29</x:v>
      </x:c>
      <x:c r="G14" s="7" t="n">
        <x:v>10</x:v>
      </x:c>
      <x:c r="H14" s="9" t="n">
        <x:v>2.9</x:v>
      </x:c>
      <x:c r="I14" s="7" t="str">
        <x:v>Indice abril 2026.xlsx</x:v>
      </x:c>
    </x:row>
    <x:row r="15">
      <x:c r="A15" s="7" t="str">
        <x:v>abril 2026</x:v>
      </x:c>
      <x:c r="B15" s="7" t="str">
        <x:v>Convenio</x:v>
      </x:c>
      <x:c r="C15" s="7" t="str">
        <x:v>Relaciones Institucionales</x:v>
      </x:c>
      <x:c r="D15" s="7" t="n">
        <x:v>29</x:v>
      </x:c>
      <x:c r="E15" s="7" t="n">
        <x:v>0</x:v>
      </x:c>
      <x:c r="F15" s="7" t="n">
        <x:v>29</x:v>
      </x:c>
      <x:c r="G15" s="7" t="n">
        <x:v>3</x:v>
      </x:c>
      <x:c r="H15" s="9" t="n">
        <x:v>9.666666666666666</x:v>
      </x:c>
      <x:c r="I15" s="7" t="str">
        <x:v>Indice abril 2026.xlsx</x:v>
      </x:c>
    </x:row>
    <x:row r="16">
      <x:c r="A16" s="7" t="str">
        <x:v>abril 2026</x:v>
      </x:c>
      <x:c r="B16" s="7" t="str">
        <x:v>Convenio</x:v>
      </x:c>
      <x:c r="C16" s="7" t="str">
        <x:v>Higiene y Seguridad Industrial</x:v>
      </x:c>
      <x:c r="D16" s="7" t="n">
        <x:v>16</x:v>
      </x:c>
      <x:c r="E16" s="7" t="n">
        <x:v>0</x:v>
      </x:c>
      <x:c r="F16" s="7" t="n">
        <x:v>16</x:v>
      </x:c>
      <x:c r="G16" s="7" t="n">
        <x:v>10</x:v>
      </x:c>
      <x:c r="H16" s="9" t="n">
        <x:v>1.6</x:v>
      </x:c>
      <x:c r="I16" s="7" t="str">
        <x:v>Indice abril 2026.xlsx</x:v>
      </x:c>
    </x:row>
    <x:row r="17">
      <x:c r="A17" s="7" t="str">
        <x:v>abril 2026</x:v>
      </x:c>
      <x:c r="B17" s="7" t="str">
        <x:v>Convenio</x:v>
      </x:c>
      <x:c r="C17" s="7" t="str">
        <x:v>Servicio Médico</x:v>
      </x:c>
      <x:c r="D17" s="7" t="n">
        <x:v>16</x:v>
      </x:c>
      <x:c r="E17" s="7" t="n">
        <x:v>0</x:v>
      </x:c>
      <x:c r="F17" s="7" t="n">
        <x:v>16</x:v>
      </x:c>
      <x:c r="G17" s="7" t="n">
        <x:v>3</x:v>
      </x:c>
      <x:c r="H17" s="9" t="n">
        <x:v>5.333333333333333</x:v>
      </x:c>
      <x:c r="I17" s="7" t="str">
        <x:v>Indice abril 2026.xlsx</x:v>
      </x:c>
    </x:row>
    <x:row r="18">
      <x:c r="A18" s="7" t="str">
        <x:v>abril 2026</x:v>
      </x:c>
      <x:c r="B18" s="7" t="str">
        <x:v>Convenio</x:v>
      </x:c>
      <x:c r="C18" s="7" t="str">
        <x:v>Depto. Almacenes</x:v>
      </x:c>
      <x:c r="D18" s="7" t="n">
        <x:v>12</x:v>
      </x:c>
      <x:c r="E18" s="7" t="n">
        <x:v>0</x:v>
      </x:c>
      <x:c r="F18" s="7" t="n">
        <x:v>12</x:v>
      </x:c>
      <x:c r="G18" s="7" t="n">
        <x:v>8</x:v>
      </x:c>
      <x:c r="H18" s="9" t="n">
        <x:v>1.5</x:v>
      </x:c>
      <x:c r="I18" s="7" t="str">
        <x:v>Indice abril 2026.xlsx</x:v>
      </x:c>
    </x:row>
    <x:row r="19">
      <x:c r="A19" s="7" t="str">
        <x:v>abril 2026</x:v>
      </x:c>
      <x:c r="B19" s="7" t="str">
        <x:v>Convenio</x:v>
      </x:c>
      <x:c r="C19" s="7" t="str">
        <x:v>Jefatura de Reparaciones</x:v>
      </x:c>
      <x:c r="D19" s="7" t="n">
        <x:v>11</x:v>
      </x:c>
      <x:c r="E19" s="7" t="n">
        <x:v>0</x:v>
      </x:c>
      <x:c r="F19" s="7" t="n">
        <x:v>11</x:v>
      </x:c>
      <x:c r="G19" s="7" t="n">
        <x:v>8</x:v>
      </x:c>
      <x:c r="H19" s="9" t="n">
        <x:v>1.375</x:v>
      </x:c>
      <x:c r="I19" s="7" t="str">
        <x:v>Indice abril 2026.xlsx</x:v>
      </x:c>
    </x:row>
    <x:row r="20">
      <x:c r="A20" s="7" t="str">
        <x:v>abril 2026</x:v>
      </x:c>
      <x:c r="B20" s="7" t="str">
        <x:v>Fuera de convenio</x:v>
      </x:c>
      <x:c r="C20" s="7" t="str">
        <x:v>Depto. Control de Calidad</x:v>
      </x:c>
      <x:c r="D20" s="7" t="n">
        <x:v>11</x:v>
      </x:c>
      <x:c r="E20" s="7" t="n">
        <x:v>0</x:v>
      </x:c>
      <x:c r="F20" s="7" t="n">
        <x:v>11</x:v>
      </x:c>
      <x:c r="G20" s="7" t="n">
        <x:v>1</x:v>
      </x:c>
      <x:c r="H20" s="9" t="n">
        <x:v>11</x:v>
      </x:c>
      <x:c r="I20" s="7" t="str">
        <x:v>Indice abril 2026.xlsx</x:v>
      </x:c>
    </x:row>
    <x:row r="21">
      <x:c r="A21" s="7" t="str">
        <x:v>abril 2026</x:v>
      </x:c>
      <x:c r="B21" s="7" t="str">
        <x:v>Convenio</x:v>
      </x:c>
      <x:c r="C21" s="7" t="str">
        <x:v>Administración y Finanzas</x:v>
      </x:c>
      <x:c r="D21" s="7" t="n">
        <x:v>10</x:v>
      </x:c>
      <x:c r="E21" s="7" t="n">
        <x:v>0</x:v>
      </x:c>
      <x:c r="F21" s="7" t="n">
        <x:v>10</x:v>
      </x:c>
      <x:c r="G21" s="7" t="n">
        <x:v>3</x:v>
      </x:c>
      <x:c r="H21" s="9" t="n">
        <x:v>3.3333333333333335</x:v>
      </x:c>
      <x:c r="I21" s="7" t="str">
        <x:v>Indice abril 2026.xlsx</x:v>
      </x:c>
    </x:row>
    <x:row r="22">
      <x:c r="A22" s="7" t="str">
        <x:v>abril 2026</x:v>
      </x:c>
      <x:c r="B22" s="7" t="str">
        <x:v>Convenio</x:v>
      </x:c>
      <x:c r="C22" s="7" t="str">
        <x:v>Depto. Bomberos</x:v>
      </x:c>
      <x:c r="D22" s="7" t="n">
        <x:v>8</x:v>
      </x:c>
      <x:c r="E22" s="7" t="n">
        <x:v>0</x:v>
      </x:c>
      <x:c r="F22" s="7" t="n">
        <x:v>8</x:v>
      </x:c>
      <x:c r="G22" s="7" t="n">
        <x:v>14</x:v>
      </x:c>
      <x:c r="H22" s="9" t="n">
        <x:v>0.5714285714285714</x:v>
      </x:c>
      <x:c r="I22" s="7" t="str">
        <x:v>Indice abril 2026.xlsx</x:v>
      </x:c>
    </x:row>
    <x:row r="23">
      <x:c r="A23" s="7" t="str">
        <x:v>abril 2026</x:v>
      </x:c>
      <x:c r="B23" s="7" t="str">
        <x:v>Fuera de convenio</x:v>
      </x:c>
      <x:c r="C23" s="7" t="str">
        <x:v>Dirección de Administración</x:v>
      </x:c>
      <x:c r="D23" s="7" t="n">
        <x:v>8</x:v>
      </x:c>
      <x:c r="E23" s="7" t="n">
        <x:v>0</x:v>
      </x:c>
      <x:c r="F23" s="7" t="n">
        <x:v>8</x:v>
      </x:c>
      <x:c r="G23" s="7" t="n">
        <x:v>1</x:v>
      </x:c>
      <x:c r="H23" s="9" t="n">
        <x:v>8</x:v>
      </x:c>
      <x:c r="I23" s="7" t="str">
        <x:v>Indice abril 2026.xlsx</x:v>
      </x:c>
    </x:row>
    <x:row r="24">
      <x:c r="A24" s="7" t="str">
        <x:v>abril 2026</x:v>
      </x:c>
      <x:c r="B24" s="7" t="str">
        <x:v>Fuera de convenio</x:v>
      </x:c>
      <x:c r="C24" s="7" t="str">
        <x:v>Jefatura de Proyectos</x:v>
      </x:c>
      <x:c r="D24" s="7" t="n">
        <x:v>8</x:v>
      </x:c>
      <x:c r="E24" s="7" t="n">
        <x:v>0</x:v>
      </x:c>
      <x:c r="F24" s="7" t="n">
        <x:v>8</x:v>
      </x:c>
      <x:c r="G24" s="7" t="n">
        <x:v>4</x:v>
      </x:c>
      <x:c r="H24" s="9" t="n">
        <x:v>2</x:v>
      </x:c>
      <x:c r="I24" s="7" t="str">
        <x:v>Indice abril 2026.xlsx</x:v>
      </x:c>
    </x:row>
    <x:row r="25">
      <x:c r="A25" s="7" t="str">
        <x:v>abril 2026</x:v>
      </x:c>
      <x:c r="B25" s="7" t="str">
        <x:v>Fuera de convenio</x:v>
      </x:c>
      <x:c r="C25" s="7" t="str">
        <x:v>Mantenimiento</x:v>
      </x:c>
      <x:c r="D25" s="7" t="n">
        <x:v>8</x:v>
      </x:c>
      <x:c r="E25" s="7" t="n">
        <x:v>0</x:v>
      </x:c>
      <x:c r="F25" s="7" t="n">
        <x:v>8</x:v>
      </x:c>
      <x:c r="G25" s="7" t="n">
        <x:v>1</x:v>
      </x:c>
      <x:c r="H25" s="9" t="n">
        <x:v>8</x:v>
      </x:c>
      <x:c r="I25" s="7" t="str">
        <x:v>Indice abril 2026.xlsx</x:v>
      </x:c>
    </x:row>
    <x:row r="26">
      <x:c r="A26" s="7" t="str">
        <x:v>abril 2026</x:v>
      </x:c>
      <x:c r="B26" s="7" t="str">
        <x:v>Convenio</x:v>
      </x:c>
      <x:c r="C26" s="7" t="str">
        <x:v>Gcia de Producción</x:v>
      </x:c>
      <x:c r="D26" s="7" t="n">
        <x:v>7</x:v>
      </x:c>
      <x:c r="E26" s="7" t="n">
        <x:v>0</x:v>
      </x:c>
      <x:c r="F26" s="7" t="n">
        <x:v>7</x:v>
      </x:c>
      <x:c r="G26" s="7" t="n">
        <x:v>1</x:v>
      </x:c>
      <x:c r="H26" s="9" t="n">
        <x:v>7</x:v>
      </x:c>
      <x:c r="I26" s="7" t="str">
        <x:v>Indice abril 2026.xlsx</x:v>
      </x:c>
    </x:row>
    <x:row r="27">
      <x:c r="A27" s="7" t="str">
        <x:v>abril 2026</x:v>
      </x:c>
      <x:c r="B27" s="7" t="str">
        <x:v>Convenio</x:v>
      </x:c>
      <x:c r="C27" s="7" t="str">
        <x:v>Intendencia</x:v>
      </x:c>
      <x:c r="D27" s="7" t="n">
        <x:v>7</x:v>
      </x:c>
      <x:c r="E27" s="7" t="n">
        <x:v>0</x:v>
      </x:c>
      <x:c r="F27" s="7" t="n">
        <x:v>7</x:v>
      </x:c>
      <x:c r="G27" s="7" t="n">
        <x:v>7</x:v>
      </x:c>
      <x:c r="H27" s="9" t="n">
        <x:v>1</x:v>
      </x:c>
      <x:c r="I27" s="7" t="str">
        <x:v>Indice abril 2026.xlsx</x:v>
      </x:c>
    </x:row>
    <x:row r="28">
      <x:c r="A28" s="7" t="str">
        <x:v>abril 2026</x:v>
      </x:c>
      <x:c r="B28" s="7" t="str">
        <x:v>Fuera de convenio</x:v>
      </x:c>
      <x:c r="C28" s="7" t="str">
        <x:v>Dpto. Carenado</x:v>
      </x:c>
      <x:c r="D28" s="7" t="n">
        <x:v>5</x:v>
      </x:c>
      <x:c r="E28" s="7" t="n">
        <x:v>0</x:v>
      </x:c>
      <x:c r="F28" s="7" t="n">
        <x:v>5</x:v>
      </x:c>
      <x:c r="G28" s="7" t="n">
        <x:v>1</x:v>
      </x:c>
      <x:c r="H28" s="9" t="n">
        <x:v>5</x:v>
      </x:c>
      <x:c r="I28" s="7" t="str">
        <x:v>Indice abril 2026.xlsx</x:v>
      </x:c>
    </x:row>
    <x:row r="29">
      <x:c r="A29" s="7" t="str">
        <x:v>abril 2026</x:v>
      </x:c>
      <x:c r="B29" s="7" t="str">
        <x:v>Convenio</x:v>
      </x:c>
      <x:c r="C29" s="7" t="str">
        <x:v>Control de Calidad</x:v>
      </x:c>
      <x:c r="D29" s="7" t="n">
        <x:v>3</x:v>
      </x:c>
      <x:c r="E29" s="7" t="n">
        <x:v>0</x:v>
      </x:c>
      <x:c r="F29" s="7" t="n">
        <x:v>3</x:v>
      </x:c>
      <x:c r="G29" s="7" t="n">
        <x:v>7</x:v>
      </x:c>
      <x:c r="H29" s="9" t="n">
        <x:v>0.42857142857142855</x:v>
      </x:c>
      <x:c r="I29" s="7" t="str">
        <x:v>Indice abril 2026.xlsx</x:v>
      </x:c>
    </x:row>
    <x:row r="30">
      <x:c r="A30" s="7" t="str">
        <x:v>abril 2026</x:v>
      </x:c>
      <x:c r="B30" s="7" t="str">
        <x:v>Fuera de convenio</x:v>
      </x:c>
      <x:c r="C30" s="7" t="str">
        <x:v>Depto. Control de Gestión</x:v>
      </x:c>
      <x:c r="D30" s="7" t="n">
        <x:v>3</x:v>
      </x:c>
      <x:c r="E30" s="7" t="n">
        <x:v>0</x:v>
      </x:c>
      <x:c r="F30" s="7" t="n">
        <x:v>3</x:v>
      </x:c>
      <x:c r="G30" s="7" t="n">
        <x:v>1</x:v>
      </x:c>
      <x:c r="H30" s="9" t="n">
        <x:v>3</x:v>
      </x:c>
      <x:c r="I30" s="7" t="str">
        <x:v>Indice abril 2026.xlsx</x:v>
      </x:c>
    </x:row>
    <x:row r="31">
      <x:c r="A31" s="7" t="str">
        <x:v>abril 2026</x:v>
      </x:c>
      <x:c r="B31" s="7" t="str">
        <x:v>Fuera de convenio</x:v>
      </x:c>
      <x:c r="C31" s="7" t="str">
        <x:v>Gcia. Administración y Finanzas</x:v>
      </x:c>
      <x:c r="D31" s="7" t="n">
        <x:v>3</x:v>
      </x:c>
      <x:c r="E31" s="7" t="n">
        <x:v>0</x:v>
      </x:c>
      <x:c r="F31" s="7" t="n">
        <x:v>3</x:v>
      </x:c>
      <x:c r="G31" s="7" t="n">
        <x:v>3</x:v>
      </x:c>
      <x:c r="H31" s="9" t="n">
        <x:v>1</x:v>
      </x:c>
      <x:c r="I31" s="7" t="str">
        <x:v>Indice abril 2026.xlsx</x:v>
      </x:c>
    </x:row>
    <x:row r="32">
      <x:c r="A32" s="7" t="str">
        <x:v>abril 2026</x:v>
      </x:c>
      <x:c r="B32" s="7" t="str">
        <x:v>Convenio</x:v>
      </x:c>
      <x:c r="C32" s="7" t="str">
        <x:v>Depto. Capital Humano</x:v>
      </x:c>
      <x:c r="D32" s="7" t="n">
        <x:v>2</x:v>
      </x:c>
      <x:c r="E32" s="7" t="n">
        <x:v>0</x:v>
      </x:c>
      <x:c r="F32" s="7" t="n">
        <x:v>2</x:v>
      </x:c>
      <x:c r="G32" s="7" t="n">
        <x:v>6</x:v>
      </x:c>
      <x:c r="H32" s="9" t="n">
        <x:v>0.3333333333333333</x:v>
      </x:c>
      <x:c r="I32" s="7" t="str">
        <x:v>Indice abril 2026.xlsx</x:v>
      </x:c>
    </x:row>
    <x:row r="33">
      <x:c r="A33" s="7" t="str">
        <x:v>abril 2026</x:v>
      </x:c>
      <x:c r="B33" s="7" t="str">
        <x:v>Convenio</x:v>
      </x:c>
      <x:c r="C33" s="7" t="str">
        <x:v>Jefatura de Proyectos</x:v>
      </x:c>
      <x:c r="D33" s="7" t="n">
        <x:v>2</x:v>
      </x:c>
      <x:c r="E33" s="7" t="n">
        <x:v>0</x:v>
      </x:c>
      <x:c r="F33" s="7" t="n">
        <x:v>2</x:v>
      </x:c>
      <x:c r="G33" s="7" t="n">
        <x:v>2</x:v>
      </x:c>
      <x:c r="H33" s="9" t="n">
        <x:v>1</x:v>
      </x:c>
      <x:c r="I33" s="7" t="str">
        <x:v>Indice abril 2026.xlsx</x:v>
      </x:c>
    </x:row>
    <x:row r="34">
      <x:c r="A34" s="7" t="str">
        <x:v>abril 2026</x:v>
      </x:c>
      <x:c r="B34" s="7" t="str">
        <x:v>Fuera de convenio</x:v>
      </x:c>
      <x:c r="C34" s="7" t="str">
        <x:v>Gcia de Producción</x:v>
      </x:c>
      <x:c r="D34" s="7" t="n">
        <x:v>1</x:v>
      </x:c>
      <x:c r="E34" s="7" t="n">
        <x:v>0</x:v>
      </x:c>
      <x:c r="F34" s="7" t="n">
        <x:v>1</x:v>
      </x:c>
      <x:c r="G34" s="7" t="n">
        <x:v>3</x:v>
      </x:c>
      <x:c r="H34" s="9" t="n">
        <x:v>0.3333333333333333</x:v>
      </x:c>
      <x:c r="I34" s="7" t="str">
        <x:v>Indice abril 2026.xlsx</x:v>
      </x:c>
    </x:row>
    <x:row r="35">
      <x:c r="A35" s="7" t="str">
        <x:v>abril 2026</x:v>
      </x:c>
      <x:c r="B35" s="7" t="str">
        <x:v>Convenio</x:v>
      </x:c>
      <x:c r="C35" s="7" t="str">
        <x:v>Asuntos legales</x:v>
      </x:c>
      <x:c r="D35" s="7" t="n">
        <x:v>0</x:v>
      </x:c>
      <x:c r="E35" s="7" t="n">
        <x:v>0</x:v>
      </x:c>
      <x:c r="F35" s="7" t="n">
        <x:v>0</x:v>
      </x:c>
      <x:c r="G35" s="7" t="n">
        <x:v>1</x:v>
      </x:c>
      <x:c r="H35" s="9" t="n">
        <x:v>0</x:v>
      </x:c>
      <x:c r="I35" s="7" t="str">
        <x:v>Indice abril 2026.xlsx</x:v>
      </x:c>
    </x:row>
    <x:row r="36">
      <x:c r="A36" s="7" t="str">
        <x:v>abril 2026</x:v>
      </x:c>
      <x:c r="B36" s="7" t="str">
        <x:v>Convenio</x:v>
      </x:c>
      <x:c r="C36" s="7" t="str">
        <x:v>Compras y Contrataciones</x:v>
      </x:c>
      <x:c r="D36" s="7" t="n">
        <x:v>0</x:v>
      </x:c>
      <x:c r="E36" s="7" t="n">
        <x:v>0</x:v>
      </x:c>
      <x:c r="F36" s="7" t="n">
        <x:v>0</x:v>
      </x:c>
      <x:c r="G36" s="7" t="n">
        <x:v>5</x:v>
      </x:c>
      <x:c r="H36" s="9" t="n">
        <x:v>0</x:v>
      </x:c>
      <x:c r="I36" s="7" t="str">
        <x:v>Indice abril 2026.xlsx</x:v>
      </x:c>
    </x:row>
    <x:row r="37">
      <x:c r="A37" s="7" t="str">
        <x:v>abril 2026</x:v>
      </x:c>
      <x:c r="B37" s="7" t="str">
        <x:v>Convenio</x:v>
      </x:c>
      <x:c r="C37" s="7" t="str">
        <x:v>Control de Contratistas</x:v>
      </x:c>
      <x:c r="D37" s="7" t="n">
        <x:v>0</x:v>
      </x:c>
      <x:c r="E37" s="7" t="n">
        <x:v>0</x:v>
      </x:c>
      <x:c r="F37" s="7" t="n">
        <x:v>0</x:v>
      </x:c>
      <x:c r="G37" s="7" t="n">
        <x:v>2</x:v>
      </x:c>
      <x:c r="H37" s="9" t="n">
        <x:v>0</x:v>
      </x:c>
      <x:c r="I37" s="7" t="str">
        <x:v>Indice abril 2026.xlsx</x:v>
      </x:c>
    </x:row>
    <x:row r="38">
      <x:c r="A38" s="7" t="str">
        <x:v>abril 2026</x:v>
      </x:c>
      <x:c r="B38" s="7" t="str">
        <x:v>Convenio</x:v>
      </x:c>
      <x:c r="C38" s="7" t="str">
        <x:v>Depto. Control de Gestión</x:v>
      </x:c>
      <x:c r="D38" s="7" t="n">
        <x:v>0</x:v>
      </x:c>
      <x:c r="E38" s="7" t="n">
        <x:v>0</x:v>
      </x:c>
      <x:c r="F38" s="7" t="n">
        <x:v>0</x:v>
      </x:c>
      <x:c r="G38" s="7" t="n">
        <x:v>1</x:v>
      </x:c>
      <x:c r="H38" s="9" t="n">
        <x:v>0</x:v>
      </x:c>
      <x:c r="I38" s="7" t="str">
        <x:v>Indice abril 2026.xlsx</x:v>
      </x:c>
    </x:row>
    <x:row r="39">
      <x:c r="A39" s="7" t="str">
        <x:v>abril 2026</x:v>
      </x:c>
      <x:c r="B39" s="7" t="str">
        <x:v>Convenio</x:v>
      </x:c>
      <x:c r="C39" s="7" t="str">
        <x:v>Directorio</x:v>
      </x:c>
      <x:c r="D39" s="7" t="n">
        <x:v>0</x:v>
      </x:c>
      <x:c r="E39" s="7" t="n">
        <x:v>0</x:v>
      </x:c>
      <x:c r="F39" s="7" t="n">
        <x:v>0</x:v>
      </x:c>
      <x:c r="G39" s="7" t="n">
        <x:v>1</x:v>
      </x:c>
      <x:c r="H39" s="9" t="n">
        <x:v>0</x:v>
      </x:c>
      <x:c r="I39" s="7" t="str">
        <x:v>Indice abril 2026.xlsx</x:v>
      </x:c>
    </x:row>
    <x:row r="40">
      <x:c r="A40" s="7" t="str">
        <x:v>abril 2026</x:v>
      </x:c>
      <x:c r="B40" s="7" t="str">
        <x:v>Convenio</x:v>
      </x:c>
      <x:c r="C40" s="7" t="str">
        <x:v>Dirección Comercial</x:v>
      </x:c>
      <x:c r="D40" s="7" t="n">
        <x:v>0</x:v>
      </x:c>
      <x:c r="E40" s="7" t="n">
        <x:v>0</x:v>
      </x:c>
      <x:c r="F40" s="7" t="n">
        <x:v>0</x:v>
      </x:c>
      <x:c r="G40" s="7" t="n">
        <x:v>2</x:v>
      </x:c>
      <x:c r="H40" s="9" t="n">
        <x:v>0</x:v>
      </x:c>
      <x:c r="I40" s="7" t="str">
        <x:v>Indice abril 2026.xlsx</x:v>
      </x:c>
    </x:row>
    <x:row r="41">
      <x:c r="A41" s="7" t="str">
        <x:v>abril 2026</x:v>
      </x:c>
      <x:c r="B41" s="7" t="str">
        <x:v>Convenio</x:v>
      </x:c>
      <x:c r="C41" s="7" t="str">
        <x:v>Dirección de Operaciones</x:v>
      </x:c>
      <x:c r="D41" s="7" t="n">
        <x:v>0</x:v>
      </x:c>
      <x:c r="E41" s="7" t="n">
        <x:v>0</x:v>
      </x:c>
      <x:c r="F41" s="7" t="n">
        <x:v>0</x:v>
      </x:c>
      <x:c r="G41" s="7" t="n">
        <x:v>1</x:v>
      </x:c>
      <x:c r="H41" s="9" t="n">
        <x:v>0</x:v>
      </x:c>
      <x:c r="I41" s="7" t="str">
        <x:v>Indice abril 2026.xlsx</x:v>
      </x:c>
    </x:row>
    <x:row r="42">
      <x:c r="A42" s="7" t="str">
        <x:v>abril 2026</x:v>
      </x:c>
      <x:c r="B42" s="7" t="str">
        <x:v>Convenio</x:v>
      </x:c>
      <x:c r="C42" s="7" t="str">
        <x:v>Gestión de Calidad</x:v>
      </x:c>
      <x:c r="D42" s="7" t="n">
        <x:v>0</x:v>
      </x:c>
      <x:c r="E42" s="7" t="n">
        <x:v>0</x:v>
      </x:c>
      <x:c r="F42" s="7" t="n">
        <x:v>0</x:v>
      </x:c>
      <x:c r="G42" s="7" t="n">
        <x:v>1</x:v>
      </x:c>
      <x:c r="H42" s="9" t="n">
        <x:v>0</x:v>
      </x:c>
      <x:c r="I42" s="7" t="str">
        <x:v>Indice abril 2026.xlsx</x:v>
      </x:c>
    </x:row>
    <x:row r="43">
      <x:c r="A43" s="7" t="str">
        <x:v>abril 2026</x:v>
      </x:c>
      <x:c r="B43" s="7" t="str">
        <x:v>Convenio</x:v>
      </x:c>
      <x:c r="C43" s="7" t="str">
        <x:v>Gcia de Ingenieria</x:v>
      </x:c>
      <x:c r="D43" s="7" t="n">
        <x:v>0</x:v>
      </x:c>
      <x:c r="E43" s="7" t="n">
        <x:v>0</x:v>
      </x:c>
      <x:c r="F43" s="7" t="n">
        <x:v>0</x:v>
      </x:c>
      <x:c r="G43" s="7" t="n">
        <x:v>1</x:v>
      </x:c>
      <x:c r="H43" s="9" t="n">
        <x:v>0</x:v>
      </x:c>
      <x:c r="I43" s="7" t="str">
        <x:v>Indice abril 2026.xlsx</x:v>
      </x:c>
    </x:row>
    <x:row r="44">
      <x:c r="A44" s="7" t="str">
        <x:v>abril 2026</x:v>
      </x:c>
      <x:c r="B44" s="7" t="str">
        <x:v>Fuera de convenio</x:v>
      </x:c>
      <x:c r="C44" s="7" t="str">
        <x:v>Depto. Casco y Acero</x:v>
      </x:c>
      <x:c r="D44" s="7" t="n">
        <x:v>0</x:v>
      </x:c>
      <x:c r="E44" s="7" t="n">
        <x:v>0</x:v>
      </x:c>
      <x:c r="F44" s="7" t="n">
        <x:v>0</x:v>
      </x:c>
      <x:c r="G44" s="7" t="n">
        <x:v>1</x:v>
      </x:c>
      <x:c r="H44" s="9" t="n">
        <x:v>0</x:v>
      </x:c>
      <x:c r="I44" s="7" t="str">
        <x:v>Indice abril 2026.xlsx</x:v>
      </x:c>
    </x:row>
    <x:row r="45">
      <x:c r="A45" s="7" t="str">
        <x:v>abril 2026</x:v>
      </x:c>
      <x:c r="B45" s="7" t="str">
        <x:v>Fuera de convenio</x:v>
      </x:c>
      <x:c r="C45" s="7" t="str">
        <x:v>Depto. Cobrería</x:v>
      </x:c>
      <x:c r="D45" s="7" t="n">
        <x:v>0</x:v>
      </x:c>
      <x:c r="E45" s="7" t="n">
        <x:v>0</x:v>
      </x:c>
      <x:c r="F45" s="7" t="n">
        <x:v>0</x:v>
      </x:c>
      <x:c r="G45" s="7" t="n">
        <x:v>1</x:v>
      </x:c>
      <x:c r="H45" s="9" t="n">
        <x:v>0</x:v>
      </x:c>
      <x:c r="I45" s="7" t="str">
        <x:v>Indice abril 2026.xlsx</x:v>
      </x:c>
    </x:row>
    <x:row r="46">
      <x:c r="A46" s="7" t="str">
        <x:v>abril 2026</x:v>
      </x:c>
      <x:c r="B46" s="7" t="str">
        <x:v>Fuera de convenio</x:v>
      </x:c>
      <x:c r="C46" s="7" t="str">
        <x:v>Depto. Desarrollo Tecnológico</x:v>
      </x:c>
      <x:c r="D46" s="7" t="n">
        <x:v>0</x:v>
      </x:c>
      <x:c r="E46" s="7" t="n">
        <x:v>0</x:v>
      </x:c>
      <x:c r="F46" s="7" t="n">
        <x:v>0</x:v>
      </x:c>
      <x:c r="G46" s="7" t="n">
        <x:v>3</x:v>
      </x:c>
      <x:c r="H46" s="9" t="n">
        <x:v>0</x:v>
      </x:c>
      <x:c r="I46" s="7" t="str">
        <x:v>Indice abril 2026.xlsx</x:v>
      </x:c>
    </x:row>
    <x:row r="47">
      <x:c r="A47" s="7" t="str">
        <x:v>abril 2026</x:v>
      </x:c>
      <x:c r="B47" s="7" t="str">
        <x:v>Fuera de convenio</x:v>
      </x:c>
      <x:c r="C47" s="7" t="str">
        <x:v>Depto. Maniobras y Transportes</x:v>
      </x:c>
      <x:c r="D47" s="7" t="n">
        <x:v>0</x:v>
      </x:c>
      <x:c r="E47" s="7" t="n">
        <x:v>0</x:v>
      </x:c>
      <x:c r="F47" s="7" t="n">
        <x:v>0</x:v>
      </x:c>
      <x:c r="G47" s="7" t="n">
        <x:v>1</x:v>
      </x:c>
      <x:c r="H47" s="9" t="n">
        <x:v>0</x:v>
      </x:c>
      <x:c r="I47" s="7" t="str">
        <x:v>Indice abril 2026.xlsx</x:v>
      </x:c>
    </x:row>
    <x:row r="48">
      <x:c r="A48" s="7" t="str">
        <x:v>abril 2026</x:v>
      </x:c>
      <x:c r="B48" s="7" t="str">
        <x:v>Fuera de convenio</x:v>
      </x:c>
      <x:c r="C48" s="7" t="str">
        <x:v>Depto. Metalmecánica y Gestión de Materi</x:v>
      </x:c>
      <x:c r="D48" s="7" t="n">
        <x:v>0</x:v>
      </x:c>
      <x:c r="E48" s="7" t="n">
        <x:v>0</x:v>
      </x:c>
      <x:c r="F48" s="7" t="n">
        <x:v>0</x:v>
      </x:c>
      <x:c r="G48" s="7" t="n">
        <x:v>1</x:v>
      </x:c>
      <x:c r="H48" s="9" t="n">
        <x:v>0</x:v>
      </x:c>
      <x:c r="I48" s="7" t="str">
        <x:v>Indice abril 2026.xlsx</x:v>
      </x:c>
    </x:row>
    <x:row r="49">
      <x:c r="A49" s="7" t="str">
        <x:v>abril 2026</x:v>
      </x:c>
      <x:c r="B49" s="7" t="str">
        <x:v>Fuera de convenio</x:v>
      </x:c>
      <x:c r="C49" s="7" t="str">
        <x:v>Depto. Higiene y Seguridad Industrial</x:v>
      </x:c>
      <x:c r="D49" s="7" t="n">
        <x:v>0</x:v>
      </x:c>
      <x:c r="E49" s="7" t="n">
        <x:v>0</x:v>
      </x:c>
      <x:c r="F49" s="7" t="n">
        <x:v>0</x:v>
      </x:c>
      <x:c r="G49" s="7" t="n">
        <x:v>1</x:v>
      </x:c>
      <x:c r="H49" s="9" t="n">
        <x:v>0</x:v>
      </x:c>
      <x:c r="I49" s="7" t="str">
        <x:v>Indice abril 2026.xlsx</x:v>
      </x:c>
    </x:row>
    <x:row r="50">
      <x:c r="A50" s="7" t="str">
        <x:v>abril 2026</x:v>
      </x:c>
      <x:c r="B50" s="7" t="str">
        <x:v>Fuera de convenio</x:v>
      </x:c>
      <x:c r="C50" s="7" t="str">
        <x:v>Depto. Syncrolift</x:v>
      </x:c>
      <x:c r="D50" s="7" t="n">
        <x:v>0</x:v>
      </x:c>
      <x:c r="E50" s="7" t="n">
        <x:v>0</x:v>
      </x:c>
      <x:c r="F50" s="7" t="n">
        <x:v>0</x:v>
      </x:c>
      <x:c r="G50" s="7" t="n">
        <x:v>1</x:v>
      </x:c>
      <x:c r="H50" s="9" t="n">
        <x:v>0</x:v>
      </x:c>
      <x:c r="I50" s="7" t="str">
        <x:v>Indice abril 2026.xlsx</x:v>
      </x:c>
    </x:row>
    <x:row r="51">
      <x:c r="A51" s="7" t="str">
        <x:v>abril 2026</x:v>
      </x:c>
      <x:c r="B51" s="7" t="str">
        <x:v>Fuera de convenio</x:v>
      </x:c>
      <x:c r="C51" s="7" t="str">
        <x:v>Dirección Comercial</x:v>
      </x:c>
      <x:c r="D51" s="7" t="n">
        <x:v>0</x:v>
      </x:c>
      <x:c r="E51" s="7" t="n">
        <x:v>0</x:v>
      </x:c>
      <x:c r="F51" s="7" t="n">
        <x:v>0</x:v>
      </x:c>
      <x:c r="G51" s="7" t="n">
        <x:v>4</x:v>
      </x:c>
      <x:c r="H51" s="9" t="n">
        <x:v>0</x:v>
      </x:c>
      <x:c r="I51" s="7" t="str">
        <x:v>Indice abril 2026.xlsx</x:v>
      </x:c>
    </x:row>
    <x:row r="52">
      <x:c r="A52" s="7" t="str">
        <x:v>abril 2026</x:v>
      </x:c>
      <x:c r="B52" s="7" t="str">
        <x:v>Fuera de convenio</x:v>
      </x:c>
      <x:c r="C52" s="7" t="str">
        <x:v>Dirección de Operaciones</x:v>
      </x:c>
      <x:c r="D52" s="7" t="n">
        <x:v>0</x:v>
      </x:c>
      <x:c r="E52" s="7" t="n">
        <x:v>0</x:v>
      </x:c>
      <x:c r="F52" s="7" t="n">
        <x:v>0</x:v>
      </x:c>
      <x:c r="G52" s="7" t="n">
        <x:v>1</x:v>
      </x:c>
      <x:c r="H52" s="9" t="n">
        <x:v>0</x:v>
      </x:c>
      <x:c r="I52" s="7" t="str">
        <x:v>Indice abril 2026.xlsx</x:v>
      </x:c>
    </x:row>
    <x:row r="53">
      <x:c r="A53" s="7" t="str">
        <x:v>abril 2026</x:v>
      </x:c>
      <x:c r="B53" s="7" t="str">
        <x:v>Fuera de convenio</x:v>
      </x:c>
      <x:c r="C53" s="7" t="str">
        <x:v>Dirección General</x:v>
      </x:c>
      <x:c r="D53" s="7" t="n">
        <x:v>0</x:v>
      </x:c>
      <x:c r="E53" s="7" t="n">
        <x:v>0</x:v>
      </x:c>
      <x:c r="F53" s="7" t="n">
        <x:v>0</x:v>
      </x:c>
      <x:c r="G53" s="7" t="n">
        <x:v>2</x:v>
      </x:c>
      <x:c r="H53" s="9" t="n">
        <x:v>0</x:v>
      </x:c>
      <x:c r="I53" s="7" t="str">
        <x:v>Indice abril 2026.xlsx</x:v>
      </x:c>
    </x:row>
    <x:row r="54">
      <x:c r="A54" s="7" t="str">
        <x:v>abril 2026</x:v>
      </x:c>
      <x:c r="B54" s="7" t="str">
        <x:v>Fuera de convenio</x:v>
      </x:c>
      <x:c r="C54" s="7" t="str">
        <x:v>Gcia. Asuntos legales</x:v>
      </x:c>
      <x:c r="D54" s="7" t="n">
        <x:v>0</x:v>
      </x:c>
      <x:c r="E54" s="7" t="n">
        <x:v>0</x:v>
      </x:c>
      <x:c r="F54" s="7" t="n">
        <x:v>0</x:v>
      </x:c>
      <x:c r="G54" s="7" t="n">
        <x:v>2</x:v>
      </x:c>
      <x:c r="H54" s="9" t="n">
        <x:v>0</x:v>
      </x:c>
      <x:c r="I54" s="7" t="str">
        <x:v>Indice abril 2026.xlsx</x:v>
      </x:c>
    </x:row>
    <x:row r="55">
      <x:c r="A55" s="7" t="str">
        <x:v>abril 2026</x:v>
      </x:c>
      <x:c r="B55" s="7" t="str">
        <x:v>Fuera de convenio</x:v>
      </x:c>
      <x:c r="C55" s="7" t="str">
        <x:v>Gcia de Compras y Contrataciones</x:v>
      </x:c>
      <x:c r="D55" s="7" t="n">
        <x:v>0</x:v>
      </x:c>
      <x:c r="E55" s="7" t="n">
        <x:v>0</x:v>
      </x:c>
      <x:c r="F55" s="7" t="n">
        <x:v>0</x:v>
      </x:c>
      <x:c r="G55" s="7" t="n">
        <x:v>2</x:v>
      </x:c>
      <x:c r="H55" s="9" t="n">
        <x:v>0</x:v>
      </x:c>
      <x:c r="I55" s="7" t="str">
        <x:v>Indice abril 2026.xlsx</x:v>
      </x:c>
    </x:row>
    <x:row r="56">
      <x:c r="A56" s="7" t="str">
        <x:v>abril 2026</x:v>
      </x:c>
      <x:c r="B56" s="7" t="str">
        <x:v>Fuera de convenio</x:v>
      </x:c>
      <x:c r="C56" s="7" t="str">
        <x:v>Gcia de Ingenieria</x:v>
      </x:c>
      <x:c r="D56" s="7" t="n">
        <x:v>0</x:v>
      </x:c>
      <x:c r="E56" s="7" t="n">
        <x:v>0</x:v>
      </x:c>
      <x:c r="F56" s="7" t="n">
        <x:v>0</x:v>
      </x:c>
      <x:c r="G56" s="7" t="n">
        <x:v>2</x:v>
      </x:c>
      <x:c r="H56" s="9" t="n">
        <x:v>0</x:v>
      </x:c>
      <x:c r="I56" s="7" t="str">
        <x:v>Indice abril 2026.xlsx</x:v>
      </x:c>
    </x:row>
    <x:row r="57">
      <x:c r="A57" s="7" t="str">
        <x:v>abril 2026</x:v>
      </x:c>
      <x:c r="B57" s="7" t="str">
        <x:v>Fuera de convenio</x:v>
      </x:c>
      <x:c r="C57" s="7" t="str">
        <x:v>Planificación y Mantenimiento</x:v>
      </x:c>
      <x:c r="D57" s="7" t="n">
        <x:v>0</x:v>
      </x:c>
      <x:c r="E57" s="7" t="n">
        <x:v>0</x:v>
      </x:c>
      <x:c r="F57" s="7" t="n">
        <x:v>0</x:v>
      </x:c>
      <x:c r="G57" s="7" t="n">
        <x:v>1</x:v>
      </x:c>
      <x:c r="H57" s="9" t="n">
        <x:v>0</x:v>
      </x:c>
      <x:c r="I57" s="7" t="str">
        <x:v>Indice abril 2026.xlsx</x:v>
      </x:c>
    </x:row>
    <x:row r="58">
      <x:c r="A58" s="7" t="str">
        <x:v>abril 2026</x:v>
      </x:c>
      <x:c r="B58" s="7" t="str">
        <x:v>Fuera de convenio</x:v>
      </x:c>
      <x:c r="C58" s="7" t="str">
        <x:v>Servicio Médico</x:v>
      </x:c>
      <x:c r="D58" s="7" t="n">
        <x:v>0</x:v>
      </x:c>
      <x:c r="E58" s="7" t="n">
        <x:v>0</x:v>
      </x:c>
      <x:c r="F58" s="7" t="n">
        <x:v>0</x:v>
      </x:c>
      <x:c r="G58" s="7" t="n">
        <x:v>1</x:v>
      </x:c>
      <x:c r="H58" s="9" t="n">
        <x:v>0</x:v>
      </x:c>
      <x:c r="I58" s="7" t="str">
        <x:v>Indice abril 2026.xlsx</x:v>
      </x:c>
    </x:row>
    <x:row r="59">
      <x:c r="A59" s="7" t="str">
        <x:v>abril 2026</x:v>
      </x:c>
      <x:c r="B59" s="7" t="str">
        <x:v>Fuera de convenio</x:v>
      </x:c>
      <x:c r="C59" s="7" t="str">
        <x:v>Unidad de Auditoria Interna</x:v>
      </x:c>
      <x:c r="D59" s="7" t="n">
        <x:v>0</x:v>
      </x:c>
      <x:c r="E59" s="7" t="n">
        <x:v>0</x:v>
      </x:c>
      <x:c r="F59" s="7" t="n">
        <x:v>0</x:v>
      </x:c>
      <x:c r="G59" s="7" t="n">
        <x:v>1</x:v>
      </x:c>
      <x:c r="H59" s="9" t="n">
        <x:v>0</x:v>
      </x:c>
      <x:c r="I59" s="7" t="str">
        <x:v>Indice abril 2026.xlsx</x:v>
      </x:c>
    </x:row>
    <x:row r="60">
      <x:c r="A60" s="7" t="str">
        <x:v>Enero 2026</x:v>
      </x:c>
      <x:c r="B60" s="7" t="str">
        <x:v>Convenio</x:v>
      </x:c>
      <x:c r="C60" s="7" t="str">
        <x:v>Depto. Casco y Acero</x:v>
      </x:c>
      <x:c r="D60" s="7" t="n">
        <x:v>626</x:v>
      </x:c>
      <x:c r="E60" s="7" t="n">
        <x:v>232</x:v>
      </x:c>
      <x:c r="F60" s="7" t="n">
        <x:v>858</x:v>
      </x:c>
      <x:c r="G60" s="7" t="n">
        <x:v>65</x:v>
      </x:c>
      <x:c r="H60" s="9" t="n">
        <x:v>13.2</x:v>
      </x:c>
      <x:c r="I60" s="7" t="str">
        <x:v>Indice Enero 2026.xlsx</x:v>
      </x:c>
    </x:row>
    <x:row r="61">
      <x:c r="A61" s="7" t="str">
        <x:v>Enero 2026</x:v>
      </x:c>
      <x:c r="B61" s="7" t="str">
        <x:v>Convenio</x:v>
      </x:c>
      <x:c r="C61" s="7" t="str">
        <x:v>Depto. Mecánica</x:v>
      </x:c>
      <x:c r="D61" s="7" t="n">
        <x:v>375</x:v>
      </x:c>
      <x:c r="E61" s="7" t="n">
        <x:v>240</x:v>
      </x:c>
      <x:c r="F61" s="7" t="n">
        <x:v>615</x:v>
      </x:c>
      <x:c r="G61" s="7" t="n">
        <x:v>56</x:v>
      </x:c>
      <x:c r="H61" s="9" t="n">
        <x:v>10.982142857142858</x:v>
      </x:c>
      <x:c r="I61" s="7" t="str">
        <x:v>Indice Enero 2026.xlsx</x:v>
      </x:c>
    </x:row>
    <x:row r="62">
      <x:c r="A62" s="7" t="str">
        <x:v>Enero 2026</x:v>
      </x:c>
      <x:c r="B62" s="7" t="str">
        <x:v>Convenio</x:v>
      </x:c>
      <x:c r="C62" s="7" t="str">
        <x:v>Depto. Cobrería</x:v>
      </x:c>
      <x:c r="D62" s="7" t="n">
        <x:v>381</x:v>
      </x:c>
      <x:c r="E62" s="7" t="n">
        <x:v>224</x:v>
      </x:c>
      <x:c r="F62" s="7" t="n">
        <x:v>605</x:v>
      </x:c>
      <x:c r="G62" s="7" t="n">
        <x:v>31</x:v>
      </x:c>
      <x:c r="H62" s="9" t="n">
        <x:v>19.516129032258064</x:v>
      </x:c>
      <x:c r="I62" s="7" t="str">
        <x:v>Indice Enero 2026.xlsx</x:v>
      </x:c>
    </x:row>
    <x:row r="63">
      <x:c r="A63" s="7" t="str">
        <x:v>Enero 2026</x:v>
      </x:c>
      <x:c r="B63" s="7" t="str">
        <x:v>Convenio</x:v>
      </x:c>
      <x:c r="C63" s="7" t="str">
        <x:v>Dpto. Carenado</x:v>
      </x:c>
      <x:c r="D63" s="7" t="n">
        <x:v>254</x:v>
      </x:c>
      <x:c r="E63" s="7" t="n">
        <x:v>0</x:v>
      </x:c>
      <x:c r="F63" s="7" t="n">
        <x:v>254</x:v>
      </x:c>
      <x:c r="G63" s="7" t="n">
        <x:v>29</x:v>
      </x:c>
      <x:c r="H63" s="9" t="n">
        <x:v>8.758620689655173</x:v>
      </x:c>
      <x:c r="I63" s="7" t="str">
        <x:v>Indice Enero 2026.xlsx</x:v>
      </x:c>
    </x:row>
    <x:row r="64">
      <x:c r="A64" s="7" t="str">
        <x:v>Enero 2026</x:v>
      </x:c>
      <x:c r="B64" s="7" t="str">
        <x:v>Convenio</x:v>
      </x:c>
      <x:c r="C64" s="7" t="str">
        <x:v>Depto. Syncrolift</x:v>
      </x:c>
      <x:c r="D64" s="7" t="n">
        <x:v>64</x:v>
      </x:c>
      <x:c r="E64" s="7" t="n">
        <x:v>168</x:v>
      </x:c>
      <x:c r="F64" s="7" t="n">
        <x:v>232</x:v>
      </x:c>
      <x:c r="G64" s="7" t="n">
        <x:v>20</x:v>
      </x:c>
      <x:c r="H64" s="9" t="n">
        <x:v>11.6</x:v>
      </x:c>
      <x:c r="I64" s="7" t="str">
        <x:v>Indice Enero 2026.xlsx</x:v>
      </x:c>
    </x:row>
    <x:row r="65">
      <x:c r="A65" s="7" t="str">
        <x:v>Enero 2026</x:v>
      </x:c>
      <x:c r="B65" s="7" t="str">
        <x:v>Convenio</x:v>
      </x:c>
      <x:c r="C65" s="7" t="str">
        <x:v>Gcia de Compras y Contrataciones</x:v>
      </x:c>
      <x:c r="D65" s="7" t="n">
        <x:v>120</x:v>
      </x:c>
      <x:c r="E65" s="7" t="n">
        <x:v>0</x:v>
      </x:c>
      <x:c r="F65" s="7" t="n">
        <x:v>120</x:v>
      </x:c>
      <x:c r="G65" s="7" t="n">
        <x:v>6</x:v>
      </x:c>
      <x:c r="H65" s="9" t="n">
        <x:v>20</x:v>
      </x:c>
      <x:c r="I65" s="7" t="str">
        <x:v>Indice Enero 2026.xlsx</x:v>
      </x:c>
    </x:row>
    <x:row r="66">
      <x:c r="A66" s="7" t="str">
        <x:v>Enero 2026</x:v>
      </x:c>
      <x:c r="B66" s="7" t="str">
        <x:v>Convenio</x:v>
      </x:c>
      <x:c r="C66" s="7" t="str">
        <x:v>Control Patrimonial</x:v>
      </x:c>
      <x:c r="D66" s="7" t="n">
        <x:v>112</x:v>
      </x:c>
      <x:c r="E66" s="7" t="n">
        <x:v>0</x:v>
      </x:c>
      <x:c r="F66" s="7" t="n">
        <x:v>112</x:v>
      </x:c>
      <x:c r="G66" s="7" t="n">
        <x:v>8</x:v>
      </x:c>
      <x:c r="H66" s="9" t="n">
        <x:v>14</x:v>
      </x:c>
      <x:c r="I66" s="7" t="str">
        <x:v>Indice Enero 2026.xlsx</x:v>
      </x:c>
    </x:row>
    <x:row r="67">
      <x:c r="A67" s="7" t="str">
        <x:v>Enero 2026</x:v>
      </x:c>
      <x:c r="B67" s="7" t="str">
        <x:v>Convenio</x:v>
      </x:c>
      <x:c r="C67" s="7" t="str">
        <x:v>Depto. Maniobras y Transportes</x:v>
      </x:c>
      <x:c r="D67" s="7" t="n">
        <x:v>26</x:v>
      </x:c>
      <x:c r="E67" s="7" t="n">
        <x:v>56</x:v>
      </x:c>
      <x:c r="F67" s="7" t="n">
        <x:v>82</x:v>
      </x:c>
      <x:c r="G67" s="7" t="n">
        <x:v>21</x:v>
      </x:c>
      <x:c r="H67" s="9" t="n">
        <x:v>3.9047619047619047</x:v>
      </x:c>
      <x:c r="I67" s="7" t="str">
        <x:v>Indice Enero 2026.xlsx</x:v>
      </x:c>
    </x:row>
    <x:row r="68">
      <x:c r="A68" s="7" t="str">
        <x:v>Enero 2026</x:v>
      </x:c>
      <x:c r="B68" s="7" t="str">
        <x:v>Convenio</x:v>
      </x:c>
      <x:c r="C68" s="7" t="str">
        <x:v>Depto. Relaciones Institucionales</x:v>
      </x:c>
      <x:c r="D68" s="7" t="n">
        <x:v>35</x:v>
      </x:c>
      <x:c r="E68" s="7" t="n">
        <x:v>0</x:v>
      </x:c>
      <x:c r="F68" s="7" t="n">
        <x:v>35</x:v>
      </x:c>
      <x:c r="G68" s="7" t="n">
        <x:v>3</x:v>
      </x:c>
      <x:c r="H68" s="9" t="n">
        <x:v>11.666666666666666</x:v>
      </x:c>
      <x:c r="I68" s="7" t="str">
        <x:v>Indice Enero 2026.xlsx</x:v>
      </x:c>
    </x:row>
    <x:row r="69">
      <x:c r="A69" s="7" t="str">
        <x:v>Enero 2026</x:v>
      </x:c>
      <x:c r="B69" s="7" t="str">
        <x:v>Convenio</x:v>
      </x:c>
      <x:c r="C69" s="7" t="str">
        <x:v>Mantenimiento</x:v>
      </x:c>
      <x:c r="D69" s="7" t="n">
        <x:v>33</x:v>
      </x:c>
      <x:c r="E69" s="7" t="n">
        <x:v>0</x:v>
      </x:c>
      <x:c r="F69" s="7" t="n">
        <x:v>33</x:v>
      </x:c>
      <x:c r="G69" s="7" t="n">
        <x:v>20</x:v>
      </x:c>
      <x:c r="H69" s="9" t="n">
        <x:v>1.65</x:v>
      </x:c>
      <x:c r="I69" s="7" t="str">
        <x:v>Indice Enero 2026.xlsx</x:v>
      </x:c>
    </x:row>
    <x:row r="70">
      <x:c r="A70" s="7" t="str">
        <x:v>Enero 2026</x:v>
      </x:c>
      <x:c r="B70" s="7" t="str">
        <x:v>Convenio</x:v>
      </x:c>
      <x:c r="C70" s="7" t="str">
        <x:v>Depto. Electricidad</x:v>
      </x:c>
      <x:c r="D70" s="7" t="n">
        <x:v>29</x:v>
      </x:c>
      <x:c r="E70" s="7" t="n">
        <x:v>0</x:v>
      </x:c>
      <x:c r="F70" s="7" t="n">
        <x:v>29</x:v>
      </x:c>
      <x:c r="G70" s="7" t="n">
        <x:v>22</x:v>
      </x:c>
      <x:c r="H70" s="9" t="n">
        <x:v>1.3181818181818181</x:v>
      </x:c>
      <x:c r="I70" s="7" t="str">
        <x:v>Indice Enero 2026.xlsx</x:v>
      </x:c>
    </x:row>
    <x:row r="71">
      <x:c r="A71" s="7" t="str">
        <x:v>Enero 2026</x:v>
      </x:c>
      <x:c r="B71" s="7" t="str">
        <x:v>Fuera de convenio</x:v>
      </x:c>
      <x:c r="C71" s="7" t="str">
        <x:v>Gcia. Administración y Finanzas</x:v>
      </x:c>
      <x:c r="D71" s="7" t="n">
        <x:v>28</x:v>
      </x:c>
      <x:c r="E71" s="7" t="n">
        <x:v>0</x:v>
      </x:c>
      <x:c r="F71" s="7" t="n">
        <x:v>28</x:v>
      </x:c>
      <x:c r="G71" s="7" t="n">
        <x:v>2</x:v>
      </x:c>
      <x:c r="H71" s="9" t="n">
        <x:v>14</x:v>
      </x:c>
      <x:c r="I71" s="7" t="str">
        <x:v>Indice Enero 2026.xlsx</x:v>
      </x:c>
    </x:row>
    <x:row r="72">
      <x:c r="A72" s="7" t="str">
        <x:v>Enero 2026</x:v>
      </x:c>
      <x:c r="B72" s="7" t="str">
        <x:v>Convenio</x:v>
      </x:c>
      <x:c r="C72" s="7" t="str">
        <x:v>Servicio Comedor</x:v>
      </x:c>
      <x:c r="D72" s="7" t="n">
        <x:v>24</x:v>
      </x:c>
      <x:c r="E72" s="7" t="n">
        <x:v>0</x:v>
      </x:c>
      <x:c r="F72" s="7" t="n">
        <x:v>24</x:v>
      </x:c>
      <x:c r="G72" s="7" t="n">
        <x:v>7</x:v>
      </x:c>
      <x:c r="H72" s="9" t="n">
        <x:v>3.4285714285714284</x:v>
      </x:c>
      <x:c r="I72" s="7" t="str">
        <x:v>Indice Enero 2026.xlsx</x:v>
      </x:c>
    </x:row>
    <x:row r="73">
      <x:c r="A73" s="7" t="str">
        <x:v>Enero 2026</x:v>
      </x:c>
      <x:c r="B73" s="7" t="str">
        <x:v>Convenio</x:v>
      </x:c>
      <x:c r="C73" s="7" t="str">
        <x:v>Depto. Habitabilidad</x:v>
      </x:c>
      <x:c r="D73" s="7" t="n">
        <x:v>18</x:v>
      </x:c>
      <x:c r="E73" s="7" t="n">
        <x:v>0</x:v>
      </x:c>
      <x:c r="F73" s="7" t="n">
        <x:v>18</x:v>
      </x:c>
      <x:c r="G73" s="7" t="n">
        <x:v>9</x:v>
      </x:c>
      <x:c r="H73" s="9" t="n">
        <x:v>2</x:v>
      </x:c>
      <x:c r="I73" s="7" t="str">
        <x:v>Indice Enero 2026.xlsx</x:v>
      </x:c>
    </x:row>
    <x:row r="74">
      <x:c r="A74" s="7" t="str">
        <x:v>Enero 2026</x:v>
      </x:c>
      <x:c r="B74" s="7" t="str">
        <x:v>Convenio</x:v>
      </x:c>
      <x:c r="C74" s="7" t="str">
        <x:v>Gcia de Producción</x:v>
      </x:c>
      <x:c r="D74" s="7" t="n">
        <x:v>16</x:v>
      </x:c>
      <x:c r="E74" s="7" t="n">
        <x:v>0</x:v>
      </x:c>
      <x:c r="F74" s="7" t="n">
        <x:v>16</x:v>
      </x:c>
      <x:c r="G74" s="7" t="n">
        <x:v>6</x:v>
      </x:c>
      <x:c r="H74" s="9" t="n">
        <x:v>2.6666666666666665</x:v>
      </x:c>
      <x:c r="I74" s="7" t="str">
        <x:v>Indice Enero 2026.xlsx</x:v>
      </x:c>
    </x:row>
    <x:row r="75">
      <x:c r="A75" s="7" t="str">
        <x:v>Enero 2026</x:v>
      </x:c>
      <x:c r="B75" s="7" t="str">
        <x:v>Convenio</x:v>
      </x:c>
      <x:c r="C75" s="7" t="str">
        <x:v>Depto. Higiene y Seguridad Industrial</x:v>
      </x:c>
      <x:c r="D75" s="7" t="n">
        <x:v>11</x:v>
      </x:c>
      <x:c r="E75" s="7" t="n">
        <x:v>0</x:v>
      </x:c>
      <x:c r="F75" s="7" t="n">
        <x:v>11</x:v>
      </x:c>
      <x:c r="G75" s="7" t="n">
        <x:v>10</x:v>
      </x:c>
      <x:c r="H75" s="9" t="n">
        <x:v>1.1</x:v>
      </x:c>
      <x:c r="I75" s="7" t="str">
        <x:v>Indice Enero 2026.xlsx</x:v>
      </x:c>
    </x:row>
    <x:row r="76">
      <x:c r="A76" s="7" t="str">
        <x:v>Enero 2026</x:v>
      </x:c>
      <x:c r="B76" s="7" t="str">
        <x:v>Convenio</x:v>
      </x:c>
      <x:c r="C76" s="7" t="str">
        <x:v>Depto, Bomberos</x:v>
      </x:c>
      <x:c r="D76" s="7" t="n">
        <x:v>8</x:v>
      </x:c>
      <x:c r="E76" s="7" t="n">
        <x:v>0</x:v>
      </x:c>
      <x:c r="F76" s="7" t="n">
        <x:v>8</x:v>
      </x:c>
      <x:c r="G76" s="7" t="n">
        <x:v>15</x:v>
      </x:c>
      <x:c r="H76" s="9" t="n">
        <x:v>0.5333333333333333</x:v>
      </x:c>
      <x:c r="I76" s="7" t="str">
        <x:v>Indice Enero 2026.xlsx</x:v>
      </x:c>
    </x:row>
    <x:row r="77">
      <x:c r="A77" s="7" t="str">
        <x:v>Enero 2026</x:v>
      </x:c>
      <x:c r="B77" s="7" t="str">
        <x:v>Convenio</x:v>
      </x:c>
      <x:c r="C77" s="7" t="str">
        <x:v>Mesa de Entrada</x:v>
      </x:c>
      <x:c r="D77" s="7" t="n">
        <x:v>8</x:v>
      </x:c>
      <x:c r="E77" s="7"/>
      <x:c r="F77" s="7" t="n">
        <x:v>8</x:v>
      </x:c>
      <x:c r="G77" s="7" t="n">
        <x:v>1</x:v>
      </x:c>
      <x:c r="H77" s="9" t="n">
        <x:v>8</x:v>
      </x:c>
      <x:c r="I77" s="7" t="str">
        <x:v>Indice Enero 2026.xlsx</x:v>
      </x:c>
    </x:row>
    <x:row r="78">
      <x:c r="A78" s="7" t="str">
        <x:v>Enero 2026</x:v>
      </x:c>
      <x:c r="B78" s="7" t="str">
        <x:v>Convenio</x:v>
      </x:c>
      <x:c r="C78" s="7" t="str">
        <x:v>Gcia. Administración y Finanzas</x:v>
      </x:c>
      <x:c r="D78" s="7" t="n">
        <x:v>7</x:v>
      </x:c>
      <x:c r="E78" s="7" t="n">
        <x:v>0</x:v>
      </x:c>
      <x:c r="F78" s="7" t="n">
        <x:v>7</x:v>
      </x:c>
      <x:c r="G78" s="7" t="n">
        <x:v>7</x:v>
      </x:c>
      <x:c r="H78" s="9" t="n">
        <x:v>1</x:v>
      </x:c>
      <x:c r="I78" s="7" t="str">
        <x:v>Indice Enero 2026.xlsx</x:v>
      </x:c>
    </x:row>
    <x:row r="79">
      <x:c r="A79" s="7" t="str">
        <x:v>Enero 2026</x:v>
      </x:c>
      <x:c r="B79" s="7" t="str">
        <x:v>Fuera de convenio</x:v>
      </x:c>
      <x:c r="C79" s="7" t="str">
        <x:v>Depto. Control de Calidad</x:v>
      </x:c>
      <x:c r="D79" s="7" t="n">
        <x:v>6</x:v>
      </x:c>
      <x:c r="E79" s="7" t="n">
        <x:v>0</x:v>
      </x:c>
      <x:c r="F79" s="7" t="n">
        <x:v>6</x:v>
      </x:c>
      <x:c r="G79" s="7" t="n">
        <x:v>1</x:v>
      </x:c>
      <x:c r="H79" s="9" t="n">
        <x:v>6</x:v>
      </x:c>
      <x:c r="I79" s="7" t="str">
        <x:v>Indice Enero 2026.xlsx</x:v>
      </x:c>
    </x:row>
    <x:row r="80">
      <x:c r="A80" s="7" t="str">
        <x:v>Enero 2026</x:v>
      </x:c>
      <x:c r="B80" s="7" t="str">
        <x:v>Fuera de convenio</x:v>
      </x:c>
      <x:c r="C80" s="7" t="str">
        <x:v>Depto. Higiene y Seguridad Industrial</x:v>
      </x:c>
      <x:c r="D80" s="7" t="n">
        <x:v>6</x:v>
      </x:c>
      <x:c r="E80" s="7" t="n">
        <x:v>0</x:v>
      </x:c>
      <x:c r="F80" s="7" t="n">
        <x:v>6</x:v>
      </x:c>
      <x:c r="G80" s="7" t="n">
        <x:v>1</x:v>
      </x:c>
      <x:c r="H80" s="9" t="n">
        <x:v>6</x:v>
      </x:c>
      <x:c r="I80" s="7" t="str">
        <x:v>Indice Enero 2026.xlsx</x:v>
      </x:c>
    </x:row>
    <x:row r="81">
      <x:c r="A81" s="7" t="str">
        <x:v>Enero 2026</x:v>
      </x:c>
      <x:c r="B81" s="7" t="str">
        <x:v>Convenio</x:v>
      </x:c>
      <x:c r="C81" s="7" t="str">
        <x:v>Depto. Capital Humano</x:v>
      </x:c>
      <x:c r="D81" s="7" t="n">
        <x:v>5</x:v>
      </x:c>
      <x:c r="E81" s="7" t="n">
        <x:v>0</x:v>
      </x:c>
      <x:c r="F81" s="7" t="n">
        <x:v>5</x:v>
      </x:c>
      <x:c r="G81" s="7" t="n">
        <x:v>7</x:v>
      </x:c>
      <x:c r="H81" s="9" t="n">
        <x:v>0.7142857142857143</x:v>
      </x:c>
      <x:c r="I81" s="7" t="str">
        <x:v>Indice Enero 2026.xlsx</x:v>
      </x:c>
    </x:row>
    <x:row r="82">
      <x:c r="A82" s="7" t="str">
        <x:v>Enero 2026</x:v>
      </x:c>
      <x:c r="B82" s="7" t="str">
        <x:v>Fuera de convenio</x:v>
      </x:c>
      <x:c r="C82" s="7" t="str">
        <x:v>Depto. Desarrollo Tecnológico</x:v>
      </x:c>
      <x:c r="D82" s="7" t="n">
        <x:v>4</x:v>
      </x:c>
      <x:c r="E82" s="7" t="n">
        <x:v>0</x:v>
      </x:c>
      <x:c r="F82" s="7" t="n">
        <x:v>4</x:v>
      </x:c>
      <x:c r="G82" s="7" t="n">
        <x:v>3</x:v>
      </x:c>
      <x:c r="H82" s="9" t="n">
        <x:v>1.3333333333333333</x:v>
      </x:c>
      <x:c r="I82" s="7" t="str">
        <x:v>Indice Enero 2026.xlsx</x:v>
      </x:c>
    </x:row>
    <x:row r="83">
      <x:c r="A83" s="7" t="str">
        <x:v>Enero 2026</x:v>
      </x:c>
      <x:c r="B83" s="7" t="str">
        <x:v>Convenio</x:v>
      </x:c>
      <x:c r="C83" s="7" t="str">
        <x:v>Control de Contratistas</x:v>
      </x:c>
      <x:c r="D83" s="7" t="n">
        <x:v>3</x:v>
      </x:c>
      <x:c r="E83" s="7"/>
      <x:c r="F83" s="7" t="n">
        <x:v>3</x:v>
      </x:c>
      <x:c r="G83" s="7" t="n">
        <x:v>2</x:v>
      </x:c>
      <x:c r="H83" s="9" t="n">
        <x:v>1.5</x:v>
      </x:c>
      <x:c r="I83" s="7" t="str">
        <x:v>Indice Enero 2026.xlsx</x:v>
      </x:c>
    </x:row>
    <x:row r="84">
      <x:c r="A84" s="7" t="str">
        <x:v>Enero 2026</x:v>
      </x:c>
      <x:c r="B84" s="7" t="str">
        <x:v>Fuera de convenio</x:v>
      </x:c>
      <x:c r="C84" s="7" t="str">
        <x:v>Gcia de Producción</x:v>
      </x:c>
      <x:c r="D84" s="7" t="n">
        <x:v>3</x:v>
      </x:c>
      <x:c r="E84" s="7" t="n">
        <x:v>0</x:v>
      </x:c>
      <x:c r="F84" s="7" t="n">
        <x:v>3</x:v>
      </x:c>
      <x:c r="G84" s="7" t="n">
        <x:v>3</x:v>
      </x:c>
      <x:c r="H84" s="9" t="n">
        <x:v>1</x:v>
      </x:c>
      <x:c r="I84" s="7" t="str">
        <x:v>Indice Enero 2026.xlsx</x:v>
      </x:c>
    </x:row>
    <x:row r="85">
      <x:c r="A85" s="7" t="str">
        <x:v>Enero 2026</x:v>
      </x:c>
      <x:c r="B85" s="7" t="str">
        <x:v>Convenio</x:v>
      </x:c>
      <x:c r="C85" s="7" t="str">
        <x:v>Depto. Almacenes</x:v>
      </x:c>
      <x:c r="D85" s="7" t="n">
        <x:v>2</x:v>
      </x:c>
      <x:c r="E85" s="7" t="n">
        <x:v>0</x:v>
      </x:c>
      <x:c r="F85" s="7" t="n">
        <x:v>2</x:v>
      </x:c>
      <x:c r="G85" s="7" t="n">
        <x:v>6</x:v>
      </x:c>
      <x:c r="H85" s="9" t="n">
        <x:v>0.3333333333333333</x:v>
      </x:c>
      <x:c r="I85" s="7" t="str">
        <x:v>Indice Enero 2026.xlsx</x:v>
      </x:c>
    </x:row>
    <x:row r="86">
      <x:c r="A86" s="7" t="str">
        <x:v>Enero 2026</x:v>
      </x:c>
      <x:c r="B86" s="7" t="str">
        <x:v>Convenio</x:v>
      </x:c>
      <x:c r="C86" s="7" t="str">
        <x:v>Depto. Control de Calidad</x:v>
      </x:c>
      <x:c r="D86" s="7" t="n">
        <x:v>2</x:v>
      </x:c>
      <x:c r="E86" s="7" t="n">
        <x:v>0</x:v>
      </x:c>
      <x:c r="F86" s="7" t="n">
        <x:v>2</x:v>
      </x:c>
      <x:c r="G86" s="7" t="n">
        <x:v>8</x:v>
      </x:c>
      <x:c r="H86" s="9" t="n">
        <x:v>0.25</x:v>
      </x:c>
      <x:c r="I86" s="7" t="str">
        <x:v>Indice Enero 2026.xlsx</x:v>
      </x:c>
    </x:row>
    <x:row r="87">
      <x:c r="A87" s="7" t="str">
        <x:v>Enero 2026</x:v>
      </x:c>
      <x:c r="B87" s="7" t="str">
        <x:v>Convenio</x:v>
      </x:c>
      <x:c r="C87" s="7" t="str">
        <x:v>Directorio</x:v>
      </x:c>
      <x:c r="D87" s="7" t="n">
        <x:v>2</x:v>
      </x:c>
      <x:c r="E87" s="7" t="n">
        <x:v>0</x:v>
      </x:c>
      <x:c r="F87" s="7" t="n">
        <x:v>2</x:v>
      </x:c>
      <x:c r="G87" s="7" t="n">
        <x:v>1</x:v>
      </x:c>
      <x:c r="H87" s="9" t="n">
        <x:v>2</x:v>
      </x:c>
      <x:c r="I87" s="7" t="str">
        <x:v>Indice Enero 2026.xlsx</x:v>
      </x:c>
    </x:row>
    <x:row r="88">
      <x:c r="A88" s="7" t="str">
        <x:v>Enero 2026</x:v>
      </x:c>
      <x:c r="B88" s="7" t="str">
        <x:v>Convenio</x:v>
      </x:c>
      <x:c r="C88" s="7" t="str">
        <x:v>Depto. Control de Gestión</x:v>
      </x:c>
      <x:c r="D88" s="7" t="n">
        <x:v>0</x:v>
      </x:c>
      <x:c r="E88" s="7" t="n">
        <x:v>0</x:v>
      </x:c>
      <x:c r="F88" s="7" t="n">
        <x:v>0</x:v>
      </x:c>
      <x:c r="G88" s="7" t="n">
        <x:v>1</x:v>
      </x:c>
      <x:c r="H88" s="9" t="n">
        <x:v>0</x:v>
      </x:c>
      <x:c r="I88" s="7" t="str">
        <x:v>Indice Enero 2026.xlsx</x:v>
      </x:c>
    </x:row>
    <x:row r="89">
      <x:c r="A89" s="7" t="str">
        <x:v>Enero 2026</x:v>
      </x:c>
      <x:c r="B89" s="7" t="str">
        <x:v>Convenio</x:v>
      </x:c>
      <x:c r="C89" s="7" t="str">
        <x:v>Gestión de Calidad</x:v>
      </x:c>
      <x:c r="D89" s="7" t="n">
        <x:v>0</x:v>
      </x:c>
      <x:c r="E89" s="7" t="n">
        <x:v>0</x:v>
      </x:c>
      <x:c r="F89" s="7" t="n">
        <x:v>0</x:v>
      </x:c>
      <x:c r="G89" s="7" t="n">
        <x:v>1</x:v>
      </x:c>
      <x:c r="H89" s="9" t="n">
        <x:v>0</x:v>
      </x:c>
      <x:c r="I89" s="7" t="str">
        <x:v>Indice Enero 2026.xlsx</x:v>
      </x:c>
    </x:row>
    <x:row r="90">
      <x:c r="A90" s="7" t="str">
        <x:v>Enero 2026</x:v>
      </x:c>
      <x:c r="B90" s="7" t="str">
        <x:v>Convenio</x:v>
      </x:c>
      <x:c r="C90" s="7" t="str">
        <x:v>Dirección Comercial</x:v>
      </x:c>
      <x:c r="D90" s="7" t="n">
        <x:v>0</x:v>
      </x:c>
      <x:c r="E90" s="7" t="n">
        <x:v>0</x:v>
      </x:c>
      <x:c r="F90" s="7" t="n">
        <x:v>0</x:v>
      </x:c>
      <x:c r="G90" s="7" t="n">
        <x:v>2</x:v>
      </x:c>
      <x:c r="H90" s="9" t="n">
        <x:v>0</x:v>
      </x:c>
      <x:c r="I90" s="7" t="str">
        <x:v>Indice Enero 2026.xlsx</x:v>
      </x:c>
    </x:row>
    <x:row r="91">
      <x:c r="A91" s="7" t="str">
        <x:v>Enero 2026</x:v>
      </x:c>
      <x:c r="B91" s="7" t="str">
        <x:v>Convenio</x:v>
      </x:c>
      <x:c r="C91" s="7" t="str">
        <x:v>Dirección de Operaciones</x:v>
      </x:c>
      <x:c r="D91" s="7" t="n">
        <x:v>0</x:v>
      </x:c>
      <x:c r="E91" s="7" t="n">
        <x:v>0</x:v>
      </x:c>
      <x:c r="F91" s="7" t="n">
        <x:v>0</x:v>
      </x:c>
      <x:c r="G91" s="7" t="n">
        <x:v>1</x:v>
      </x:c>
      <x:c r="H91" s="9" t="n">
        <x:v>0</x:v>
      </x:c>
      <x:c r="I91" s="7" t="str">
        <x:v>Indice Enero 2026.xlsx</x:v>
      </x:c>
    </x:row>
    <x:row r="92">
      <x:c r="A92" s="7" t="str">
        <x:v>Enero 2026</x:v>
      </x:c>
      <x:c r="B92" s="7" t="str">
        <x:v>Convenio</x:v>
      </x:c>
      <x:c r="C92" s="7" t="str">
        <x:v>Gcia. Asuntos legales</x:v>
      </x:c>
      <x:c r="D92" s="7" t="n">
        <x:v>0</x:v>
      </x:c>
      <x:c r="E92" s="7" t="n">
        <x:v>0</x:v>
      </x:c>
      <x:c r="F92" s="7" t="n">
        <x:v>0</x:v>
      </x:c>
      <x:c r="G92" s="7" t="n">
        <x:v>1</x:v>
      </x:c>
      <x:c r="H92" s="9" t="n">
        <x:v>0</x:v>
      </x:c>
      <x:c r="I92" s="7" t="str">
        <x:v>Indice Enero 2026.xlsx</x:v>
      </x:c>
    </x:row>
    <x:row r="93">
      <x:c r="A93" s="7" t="str">
        <x:v>Enero 2026</x:v>
      </x:c>
      <x:c r="B93" s="7" t="str">
        <x:v>Convenio</x:v>
      </x:c>
      <x:c r="C93" s="7" t="str">
        <x:v>Gcia de Ingenieria</x:v>
      </x:c>
      <x:c r="D93" s="7" t="n">
        <x:v>0</x:v>
      </x:c>
      <x:c r="E93" s="7" t="n">
        <x:v>0</x:v>
      </x:c>
      <x:c r="F93" s="7" t="n">
        <x:v>0</x:v>
      </x:c>
      <x:c r="G93" s="7" t="n">
        <x:v>1</x:v>
      </x:c>
      <x:c r="H93" s="9" t="n">
        <x:v>0</x:v>
      </x:c>
      <x:c r="I93" s="7" t="str">
        <x:v>Indice Enero 2026.xlsx</x:v>
      </x:c>
    </x:row>
    <x:row r="94">
      <x:c r="A94" s="7" t="str">
        <x:v>Enero 2026</x:v>
      </x:c>
      <x:c r="B94" s="7" t="str">
        <x:v>Convenio</x:v>
      </x:c>
      <x:c r="C94" s="7" t="str">
        <x:v>Intendencia</x:v>
      </x:c>
      <x:c r="D94" s="7" t="n">
        <x:v>0</x:v>
      </x:c>
      <x:c r="E94" s="7" t="n">
        <x:v>0</x:v>
      </x:c>
      <x:c r="F94" s="7" t="n">
        <x:v>0</x:v>
      </x:c>
      <x:c r="G94" s="7" t="n">
        <x:v>7</x:v>
      </x:c>
      <x:c r="H94" s="9" t="n">
        <x:v>0</x:v>
      </x:c>
      <x:c r="I94" s="7" t="str">
        <x:v>Indice Enero 2026.xlsx</x:v>
      </x:c>
    </x:row>
    <x:row r="95">
      <x:c r="A95" s="7" t="str">
        <x:v>Enero 2026</x:v>
      </x:c>
      <x:c r="B95" s="7" t="str">
        <x:v>Convenio</x:v>
      </x:c>
      <x:c r="C95" s="7" t="str">
        <x:v>Jefatura de Proyectos</x:v>
      </x:c>
      <x:c r="D95" s="7" t="n">
        <x:v>0</x:v>
      </x:c>
      <x:c r="E95" s="7" t="n">
        <x:v>0</x:v>
      </x:c>
      <x:c r="F95" s="7" t="n">
        <x:v>0</x:v>
      </x:c>
      <x:c r="G95" s="7" t="n">
        <x:v>2</x:v>
      </x:c>
      <x:c r="H95" s="9" t="n">
        <x:v>0</x:v>
      </x:c>
      <x:c r="I95" s="7" t="str">
        <x:v>Indice Enero 2026.xlsx</x:v>
      </x:c>
    </x:row>
    <x:row r="96">
      <x:c r="A96" s="7" t="str">
        <x:v>Enero 2026</x:v>
      </x:c>
      <x:c r="B96" s="7" t="str">
        <x:v>Convenio</x:v>
      </x:c>
      <x:c r="C96" s="7" t="str">
        <x:v>Jefatura de Reparaciones</x:v>
      </x:c>
      <x:c r="D96" s="7" t="n">
        <x:v>0</x:v>
      </x:c>
      <x:c r="E96" s="7" t="n">
        <x:v>0</x:v>
      </x:c>
      <x:c r="F96" s="7" t="n">
        <x:v>0</x:v>
      </x:c>
      <x:c r="G96" s="7" t="n">
        <x:v>8</x:v>
      </x:c>
      <x:c r="H96" s="9" t="n">
        <x:v>0</x:v>
      </x:c>
      <x:c r="I96" s="7" t="str">
        <x:v>Indice Enero 2026.xlsx</x:v>
      </x:c>
    </x:row>
    <x:row r="97">
      <x:c r="A97" s="7" t="str">
        <x:v>Enero 2026</x:v>
      </x:c>
      <x:c r="B97" s="7" t="str">
        <x:v>Convenio</x:v>
      </x:c>
      <x:c r="C97" s="7" t="str">
        <x:v>Servicio Médico</x:v>
      </x:c>
      <x:c r="D97" s="7" t="n">
        <x:v>0</x:v>
      </x:c>
      <x:c r="E97" s="7" t="n">
        <x:v>0</x:v>
      </x:c>
      <x:c r="F97" s="7" t="n">
        <x:v>0</x:v>
      </x:c>
      <x:c r="G97" s="7" t="n">
        <x:v>3</x:v>
      </x:c>
      <x:c r="H97" s="9" t="n">
        <x:v>0</x:v>
      </x:c>
      <x:c r="I97" s="7" t="str">
        <x:v>Indice Enero 2026.xlsx</x:v>
      </x:c>
    </x:row>
    <x:row r="98">
      <x:c r="A98" s="7" t="str">
        <x:v>Enero 2026</x:v>
      </x:c>
      <x:c r="B98" s="7" t="str">
        <x:v>Fuera de convenio</x:v>
      </x:c>
      <x:c r="C98" s="7" t="str">
        <x:v>Coordinación de Operaciones</x:v>
      </x:c>
      <x:c r="D98" s="7" t="n">
        <x:v>0</x:v>
      </x:c>
      <x:c r="E98" s="7" t="n">
        <x:v>0</x:v>
      </x:c>
      <x:c r="F98" s="7" t="n">
        <x:v>0</x:v>
      </x:c>
      <x:c r="G98" s="7" t="n">
        <x:v>1</x:v>
      </x:c>
      <x:c r="H98" s="9" t="n">
        <x:v>0</x:v>
      </x:c>
      <x:c r="I98" s="7" t="str">
        <x:v>Indice Enero 2026.xlsx</x:v>
      </x:c>
    </x:row>
    <x:row r="99">
      <x:c r="A99" s="7" t="str">
        <x:v>Enero 2026</x:v>
      </x:c>
      <x:c r="B99" s="7" t="str">
        <x:v>Fuera de convenio</x:v>
      </x:c>
      <x:c r="C99" s="7" t="str">
        <x:v>Dpto. Carenado</x:v>
      </x:c>
      <x:c r="D99" s="7" t="n">
        <x:v>0</x:v>
      </x:c>
      <x:c r="E99" s="7" t="n">
        <x:v>0</x:v>
      </x:c>
      <x:c r="F99" s="7" t="n">
        <x:v>0</x:v>
      </x:c>
      <x:c r="G99" s="7" t="n">
        <x:v>1</x:v>
      </x:c>
      <x:c r="H99" s="9" t="n">
        <x:v>0</x:v>
      </x:c>
      <x:c r="I99" s="7" t="str">
        <x:v>Indice Enero 2026.xlsx</x:v>
      </x:c>
    </x:row>
    <x:row r="100">
      <x:c r="A100" s="7" t="str">
        <x:v>Enero 2026</x:v>
      </x:c>
      <x:c r="B100" s="7" t="str">
        <x:v>Fuera de convenio</x:v>
      </x:c>
      <x:c r="C100" s="7" t="str">
        <x:v>Depto. Casco y Acero</x:v>
      </x:c>
      <x:c r="D100" s="7" t="n">
        <x:v>0</x:v>
      </x:c>
      <x:c r="E100" s="7" t="n">
        <x:v>0</x:v>
      </x:c>
      <x:c r="F100" s="7" t="n">
        <x:v>0</x:v>
      </x:c>
      <x:c r="G100" s="7" t="n">
        <x:v>1</x:v>
      </x:c>
      <x:c r="H100" s="9" t="n">
        <x:v>0</x:v>
      </x:c>
      <x:c r="I100" s="7" t="str">
        <x:v>Indice Enero 2026.xlsx</x:v>
      </x:c>
    </x:row>
    <x:row r="101">
      <x:c r="A101" s="7" t="str">
        <x:v>Enero 2026</x:v>
      </x:c>
      <x:c r="B101" s="7" t="str">
        <x:v>Fuera de convenio</x:v>
      </x:c>
      <x:c r="C101" s="7" t="str">
        <x:v>Depto. Cobrería</x:v>
      </x:c>
      <x:c r="D101" s="7" t="n">
        <x:v>0</x:v>
      </x:c>
      <x:c r="E101" s="7" t="n">
        <x:v>0</x:v>
      </x:c>
      <x:c r="F101" s="7" t="n">
        <x:v>0</x:v>
      </x:c>
      <x:c r="G101" s="7" t="n">
        <x:v>1</x:v>
      </x:c>
      <x:c r="H101" s="9" t="n">
        <x:v>0</x:v>
      </x:c>
      <x:c r="I101" s="7" t="str">
        <x:v>Indice Enero 2026.xlsx</x:v>
      </x:c>
    </x:row>
    <x:row r="102">
      <x:c r="A102" s="7" t="str">
        <x:v>Enero 2026</x:v>
      </x:c>
      <x:c r="B102" s="7" t="str">
        <x:v>Fuera de convenio</x:v>
      </x:c>
      <x:c r="C102" s="7" t="str">
        <x:v>Depto. Control de Gestión</x:v>
      </x:c>
      <x:c r="D102" s="7" t="n">
        <x:v>0</x:v>
      </x:c>
      <x:c r="E102" s="7" t="n">
        <x:v>0</x:v>
      </x:c>
      <x:c r="F102" s="7" t="n">
        <x:v>0</x:v>
      </x:c>
      <x:c r="G102" s="7" t="n">
        <x:v>1</x:v>
      </x:c>
      <x:c r="H102" s="9" t="n">
        <x:v>0</x:v>
      </x:c>
      <x:c r="I102" s="7" t="str">
        <x:v>Indice Enero 2026.xlsx</x:v>
      </x:c>
    </x:row>
    <x:row r="103">
      <x:c r="A103" s="7" t="str">
        <x:v>Enero 2026</x:v>
      </x:c>
      <x:c r="B103" s="7" t="str">
        <x:v>Fuera de convenio</x:v>
      </x:c>
      <x:c r="C103" s="7" t="str">
        <x:v>Depto. Maniobras y Transportes</x:v>
      </x:c>
      <x:c r="D103" s="7" t="n">
        <x:v>0</x:v>
      </x:c>
      <x:c r="E103" s="7" t="n">
        <x:v>0</x:v>
      </x:c>
      <x:c r="F103" s="7" t="n">
        <x:v>0</x:v>
      </x:c>
      <x:c r="G103" s="7" t="n">
        <x:v>1</x:v>
      </x:c>
      <x:c r="H103" s="9" t="n">
        <x:v>0</x:v>
      </x:c>
      <x:c r="I103" s="7" t="str">
        <x:v>Indice Enero 2026.xlsx</x:v>
      </x:c>
    </x:row>
    <x:row r="104">
      <x:c r="A104" s="7" t="str">
        <x:v>Enero 2026</x:v>
      </x:c>
      <x:c r="B104" s="7" t="str">
        <x:v>Fuera de convenio</x:v>
      </x:c>
      <x:c r="C104" s="7" t="str">
        <x:v>Depto. Metalmecánica y Gestión de Materi</x:v>
      </x:c>
      <x:c r="D104" s="7" t="n">
        <x:v>0</x:v>
      </x:c>
      <x:c r="E104" s="7" t="n">
        <x:v>0</x:v>
      </x:c>
      <x:c r="F104" s="7" t="n">
        <x:v>0</x:v>
      </x:c>
      <x:c r="G104" s="7" t="n">
        <x:v>1</x:v>
      </x:c>
      <x:c r="H104" s="9" t="n">
        <x:v>0</x:v>
      </x:c>
      <x:c r="I104" s="7" t="str">
        <x:v>Indice Enero 2026.xlsx</x:v>
      </x:c>
    </x:row>
    <x:row r="105">
      <x:c r="A105" s="7" t="str">
        <x:v>Enero 2026</x:v>
      </x:c>
      <x:c r="B105" s="7" t="str">
        <x:v>Fuera de convenio</x:v>
      </x:c>
      <x:c r="C105" s="7" t="str">
        <x:v>Depto. Syncrolift</x:v>
      </x:c>
      <x:c r="D105" s="7" t="n">
        <x:v>0</x:v>
      </x:c>
      <x:c r="E105" s="7" t="n">
        <x:v>0</x:v>
      </x:c>
      <x:c r="F105" s="7" t="n">
        <x:v>0</x:v>
      </x:c>
      <x:c r="G105" s="7" t="n">
        <x:v>1</x:v>
      </x:c>
      <x:c r="H105" s="9" t="n">
        <x:v>0</x:v>
      </x:c>
      <x:c r="I105" s="7" t="str">
        <x:v>Indice Enero 2026.xlsx</x:v>
      </x:c>
    </x:row>
    <x:row r="106">
      <x:c r="A106" s="7" t="str">
        <x:v>Enero 2026</x:v>
      </x:c>
      <x:c r="B106" s="7" t="str">
        <x:v>Fuera de convenio</x:v>
      </x:c>
      <x:c r="C106" s="7" t="str">
        <x:v>Dirección Comercial</x:v>
      </x:c>
      <x:c r="D106" s="7" t="n">
        <x:v>0</x:v>
      </x:c>
      <x:c r="E106" s="7" t="n">
        <x:v>0</x:v>
      </x:c>
      <x:c r="F106" s="7" t="n">
        <x:v>0</x:v>
      </x:c>
      <x:c r="G106" s="7" t="n">
        <x:v>4</x:v>
      </x:c>
      <x:c r="H106" s="9" t="n">
        <x:v>0</x:v>
      </x:c>
      <x:c r="I106" s="7" t="str">
        <x:v>Indice Enero 2026.xlsx</x:v>
      </x:c>
    </x:row>
    <x:row r="107">
      <x:c r="A107" s="7" t="str">
        <x:v>Enero 2026</x:v>
      </x:c>
      <x:c r="B107" s="7" t="str">
        <x:v>Fuera de convenio</x:v>
      </x:c>
      <x:c r="C107" s="7" t="str">
        <x:v>Dirección de Administración</x:v>
      </x:c>
      <x:c r="D107" s="7" t="n">
        <x:v>0</x:v>
      </x:c>
      <x:c r="E107" s="7" t="n">
        <x:v>0</x:v>
      </x:c>
      <x:c r="F107" s="7" t="n">
        <x:v>0</x:v>
      </x:c>
      <x:c r="G107" s="7" t="n">
        <x:v>1</x:v>
      </x:c>
      <x:c r="H107" s="9" t="n">
        <x:v>0</x:v>
      </x:c>
      <x:c r="I107" s="7" t="str">
        <x:v>Indice Enero 2026.xlsx</x:v>
      </x:c>
    </x:row>
    <x:row r="108">
      <x:c r="A108" s="7" t="str">
        <x:v>Enero 2026</x:v>
      </x:c>
      <x:c r="B108" s="7" t="str">
        <x:v>Fuera de convenio</x:v>
      </x:c>
      <x:c r="C108" s="7" t="str">
        <x:v>Dirección de Operaciones</x:v>
      </x:c>
      <x:c r="D108" s="7" t="n">
        <x:v>0</x:v>
      </x:c>
      <x:c r="E108" s="7" t="n">
        <x:v>0</x:v>
      </x:c>
      <x:c r="F108" s="7" t="n">
        <x:v>0</x:v>
      </x:c>
      <x:c r="G108" s="7" t="n">
        <x:v>1</x:v>
      </x:c>
      <x:c r="H108" s="9" t="n">
        <x:v>0</x:v>
      </x:c>
      <x:c r="I108" s="7" t="str">
        <x:v>Indice Enero 2026.xlsx</x:v>
      </x:c>
    </x:row>
    <x:row r="109">
      <x:c r="A109" s="7" t="str">
        <x:v>Enero 2026</x:v>
      </x:c>
      <x:c r="B109" s="7" t="str">
        <x:v>Fuera de convenio</x:v>
      </x:c>
      <x:c r="C109" s="7" t="str">
        <x:v>Dirección General</x:v>
      </x:c>
      <x:c r="D109" s="7" t="n">
        <x:v>0</x:v>
      </x:c>
      <x:c r="E109" s="7" t="n">
        <x:v>0</x:v>
      </x:c>
      <x:c r="F109" s="7" t="n">
        <x:v>0</x:v>
      </x:c>
      <x:c r="G109" s="7" t="n">
        <x:v>2</x:v>
      </x:c>
      <x:c r="H109" s="9" t="n">
        <x:v>0</x:v>
      </x:c>
      <x:c r="I109" s="7" t="str">
        <x:v>Indice Enero 2026.xlsx</x:v>
      </x:c>
    </x:row>
    <x:row r="110">
      <x:c r="A110" s="7" t="str">
        <x:v>Enero 2026</x:v>
      </x:c>
      <x:c r="B110" s="7" t="str">
        <x:v>Fuera de convenio</x:v>
      </x:c>
      <x:c r="C110" s="7" t="str">
        <x:v>Gcia. Asuntos legales</x:v>
      </x:c>
      <x:c r="D110" s="7" t="n">
        <x:v>0</x:v>
      </x:c>
      <x:c r="E110" s="7" t="n">
        <x:v>0</x:v>
      </x:c>
      <x:c r="F110" s="7" t="n">
        <x:v>0</x:v>
      </x:c>
      <x:c r="G110" s="7" t="n">
        <x:v>2</x:v>
      </x:c>
      <x:c r="H110" s="9" t="n">
        <x:v>0</x:v>
      </x:c>
      <x:c r="I110" s="7" t="str">
        <x:v>Indice Enero 2026.xlsx</x:v>
      </x:c>
    </x:row>
    <x:row r="111">
      <x:c r="A111" s="7" t="str">
        <x:v>Enero 2026</x:v>
      </x:c>
      <x:c r="B111" s="7" t="str">
        <x:v>Fuera de convenio</x:v>
      </x:c>
      <x:c r="C111" s="7" t="str">
        <x:v>Gcia de Compras y Contrataciones</x:v>
      </x:c>
      <x:c r="D111" s="7" t="n">
        <x:v>0</x:v>
      </x:c>
      <x:c r="E111" s="7" t="n">
        <x:v>0</x:v>
      </x:c>
      <x:c r="F111" s="7" t="n">
        <x:v>0</x:v>
      </x:c>
      <x:c r="G111" s="7" t="n">
        <x:v>2</x:v>
      </x:c>
      <x:c r="H111" s="9" t="n">
        <x:v>0</x:v>
      </x:c>
      <x:c r="I111" s="7" t="str">
        <x:v>Indice Enero 2026.xlsx</x:v>
      </x:c>
    </x:row>
    <x:row r="112">
      <x:c r="A112" s="7" t="str">
        <x:v>Enero 2026</x:v>
      </x:c>
      <x:c r="B112" s="7" t="str">
        <x:v>Fuera de convenio</x:v>
      </x:c>
      <x:c r="C112" s="7" t="str">
        <x:v>Gcia de Ingenieria</x:v>
      </x:c>
      <x:c r="D112" s="7" t="n">
        <x:v>0</x:v>
      </x:c>
      <x:c r="E112" s="7" t="n">
        <x:v>0</x:v>
      </x:c>
      <x:c r="F112" s="7" t="n">
        <x:v>0</x:v>
      </x:c>
      <x:c r="G112" s="7" t="n">
        <x:v>2</x:v>
      </x:c>
      <x:c r="H112" s="9" t="n">
        <x:v>0</x:v>
      </x:c>
      <x:c r="I112" s="7" t="str">
        <x:v>Indice Enero 2026.xlsx</x:v>
      </x:c>
    </x:row>
    <x:row r="113">
      <x:c r="A113" s="7" t="str">
        <x:v>Enero 2026</x:v>
      </x:c>
      <x:c r="B113" s="7" t="str">
        <x:v>Fuera de convenio</x:v>
      </x:c>
      <x:c r="C113" s="7" t="str">
        <x:v>Jefatura de Proyectos</x:v>
      </x:c>
      <x:c r="D113" s="7" t="n">
        <x:v>0</x:v>
      </x:c>
      <x:c r="E113" s="7" t="n">
        <x:v>0</x:v>
      </x:c>
      <x:c r="F113" s="7" t="n">
        <x:v>0</x:v>
      </x:c>
      <x:c r="G113" s="7" t="n">
        <x:v>4</x:v>
      </x:c>
      <x:c r="H113" s="9" t="n">
        <x:v>0</x:v>
      </x:c>
      <x:c r="I113" s="7" t="str">
        <x:v>Indice Enero 2026.xlsx</x:v>
      </x:c>
    </x:row>
    <x:row r="114">
      <x:c r="A114" s="7" t="str">
        <x:v>Enero 2026</x:v>
      </x:c>
      <x:c r="B114" s="7" t="str">
        <x:v>Fuera de convenio</x:v>
      </x:c>
      <x:c r="C114" s="7" t="str">
        <x:v>Jefatura de Reparaciones</x:v>
      </x:c>
      <x:c r="D114" s="7" t="n">
        <x:v>0</x:v>
      </x:c>
      <x:c r="E114" s="7" t="n">
        <x:v>0</x:v>
      </x:c>
      <x:c r="F114" s="7" t="n">
        <x:v>0</x:v>
      </x:c>
      <x:c r="G114" s="7" t="n">
        <x:v>1</x:v>
      </x:c>
      <x:c r="H114" s="9" t="n">
        <x:v>0</x:v>
      </x:c>
      <x:c r="I114" s="7" t="str">
        <x:v>Indice Enero 2026.xlsx</x:v>
      </x:c>
    </x:row>
    <x:row r="115">
      <x:c r="A115" s="7" t="str">
        <x:v>Enero 2026</x:v>
      </x:c>
      <x:c r="B115" s="7" t="str">
        <x:v>Fuera de convenio</x:v>
      </x:c>
      <x:c r="C115" s="7" t="str">
        <x:v>Planificación y Mantenimiento</x:v>
      </x:c>
      <x:c r="D115" s="7" t="n">
        <x:v>0</x:v>
      </x:c>
      <x:c r="E115" s="7" t="n">
        <x:v>0</x:v>
      </x:c>
      <x:c r="F115" s="7" t="n">
        <x:v>0</x:v>
      </x:c>
      <x:c r="G115" s="7" t="n">
        <x:v>1</x:v>
      </x:c>
      <x:c r="H115" s="9" t="n">
        <x:v>0</x:v>
      </x:c>
      <x:c r="I115" s="7" t="str">
        <x:v>Indice Enero 2026.xlsx</x:v>
      </x:c>
    </x:row>
    <x:row r="116">
      <x:c r="A116" s="7" t="str">
        <x:v>Enero 2026</x:v>
      </x:c>
      <x:c r="B116" s="7" t="str">
        <x:v>Fuera de convenio</x:v>
      </x:c>
      <x:c r="C116" s="7" t="str">
        <x:v>Servicio Médico</x:v>
      </x:c>
      <x:c r="D116" s="7" t="n">
        <x:v>0</x:v>
      </x:c>
      <x:c r="E116" s="7" t="n">
        <x:v>0</x:v>
      </x:c>
      <x:c r="F116" s="7" t="n">
        <x:v>0</x:v>
      </x:c>
      <x:c r="G116" s="7" t="n">
        <x:v>1</x:v>
      </x:c>
      <x:c r="H116" s="9" t="n">
        <x:v>0</x:v>
      </x:c>
      <x:c r="I116" s="7" t="str">
        <x:v>Indice Enero 2026.xlsx</x:v>
      </x:c>
    </x:row>
    <x:row r="117">
      <x:c r="A117" s="7" t="str">
        <x:v>Enero 2026</x:v>
      </x:c>
      <x:c r="B117" s="7" t="str">
        <x:v>Fuera de convenio</x:v>
      </x:c>
      <x:c r="C117" s="7" t="str">
        <x:v>Unidad de Auditoria Interna</x:v>
      </x:c>
      <x:c r="D117" s="7" t="n">
        <x:v>0</x:v>
      </x:c>
      <x:c r="E117" s="7" t="n">
        <x:v>0</x:v>
      </x:c>
      <x:c r="F117" s="7" t="n">
        <x:v>0</x:v>
      </x:c>
      <x:c r="G117" s="7" t="n">
        <x:v>1</x:v>
      </x:c>
      <x:c r="H117" s="9" t="n">
        <x:v>0</x:v>
      </x:c>
      <x:c r="I117" s="7" t="str">
        <x:v>Indice Enero 2026.xlsx</x:v>
      </x:c>
    </x:row>
    <x:row r="118">
      <x:c r="A118" s="7" t="str">
        <x:v>Febrero 2026</x:v>
      </x:c>
      <x:c r="B118" s="7" t="str">
        <x:v>Convenio</x:v>
      </x:c>
      <x:c r="C118" s="7" t="str">
        <x:v>Depto. Mecánica</x:v>
      </x:c>
      <x:c r="D118" s="7" t="n">
        <x:v>393</x:v>
      </x:c>
      <x:c r="E118" s="7" t="n">
        <x:v>248</x:v>
      </x:c>
      <x:c r="F118" s="7" t="n">
        <x:v>641</x:v>
      </x:c>
      <x:c r="G118" s="7" t="n">
        <x:v>57</x:v>
      </x:c>
      <x:c r="H118" s="9" t="n">
        <x:v>11.24561403508772</x:v>
      </x:c>
      <x:c r="I118" s="7" t="str">
        <x:v>Indice Febrero 2026.xlsx</x:v>
      </x:c>
    </x:row>
    <x:row r="119">
      <x:c r="A119" s="7" t="str">
        <x:v>Febrero 2026</x:v>
      </x:c>
      <x:c r="B119" s="7" t="str">
        <x:v>Convenio</x:v>
      </x:c>
      <x:c r="C119" s="7" t="str">
        <x:v>Depto. Casco y Acero</x:v>
      </x:c>
      <x:c r="D119" s="7" t="n">
        <x:v>425</x:v>
      </x:c>
      <x:c r="E119" s="7" t="n">
        <x:v>144</x:v>
      </x:c>
      <x:c r="F119" s="7" t="n">
        <x:v>569</x:v>
      </x:c>
      <x:c r="G119" s="7" t="n">
        <x:v>65</x:v>
      </x:c>
      <x:c r="H119" s="9" t="n">
        <x:v>8.753846153846155</x:v>
      </x:c>
      <x:c r="I119" s="7" t="str">
        <x:v>Indice Febrero 2026.xlsx</x:v>
      </x:c>
    </x:row>
    <x:row r="120">
      <x:c r="A120" s="7" t="str">
        <x:v>Febrero 2026</x:v>
      </x:c>
      <x:c r="B120" s="7" t="str">
        <x:v>Convenio</x:v>
      </x:c>
      <x:c r="C120" s="7" t="str">
        <x:v>Depto. Cobrería</x:v>
      </x:c>
      <x:c r="D120" s="7" t="n">
        <x:v>313</x:v>
      </x:c>
      <x:c r="E120" s="7" t="n">
        <x:v>88</x:v>
      </x:c>
      <x:c r="F120" s="7" t="n">
        <x:v>401</x:v>
      </x:c>
      <x:c r="G120" s="7" t="n">
        <x:v>32</x:v>
      </x:c>
      <x:c r="H120" s="9" t="n">
        <x:v>12.53125</x:v>
      </x:c>
      <x:c r="I120" s="7" t="str">
        <x:v>Indice Febrero 2026.xlsx</x:v>
      </x:c>
    </x:row>
    <x:row r="121">
      <x:c r="A121" s="7" t="str">
        <x:v>Febrero 2026</x:v>
      </x:c>
      <x:c r="B121" s="7" t="str">
        <x:v>Convenio</x:v>
      </x:c>
      <x:c r="C121" s="7" t="str">
        <x:v>Dpto. Carenado</x:v>
      </x:c>
      <x:c r="D121" s="7" t="n">
        <x:v>347</x:v>
      </x:c>
      <x:c r="E121" s="7" t="n">
        <x:v>0</x:v>
      </x:c>
      <x:c r="F121" s="7" t="n">
        <x:v>347</x:v>
      </x:c>
      <x:c r="G121" s="7" t="n">
        <x:v>29</x:v>
      </x:c>
      <x:c r="H121" s="9" t="n">
        <x:v>11.96551724137931</x:v>
      </x:c>
      <x:c r="I121" s="7" t="str">
        <x:v>Indice Febrero 2026.xlsx</x:v>
      </x:c>
    </x:row>
    <x:row r="122">
      <x:c r="A122" s="7" t="str">
        <x:v>Febrero 2026</x:v>
      </x:c>
      <x:c r="B122" s="7" t="str">
        <x:v>Convenio</x:v>
      </x:c>
      <x:c r="C122" s="7" t="str">
        <x:v>Depto. Maniobras y Transportes</x:v>
      </x:c>
      <x:c r="D122" s="7" t="n">
        <x:v>95</x:v>
      </x:c>
      <x:c r="E122" s="7" t="n">
        <x:v>144</x:v>
      </x:c>
      <x:c r="F122" s="7" t="n">
        <x:v>239</x:v>
      </x:c>
      <x:c r="G122" s="7" t="n">
        <x:v>21</x:v>
      </x:c>
      <x:c r="H122" s="9" t="n">
        <x:v>11.380952380952381</x:v>
      </x:c>
      <x:c r="I122" s="7" t="str">
        <x:v>Indice Febrero 2026.xlsx</x:v>
      </x:c>
    </x:row>
    <x:row r="123">
      <x:c r="A123" s="7" t="str">
        <x:v>Febrero 2026</x:v>
      </x:c>
      <x:c r="B123" s="7" t="str">
        <x:v>Convenio</x:v>
      </x:c>
      <x:c r="C123" s="7" t="str">
        <x:v>Depto. Syncrolift</x:v>
      </x:c>
      <x:c r="D123" s="7" t="n">
        <x:v>72</x:v>
      </x:c>
      <x:c r="E123" s="7" t="n">
        <x:v>144</x:v>
      </x:c>
      <x:c r="F123" s="7" t="n">
        <x:v>216</x:v>
      </x:c>
      <x:c r="G123" s="7" t="n">
        <x:v>20</x:v>
      </x:c>
      <x:c r="H123" s="9" t="n">
        <x:v>10.8</x:v>
      </x:c>
      <x:c r="I123" s="7" t="str">
        <x:v>Indice Febrero 2026.xlsx</x:v>
      </x:c>
    </x:row>
    <x:row r="124">
      <x:c r="A124" s="7" t="str">
        <x:v>Febrero 2026</x:v>
      </x:c>
      <x:c r="B124" s="7" t="str">
        <x:v>Convenio</x:v>
      </x:c>
      <x:c r="C124" s="7" t="str">
        <x:v>Mantenimiento</x:v>
      </x:c>
      <x:c r="D124" s="7" t="n">
        <x:v>43</x:v>
      </x:c>
      <x:c r="E124" s="7" t="n">
        <x:v>0</x:v>
      </x:c>
      <x:c r="F124" s="7" t="n">
        <x:v>43</x:v>
      </x:c>
      <x:c r="G124" s="7" t="n">
        <x:v>20</x:v>
      </x:c>
      <x:c r="H124" s="9" t="n">
        <x:v>2.15</x:v>
      </x:c>
      <x:c r="I124" s="7" t="str">
        <x:v>Indice Febrero 2026.xlsx</x:v>
      </x:c>
    </x:row>
    <x:row r="125">
      <x:c r="A125" s="7" t="str">
        <x:v>Febrero 2026</x:v>
      </x:c>
      <x:c r="B125" s="7" t="str">
        <x:v>Convenio</x:v>
      </x:c>
      <x:c r="C125" s="7" t="str">
        <x:v>Control Patrimonial</x:v>
      </x:c>
      <x:c r="D125" s="7" t="n">
        <x:v>26</x:v>
      </x:c>
      <x:c r="E125" s="7" t="n">
        <x:v>0</x:v>
      </x:c>
      <x:c r="F125" s="7" t="n">
        <x:v>26</x:v>
      </x:c>
      <x:c r="G125" s="7" t="n">
        <x:v>8</x:v>
      </x:c>
      <x:c r="H125" s="9" t="n">
        <x:v>3.25</x:v>
      </x:c>
      <x:c r="I125" s="7" t="str">
        <x:v>Indice Febrero 2026.xlsx</x:v>
      </x:c>
    </x:row>
    <x:row r="126">
      <x:c r="A126" s="7" t="str">
        <x:v>Febrero 2026</x:v>
      </x:c>
      <x:c r="B126" s="7" t="str">
        <x:v>Convenio</x:v>
      </x:c>
      <x:c r="C126" s="7" t="str">
        <x:v>Intendencia</x:v>
      </x:c>
      <x:c r="D126" s="7" t="n">
        <x:v>21</x:v>
      </x:c>
      <x:c r="E126" s="7" t="n">
        <x:v>0</x:v>
      </x:c>
      <x:c r="F126" s="7" t="n">
        <x:v>21</x:v>
      </x:c>
      <x:c r="G126" s="7" t="n">
        <x:v>7</x:v>
      </x:c>
      <x:c r="H126" s="9" t="n">
        <x:v>3</x:v>
      </x:c>
      <x:c r="I126" s="7" t="str">
        <x:v>Indice Febrero 2026.xlsx</x:v>
      </x:c>
    </x:row>
    <x:row r="127">
      <x:c r="A127" s="7" t="str">
        <x:v>Febrero 2026</x:v>
      </x:c>
      <x:c r="B127" s="7" t="str">
        <x:v>Convenio</x:v>
      </x:c>
      <x:c r="C127" s="7" t="str">
        <x:v>Depto. Capital Humano</x:v>
      </x:c>
      <x:c r="D127" s="7" t="n">
        <x:v>19</x:v>
      </x:c>
      <x:c r="E127" s="7" t="n">
        <x:v>0</x:v>
      </x:c>
      <x:c r="F127" s="7" t="n">
        <x:v>19</x:v>
      </x:c>
      <x:c r="G127" s="7" t="n">
        <x:v>7</x:v>
      </x:c>
      <x:c r="H127" s="9" t="n">
        <x:v>2.7142857142857144</x:v>
      </x:c>
      <x:c r="I127" s="7" t="str">
        <x:v>Indice Febrero 2026.xlsx</x:v>
      </x:c>
    </x:row>
    <x:row r="128">
      <x:c r="A128" s="7" t="str">
        <x:v>Febrero 2026</x:v>
      </x:c>
      <x:c r="B128" s="7" t="str">
        <x:v>Convenio</x:v>
      </x:c>
      <x:c r="C128" s="7" t="str">
        <x:v>Gcia de Producción</x:v>
      </x:c>
      <x:c r="D128" s="7" t="n">
        <x:v>19</x:v>
      </x:c>
      <x:c r="E128" s="7" t="n">
        <x:v>0</x:v>
      </x:c>
      <x:c r="F128" s="7" t="n">
        <x:v>19</x:v>
      </x:c>
      <x:c r="G128" s="7" t="n">
        <x:v>5</x:v>
      </x:c>
      <x:c r="H128" s="9" t="n">
        <x:v>3.8</x:v>
      </x:c>
      <x:c r="I128" s="7" t="str">
        <x:v>Indice Febrero 2026.xlsx</x:v>
      </x:c>
    </x:row>
    <x:row r="129">
      <x:c r="A129" s="7" t="str">
        <x:v>Febrero 2026</x:v>
      </x:c>
      <x:c r="B129" s="7" t="str">
        <x:v>Convenio</x:v>
      </x:c>
      <x:c r="C129" s="7" t="str">
        <x:v>Depto, Bomberos</x:v>
      </x:c>
      <x:c r="D129" s="7" t="n">
        <x:v>16</x:v>
      </x:c>
      <x:c r="E129" s="7" t="n">
        <x:v>0</x:v>
      </x:c>
      <x:c r="F129" s="7" t="n">
        <x:v>16</x:v>
      </x:c>
      <x:c r="G129" s="7" t="n">
        <x:v>15</x:v>
      </x:c>
      <x:c r="H129" s="9" t="n">
        <x:v>1.0666666666666667</x:v>
      </x:c>
      <x:c r="I129" s="7" t="str">
        <x:v>Indice Febrero 2026.xlsx</x:v>
      </x:c>
    </x:row>
    <x:row r="130">
      <x:c r="A130" s="7" t="str">
        <x:v>Febrero 2026</x:v>
      </x:c>
      <x:c r="B130" s="7" t="str">
        <x:v>Convenio</x:v>
      </x:c>
      <x:c r="C130" s="7" t="str">
        <x:v>Depto. Relaciones Institucionales</x:v>
      </x:c>
      <x:c r="D130" s="7" t="n">
        <x:v>16</x:v>
      </x:c>
      <x:c r="E130" s="7" t="n">
        <x:v>0</x:v>
      </x:c>
      <x:c r="F130" s="7" t="n">
        <x:v>16</x:v>
      </x:c>
      <x:c r="G130" s="7" t="n">
        <x:v>3</x:v>
      </x:c>
      <x:c r="H130" s="9" t="n">
        <x:v>5.333333333333333</x:v>
      </x:c>
      <x:c r="I130" s="7" t="str">
        <x:v>Indice Febrero 2026.xlsx</x:v>
      </x:c>
    </x:row>
    <x:row r="131">
      <x:c r="A131" s="7" t="str">
        <x:v>Febrero 2026</x:v>
      </x:c>
      <x:c r="B131" s="7" t="str">
        <x:v>Convenio</x:v>
      </x:c>
      <x:c r="C131" s="7" t="str">
        <x:v>Servicio Comedor</x:v>
      </x:c>
      <x:c r="D131" s="7" t="n">
        <x:v>15</x:v>
      </x:c>
      <x:c r="E131" s="7" t="n">
        <x:v>0</x:v>
      </x:c>
      <x:c r="F131" s="7" t="n">
        <x:v>15</x:v>
      </x:c>
      <x:c r="G131" s="7" t="n">
        <x:v>7</x:v>
      </x:c>
      <x:c r="H131" s="9" t="n">
        <x:v>2.142857142857143</x:v>
      </x:c>
      <x:c r="I131" s="7" t="str">
        <x:v>Indice Febrero 2026.xlsx</x:v>
      </x:c>
    </x:row>
    <x:row r="132">
      <x:c r="A132" s="7" t="str">
        <x:v>Febrero 2026</x:v>
      </x:c>
      <x:c r="B132" s="7" t="str">
        <x:v>Convenio</x:v>
      </x:c>
      <x:c r="C132" s="7" t="str">
        <x:v>Depto. Electricidad</x:v>
      </x:c>
      <x:c r="D132" s="7" t="n">
        <x:v>14</x:v>
      </x:c>
      <x:c r="E132" s="7" t="n">
        <x:v>0</x:v>
      </x:c>
      <x:c r="F132" s="7" t="n">
        <x:v>14</x:v>
      </x:c>
      <x:c r="G132" s="7" t="n">
        <x:v>22</x:v>
      </x:c>
      <x:c r="H132" s="9" t="n">
        <x:v>0.6363636363636364</x:v>
      </x:c>
      <x:c r="I132" s="7" t="str">
        <x:v>Indice Febrero 2026.xlsx</x:v>
      </x:c>
    </x:row>
    <x:row r="133">
      <x:c r="A133" s="7" t="str">
        <x:v>Febrero 2026</x:v>
      </x:c>
      <x:c r="B133" s="7" t="str">
        <x:v>Convenio</x:v>
      </x:c>
      <x:c r="C133" s="7" t="str">
        <x:v>Depto. Habitabilidad</x:v>
      </x:c>
      <x:c r="D133" s="7" t="n">
        <x:v>12</x:v>
      </x:c>
      <x:c r="E133" s="7" t="n">
        <x:v>0</x:v>
      </x:c>
      <x:c r="F133" s="7" t="n">
        <x:v>12</x:v>
      </x:c>
      <x:c r="G133" s="7" t="n">
        <x:v>9</x:v>
      </x:c>
      <x:c r="H133" s="9" t="n">
        <x:v>1.3333333333333333</x:v>
      </x:c>
      <x:c r="I133" s="7" t="str">
        <x:v>Indice Febrero 2026.xlsx</x:v>
      </x:c>
    </x:row>
    <x:row r="134">
      <x:c r="A134" s="7" t="str">
        <x:v>Febrero 2026</x:v>
      </x:c>
      <x:c r="B134" s="7" t="str">
        <x:v>Convenio</x:v>
      </x:c>
      <x:c r="C134" s="7" t="str">
        <x:v>Depto. Higiene y Seguridad Industrial</x:v>
      </x:c>
      <x:c r="D134" s="7" t="n">
        <x:v>9</x:v>
      </x:c>
      <x:c r="E134" s="7" t="n">
        <x:v>0</x:v>
      </x:c>
      <x:c r="F134" s="7" t="n">
        <x:v>9</x:v>
      </x:c>
      <x:c r="G134" s="7" t="n">
        <x:v>10</x:v>
      </x:c>
      <x:c r="H134" s="9" t="n">
        <x:v>0.9</x:v>
      </x:c>
      <x:c r="I134" s="7" t="str">
        <x:v>Indice Febrero 2026.xlsx</x:v>
      </x:c>
    </x:row>
    <x:row r="135">
      <x:c r="A135" s="7" t="str">
        <x:v>Febrero 2026</x:v>
      </x:c>
      <x:c r="B135" s="7" t="str">
        <x:v>Convenio</x:v>
      </x:c>
      <x:c r="C135" s="7" t="str">
        <x:v>Mesa de Entrada</x:v>
      </x:c>
      <x:c r="D135" s="7" t="n">
        <x:v>9</x:v>
      </x:c>
      <x:c r="E135" s="7" t="n">
        <x:v>0</x:v>
      </x:c>
      <x:c r="F135" s="7" t="n">
        <x:v>9</x:v>
      </x:c>
      <x:c r="G135" s="7" t="n">
        <x:v>1</x:v>
      </x:c>
      <x:c r="H135" s="9" t="n">
        <x:v>9</x:v>
      </x:c>
      <x:c r="I135" s="7" t="str">
        <x:v>Indice Febrero 2026.xlsx</x:v>
      </x:c>
    </x:row>
    <x:row r="136">
      <x:c r="A136" s="7" t="str">
        <x:v>Febrero 2026</x:v>
      </x:c>
      <x:c r="B136" s="7" t="str">
        <x:v>Fuera de convenio</x:v>
      </x:c>
      <x:c r="C136" s="7" t="str">
        <x:v>Gcia de Producción</x:v>
      </x:c>
      <x:c r="D136" s="7" t="n">
        <x:v>5</x:v>
      </x:c>
      <x:c r="E136" s="7" t="n">
        <x:v>0</x:v>
      </x:c>
      <x:c r="F136" s="7" t="n">
        <x:v>5</x:v>
      </x:c>
      <x:c r="G136" s="7" t="n">
        <x:v>3</x:v>
      </x:c>
      <x:c r="H136" s="9" t="n">
        <x:v>1.6666666666666667</x:v>
      </x:c>
      <x:c r="I136" s="7" t="str">
        <x:v>Indice Febrero 2026.xlsx</x:v>
      </x:c>
    </x:row>
    <x:row r="137">
      <x:c r="A137" s="7" t="str">
        <x:v>Febrero 2026</x:v>
      </x:c>
      <x:c r="B137" s="7" t="str">
        <x:v>Convenio</x:v>
      </x:c>
      <x:c r="C137" s="7" t="str">
        <x:v>Depto. Control de Calidad</x:v>
      </x:c>
      <x:c r="D137" s="7" t="n">
        <x:v>4</x:v>
      </x:c>
      <x:c r="E137" s="7" t="n">
        <x:v>0</x:v>
      </x:c>
      <x:c r="F137" s="7" t="n">
        <x:v>4</x:v>
      </x:c>
      <x:c r="G137" s="7" t="n">
        <x:v>8</x:v>
      </x:c>
      <x:c r="H137" s="9" t="n">
        <x:v>0.5</x:v>
      </x:c>
      <x:c r="I137" s="7" t="str">
        <x:v>Indice Febrero 2026.xlsx</x:v>
      </x:c>
    </x:row>
    <x:row r="138">
      <x:c r="A138" s="7" t="str">
        <x:v>Febrero 2026</x:v>
      </x:c>
      <x:c r="B138" s="7" t="str">
        <x:v>Fuera de convenio</x:v>
      </x:c>
      <x:c r="C138" s="7" t="str">
        <x:v>Gcia de Ingenieria</x:v>
      </x:c>
      <x:c r="D138" s="7" t="n">
        <x:v>3</x:v>
      </x:c>
      <x:c r="E138" s="7" t="n">
        <x:v>0</x:v>
      </x:c>
      <x:c r="F138" s="7" t="n">
        <x:v>3</x:v>
      </x:c>
      <x:c r="G138" s="7" t="n">
        <x:v>2</x:v>
      </x:c>
      <x:c r="H138" s="9" t="n">
        <x:v>1.5</x:v>
      </x:c>
      <x:c r="I138" s="7" t="str">
        <x:v>Indice Febrero 2026.xlsx</x:v>
      </x:c>
    </x:row>
    <x:row r="139">
      <x:c r="A139" s="7" t="str">
        <x:v>Febrero 2026</x:v>
      </x:c>
      <x:c r="B139" s="7" t="str">
        <x:v>Convenio</x:v>
      </x:c>
      <x:c r="C139" s="7" t="str">
        <x:v>Gcia de Compras y Contrataciones</x:v>
      </x:c>
      <x:c r="D139" s="7" t="n">
        <x:v>2</x:v>
      </x:c>
      <x:c r="E139" s="7" t="n">
        <x:v>0</x:v>
      </x:c>
      <x:c r="F139" s="7" t="n">
        <x:v>2</x:v>
      </x:c>
      <x:c r="G139" s="7" t="n">
        <x:v>5</x:v>
      </x:c>
      <x:c r="H139" s="9" t="n">
        <x:v>0.4</x:v>
      </x:c>
      <x:c r="I139" s="7" t="str">
        <x:v>Indice Febrero 2026.xlsx</x:v>
      </x:c>
    </x:row>
    <x:row r="140">
      <x:c r="A140" s="7" t="str">
        <x:v>Febrero 2026</x:v>
      </x:c>
      <x:c r="B140" s="7" t="str">
        <x:v>Convenio</x:v>
      </x:c>
      <x:c r="C140" s="7" t="str">
        <x:v>Gcia. Asuntos legales</x:v>
      </x:c>
      <x:c r="D140" s="7" t="n">
        <x:v>1</x:v>
      </x:c>
      <x:c r="E140" s="7" t="n">
        <x:v>0</x:v>
      </x:c>
      <x:c r="F140" s="7" t="n">
        <x:v>1</x:v>
      </x:c>
      <x:c r="G140" s="7" t="n">
        <x:v>1</x:v>
      </x:c>
      <x:c r="H140" s="9" t="n">
        <x:v>1</x:v>
      </x:c>
      <x:c r="I140" s="7" t="str">
        <x:v>Indice Febrero 2026.xlsx</x:v>
      </x:c>
    </x:row>
    <x:row r="141">
      <x:c r="A141" s="7" t="str">
        <x:v>Febrero 2026</x:v>
      </x:c>
      <x:c r="B141" s="7" t="str">
        <x:v>Fuera de convenio</x:v>
      </x:c>
      <x:c r="C141" s="7" t="str">
        <x:v>Depto. Metalmecánica y Gestión de Materi</x:v>
      </x:c>
      <x:c r="D141" s="7" t="n">
        <x:v>1</x:v>
      </x:c>
      <x:c r="E141" s="7" t="n">
        <x:v>0</x:v>
      </x:c>
      <x:c r="F141" s="7" t="n">
        <x:v>1</x:v>
      </x:c>
      <x:c r="G141" s="7" t="n">
        <x:v>1</x:v>
      </x:c>
      <x:c r="H141" s="9" t="n">
        <x:v>1</x:v>
      </x:c>
      <x:c r="I141" s="7" t="str">
        <x:v>Indice Febrero 2026.xlsx</x:v>
      </x:c>
    </x:row>
    <x:row r="142">
      <x:c r="A142" s="7" t="str">
        <x:v>Febrero 2026</x:v>
      </x:c>
      <x:c r="B142" s="7" t="str">
        <x:v>Fuera de convenio</x:v>
      </x:c>
      <x:c r="C142" s="7" t="str">
        <x:v>Jefatura de Reparaciones</x:v>
      </x:c>
      <x:c r="D142" s="7" t="n">
        <x:v>1</x:v>
      </x:c>
      <x:c r="E142" s="7" t="n">
        <x:v>0</x:v>
      </x:c>
      <x:c r="F142" s="7" t="n">
        <x:v>1</x:v>
      </x:c>
      <x:c r="G142" s="7" t="n">
        <x:v>1</x:v>
      </x:c>
      <x:c r="H142" s="9" t="n">
        <x:v>1</x:v>
      </x:c>
      <x:c r="I142" s="7" t="str">
        <x:v>Indice Febrero 2026.xlsx</x:v>
      </x:c>
    </x:row>
    <x:row r="143">
      <x:c r="A143" s="7" t="str">
        <x:v>Febrero 2026</x:v>
      </x:c>
      <x:c r="B143" s="7" t="str">
        <x:v>Convenio</x:v>
      </x:c>
      <x:c r="C143" s="7" t="str">
        <x:v>Control de Contratistas</x:v>
      </x:c>
      <x:c r="D143" s="7" t="n">
        <x:v>0</x:v>
      </x:c>
      <x:c r="E143" s="7" t="n">
        <x:v>0</x:v>
      </x:c>
      <x:c r="F143" s="7" t="n">
        <x:v>0</x:v>
      </x:c>
      <x:c r="G143" s="7" t="n">
        <x:v>2</x:v>
      </x:c>
      <x:c r="H143" s="9" t="n">
        <x:v>0</x:v>
      </x:c>
      <x:c r="I143" s="7" t="str">
        <x:v>Indice Febrero 2026.xlsx</x:v>
      </x:c>
    </x:row>
    <x:row r="144">
      <x:c r="A144" s="7" t="str">
        <x:v>Febrero 2026</x:v>
      </x:c>
      <x:c r="B144" s="7" t="str">
        <x:v>Convenio</x:v>
      </x:c>
      <x:c r="C144" s="7" t="str">
        <x:v>Depto. Almacenes</x:v>
      </x:c>
      <x:c r="D144" s="7" t="n">
        <x:v>0</x:v>
      </x:c>
      <x:c r="E144" s="7" t="n">
        <x:v>0</x:v>
      </x:c>
      <x:c r="F144" s="7" t="n">
        <x:v>0</x:v>
      </x:c>
      <x:c r="G144" s="7" t="n">
        <x:v>6</x:v>
      </x:c>
      <x:c r="H144" s="9" t="n">
        <x:v>0</x:v>
      </x:c>
      <x:c r="I144" s="7" t="str">
        <x:v>Indice Febrero 2026.xlsx</x:v>
      </x:c>
    </x:row>
    <x:row r="145">
      <x:c r="A145" s="7" t="str">
        <x:v>Febrero 2026</x:v>
      </x:c>
      <x:c r="B145" s="7" t="str">
        <x:v>Convenio</x:v>
      </x:c>
      <x:c r="C145" s="7" t="str">
        <x:v>Depto. Control de Gestión</x:v>
      </x:c>
      <x:c r="D145" s="7" t="n">
        <x:v>0</x:v>
      </x:c>
      <x:c r="E145" s="7" t="n">
        <x:v>0</x:v>
      </x:c>
      <x:c r="F145" s="7" t="n">
        <x:v>0</x:v>
      </x:c>
      <x:c r="G145" s="7" t="n">
        <x:v>1</x:v>
      </x:c>
      <x:c r="H145" s="9" t="n">
        <x:v>0</x:v>
      </x:c>
      <x:c r="I145" s="7" t="str">
        <x:v>Indice Febrero 2026.xlsx</x:v>
      </x:c>
    </x:row>
    <x:row r="146">
      <x:c r="A146" s="7" t="str">
        <x:v>Febrero 2026</x:v>
      </x:c>
      <x:c r="B146" s="7" t="str">
        <x:v>Convenio</x:v>
      </x:c>
      <x:c r="C146" s="7" t="str">
        <x:v>Gestión de Calidad</x:v>
      </x:c>
      <x:c r="D146" s="7" t="n">
        <x:v>0</x:v>
      </x:c>
      <x:c r="E146" s="7" t="n">
        <x:v>0</x:v>
      </x:c>
      <x:c r="F146" s="7" t="n">
        <x:v>0</x:v>
      </x:c>
      <x:c r="G146" s="7" t="n">
        <x:v>1</x:v>
      </x:c>
      <x:c r="H146" s="9" t="n">
        <x:v>0</x:v>
      </x:c>
      <x:c r="I146" s="7" t="str">
        <x:v>Indice Febrero 2026.xlsx</x:v>
      </x:c>
    </x:row>
    <x:row r="147">
      <x:c r="A147" s="7" t="str">
        <x:v>Febrero 2026</x:v>
      </x:c>
      <x:c r="B147" s="7" t="str">
        <x:v>Convenio</x:v>
      </x:c>
      <x:c r="C147" s="7" t="str">
        <x:v>Dirección Comercial</x:v>
      </x:c>
      <x:c r="D147" s="7" t="n">
        <x:v>0</x:v>
      </x:c>
      <x:c r="E147" s="7" t="n">
        <x:v>0</x:v>
      </x:c>
      <x:c r="F147" s="7" t="n">
        <x:v>0</x:v>
      </x:c>
      <x:c r="G147" s="7" t="n">
        <x:v>2</x:v>
      </x:c>
      <x:c r="H147" s="9" t="n">
        <x:v>0</x:v>
      </x:c>
      <x:c r="I147" s="7" t="str">
        <x:v>Indice Febrero 2026.xlsx</x:v>
      </x:c>
    </x:row>
    <x:row r="148">
      <x:c r="A148" s="7" t="str">
        <x:v>Febrero 2026</x:v>
      </x:c>
      <x:c r="B148" s="7" t="str">
        <x:v>Convenio</x:v>
      </x:c>
      <x:c r="C148" s="7" t="str">
        <x:v>Directorio</x:v>
      </x:c>
      <x:c r="D148" s="7" t="n">
        <x:v>0</x:v>
      </x:c>
      <x:c r="E148" s="7" t="n">
        <x:v>0</x:v>
      </x:c>
      <x:c r="F148" s="7" t="n">
        <x:v>0</x:v>
      </x:c>
      <x:c r="G148" s="7" t="n">
        <x:v>1</x:v>
      </x:c>
      <x:c r="H148" s="9" t="n">
        <x:v>0</x:v>
      </x:c>
      <x:c r="I148" s="7" t="str">
        <x:v>Indice Febrero 2026.xlsx</x:v>
      </x:c>
    </x:row>
    <x:row r="149">
      <x:c r="A149" s="7" t="str">
        <x:v>Febrero 2026</x:v>
      </x:c>
      <x:c r="B149" s="7" t="str">
        <x:v>Convenio</x:v>
      </x:c>
      <x:c r="C149" s="7" t="str">
        <x:v>Dirección de Operaciones</x:v>
      </x:c>
      <x:c r="D149" s="7" t="n">
        <x:v>0</x:v>
      </x:c>
      <x:c r="E149" s="7" t="n">
        <x:v>0</x:v>
      </x:c>
      <x:c r="F149" s="7" t="n">
        <x:v>0</x:v>
      </x:c>
      <x:c r="G149" s="7" t="n">
        <x:v>1</x:v>
      </x:c>
      <x:c r="H149" s="9" t="n">
        <x:v>0</x:v>
      </x:c>
      <x:c r="I149" s="7" t="str">
        <x:v>Indice Febrero 2026.xlsx</x:v>
      </x:c>
    </x:row>
    <x:row r="150">
      <x:c r="A150" s="7" t="str">
        <x:v>Febrero 2026</x:v>
      </x:c>
      <x:c r="B150" s="7" t="str">
        <x:v>Convenio</x:v>
      </x:c>
      <x:c r="C150" s="7" t="str">
        <x:v>Gcia. Administración y Finanzas</x:v>
      </x:c>
      <x:c r="D150" s="7" t="n">
        <x:v>0</x:v>
      </x:c>
      <x:c r="E150" s="7" t="n">
        <x:v>0</x:v>
      </x:c>
      <x:c r="F150" s="7" t="n">
        <x:v>0</x:v>
      </x:c>
      <x:c r="G150" s="7" t="n">
        <x:v>3</x:v>
      </x:c>
      <x:c r="H150" s="9" t="n">
        <x:v>0</x:v>
      </x:c>
      <x:c r="I150" s="7" t="str">
        <x:v>Indice Febrero 2026.xlsx</x:v>
      </x:c>
    </x:row>
    <x:row r="151">
      <x:c r="A151" s="7" t="str">
        <x:v>Febrero 2026</x:v>
      </x:c>
      <x:c r="B151" s="7" t="str">
        <x:v>Convenio</x:v>
      </x:c>
      <x:c r="C151" s="7" t="str">
        <x:v>Gcia de Ingenieria</x:v>
      </x:c>
      <x:c r="D151" s="7" t="n">
        <x:v>0</x:v>
      </x:c>
      <x:c r="E151" s="7" t="n">
        <x:v>0</x:v>
      </x:c>
      <x:c r="F151" s="7" t="n">
        <x:v>0</x:v>
      </x:c>
      <x:c r="G151" s="7" t="n">
        <x:v>1</x:v>
      </x:c>
      <x:c r="H151" s="9" t="n">
        <x:v>0</x:v>
      </x:c>
      <x:c r="I151" s="7" t="str">
        <x:v>Indice Febrero 2026.xlsx</x:v>
      </x:c>
    </x:row>
    <x:row r="152">
      <x:c r="A152" s="7" t="str">
        <x:v>Febrero 2026</x:v>
      </x:c>
      <x:c r="B152" s="7" t="str">
        <x:v>Convenio</x:v>
      </x:c>
      <x:c r="C152" s="7" t="str">
        <x:v>Jefatura de Proyectos</x:v>
      </x:c>
      <x:c r="D152" s="7" t="n">
        <x:v>0</x:v>
      </x:c>
      <x:c r="E152" s="7" t="n">
        <x:v>0</x:v>
      </x:c>
      <x:c r="F152" s="7" t="n">
        <x:v>0</x:v>
      </x:c>
      <x:c r="G152" s="7" t="n">
        <x:v>2</x:v>
      </x:c>
      <x:c r="H152" s="9" t="n">
        <x:v>0</x:v>
      </x:c>
      <x:c r="I152" s="7" t="str">
        <x:v>Indice Febrero 2026.xlsx</x:v>
      </x:c>
    </x:row>
    <x:row r="153">
      <x:c r="A153" s="7" t="str">
        <x:v>Febrero 2026</x:v>
      </x:c>
      <x:c r="B153" s="7" t="str">
        <x:v>Convenio</x:v>
      </x:c>
      <x:c r="C153" s="7" t="str">
        <x:v>Jefatura de Reparaciones</x:v>
      </x:c>
      <x:c r="D153" s="7" t="n">
        <x:v>0</x:v>
      </x:c>
      <x:c r="E153" s="7" t="n">
        <x:v>0</x:v>
      </x:c>
      <x:c r="F153" s="7" t="n">
        <x:v>0</x:v>
      </x:c>
      <x:c r="G153" s="7" t="n">
        <x:v>8</x:v>
      </x:c>
      <x:c r="H153" s="9" t="n">
        <x:v>0</x:v>
      </x:c>
      <x:c r="I153" s="7" t="str">
        <x:v>Indice Febrero 2026.xlsx</x:v>
      </x:c>
    </x:row>
    <x:row r="154">
      <x:c r="A154" s="7" t="str">
        <x:v>Febrero 2026</x:v>
      </x:c>
      <x:c r="B154" s="7" t="str">
        <x:v>Convenio</x:v>
      </x:c>
      <x:c r="C154" s="7" t="str">
        <x:v>Servicio Médico</x:v>
      </x:c>
      <x:c r="D154" s="7" t="n">
        <x:v>0</x:v>
      </x:c>
      <x:c r="E154" s="7" t="n">
        <x:v>0</x:v>
      </x:c>
      <x:c r="F154" s="7" t="n">
        <x:v>0</x:v>
      </x:c>
      <x:c r="G154" s="7" t="n">
        <x:v>3</x:v>
      </x:c>
      <x:c r="H154" s="9" t="n">
        <x:v>0</x:v>
      </x:c>
      <x:c r="I154" s="7" t="str">
        <x:v>Indice Febrero 2026.xlsx</x:v>
      </x:c>
    </x:row>
    <x:row r="155">
      <x:c r="A155" s="7" t="str">
        <x:v>Febrero 2026</x:v>
      </x:c>
      <x:c r="B155" s="7" t="str">
        <x:v>Fuera de convenio</x:v>
      </x:c>
      <x:c r="C155" s="7" t="str">
        <x:v>Dpto. Carenado</x:v>
      </x:c>
      <x:c r="D155" s="7" t="n">
        <x:v>0</x:v>
      </x:c>
      <x:c r="E155" s="7" t="n">
        <x:v>0</x:v>
      </x:c>
      <x:c r="F155" s="7" t="n">
        <x:v>0</x:v>
      </x:c>
      <x:c r="G155" s="7" t="n">
        <x:v>1</x:v>
      </x:c>
      <x:c r="H155" s="9" t="n">
        <x:v>0</x:v>
      </x:c>
      <x:c r="I155" s="7" t="str">
        <x:v>Indice Febrero 2026.xlsx</x:v>
      </x:c>
    </x:row>
    <x:row r="156">
      <x:c r="A156" s="7" t="str">
        <x:v>Febrero 2026</x:v>
      </x:c>
      <x:c r="B156" s="7" t="str">
        <x:v>Fuera de convenio</x:v>
      </x:c>
      <x:c r="C156" s="7" t="str">
        <x:v>Depto. Casco y Acero</x:v>
      </x:c>
      <x:c r="D156" s="7" t="n">
        <x:v>0</x:v>
      </x:c>
      <x:c r="E156" s="7" t="n">
        <x:v>0</x:v>
      </x:c>
      <x:c r="F156" s="7" t="n">
        <x:v>0</x:v>
      </x:c>
      <x:c r="G156" s="7" t="n">
        <x:v>1</x:v>
      </x:c>
      <x:c r="H156" s="9" t="n">
        <x:v>0</x:v>
      </x:c>
      <x:c r="I156" s="7" t="str">
        <x:v>Indice Febrero 2026.xlsx</x:v>
      </x:c>
    </x:row>
    <x:row r="157">
      <x:c r="A157" s="7" t="str">
        <x:v>Febrero 2026</x:v>
      </x:c>
      <x:c r="B157" s="7" t="str">
        <x:v>Fuera de convenio</x:v>
      </x:c>
      <x:c r="C157" s="7" t="str">
        <x:v>Depto. Cobrería</x:v>
      </x:c>
      <x:c r="D157" s="7" t="n">
        <x:v>0</x:v>
      </x:c>
      <x:c r="E157" s="7" t="n">
        <x:v>0</x:v>
      </x:c>
      <x:c r="F157" s="7" t="n">
        <x:v>0</x:v>
      </x:c>
      <x:c r="G157" s="7" t="n">
        <x:v>1</x:v>
      </x:c>
      <x:c r="H157" s="9" t="n">
        <x:v>0</x:v>
      </x:c>
      <x:c r="I157" s="7" t="str">
        <x:v>Indice Febrero 2026.xlsx</x:v>
      </x:c>
    </x:row>
    <x:row r="158">
      <x:c r="A158" s="7" t="str">
        <x:v>Febrero 2026</x:v>
      </x:c>
      <x:c r="B158" s="7" t="str">
        <x:v>Fuera de convenio</x:v>
      </x:c>
      <x:c r="C158" s="7" t="str">
        <x:v>Depto. Control de Gestión</x:v>
      </x:c>
      <x:c r="D158" s="7" t="n">
        <x:v>0</x:v>
      </x:c>
      <x:c r="E158" s="7" t="n">
        <x:v>0</x:v>
      </x:c>
      <x:c r="F158" s="7" t="n">
        <x:v>0</x:v>
      </x:c>
      <x:c r="G158" s="7" t="n">
        <x:v>1</x:v>
      </x:c>
      <x:c r="H158" s="9" t="n">
        <x:v>0</x:v>
      </x:c>
      <x:c r="I158" s="7" t="str">
        <x:v>Indice Febrero 2026.xlsx</x:v>
      </x:c>
    </x:row>
    <x:row r="159">
      <x:c r="A159" s="7" t="str">
        <x:v>Febrero 2026</x:v>
      </x:c>
      <x:c r="B159" s="7" t="str">
        <x:v>Fuera de convenio</x:v>
      </x:c>
      <x:c r="C159" s="7" t="str">
        <x:v>Depto. Desarrollo Tecnológico</x:v>
      </x:c>
      <x:c r="D159" s="7" t="n">
        <x:v>0</x:v>
      </x:c>
      <x:c r="E159" s="7" t="n">
        <x:v>0</x:v>
      </x:c>
      <x:c r="F159" s="7" t="n">
        <x:v>0</x:v>
      </x:c>
      <x:c r="G159" s="7" t="n">
        <x:v>3</x:v>
      </x:c>
      <x:c r="H159" s="9" t="n">
        <x:v>0</x:v>
      </x:c>
      <x:c r="I159" s="7" t="str">
        <x:v>Indice Febrero 2026.xlsx</x:v>
      </x:c>
    </x:row>
    <x:row r="160">
      <x:c r="A160" s="7" t="str">
        <x:v>Febrero 2026</x:v>
      </x:c>
      <x:c r="B160" s="7" t="str">
        <x:v>Fuera de convenio</x:v>
      </x:c>
      <x:c r="C160" s="7" t="str">
        <x:v>Depto. Control de Calidad</x:v>
      </x:c>
      <x:c r="D160" s="7" t="n">
        <x:v>0</x:v>
      </x:c>
      <x:c r="E160" s="7" t="n">
        <x:v>0</x:v>
      </x:c>
      <x:c r="F160" s="7" t="n">
        <x:v>0</x:v>
      </x:c>
      <x:c r="G160" s="7" t="n">
        <x:v>1</x:v>
      </x:c>
      <x:c r="H160" s="9" t="n">
        <x:v>0</x:v>
      </x:c>
      <x:c r="I160" s="7" t="str">
        <x:v>Indice Febrero 2026.xlsx</x:v>
      </x:c>
    </x:row>
    <x:row r="161">
      <x:c r="A161" s="7" t="str">
        <x:v>Febrero 2026</x:v>
      </x:c>
      <x:c r="B161" s="7" t="str">
        <x:v>Fuera de convenio</x:v>
      </x:c>
      <x:c r="C161" s="7" t="str">
        <x:v>Depto. Maniobras y Transportes</x:v>
      </x:c>
      <x:c r="D161" s="7" t="n">
        <x:v>0</x:v>
      </x:c>
      <x:c r="E161" s="7" t="n">
        <x:v>0</x:v>
      </x:c>
      <x:c r="F161" s="7" t="n">
        <x:v>0</x:v>
      </x:c>
      <x:c r="G161" s="7" t="n">
        <x:v>1</x:v>
      </x:c>
      <x:c r="H161" s="9" t="n">
        <x:v>0</x:v>
      </x:c>
      <x:c r="I161" s="7" t="str">
        <x:v>Indice Febrero 2026.xlsx</x:v>
      </x:c>
    </x:row>
    <x:row r="162">
      <x:c r="A162" s="7" t="str">
        <x:v>Febrero 2026</x:v>
      </x:c>
      <x:c r="B162" s="7" t="str">
        <x:v>Fuera de convenio</x:v>
      </x:c>
      <x:c r="C162" s="7" t="str">
        <x:v>Depto. Higiene y Seguridad Industrial</x:v>
      </x:c>
      <x:c r="D162" s="7" t="n">
        <x:v>0</x:v>
      </x:c>
      <x:c r="E162" s="7" t="n">
        <x:v>0</x:v>
      </x:c>
      <x:c r="F162" s="7" t="n">
        <x:v>0</x:v>
      </x:c>
      <x:c r="G162" s="7" t="n">
        <x:v>1</x:v>
      </x:c>
      <x:c r="H162" s="9" t="n">
        <x:v>0</x:v>
      </x:c>
      <x:c r="I162" s="7" t="str">
        <x:v>Indice Febrero 2026.xlsx</x:v>
      </x:c>
    </x:row>
    <x:row r="163">
      <x:c r="A163" s="7" t="str">
        <x:v>Febrero 2026</x:v>
      </x:c>
      <x:c r="B163" s="7" t="str">
        <x:v>Fuera de convenio</x:v>
      </x:c>
      <x:c r="C163" s="7" t="str">
        <x:v>Depto. Syncrolift</x:v>
      </x:c>
      <x:c r="D163" s="7" t="n">
        <x:v>0</x:v>
      </x:c>
      <x:c r="E163" s="7" t="n">
        <x:v>0</x:v>
      </x:c>
      <x:c r="F163" s="7" t="n">
        <x:v>0</x:v>
      </x:c>
      <x:c r="G163" s="7" t="n">
        <x:v>1</x:v>
      </x:c>
      <x:c r="H163" s="9" t="n">
        <x:v>0</x:v>
      </x:c>
      <x:c r="I163" s="7" t="str">
        <x:v>Indice Febrero 2026.xlsx</x:v>
      </x:c>
    </x:row>
    <x:row r="164">
      <x:c r="A164" s="7" t="str">
        <x:v>Febrero 2026</x:v>
      </x:c>
      <x:c r="B164" s="7" t="str">
        <x:v>Fuera de convenio</x:v>
      </x:c>
      <x:c r="C164" s="7" t="str">
        <x:v>Dirección Comercial</x:v>
      </x:c>
      <x:c r="D164" s="7" t="n">
        <x:v>0</x:v>
      </x:c>
      <x:c r="E164" s="7" t="n">
        <x:v>0</x:v>
      </x:c>
      <x:c r="F164" s="7" t="n">
        <x:v>0</x:v>
      </x:c>
      <x:c r="G164" s="7" t="n">
        <x:v>4</x:v>
      </x:c>
      <x:c r="H164" s="9" t="n">
        <x:v>0</x:v>
      </x:c>
      <x:c r="I164" s="7" t="str">
        <x:v>Indice Febrero 2026.xlsx</x:v>
      </x:c>
    </x:row>
    <x:row r="165">
      <x:c r="A165" s="7" t="str">
        <x:v>Febrero 2026</x:v>
      </x:c>
      <x:c r="B165" s="7" t="str">
        <x:v>Fuera de convenio</x:v>
      </x:c>
      <x:c r="C165" s="7" t="str">
        <x:v>Dirección de Administración</x:v>
      </x:c>
      <x:c r="D165" s="7" t="n">
        <x:v>0</x:v>
      </x:c>
      <x:c r="E165" s="7" t="n">
        <x:v>0</x:v>
      </x:c>
      <x:c r="F165" s="7" t="n">
        <x:v>0</x:v>
      </x:c>
      <x:c r="G165" s="7" t="n">
        <x:v>1</x:v>
      </x:c>
      <x:c r="H165" s="9" t="n">
        <x:v>0</x:v>
      </x:c>
      <x:c r="I165" s="7" t="str">
        <x:v>Indice Febrero 2026.xlsx</x:v>
      </x:c>
    </x:row>
    <x:row r="166">
      <x:c r="A166" s="7" t="str">
        <x:v>Febrero 2026</x:v>
      </x:c>
      <x:c r="B166" s="7" t="str">
        <x:v>Fuera de convenio</x:v>
      </x:c>
      <x:c r="C166" s="7" t="str">
        <x:v>Dirección de Operaciones</x:v>
      </x:c>
      <x:c r="D166" s="7" t="n">
        <x:v>0</x:v>
      </x:c>
      <x:c r="E166" s="7" t="n">
        <x:v>0</x:v>
      </x:c>
      <x:c r="F166" s="7" t="n">
        <x:v>0</x:v>
      </x:c>
      <x:c r="G166" s="7" t="n">
        <x:v>1</x:v>
      </x:c>
      <x:c r="H166" s="9" t="n">
        <x:v>0</x:v>
      </x:c>
      <x:c r="I166" s="7" t="str">
        <x:v>Indice Febrero 2026.xlsx</x:v>
      </x:c>
    </x:row>
    <x:row r="167">
      <x:c r="A167" s="7" t="str">
        <x:v>Febrero 2026</x:v>
      </x:c>
      <x:c r="B167" s="7" t="str">
        <x:v>Fuera de convenio</x:v>
      </x:c>
      <x:c r="C167" s="7" t="str">
        <x:v>Dirección General</x:v>
      </x:c>
      <x:c r="D167" s="7" t="n">
        <x:v>0</x:v>
      </x:c>
      <x:c r="E167" s="7" t="n">
        <x:v>0</x:v>
      </x:c>
      <x:c r="F167" s="7" t="n">
        <x:v>0</x:v>
      </x:c>
      <x:c r="G167" s="7" t="n">
        <x:v>2</x:v>
      </x:c>
      <x:c r="H167" s="9" t="n">
        <x:v>0</x:v>
      </x:c>
      <x:c r="I167" s="7" t="str">
        <x:v>Indice Febrero 2026.xlsx</x:v>
      </x:c>
    </x:row>
    <x:row r="168">
      <x:c r="A168" s="7" t="str">
        <x:v>Febrero 2026</x:v>
      </x:c>
      <x:c r="B168" s="7" t="str">
        <x:v>Fuera de convenio</x:v>
      </x:c>
      <x:c r="C168" s="7" t="str">
        <x:v>Gcia. Administración y Finanzas</x:v>
      </x:c>
      <x:c r="D168" s="7" t="n">
        <x:v>0</x:v>
      </x:c>
      <x:c r="E168" s="7" t="n">
        <x:v>0</x:v>
      </x:c>
      <x:c r="F168" s="7" t="n">
        <x:v>0</x:v>
      </x:c>
      <x:c r="G168" s="7" t="n">
        <x:v>3</x:v>
      </x:c>
      <x:c r="H168" s="9" t="n">
        <x:v>0</x:v>
      </x:c>
      <x:c r="I168" s="7" t="str">
        <x:v>Indice Febrero 2026.xlsx</x:v>
      </x:c>
    </x:row>
    <x:row r="169">
      <x:c r="A169" s="7" t="str">
        <x:v>Febrero 2026</x:v>
      </x:c>
      <x:c r="B169" s="7" t="str">
        <x:v>Fuera de convenio</x:v>
      </x:c>
      <x:c r="C169" s="7" t="str">
        <x:v>Gcia. Asuntos legales</x:v>
      </x:c>
      <x:c r="D169" s="7" t="n">
        <x:v>0</x:v>
      </x:c>
      <x:c r="E169" s="7" t="n">
        <x:v>0</x:v>
      </x:c>
      <x:c r="F169" s="7" t="n">
        <x:v>0</x:v>
      </x:c>
      <x:c r="G169" s="7" t="n">
        <x:v>2</x:v>
      </x:c>
      <x:c r="H169" s="9" t="n">
        <x:v>0</x:v>
      </x:c>
      <x:c r="I169" s="7" t="str">
        <x:v>Indice Febrero 2026.xlsx</x:v>
      </x:c>
    </x:row>
    <x:row r="170">
      <x:c r="A170" s="7" t="str">
        <x:v>Febrero 2026</x:v>
      </x:c>
      <x:c r="B170" s="7" t="str">
        <x:v>Fuera de convenio</x:v>
      </x:c>
      <x:c r="C170" s="7" t="str">
        <x:v>Gcia de Compras y Contrataciones</x:v>
      </x:c>
      <x:c r="D170" s="7" t="n">
        <x:v>0</x:v>
      </x:c>
      <x:c r="E170" s="7" t="n">
        <x:v>0</x:v>
      </x:c>
      <x:c r="F170" s="7" t="n">
        <x:v>0</x:v>
      </x:c>
      <x:c r="G170" s="7" t="n">
        <x:v>2</x:v>
      </x:c>
      <x:c r="H170" s="9" t="n">
        <x:v>0</x:v>
      </x:c>
      <x:c r="I170" s="7" t="str">
        <x:v>Indice Febrero 2026.xlsx</x:v>
      </x:c>
    </x:row>
    <x:row r="171">
      <x:c r="A171" s="7" t="str">
        <x:v>Febrero 2026</x:v>
      </x:c>
      <x:c r="B171" s="7" t="str">
        <x:v>Fuera de convenio</x:v>
      </x:c>
      <x:c r="C171" s="7" t="str">
        <x:v>Jefatura de Proyectos</x:v>
      </x:c>
      <x:c r="D171" s="7" t="n">
        <x:v>0</x:v>
      </x:c>
      <x:c r="E171" s="7" t="n">
        <x:v>0</x:v>
      </x:c>
      <x:c r="F171" s="7" t="n">
        <x:v>0</x:v>
      </x:c>
      <x:c r="G171" s="7" t="n">
        <x:v>4</x:v>
      </x:c>
      <x:c r="H171" s="9" t="n">
        <x:v>0</x:v>
      </x:c>
      <x:c r="I171" s="7" t="str">
        <x:v>Indice Febrero 2026.xlsx</x:v>
      </x:c>
    </x:row>
    <x:row r="172">
      <x:c r="A172" s="7" t="str">
        <x:v>Febrero 2026</x:v>
      </x:c>
      <x:c r="B172" s="7" t="str">
        <x:v>Fuera de convenio</x:v>
      </x:c>
      <x:c r="C172" s="7" t="str">
        <x:v>Planificación y Mantenimiento</x:v>
      </x:c>
      <x:c r="D172" s="7" t="n">
        <x:v>0</x:v>
      </x:c>
      <x:c r="E172" s="7" t="n">
        <x:v>0</x:v>
      </x:c>
      <x:c r="F172" s="7" t="n">
        <x:v>0</x:v>
      </x:c>
      <x:c r="G172" s="7" t="n">
        <x:v>1</x:v>
      </x:c>
      <x:c r="H172" s="9" t="n">
        <x:v>0</x:v>
      </x:c>
      <x:c r="I172" s="7" t="str">
        <x:v>Indice Febrero 2026.xlsx</x:v>
      </x:c>
    </x:row>
    <x:row r="173">
      <x:c r="A173" s="7" t="str">
        <x:v>Febrero 2026</x:v>
      </x:c>
      <x:c r="B173" s="7" t="str">
        <x:v>Fuera de convenio</x:v>
      </x:c>
      <x:c r="C173" s="7" t="str">
        <x:v>Servicio Médico</x:v>
      </x:c>
      <x:c r="D173" s="7" t="n">
        <x:v>0</x:v>
      </x:c>
      <x:c r="E173" s="7" t="n">
        <x:v>0</x:v>
      </x:c>
      <x:c r="F173" s="7" t="n">
        <x:v>0</x:v>
      </x:c>
      <x:c r="G173" s="7" t="n">
        <x:v>1</x:v>
      </x:c>
      <x:c r="H173" s="9" t="n">
        <x:v>0</x:v>
      </x:c>
      <x:c r="I173" s="7" t="str">
        <x:v>Indice Febrero 2026.xlsx</x:v>
      </x:c>
    </x:row>
    <x:row r="174">
      <x:c r="A174" s="7" t="str">
        <x:v>Febrero 2026</x:v>
      </x:c>
      <x:c r="B174" s="7" t="str">
        <x:v>Fuera de convenio</x:v>
      </x:c>
      <x:c r="C174" s="7" t="str">
        <x:v>Unidad de Auditoria Interna</x:v>
      </x:c>
      <x:c r="D174" s="7" t="n">
        <x:v>0</x:v>
      </x:c>
      <x:c r="E174" s="7" t="n">
        <x:v>0</x:v>
      </x:c>
      <x:c r="F174" s="7" t="n">
        <x:v>0</x:v>
      </x:c>
      <x:c r="G174" s="7" t="n">
        <x:v>1</x:v>
      </x:c>
      <x:c r="H174" s="9" t="n">
        <x:v>0</x:v>
      </x:c>
      <x:c r="I174" s="7" t="str">
        <x:v>Indice Febrero 2026.xlsx</x:v>
      </x:c>
    </x:row>
    <x:row r="175">
      <x:c r="A175" s="7" t="str">
        <x:v>marzo 2026</x:v>
      </x:c>
      <x:c r="B175" s="7" t="str">
        <x:v>Convenio</x:v>
      </x:c>
      <x:c r="C175" s="7" t="str">
        <x:v>Depto. Mecánica</x:v>
      </x:c>
      <x:c r="D175" s="7" t="n">
        <x:v>381</x:v>
      </x:c>
      <x:c r="E175" s="7" t="n">
        <x:v>320</x:v>
      </x:c>
      <x:c r="F175" s="7" t="n">
        <x:v>701</x:v>
      </x:c>
      <x:c r="G175" s="7" t="n">
        <x:v>57</x:v>
      </x:c>
      <x:c r="H175" s="9" t="n">
        <x:v>12.298245614035087</x:v>
      </x:c>
      <x:c r="I175" s="7" t="str">
        <x:v>Indice marzo 2026.xlsx</x:v>
      </x:c>
    </x:row>
    <x:row r="176">
      <x:c r="A176" s="7" t="str">
        <x:v>marzo 2026</x:v>
      </x:c>
      <x:c r="B176" s="7" t="str">
        <x:v>Convenio</x:v>
      </x:c>
      <x:c r="C176" s="7" t="str">
        <x:v>Depto. Casco y Acero</x:v>
      </x:c>
      <x:c r="D176" s="7" t="n">
        <x:v>398</x:v>
      </x:c>
      <x:c r="E176" s="7" t="n">
        <x:v>219</x:v>
      </x:c>
      <x:c r="F176" s="7" t="n">
        <x:v>617</x:v>
      </x:c>
      <x:c r="G176" s="7" t="n">
        <x:v>65</x:v>
      </x:c>
      <x:c r="H176" s="9" t="n">
        <x:v>9.492307692307692</x:v>
      </x:c>
      <x:c r="I176" s="7" t="str">
        <x:v>Indice marzo 2026.xlsx</x:v>
      </x:c>
    </x:row>
    <x:row r="177">
      <x:c r="A177" s="7" t="str">
        <x:v>marzo 2026</x:v>
      </x:c>
      <x:c r="B177" s="7" t="str">
        <x:v>Convenio</x:v>
      </x:c>
      <x:c r="C177" s="7" t="str">
        <x:v>Maniobras y Transportes</x:v>
      </x:c>
      <x:c r="D177" s="7" t="n">
        <x:v>53</x:v>
      </x:c>
      <x:c r="E177" s="7" t="n">
        <x:v>245</x:v>
      </x:c>
      <x:c r="F177" s="7" t="n">
        <x:v>298</x:v>
      </x:c>
      <x:c r="G177" s="7" t="n">
        <x:v>21</x:v>
      </x:c>
      <x:c r="H177" s="9" t="n">
        <x:v>14.19047619047619</x:v>
      </x:c>
      <x:c r="I177" s="7" t="str">
        <x:v>Indice marzo 2026.xlsx</x:v>
      </x:c>
    </x:row>
    <x:row r="178">
      <x:c r="A178" s="7" t="str">
        <x:v>marzo 2026</x:v>
      </x:c>
      <x:c r="B178" s="7" t="str">
        <x:v>Convenio</x:v>
      </x:c>
      <x:c r="C178" s="7" t="str">
        <x:v>Dpto. Carenado</x:v>
      </x:c>
      <x:c r="D178" s="7" t="n">
        <x:v>288</x:v>
      </x:c>
      <x:c r="E178" s="7" t="n">
        <x:v>0</x:v>
      </x:c>
      <x:c r="F178" s="7" t="n">
        <x:v>288</x:v>
      </x:c>
      <x:c r="G178" s="7" t="n">
        <x:v>29</x:v>
      </x:c>
      <x:c r="H178" s="9" t="n">
        <x:v>9.931034482758621</x:v>
      </x:c>
      <x:c r="I178" s="7" t="str">
        <x:v>Indice marzo 2026.xlsx</x:v>
      </x:c>
    </x:row>
    <x:row r="179">
      <x:c r="A179" s="7" t="str">
        <x:v>marzo 2026</x:v>
      </x:c>
      <x:c r="B179" s="7" t="str">
        <x:v>Convenio</x:v>
      </x:c>
      <x:c r="C179" s="7" t="str">
        <x:v>Depto. Syncrolift</x:v>
      </x:c>
      <x:c r="D179" s="7" t="n">
        <x:v>160</x:v>
      </x:c>
      <x:c r="E179" s="7" t="n">
        <x:v>96</x:v>
      </x:c>
      <x:c r="F179" s="7" t="n">
        <x:v>256</x:v>
      </x:c>
      <x:c r="G179" s="7" t="n">
        <x:v>19</x:v>
      </x:c>
      <x:c r="H179" s="9" t="n">
        <x:v>13.473684210526315</x:v>
      </x:c>
      <x:c r="I179" s="7" t="str">
        <x:v>Indice marzo 2026.xlsx</x:v>
      </x:c>
    </x:row>
    <x:row r="180">
      <x:c r="A180" s="7" t="str">
        <x:v>marzo 2026</x:v>
      </x:c>
      <x:c r="B180" s="7" t="str">
        <x:v>Convenio</x:v>
      </x:c>
      <x:c r="C180" s="7" t="str">
        <x:v>Depto. Cobrería</x:v>
      </x:c>
      <x:c r="D180" s="7" t="n">
        <x:v>205</x:v>
      </x:c>
      <x:c r="E180" s="7" t="n">
        <x:v>0</x:v>
      </x:c>
      <x:c r="F180" s="7" t="n">
        <x:v>205</x:v>
      </x:c>
      <x:c r="G180" s="7" t="n">
        <x:v>31</x:v>
      </x:c>
      <x:c r="H180" s="9" t="n">
        <x:v>6.612903225806452</x:v>
      </x:c>
      <x:c r="I180" s="7" t="str">
        <x:v>Indice marzo 2026.xlsx</x:v>
      </x:c>
    </x:row>
    <x:row r="181">
      <x:c r="A181" s="7" t="str">
        <x:v>marzo 2026</x:v>
      </x:c>
      <x:c r="B181" s="7" t="str">
        <x:v>Convenio</x:v>
      </x:c>
      <x:c r="C181" s="7" t="str">
        <x:v>Mantenimiento</x:v>
      </x:c>
      <x:c r="D181" s="7" t="n">
        <x:v>159</x:v>
      </x:c>
      <x:c r="E181" s="7" t="n">
        <x:v>0</x:v>
      </x:c>
      <x:c r="F181" s="7" t="n">
        <x:v>159</x:v>
      </x:c>
      <x:c r="G181" s="7" t="n">
        <x:v>20</x:v>
      </x:c>
      <x:c r="H181" s="9" t="n">
        <x:v>7.95</x:v>
      </x:c>
      <x:c r="I181" s="7" t="str">
        <x:v>Indice marzo 2026.xlsx</x:v>
      </x:c>
    </x:row>
    <x:row r="182">
      <x:c r="A182" s="7" t="str">
        <x:v>marzo 2026</x:v>
      </x:c>
      <x:c r="B182" s="7" t="str">
        <x:v>Convenio</x:v>
      </x:c>
      <x:c r="C182" s="7" t="str">
        <x:v>Servicio Comedor</x:v>
      </x:c>
      <x:c r="D182" s="7" t="n">
        <x:v>116</x:v>
      </x:c>
      <x:c r="E182" s="7" t="n">
        <x:v>0</x:v>
      </x:c>
      <x:c r="F182" s="7" t="n">
        <x:v>116</x:v>
      </x:c>
      <x:c r="G182" s="7" t="n">
        <x:v>7</x:v>
      </x:c>
      <x:c r="H182" s="9" t="n">
        <x:v>16.571428571428573</x:v>
      </x:c>
      <x:c r="I182" s="7" t="str">
        <x:v>Indice marzo 2026.xlsx</x:v>
      </x:c>
    </x:row>
    <x:row r="183">
      <x:c r="A183" s="7" t="str">
        <x:v>marzo 2026</x:v>
      </x:c>
      <x:c r="B183" s="7" t="str">
        <x:v>Convenio</x:v>
      </x:c>
      <x:c r="C183" s="7" t="str">
        <x:v>Depto. Electricidad</x:v>
      </x:c>
      <x:c r="D183" s="7" t="n">
        <x:v>79</x:v>
      </x:c>
      <x:c r="E183" s="7" t="n">
        <x:v>0</x:v>
      </x:c>
      <x:c r="F183" s="7" t="n">
        <x:v>79</x:v>
      </x:c>
      <x:c r="G183" s="7" t="n">
        <x:v>22</x:v>
      </x:c>
      <x:c r="H183" s="9" t="n">
        <x:v>3.590909090909091</x:v>
      </x:c>
      <x:c r="I183" s="7" t="str">
        <x:v>Indice marzo 2026.xlsx</x:v>
      </x:c>
    </x:row>
    <x:row r="184">
      <x:c r="A184" s="7" t="str">
        <x:v>marzo 2026</x:v>
      </x:c>
      <x:c r="B184" s="7" t="str">
        <x:v>Fuera de convenio</x:v>
      </x:c>
      <x:c r="C184" s="7" t="str">
        <x:v>Jefatura de Reparaciones</x:v>
      </x:c>
      <x:c r="D184" s="7" t="n">
        <x:v>40</x:v>
      </x:c>
      <x:c r="E184" s="7" t="n">
        <x:v>0</x:v>
      </x:c>
      <x:c r="F184" s="7" t="n">
        <x:v>40</x:v>
      </x:c>
      <x:c r="G184" s="7" t="n">
        <x:v>1</x:v>
      </x:c>
      <x:c r="H184" s="9" t="n">
        <x:v>40</x:v>
      </x:c>
      <x:c r="I184" s="7" t="str">
        <x:v>Indice marzo 2026.xlsx</x:v>
      </x:c>
    </x:row>
    <x:row r="185">
      <x:c r="A185" s="7" t="str">
        <x:v>marzo 2026</x:v>
      </x:c>
      <x:c r="B185" s="7" t="str">
        <x:v>Convenio</x:v>
      </x:c>
      <x:c r="C185" s="7" t="str">
        <x:v>Control Patrimonial</x:v>
      </x:c>
      <x:c r="D185" s="7" t="n">
        <x:v>30</x:v>
      </x:c>
      <x:c r="E185" s="7" t="n">
        <x:v>0</x:v>
      </x:c>
      <x:c r="F185" s="7" t="n">
        <x:v>30</x:v>
      </x:c>
      <x:c r="G185" s="7" t="n">
        <x:v>9</x:v>
      </x:c>
      <x:c r="H185" s="9" t="n">
        <x:v>3.3333333333333335</x:v>
      </x:c>
      <x:c r="I185" s="7" t="str">
        <x:v>Indice marzo 2026.xlsx</x:v>
      </x:c>
    </x:row>
    <x:row r="186">
      <x:c r="A186" s="7" t="str">
        <x:v>marzo 2026</x:v>
      </x:c>
      <x:c r="B186" s="7" t="str">
        <x:v>Convenio</x:v>
      </x:c>
      <x:c r="C186" s="7" t="str">
        <x:v>Depto. Capital Humano</x:v>
      </x:c>
      <x:c r="D186" s="7" t="n">
        <x:v>25</x:v>
      </x:c>
      <x:c r="E186" s="7" t="n">
        <x:v>0</x:v>
      </x:c>
      <x:c r="F186" s="7" t="n">
        <x:v>25</x:v>
      </x:c>
      <x:c r="G186" s="7" t="n">
        <x:v>6</x:v>
      </x:c>
      <x:c r="H186" s="9" t="n">
        <x:v>4.166666666666667</x:v>
      </x:c>
      <x:c r="I186" s="7" t="str">
        <x:v>Indice marzo 2026.xlsx</x:v>
      </x:c>
    </x:row>
    <x:row r="187">
      <x:c r="A187" s="7" t="str">
        <x:v>marzo 2026</x:v>
      </x:c>
      <x:c r="B187" s="7" t="str">
        <x:v>Convenio</x:v>
      </x:c>
      <x:c r="C187" s="7" t="str">
        <x:v>Depto. Bomberos</x:v>
      </x:c>
      <x:c r="D187" s="7" t="n">
        <x:v>23</x:v>
      </x:c>
      <x:c r="E187" s="7" t="n">
        <x:v>0</x:v>
      </x:c>
      <x:c r="F187" s="7" t="n">
        <x:v>23</x:v>
      </x:c>
      <x:c r="G187" s="7" t="n">
        <x:v>14</x:v>
      </x:c>
      <x:c r="H187" s="9" t="n">
        <x:v>1.6428571428571428</x:v>
      </x:c>
      <x:c r="I187" s="7" t="str">
        <x:v>Indice marzo 2026.xlsx</x:v>
      </x:c>
    </x:row>
    <x:row r="188">
      <x:c r="A188" s="7" t="str">
        <x:v>marzo 2026</x:v>
      </x:c>
      <x:c r="B188" s="7" t="str">
        <x:v>Fuera de convenio</x:v>
      </x:c>
      <x:c r="C188" s="7" t="str">
        <x:v>Gcia de Compras y Contrataciones</x:v>
      </x:c>
      <x:c r="D188" s="7" t="n">
        <x:v>21</x:v>
      </x:c>
      <x:c r="E188" s="7" t="n">
        <x:v>0</x:v>
      </x:c>
      <x:c r="F188" s="7" t="n">
        <x:v>21</x:v>
      </x:c>
      <x:c r="G188" s="7" t="n">
        <x:v>2</x:v>
      </x:c>
      <x:c r="H188" s="9" t="n">
        <x:v>10.5</x:v>
      </x:c>
      <x:c r="I188" s="7" t="str">
        <x:v>Indice marzo 2026.xlsx</x:v>
      </x:c>
    </x:row>
    <x:row r="189">
      <x:c r="A189" s="7" t="str">
        <x:v>marzo 2026</x:v>
      </x:c>
      <x:c r="B189" s="7" t="str">
        <x:v>Convenio</x:v>
      </x:c>
      <x:c r="C189" s="7" t="str">
        <x:v>Mesa de Entrada</x:v>
      </x:c>
      <x:c r="D189" s="7" t="n">
        <x:v>20</x:v>
      </x:c>
      <x:c r="E189" s="7" t="n">
        <x:v>0</x:v>
      </x:c>
      <x:c r="F189" s="7" t="n">
        <x:v>20</x:v>
      </x:c>
      <x:c r="G189" s="7" t="n">
        <x:v>1</x:v>
      </x:c>
      <x:c r="H189" s="9" t="n">
        <x:v>20</x:v>
      </x:c>
      <x:c r="I189" s="7" t="str">
        <x:v>Indice marzo 2026.xlsx</x:v>
      </x:c>
    </x:row>
    <x:row r="190">
      <x:c r="A190" s="7" t="str">
        <x:v>marzo 2026</x:v>
      </x:c>
      <x:c r="B190" s="7" t="str">
        <x:v>Fuera de convenio</x:v>
      </x:c>
      <x:c r="C190" s="7" t="str">
        <x:v>Mantenimiento</x:v>
      </x:c>
      <x:c r="D190" s="7" t="n">
        <x:v>16</x:v>
      </x:c>
      <x:c r="E190" s="7" t="n">
        <x:v>0</x:v>
      </x:c>
      <x:c r="F190" s="7" t="n">
        <x:v>16</x:v>
      </x:c>
      <x:c r="G190" s="7" t="n">
        <x:v>1</x:v>
      </x:c>
      <x:c r="H190" s="9" t="n">
        <x:v>16</x:v>
      </x:c>
      <x:c r="I190" s="7" t="str">
        <x:v>Indice marzo 2026.xlsx</x:v>
      </x:c>
    </x:row>
    <x:row r="191">
      <x:c r="A191" s="7" t="str">
        <x:v>marzo 2026</x:v>
      </x:c>
      <x:c r="B191" s="7" t="str">
        <x:v>Convenio</x:v>
      </x:c>
      <x:c r="C191" s="7" t="str">
        <x:v>Higiene y Seguridad Industrial</x:v>
      </x:c>
      <x:c r="D191" s="7" t="n">
        <x:v>13</x:v>
      </x:c>
      <x:c r="E191" s="7" t="n">
        <x:v>0</x:v>
      </x:c>
      <x:c r="F191" s="7" t="n">
        <x:v>13</x:v>
      </x:c>
      <x:c r="G191" s="7" t="n">
        <x:v>10</x:v>
      </x:c>
      <x:c r="H191" s="9" t="n">
        <x:v>1.3</x:v>
      </x:c>
      <x:c r="I191" s="7" t="str">
        <x:v>Indice marzo 2026.xlsx</x:v>
      </x:c>
    </x:row>
    <x:row r="192">
      <x:c r="A192" s="7" t="str">
        <x:v>marzo 2026</x:v>
      </x:c>
      <x:c r="B192" s="7" t="str">
        <x:v>Convenio</x:v>
      </x:c>
      <x:c r="C192" s="7" t="str">
        <x:v>Control de Contratistas</x:v>
      </x:c>
      <x:c r="D192" s="7" t="n">
        <x:v>11</x:v>
      </x:c>
      <x:c r="E192" s="7" t="n">
        <x:v>0</x:v>
      </x:c>
      <x:c r="F192" s="7" t="n">
        <x:v>11</x:v>
      </x:c>
      <x:c r="G192" s="7" t="n">
        <x:v>2</x:v>
      </x:c>
      <x:c r="H192" s="9" t="n">
        <x:v>5.5</x:v>
      </x:c>
      <x:c r="I192" s="7" t="str">
        <x:v>Indice marzo 2026.xlsx</x:v>
      </x:c>
    </x:row>
    <x:row r="193">
      <x:c r="A193" s="7" t="str">
        <x:v>marzo 2026</x:v>
      </x:c>
      <x:c r="B193" s="7" t="str">
        <x:v>Convenio</x:v>
      </x:c>
      <x:c r="C193" s="7" t="str">
        <x:v>Intendencia</x:v>
      </x:c>
      <x:c r="D193" s="7" t="n">
        <x:v>11</x:v>
      </x:c>
      <x:c r="E193" s="7" t="n">
        <x:v>0</x:v>
      </x:c>
      <x:c r="F193" s="7" t="n">
        <x:v>11</x:v>
      </x:c>
      <x:c r="G193" s="7" t="n">
        <x:v>7</x:v>
      </x:c>
      <x:c r="H193" s="9" t="n">
        <x:v>1.5714285714285714</x:v>
      </x:c>
      <x:c r="I193" s="7" t="str">
        <x:v>Indice marzo 2026.xlsx</x:v>
      </x:c>
    </x:row>
    <x:row r="194">
      <x:c r="A194" s="7" t="str">
        <x:v>marzo 2026</x:v>
      </x:c>
      <x:c r="B194" s="7" t="str">
        <x:v>Convenio</x:v>
      </x:c>
      <x:c r="C194" s="7" t="str">
        <x:v>Relaciones Institucionales</x:v>
      </x:c>
      <x:c r="D194" s="7" t="n">
        <x:v>9</x:v>
      </x:c>
      <x:c r="E194" s="7" t="n">
        <x:v>0</x:v>
      </x:c>
      <x:c r="F194" s="7" t="n">
        <x:v>9</x:v>
      </x:c>
      <x:c r="G194" s="7" t="n">
        <x:v>3</x:v>
      </x:c>
      <x:c r="H194" s="9" t="n">
        <x:v>3</x:v>
      </x:c>
      <x:c r="I194" s="7" t="str">
        <x:v>Indice marzo 2026.xlsx</x:v>
      </x:c>
    </x:row>
    <x:row r="195">
      <x:c r="A195" s="7" t="str">
        <x:v>marzo 2026</x:v>
      </x:c>
      <x:c r="B195" s="7" t="str">
        <x:v>Convenio</x:v>
      </x:c>
      <x:c r="C195" s="7" t="str">
        <x:v>Depto. Habitabilidad</x:v>
      </x:c>
      <x:c r="D195" s="7" t="n">
        <x:v>8</x:v>
      </x:c>
      <x:c r="E195" s="7" t="n">
        <x:v>0</x:v>
      </x:c>
      <x:c r="F195" s="7" t="n">
        <x:v>8</x:v>
      </x:c>
      <x:c r="G195" s="7" t="n">
        <x:v>10</x:v>
      </x:c>
      <x:c r="H195" s="9" t="n">
        <x:v>0.8</x:v>
      </x:c>
      <x:c r="I195" s="7" t="str">
        <x:v>Indice marzo 2026.xlsx</x:v>
      </x:c>
    </x:row>
    <x:row r="196">
      <x:c r="A196" s="7" t="str">
        <x:v>marzo 2026</x:v>
      </x:c>
      <x:c r="B196" s="7" t="str">
        <x:v>Convenio</x:v>
      </x:c>
      <x:c r="C196" s="7" t="str">
        <x:v>Dirección Comercial</x:v>
      </x:c>
      <x:c r="D196" s="7" t="n">
        <x:v>7</x:v>
      </x:c>
      <x:c r="E196" s="7" t="n">
        <x:v>0</x:v>
      </x:c>
      <x:c r="F196" s="7" t="n">
        <x:v>7</x:v>
      </x:c>
      <x:c r="G196" s="7" t="n">
        <x:v>2</x:v>
      </x:c>
      <x:c r="H196" s="9" t="n">
        <x:v>3.5</x:v>
      </x:c>
      <x:c r="I196" s="7" t="str">
        <x:v>Indice marzo 2026.xlsx</x:v>
      </x:c>
    </x:row>
    <x:row r="197">
      <x:c r="A197" s="7" t="str">
        <x:v>marzo 2026</x:v>
      </x:c>
      <x:c r="B197" s="7" t="str">
        <x:v>Convenio</x:v>
      </x:c>
      <x:c r="C197" s="7" t="str">
        <x:v>Gcia de Producción</x:v>
      </x:c>
      <x:c r="D197" s="7" t="n">
        <x:v>7</x:v>
      </x:c>
      <x:c r="E197" s="7" t="n">
        <x:v>0</x:v>
      </x:c>
      <x:c r="F197" s="7" t="n">
        <x:v>7</x:v>
      </x:c>
      <x:c r="G197" s="7" t="n">
        <x:v>1</x:v>
      </x:c>
      <x:c r="H197" s="9" t="n">
        <x:v>7</x:v>
      </x:c>
      <x:c r="I197" s="7" t="str">
        <x:v>Indice marzo 2026.xlsx</x:v>
      </x:c>
    </x:row>
    <x:row r="198">
      <x:c r="A198" s="7" t="str">
        <x:v>marzo 2026</x:v>
      </x:c>
      <x:c r="B198" s="7" t="str">
        <x:v>Fuera de convenio</x:v>
      </x:c>
      <x:c r="C198" s="7" t="str">
        <x:v>Gcia de Producción</x:v>
      </x:c>
      <x:c r="D198" s="7" t="n">
        <x:v>5</x:v>
      </x:c>
      <x:c r="E198" s="7" t="n">
        <x:v>0</x:v>
      </x:c>
      <x:c r="F198" s="7" t="n">
        <x:v>5</x:v>
      </x:c>
      <x:c r="G198" s="7" t="n">
        <x:v>3</x:v>
      </x:c>
      <x:c r="H198" s="9" t="n">
        <x:v>1.6666666666666667</x:v>
      </x:c>
      <x:c r="I198" s="7" t="str">
        <x:v>Indice marzo 2026.xlsx</x:v>
      </x:c>
    </x:row>
    <x:row r="199">
      <x:c r="A199" s="7" t="str">
        <x:v>marzo 2026</x:v>
      </x:c>
      <x:c r="B199" s="7" t="str">
        <x:v>Fuera de convenio</x:v>
      </x:c>
      <x:c r="C199" s="7" t="str">
        <x:v>Depto. Control de Calidad</x:v>
      </x:c>
      <x:c r="D199" s="7" t="n">
        <x:v>4</x:v>
      </x:c>
      <x:c r="E199" s="7" t="n">
        <x:v>0</x:v>
      </x:c>
      <x:c r="F199" s="7" t="n">
        <x:v>4</x:v>
      </x:c>
      <x:c r="G199" s="7" t="n">
        <x:v>1</x:v>
      </x:c>
      <x:c r="H199" s="9" t="n">
        <x:v>4</x:v>
      </x:c>
      <x:c r="I199" s="7" t="str">
        <x:v>Indice marzo 2026.xlsx</x:v>
      </x:c>
    </x:row>
    <x:row r="200">
      <x:c r="A200" s="7" t="str">
        <x:v>marzo 2026</x:v>
      </x:c>
      <x:c r="B200" s="7" t="str">
        <x:v>Fuera de convenio</x:v>
      </x:c>
      <x:c r="C200" s="7" t="str">
        <x:v>Gcia. Administración y Finanzas</x:v>
      </x:c>
      <x:c r="D200" s="7" t="n">
        <x:v>4</x:v>
      </x:c>
      <x:c r="E200" s="7" t="n">
        <x:v>0</x:v>
      </x:c>
      <x:c r="F200" s="7" t="n">
        <x:v>4</x:v>
      </x:c>
      <x:c r="G200" s="7" t="n">
        <x:v>3</x:v>
      </x:c>
      <x:c r="H200" s="9" t="n">
        <x:v>1.3333333333333333</x:v>
      </x:c>
      <x:c r="I200" s="7" t="str">
        <x:v>Indice marzo 2026.xlsx</x:v>
      </x:c>
    </x:row>
    <x:row r="201">
      <x:c r="A201" s="7" t="str">
        <x:v>marzo 2026</x:v>
      </x:c>
      <x:c r="B201" s="7" t="str">
        <x:v>Convenio</x:v>
      </x:c>
      <x:c r="C201" s="7" t="str">
        <x:v>Compras y Contrataciones</x:v>
      </x:c>
      <x:c r="D201" s="7" t="n">
        <x:v>2</x:v>
      </x:c>
      <x:c r="E201" s="7" t="n">
        <x:v>0</x:v>
      </x:c>
      <x:c r="F201" s="7" t="n">
        <x:v>2</x:v>
      </x:c>
      <x:c r="G201" s="7" t="n">
        <x:v>5</x:v>
      </x:c>
      <x:c r="H201" s="9" t="n">
        <x:v>0.4</x:v>
      </x:c>
      <x:c r="I201" s="7" t="str">
        <x:v>Indice marzo 2026.xlsx</x:v>
      </x:c>
    </x:row>
    <x:row r="202">
      <x:c r="A202" s="7" t="str">
        <x:v>marzo 2026</x:v>
      </x:c>
      <x:c r="B202" s="7" t="str">
        <x:v>Convenio</x:v>
      </x:c>
      <x:c r="C202" s="7" t="str">
        <x:v>Administración y Finanzas</x:v>
      </x:c>
      <x:c r="D202" s="7" t="n">
        <x:v>0</x:v>
      </x:c>
      <x:c r="E202" s="7" t="n">
        <x:v>0</x:v>
      </x:c>
      <x:c r="F202" s="7" t="n">
        <x:v>0</x:v>
      </x:c>
      <x:c r="G202" s="7" t="n">
        <x:v>3</x:v>
      </x:c>
      <x:c r="H202" s="9" t="n">
        <x:v>0</x:v>
      </x:c>
      <x:c r="I202" s="7" t="str">
        <x:v>Indice marzo 2026.xlsx</x:v>
      </x:c>
    </x:row>
    <x:row r="203">
      <x:c r="A203" s="7" t="str">
        <x:v>marzo 2026</x:v>
      </x:c>
      <x:c r="B203" s="7" t="str">
        <x:v>Convenio</x:v>
      </x:c>
      <x:c r="C203" s="7" t="str">
        <x:v>Asuntos legales</x:v>
      </x:c>
      <x:c r="D203" s="7" t="n">
        <x:v>0</x:v>
      </x:c>
      <x:c r="E203" s="7" t="n">
        <x:v>0</x:v>
      </x:c>
      <x:c r="F203" s="7" t="n">
        <x:v>0</x:v>
      </x:c>
      <x:c r="G203" s="7" t="n">
        <x:v>1</x:v>
      </x:c>
      <x:c r="H203" s="9" t="n">
        <x:v>0</x:v>
      </x:c>
      <x:c r="I203" s="7" t="str">
        <x:v>Indice marzo 2026.xlsx</x:v>
      </x:c>
    </x:row>
    <x:row r="204">
      <x:c r="A204" s="7" t="str">
        <x:v>marzo 2026</x:v>
      </x:c>
      <x:c r="B204" s="7" t="str">
        <x:v>Convenio</x:v>
      </x:c>
      <x:c r="C204" s="7" t="str">
        <x:v>Control de Calidad</x:v>
      </x:c>
      <x:c r="D204" s="7" t="n">
        <x:v>0</x:v>
      </x:c>
      <x:c r="E204" s="7" t="n">
        <x:v>0</x:v>
      </x:c>
      <x:c r="F204" s="7" t="n">
        <x:v>0</x:v>
      </x:c>
      <x:c r="G204" s="7" t="n">
        <x:v>7</x:v>
      </x:c>
      <x:c r="H204" s="9" t="n">
        <x:v>0</x:v>
      </x:c>
      <x:c r="I204" s="7" t="str">
        <x:v>Indice marzo 2026.xlsx</x:v>
      </x:c>
    </x:row>
    <x:row r="205">
      <x:c r="A205" s="7" t="str">
        <x:v>marzo 2026</x:v>
      </x:c>
      <x:c r="B205" s="7" t="str">
        <x:v>Convenio</x:v>
      </x:c>
      <x:c r="C205" s="7" t="str">
        <x:v>Depto. Almacenes</x:v>
      </x:c>
      <x:c r="D205" s="7" t="n">
        <x:v>0</x:v>
      </x:c>
      <x:c r="E205" s="7" t="n">
        <x:v>0</x:v>
      </x:c>
      <x:c r="F205" s="7" t="n">
        <x:v>0</x:v>
      </x:c>
      <x:c r="G205" s="7" t="n">
        <x:v>8</x:v>
      </x:c>
      <x:c r="H205" s="9" t="n">
        <x:v>0</x:v>
      </x:c>
      <x:c r="I205" s="7" t="str">
        <x:v>Indice marzo 2026.xlsx</x:v>
      </x:c>
    </x:row>
    <x:row r="206">
      <x:c r="A206" s="7" t="str">
        <x:v>marzo 2026</x:v>
      </x:c>
      <x:c r="B206" s="7" t="str">
        <x:v>Convenio</x:v>
      </x:c>
      <x:c r="C206" s="7" t="str">
        <x:v>Depto. Control de Gestión</x:v>
      </x:c>
      <x:c r="D206" s="7" t="n">
        <x:v>0</x:v>
      </x:c>
      <x:c r="E206" s="7" t="n">
        <x:v>0</x:v>
      </x:c>
      <x:c r="F206" s="7" t="n">
        <x:v>0</x:v>
      </x:c>
      <x:c r="G206" s="7" t="n">
        <x:v>1</x:v>
      </x:c>
      <x:c r="H206" s="9" t="n">
        <x:v>0</x:v>
      </x:c>
      <x:c r="I206" s="7" t="str">
        <x:v>Indice marzo 2026.xlsx</x:v>
      </x:c>
    </x:row>
    <x:row r="207">
      <x:c r="A207" s="7" t="str">
        <x:v>marzo 2026</x:v>
      </x:c>
      <x:c r="B207" s="7" t="str">
        <x:v>Convenio</x:v>
      </x:c>
      <x:c r="C207" s="7" t="str">
        <x:v>Directorio</x:v>
      </x:c>
      <x:c r="D207" s="7" t="n">
        <x:v>0</x:v>
      </x:c>
      <x:c r="E207" s="7" t="n">
        <x:v>0</x:v>
      </x:c>
      <x:c r="F207" s="7" t="n">
        <x:v>0</x:v>
      </x:c>
      <x:c r="G207" s="7" t="n">
        <x:v>1</x:v>
      </x:c>
      <x:c r="H207" s="9" t="n">
        <x:v>0</x:v>
      </x:c>
      <x:c r="I207" s="7" t="str">
        <x:v>Indice marzo 2026.xlsx</x:v>
      </x:c>
    </x:row>
    <x:row r="208">
      <x:c r="A208" s="7" t="str">
        <x:v>marzo 2026</x:v>
      </x:c>
      <x:c r="B208" s="7" t="str">
        <x:v>Convenio</x:v>
      </x:c>
      <x:c r="C208" s="7" t="str">
        <x:v>Dirección de Operaciones</x:v>
      </x:c>
      <x:c r="D208" s="7" t="n">
        <x:v>0</x:v>
      </x:c>
      <x:c r="E208" s="7" t="n">
        <x:v>0</x:v>
      </x:c>
      <x:c r="F208" s="7" t="n">
        <x:v>0</x:v>
      </x:c>
      <x:c r="G208" s="7" t="n">
        <x:v>1</x:v>
      </x:c>
      <x:c r="H208" s="9" t="n">
        <x:v>0</x:v>
      </x:c>
      <x:c r="I208" s="7" t="str">
        <x:v>Indice marzo 2026.xlsx</x:v>
      </x:c>
    </x:row>
    <x:row r="209">
      <x:c r="A209" s="7" t="str">
        <x:v>marzo 2026</x:v>
      </x:c>
      <x:c r="B209" s="7" t="str">
        <x:v>Convenio</x:v>
      </x:c>
      <x:c r="C209" s="7" t="str">
        <x:v>Gestión de Calidad</x:v>
      </x:c>
      <x:c r="D209" s="7" t="n">
        <x:v>0</x:v>
      </x:c>
      <x:c r="E209" s="7" t="n">
        <x:v>0</x:v>
      </x:c>
      <x:c r="F209" s="7" t="n">
        <x:v>0</x:v>
      </x:c>
      <x:c r="G209" s="7" t="n">
        <x:v>1</x:v>
      </x:c>
      <x:c r="H209" s="9" t="n">
        <x:v>0</x:v>
      </x:c>
      <x:c r="I209" s="7" t="str">
        <x:v>Indice marzo 2026.xlsx</x:v>
      </x:c>
    </x:row>
    <x:row r="210">
      <x:c r="A210" s="7" t="str">
        <x:v>marzo 2026</x:v>
      </x:c>
      <x:c r="B210" s="7" t="str">
        <x:v>Convenio</x:v>
      </x:c>
      <x:c r="C210" s="7" t="str">
        <x:v>Gcia de Ingenieria</x:v>
      </x:c>
      <x:c r="D210" s="7" t="n">
        <x:v>0</x:v>
      </x:c>
      <x:c r="E210" s="7" t="n">
        <x:v>0</x:v>
      </x:c>
      <x:c r="F210" s="7" t="n">
        <x:v>0</x:v>
      </x:c>
      <x:c r="G210" s="7" t="n">
        <x:v>1</x:v>
      </x:c>
      <x:c r="H210" s="9" t="n">
        <x:v>0</x:v>
      </x:c>
      <x:c r="I210" s="7" t="str">
        <x:v>Indice marzo 2026.xlsx</x:v>
      </x:c>
    </x:row>
    <x:row r="211">
      <x:c r="A211" s="7" t="str">
        <x:v>marzo 2026</x:v>
      </x:c>
      <x:c r="B211" s="7" t="str">
        <x:v>Convenio</x:v>
      </x:c>
      <x:c r="C211" s="7" t="str">
        <x:v>Jefatura de Proyectos</x:v>
      </x:c>
      <x:c r="D211" s="7" t="n">
        <x:v>0</x:v>
      </x:c>
      <x:c r="E211" s="7" t="n">
        <x:v>0</x:v>
      </x:c>
      <x:c r="F211" s="7" t="n">
        <x:v>0</x:v>
      </x:c>
      <x:c r="G211" s="7" t="n">
        <x:v>2</x:v>
      </x:c>
      <x:c r="H211" s="9" t="n">
        <x:v>0</x:v>
      </x:c>
      <x:c r="I211" s="7" t="str">
        <x:v>Indice marzo 2026.xlsx</x:v>
      </x:c>
    </x:row>
    <x:row r="212">
      <x:c r="A212" s="7" t="str">
        <x:v>marzo 2026</x:v>
      </x:c>
      <x:c r="B212" s="7" t="str">
        <x:v>Convenio</x:v>
      </x:c>
      <x:c r="C212" s="7" t="str">
        <x:v>Jefatura de Reparaciones</x:v>
      </x:c>
      <x:c r="D212" s="7" t="n">
        <x:v>0</x:v>
      </x:c>
      <x:c r="E212" s="7" t="n">
        <x:v>0</x:v>
      </x:c>
      <x:c r="F212" s="7" t="n">
        <x:v>0</x:v>
      </x:c>
      <x:c r="G212" s="7" t="n">
        <x:v>8</x:v>
      </x:c>
      <x:c r="H212" s="9" t="n">
        <x:v>0</x:v>
      </x:c>
      <x:c r="I212" s="7" t="str">
        <x:v>Indice marzo 2026.xlsx</x:v>
      </x:c>
    </x:row>
    <x:row r="213">
      <x:c r="A213" s="7" t="str">
        <x:v>marzo 2026</x:v>
      </x:c>
      <x:c r="B213" s="7" t="str">
        <x:v>Convenio</x:v>
      </x:c>
      <x:c r="C213" s="7" t="str">
        <x:v>Servicio Médico</x:v>
      </x:c>
      <x:c r="D213" s="7" t="n">
        <x:v>0</x:v>
      </x:c>
      <x:c r="E213" s="7" t="n">
        <x:v>0</x:v>
      </x:c>
      <x:c r="F213" s="7" t="n">
        <x:v>0</x:v>
      </x:c>
      <x:c r="G213" s="7" t="n">
        <x:v>3</x:v>
      </x:c>
      <x:c r="H213" s="9" t="n">
        <x:v>0</x:v>
      </x:c>
      <x:c r="I213" s="7" t="str">
        <x:v>Indice marzo 2026.xlsx</x:v>
      </x:c>
    </x:row>
    <x:row r="214">
      <x:c r="A214" s="7" t="str">
        <x:v>marzo 2026</x:v>
      </x:c>
      <x:c r="B214" s="7" t="str">
        <x:v>Fuera de convenio</x:v>
      </x:c>
      <x:c r="C214" s="7" t="str">
        <x:v>Dpto. Carenado</x:v>
      </x:c>
      <x:c r="D214" s="7" t="n">
        <x:v>0</x:v>
      </x:c>
      <x:c r="E214" s="7" t="n">
        <x:v>0</x:v>
      </x:c>
      <x:c r="F214" s="7" t="n">
        <x:v>0</x:v>
      </x:c>
      <x:c r="G214" s="7" t="n">
        <x:v>1</x:v>
      </x:c>
      <x:c r="H214" s="9" t="n">
        <x:v>0</x:v>
      </x:c>
      <x:c r="I214" s="7" t="str">
        <x:v>Indice marzo 2026.xlsx</x:v>
      </x:c>
    </x:row>
    <x:row r="215">
      <x:c r="A215" s="7" t="str">
        <x:v>marzo 2026</x:v>
      </x:c>
      <x:c r="B215" s="7" t="str">
        <x:v>Fuera de convenio</x:v>
      </x:c>
      <x:c r="C215" s="7" t="str">
        <x:v>Depto. Casco y Acero</x:v>
      </x:c>
      <x:c r="D215" s="7" t="n">
        <x:v>0</x:v>
      </x:c>
      <x:c r="E215" s="7" t="n">
        <x:v>0</x:v>
      </x:c>
      <x:c r="F215" s="7" t="n">
        <x:v>0</x:v>
      </x:c>
      <x:c r="G215" s="7" t="n">
        <x:v>1</x:v>
      </x:c>
      <x:c r="H215" s="9" t="n">
        <x:v>0</x:v>
      </x:c>
      <x:c r="I215" s="7" t="str">
        <x:v>Indice marzo 2026.xlsx</x:v>
      </x:c>
    </x:row>
    <x:row r="216">
      <x:c r="A216" s="7" t="str">
        <x:v>marzo 2026</x:v>
      </x:c>
      <x:c r="B216" s="7" t="str">
        <x:v>Fuera de convenio</x:v>
      </x:c>
      <x:c r="C216" s="7" t="str">
        <x:v>Depto. Cobrería</x:v>
      </x:c>
      <x:c r="D216" s="7" t="n">
        <x:v>0</x:v>
      </x:c>
      <x:c r="E216" s="7" t="n">
        <x:v>0</x:v>
      </x:c>
      <x:c r="F216" s="7" t="n">
        <x:v>0</x:v>
      </x:c>
      <x:c r="G216" s="7" t="n">
        <x:v>1</x:v>
      </x:c>
      <x:c r="H216" s="9" t="n">
        <x:v>0</x:v>
      </x:c>
      <x:c r="I216" s="7" t="str">
        <x:v>Indice marzo 2026.xlsx</x:v>
      </x:c>
    </x:row>
    <x:row r="217">
      <x:c r="A217" s="7" t="str">
        <x:v>marzo 2026</x:v>
      </x:c>
      <x:c r="B217" s="7" t="str">
        <x:v>Fuera de convenio</x:v>
      </x:c>
      <x:c r="C217" s="7" t="str">
        <x:v>Depto. Control de Gestión</x:v>
      </x:c>
      <x:c r="D217" s="7" t="n">
        <x:v>0</x:v>
      </x:c>
      <x:c r="E217" s="7" t="n">
        <x:v>0</x:v>
      </x:c>
      <x:c r="F217" s="7" t="n">
        <x:v>0</x:v>
      </x:c>
      <x:c r="G217" s="7" t="n">
        <x:v>1</x:v>
      </x:c>
      <x:c r="H217" s="9" t="n">
        <x:v>0</x:v>
      </x:c>
      <x:c r="I217" s="7" t="str">
        <x:v>Indice marzo 2026.xlsx</x:v>
      </x:c>
    </x:row>
    <x:row r="218">
      <x:c r="A218" s="7" t="str">
        <x:v>marzo 2026</x:v>
      </x:c>
      <x:c r="B218" s="7" t="str">
        <x:v>Fuera de convenio</x:v>
      </x:c>
      <x:c r="C218" s="7" t="str">
        <x:v>Depto. Desarrollo Tecnológico</x:v>
      </x:c>
      <x:c r="D218" s="7" t="n">
        <x:v>0</x:v>
      </x:c>
      <x:c r="E218" s="7" t="n">
        <x:v>0</x:v>
      </x:c>
      <x:c r="F218" s="7" t="n">
        <x:v>0</x:v>
      </x:c>
      <x:c r="G218" s="7" t="n">
        <x:v>3</x:v>
      </x:c>
      <x:c r="H218" s="9" t="n">
        <x:v>0</x:v>
      </x:c>
      <x:c r="I218" s="7" t="str">
        <x:v>Indice marzo 2026.xlsx</x:v>
      </x:c>
    </x:row>
    <x:row r="219">
      <x:c r="A219" s="7" t="str">
        <x:v>marzo 2026</x:v>
      </x:c>
      <x:c r="B219" s="7" t="str">
        <x:v>Fuera de convenio</x:v>
      </x:c>
      <x:c r="C219" s="7" t="str">
        <x:v>Depto. Maniobras y Transportes</x:v>
      </x:c>
      <x:c r="D219" s="7" t="n">
        <x:v>0</x:v>
      </x:c>
      <x:c r="E219" s="7" t="n">
        <x:v>0</x:v>
      </x:c>
      <x:c r="F219" s="7" t="n">
        <x:v>0</x:v>
      </x:c>
      <x:c r="G219" s="7" t="n">
        <x:v>1</x:v>
      </x:c>
      <x:c r="H219" s="9" t="n">
        <x:v>0</x:v>
      </x:c>
      <x:c r="I219" s="7" t="str">
        <x:v>Indice marzo 2026.xlsx</x:v>
      </x:c>
    </x:row>
    <x:row r="220">
      <x:c r="A220" s="7" t="str">
        <x:v>marzo 2026</x:v>
      </x:c>
      <x:c r="B220" s="7" t="str">
        <x:v>Fuera de convenio</x:v>
      </x:c>
      <x:c r="C220" s="7" t="str">
        <x:v>Depto. Metalmecánica y Gestión de Materi</x:v>
      </x:c>
      <x:c r="D220" s="7" t="n">
        <x:v>0</x:v>
      </x:c>
      <x:c r="E220" s="7" t="n">
        <x:v>0</x:v>
      </x:c>
      <x:c r="F220" s="7" t="n">
        <x:v>0</x:v>
      </x:c>
      <x:c r="G220" s="7" t="n">
        <x:v>1</x:v>
      </x:c>
      <x:c r="H220" s="9" t="n">
        <x:v>0</x:v>
      </x:c>
      <x:c r="I220" s="7" t="str">
        <x:v>Indice marzo 2026.xlsx</x:v>
      </x:c>
    </x:row>
    <x:row r="221">
      <x:c r="A221" s="7" t="str">
        <x:v>marzo 2026</x:v>
      </x:c>
      <x:c r="B221" s="7" t="str">
        <x:v>Fuera de convenio</x:v>
      </x:c>
      <x:c r="C221" s="7" t="str">
        <x:v>Depto. Higiene y Seguridad Industrial</x:v>
      </x:c>
      <x:c r="D221" s="7" t="n">
        <x:v>0</x:v>
      </x:c>
      <x:c r="E221" s="7" t="n">
        <x:v>0</x:v>
      </x:c>
      <x:c r="F221" s="7" t="n">
        <x:v>0</x:v>
      </x:c>
      <x:c r="G221" s="7" t="n">
        <x:v>1</x:v>
      </x:c>
      <x:c r="H221" s="9" t="n">
        <x:v>0</x:v>
      </x:c>
      <x:c r="I221" s="7" t="str">
        <x:v>Indice marzo 2026.xlsx</x:v>
      </x:c>
    </x:row>
    <x:row r="222">
      <x:c r="A222" s="7" t="str">
        <x:v>marzo 2026</x:v>
      </x:c>
      <x:c r="B222" s="7" t="str">
        <x:v>Fuera de convenio</x:v>
      </x:c>
      <x:c r="C222" s="7" t="str">
        <x:v>Depto. Syncrolift</x:v>
      </x:c>
      <x:c r="D222" s="7" t="n">
        <x:v>0</x:v>
      </x:c>
      <x:c r="E222" s="7" t="n">
        <x:v>0</x:v>
      </x:c>
      <x:c r="F222" s="7" t="n">
        <x:v>0</x:v>
      </x:c>
      <x:c r="G222" s="7" t="n">
        <x:v>1</x:v>
      </x:c>
      <x:c r="H222" s="9" t="n">
        <x:v>0</x:v>
      </x:c>
      <x:c r="I222" s="7" t="str">
        <x:v>Indice marzo 2026.xlsx</x:v>
      </x:c>
    </x:row>
    <x:row r="223">
      <x:c r="A223" s="7" t="str">
        <x:v>marzo 2026</x:v>
      </x:c>
      <x:c r="B223" s="7" t="str">
        <x:v>Fuera de convenio</x:v>
      </x:c>
      <x:c r="C223" s="7" t="str">
        <x:v>Dirección Comercial</x:v>
      </x:c>
      <x:c r="D223" s="7" t="n">
        <x:v>0</x:v>
      </x:c>
      <x:c r="E223" s="7" t="n">
        <x:v>0</x:v>
      </x:c>
      <x:c r="F223" s="7" t="n">
        <x:v>0</x:v>
      </x:c>
      <x:c r="G223" s="7" t="n">
        <x:v>4</x:v>
      </x:c>
      <x:c r="H223" s="9" t="n">
        <x:v>0</x:v>
      </x:c>
      <x:c r="I223" s="7" t="str">
        <x:v>Indice marzo 2026.xlsx</x:v>
      </x:c>
    </x:row>
    <x:row r="224">
      <x:c r="A224" s="7" t="str">
        <x:v>marzo 2026</x:v>
      </x:c>
      <x:c r="B224" s="7" t="str">
        <x:v>Fuera de convenio</x:v>
      </x:c>
      <x:c r="C224" s="7" t="str">
        <x:v>Dirección de Administración</x:v>
      </x:c>
      <x:c r="D224" s="7" t="n">
        <x:v>0</x:v>
      </x:c>
      <x:c r="E224" s="7" t="n">
        <x:v>0</x:v>
      </x:c>
      <x:c r="F224" s="7" t="n">
        <x:v>0</x:v>
      </x:c>
      <x:c r="G224" s="7" t="n">
        <x:v>1</x:v>
      </x:c>
      <x:c r="H224" s="9" t="n">
        <x:v>0</x:v>
      </x:c>
      <x:c r="I224" s="7" t="str">
        <x:v>Indice marzo 2026.xlsx</x:v>
      </x:c>
    </x:row>
    <x:row r="225">
      <x:c r="A225" s="7" t="str">
        <x:v>marzo 2026</x:v>
      </x:c>
      <x:c r="B225" s="7" t="str">
        <x:v>Fuera de convenio</x:v>
      </x:c>
      <x:c r="C225" s="7" t="str">
        <x:v>Dirección de Operaciones</x:v>
      </x:c>
      <x:c r="D225" s="7" t="n">
        <x:v>0</x:v>
      </x:c>
      <x:c r="E225" s="7" t="n">
        <x:v>0</x:v>
      </x:c>
      <x:c r="F225" s="7" t="n">
        <x:v>0</x:v>
      </x:c>
      <x:c r="G225" s="7" t="n">
        <x:v>1</x:v>
      </x:c>
      <x:c r="H225" s="9" t="n">
        <x:v>0</x:v>
      </x:c>
      <x:c r="I225" s="7" t="str">
        <x:v>Indice marzo 2026.xlsx</x:v>
      </x:c>
    </x:row>
    <x:row r="226">
      <x:c r="A226" s="7" t="str">
        <x:v>marzo 2026</x:v>
      </x:c>
      <x:c r="B226" s="7" t="str">
        <x:v>Fuera de convenio</x:v>
      </x:c>
      <x:c r="C226" s="7" t="str">
        <x:v>Dirección General</x:v>
      </x:c>
      <x:c r="D226" s="7" t="n">
        <x:v>0</x:v>
      </x:c>
      <x:c r="E226" s="7" t="n">
        <x:v>0</x:v>
      </x:c>
      <x:c r="F226" s="7" t="n">
        <x:v>0</x:v>
      </x:c>
      <x:c r="G226" s="7" t="n">
        <x:v>2</x:v>
      </x:c>
      <x:c r="H226" s="9" t="n">
        <x:v>0</x:v>
      </x:c>
      <x:c r="I226" s="7" t="str">
        <x:v>Indice marzo 2026.xlsx</x:v>
      </x:c>
    </x:row>
    <x:row r="227">
      <x:c r="A227" s="7" t="str">
        <x:v>marzo 2026</x:v>
      </x:c>
      <x:c r="B227" s="7" t="str">
        <x:v>Fuera de convenio</x:v>
      </x:c>
      <x:c r="C227" s="7" t="str">
        <x:v>Gcia. Asuntos legales</x:v>
      </x:c>
      <x:c r="D227" s="7" t="n">
        <x:v>0</x:v>
      </x:c>
      <x:c r="E227" s="7" t="n">
        <x:v>0</x:v>
      </x:c>
      <x:c r="F227" s="7" t="n">
        <x:v>0</x:v>
      </x:c>
      <x:c r="G227" s="7" t="n">
        <x:v>2</x:v>
      </x:c>
      <x:c r="H227" s="9" t="n">
        <x:v>0</x:v>
      </x:c>
      <x:c r="I227" s="7" t="str">
        <x:v>Indice marzo 2026.xlsx</x:v>
      </x:c>
    </x:row>
    <x:row r="228">
      <x:c r="A228" s="7" t="str">
        <x:v>marzo 2026</x:v>
      </x:c>
      <x:c r="B228" s="7" t="str">
        <x:v>Fuera de convenio</x:v>
      </x:c>
      <x:c r="C228" s="7" t="str">
        <x:v>Gcia de Ingenieria</x:v>
      </x:c>
      <x:c r="D228" s="7" t="n">
        <x:v>0</x:v>
      </x:c>
      <x:c r="E228" s="7" t="n">
        <x:v>0</x:v>
      </x:c>
      <x:c r="F228" s="7" t="n">
        <x:v>0</x:v>
      </x:c>
      <x:c r="G228" s="7" t="n">
        <x:v>2</x:v>
      </x:c>
      <x:c r="H228" s="9" t="n">
        <x:v>0</x:v>
      </x:c>
      <x:c r="I228" s="7" t="str">
        <x:v>Indice marzo 2026.xlsx</x:v>
      </x:c>
    </x:row>
    <x:row r="229">
      <x:c r="A229" s="7" t="str">
        <x:v>marzo 2026</x:v>
      </x:c>
      <x:c r="B229" s="7" t="str">
        <x:v>Fuera de convenio</x:v>
      </x:c>
      <x:c r="C229" s="7" t="str">
        <x:v>Jefatura de Proyectos</x:v>
      </x:c>
      <x:c r="D229" s="7" t="n">
        <x:v>0</x:v>
      </x:c>
      <x:c r="E229" s="7" t="n">
        <x:v>0</x:v>
      </x:c>
      <x:c r="F229" s="7" t="n">
        <x:v>0</x:v>
      </x:c>
      <x:c r="G229" s="7" t="n">
        <x:v>4</x:v>
      </x:c>
      <x:c r="H229" s="9" t="n">
        <x:v>0</x:v>
      </x:c>
      <x:c r="I229" s="7" t="str">
        <x:v>Indice marzo 2026.xlsx</x:v>
      </x:c>
    </x:row>
    <x:row r="230">
      <x:c r="A230" s="7" t="str">
        <x:v>marzo 2026</x:v>
      </x:c>
      <x:c r="B230" s="7" t="str">
        <x:v>Fuera de convenio</x:v>
      </x:c>
      <x:c r="C230" s="7" t="str">
        <x:v>Planificación y Mantenimiento</x:v>
      </x:c>
      <x:c r="D230" s="7" t="n">
        <x:v>0</x:v>
      </x:c>
      <x:c r="E230" s="7" t="n">
        <x:v>0</x:v>
      </x:c>
      <x:c r="F230" s="7" t="n">
        <x:v>0</x:v>
      </x:c>
      <x:c r="G230" s="7" t="n">
        <x:v>1</x:v>
      </x:c>
      <x:c r="H230" s="9" t="n">
        <x:v>0</x:v>
      </x:c>
      <x:c r="I230" s="7" t="str">
        <x:v>Indice marzo 2026.xlsx</x:v>
      </x:c>
    </x:row>
    <x:row r="231">
      <x:c r="A231" s="7" t="str">
        <x:v>marzo 2026</x:v>
      </x:c>
      <x:c r="B231" s="7" t="str">
        <x:v>Fuera de convenio</x:v>
      </x:c>
      <x:c r="C231" s="7" t="str">
        <x:v>Servicio Médico</x:v>
      </x:c>
      <x:c r="D231" s="7" t="n">
        <x:v>0</x:v>
      </x:c>
      <x:c r="E231" s="7" t="n">
        <x:v>0</x:v>
      </x:c>
      <x:c r="F231" s="7" t="n">
        <x:v>0</x:v>
      </x:c>
      <x:c r="G231" s="7" t="n">
        <x:v>1</x:v>
      </x:c>
      <x:c r="H231" s="9" t="n">
        <x:v>0</x:v>
      </x:c>
      <x:c r="I231" s="7" t="str">
        <x:v>Indice marzo 2026.xlsx</x:v>
      </x:c>
    </x:row>
    <x:row r="232">
      <x:c r="A232" s="7" t="str">
        <x:v>marzo 2026</x:v>
      </x:c>
      <x:c r="B232" s="7" t="str">
        <x:v>Fuera de convenio</x:v>
      </x:c>
      <x:c r="C232" s="7" t="str">
        <x:v>Unidad de Auditoria Interna</x:v>
      </x:c>
      <x:c r="D232" s="7" t="n">
        <x:v>0</x:v>
      </x:c>
      <x:c r="E232" s="7" t="n">
        <x:v>0</x:v>
      </x:c>
      <x:c r="F232" s="7" t="n">
        <x:v>0</x:v>
      </x:c>
      <x:c r="G232" s="7" t="n">
        <x:v>1</x:v>
      </x:c>
      <x:c r="H232" s="9" t="n">
        <x:v>0</x:v>
      </x:c>
      <x:c r="I232" s="7" t="str">
        <x:v>Indice marzo 2026.xlsx</x:v>
      </x:c>
    </x:row>
    <x:row r="233">
      <x:c r="H233" s="6"/>
    </x:row>
    <x:row r="234">
      <x:c r="H234" s="6"/>
    </x:row>
    <x:row r="235">
      <x:c r="H235" s="6"/>
    </x:row>
    <x:row r="236">
      <x:c r="H236" s="6"/>
    </x:row>
    <x:row r="237">
      <x:c r="H237" s="6"/>
    </x:row>
    <x:row r="238">
      <x:c r="H238" s="6"/>
    </x:row>
    <x:row r="239">
      <x:c r="H239" s="6"/>
    </x:row>
    <x:row r="240">
      <x:c r="H240" s="6"/>
    </x:row>
    <x:row r="241">
      <x:c r="H241" s="6"/>
    </x:row>
    <x:row r="242">
      <x:c r="H242" s="6"/>
    </x:row>
    <x:row r="243">
      <x:c r="H243" s="6"/>
    </x:row>
    <x:row r="244">
      <x:c r="H244" s="6"/>
    </x:row>
    <x:row r="245">
      <x:c r="H245" s="6"/>
    </x:row>
    <x:row r="246">
      <x:c r="H246" s="6"/>
    </x:row>
    <x:row r="247">
      <x:c r="H247" s="6"/>
    </x:row>
    <x:row r="248">
      <x:c r="H248" s="6"/>
    </x:row>
    <x:row r="249">
      <x:c r="H249" s="6"/>
    </x:row>
    <x:row r="250">
      <x:c r="H250" s="6"/>
    </x:row>
    <x:row r="251">
      <x:c r="H251" s="6"/>
    </x:row>
    <x:row r="252">
      <x:c r="H252" s="6"/>
    </x:row>
    <x:row r="253">
      <x:c r="H253" s="6"/>
    </x:row>
    <x:row r="254">
      <x:c r="H254" s="6"/>
    </x:row>
    <x:row r="255">
      <x:c r="H255" s="6"/>
    </x:row>
    <x:row r="256">
      <x:c r="H256" s="6"/>
    </x:row>
    <x:row r="257">
      <x:c r="H257" s="6"/>
    </x:row>
    <x:row r="258">
      <x:c r="H258" s="6"/>
    </x:row>
    <x:row r="259">
      <x:c r="H259" s="6"/>
    </x:row>
    <x:row r="260">
      <x:c r="H260" s="6"/>
    </x:row>
    <x:row r="261">
      <x:c r="H261" s="6"/>
    </x:row>
    <x:row r="262">
      <x:c r="H262" s="6"/>
    </x:row>
    <x:row r="263">
      <x:c r="H263" s="6"/>
    </x:row>
    <x:row r="264">
      <x:c r="H264" s="6"/>
    </x:row>
    <x:row r="265">
      <x:c r="H265" s="6"/>
    </x:row>
    <x:row r="266">
      <x:c r="H266" s="6"/>
    </x:row>
    <x:row r="267">
      <x:c r="H267" s="6"/>
    </x:row>
    <x:row r="268">
      <x:c r="H268" s="6"/>
    </x:row>
    <x:row r="269">
      <x:c r="H269" s="6"/>
    </x:row>
    <x:row r="270">
      <x:c r="H270" s="6"/>
    </x:row>
    <x:row r="271">
      <x:c r="H271" s="6"/>
    </x:row>
    <x:row r="272">
      <x:c r="H272" s="6"/>
    </x:row>
    <x:row r="273">
      <x:c r="H273" s="6"/>
    </x:row>
    <x:row r="274">
      <x:c r="H274" s="6"/>
    </x:row>
    <x:row r="275">
      <x:c r="H275" s="6"/>
    </x:row>
    <x:row r="276">
      <x:c r="H276" s="6"/>
    </x:row>
    <x:row r="277">
      <x:c r="H277" s="6"/>
    </x:row>
    <x:row r="278">
      <x:c r="H278" s="6"/>
    </x:row>
    <x:row r="279">
      <x:c r="H279" s="6"/>
    </x:row>
    <x:row r="280">
      <x:c r="H280" s="6"/>
    </x:row>
    <x:row r="281">
      <x:c r="H281" s="6"/>
    </x:row>
    <x:row r="282">
      <x:c r="H282" s="6"/>
    </x:row>
    <x:row r="283">
      <x:c r="H283" s="6"/>
    </x:row>
    <x:row r="284">
      <x:c r="H284" s="6"/>
    </x:row>
    <x:row r="285">
      <x:c r="H285" s="6"/>
    </x:row>
    <x:row r="286">
      <x:c r="H286" s="6"/>
    </x:row>
    <x:row r="287">
      <x:c r="H287" s="6"/>
    </x:row>
    <x:row r="288">
      <x:c r="H288" s="6"/>
    </x:row>
    <x:row r="289">
      <x:c r="H289" s="6"/>
    </x:row>
    <x:row r="290">
      <x:c r="H290" s="6"/>
    </x:row>
    <x:row r="291">
      <x:c r="H291" s="6"/>
    </x:row>
    <x:row r="292">
      <x:c r="H292" s="6"/>
    </x:row>
    <x:row r="293">
      <x:c r="H293" s="6"/>
    </x:row>
    <x:row r="294">
      <x:c r="H294" s="6"/>
    </x:row>
    <x:row r="295">
      <x:c r="H295" s="6"/>
    </x:row>
    <x:row r="296">
      <x:c r="H296" s="6"/>
    </x:row>
    <x:row r="297">
      <x:c r="H297" s="6"/>
    </x:row>
    <x:row r="298">
      <x:c r="H298" s="6"/>
    </x:row>
    <x:row r="299">
      <x:c r="H299" s="6"/>
    </x:row>
    <x:row r="300">
      <x:c r="H300" s="6"/>
    </x:row>
  </x:sheetData>
  <x:pageMargins left="0.7" right="0.7" top="0.75" bottom="0.75" header="0.3" footer="0.3"/>
  <x:tableParts count="1">
    <x:tablePart xmlns:r="http://schemas.openxmlformats.org/officeDocument/2006/relationships" r:id="R57ca59ab5aa440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9.5" hidden="0" customWidth="1"/>
    <x:col min="3" max="3" width="26.25" hidden="0" customWidth="1"/>
    <x:col min="4" max="4" width="11.75" hidden="0" customWidth="1"/>
    <x:col min="5" max="5" width="11.75" hidden="0" customWidth="1"/>
    <x:col min="6" max="6" width="11.75" hidden="0" customWidth="1"/>
    <x:col min="7" max="7" width="11.75" hidden="0" customWidth="1"/>
    <x:col min="8" max="8" width="35" hidden="0" customWidth="1"/>
    <x:col min="9" max="9" width="10.25" hidden="0" customWidth="1"/>
    <x:col min="10" max="10" width="11" hidden="0" customWidth="1"/>
    <x:col min="11" max="11" width="22.5" hidden="0" customWidth="1"/>
  </x:cols>
  <x:sheetData>
    <x:row r="1">
      <x:c r="A1" s="4" t="str">
        <x:v>Estado</x:v>
      </x:c>
      <x:c r="B1" s="4" t="str">
        <x:v>Legajo</x:v>
      </x:c>
      <x:c r="C1" s="4" t="str">
        <x:v>Persona</x:v>
      </x:c>
      <x:c r="D1" s="4" t="str">
        <x:v>Baja</x:v>
      </x:c>
      <x:c r="E1" s="4" t="str">
        <x:v>Ult. cons.</x:v>
      </x:c>
      <x:c r="F1" s="4" t="str">
        <x:v>Prox. cons.</x:v>
      </x:c>
      <x:c r="G1" s="4" t="str">
        <x:v>Alta</x:v>
      </x:c>
      <x:c r="H1" s="4" t="str">
        <x:v>Diagnostico</x:v>
      </x:c>
      <x:c r="I1" s="4" t="str">
        <x:v>Dias BL</x:v>
      </x:c>
      <x:c r="J1" s="4" t="str">
        <x:v>Dias saldo</x:v>
      </x:c>
      <x:c r="K1" s="4" t="str">
        <x:v>Comentarios</x:v>
      </x:c>
    </x:row>
    <x:row r="2">
      <x:c r="A2" s="7" t="str">
        <x:v>Cerrado</x:v>
      </x:c>
      <x:c r="B2" s="7" t="n">
        <x:v>8472</x:v>
      </x:c>
      <x:c r="C2" s="7" t="str">
        <x:v>ARANDA WALTER EDUARDO</x:v>
      </x:c>
      <x:c r="D2" s="7" t="str">
        <x:v>2025-09-29</x:v>
      </x:c>
      <x:c r="E2" s="7" t="str">
        <x:v>2026-01-19</x:v>
      </x:c>
      <x:c r="F2" s="7" t="str">
        <x:v>2026-01-19</x:v>
      </x:c>
      <x:c r="G2" s="7" t="str">
        <x:v>2026-01-19</x:v>
      </x:c>
      <x:c r="H2" s="7" t="str">
        <x:v>POP ARTROSCOPIA DE ROD IZQ</x:v>
      </x:c>
      <x:c r="I2" s="7" t="n">
        <x:v>113</x:v>
      </x:c>
      <x:c r="J2" s="7" t="n">
        <x:v>252</x:v>
      </x:c>
      <x:c r="K2" s="7"/>
    </x:row>
    <x:row r="3">
      <x:c r="A3" s="7" t="str">
        <x:v>Cerrado</x:v>
      </x:c>
      <x:c r="B3" s="7" t="n">
        <x:v>8878</x:v>
      </x:c>
      <x:c r="C3" s="7" t="str">
        <x:v>LAZARTE SONIA BEATRIZ</x:v>
      </x:c>
      <x:c r="D3" s="7" t="str">
        <x:v>2025-07-28</x:v>
      </x:c>
      <x:c r="E3" s="7" t="str">
        <x:v>2026-01-22</x:v>
      </x:c>
      <x:c r="F3" s="7" t="str">
        <x:v>2026-01-22</x:v>
      </x:c>
      <x:c r="G3" s="7" t="str">
        <x:v>2026-01-22</x:v>
      </x:c>
      <x:c r="H3" s="7" t="str">
        <x:v>TRASTORNO DEPRESIVO</x:v>
      </x:c>
      <x:c r="I3" s="7" t="n">
        <x:v>179</x:v>
      </x:c>
      <x:c r="J3" s="7" t="n">
        <x:v>1</x:v>
      </x:c>
      <x:c r="K3" s="7" t="str">
        <x:v>DESVINCULADA</x:v>
      </x:c>
    </x:row>
    <x:row r="4">
      <x:c r="A4" s="7" t="str">
        <x:v>Cerrado</x:v>
      </x:c>
      <x:c r="B4" s="7" t="n">
        <x:v>7566</x:v>
      </x:c>
      <x:c r="C4" s="7" t="str">
        <x:v>PEREIRA GORDILLO JORGE ARTURO</x:v>
      </x:c>
      <x:c r="D4" s="7" t="str">
        <x:v>2025-10-16</x:v>
      </x:c>
      <x:c r="E4" s="7" t="str">
        <x:v>2026-01-31</x:v>
      </x:c>
      <x:c r="F4" s="7" t="str">
        <x:v>2026-01-31</x:v>
      </x:c>
      <x:c r="G4" s="7" t="str">
        <x:v>2026-01-31</x:v>
      </x:c>
      <x:c r="H4" s="7" t="str">
        <x:v>POP MENISECTOMIA ROD DER. / CA prostata</x:v>
      </x:c>
      <x:c r="I4" s="7" t="n">
        <x:v>108</x:v>
      </x:c>
      <x:c r="J4" s="7" t="n">
        <x:v>257</x:v>
      </x:c>
      <x:c r="K4" s="7" t="str">
        <x:v>JUBILADO</x:v>
      </x:c>
    </x:row>
    <x:row r="5">
      <x:c r="A5" s="7" t="str">
        <x:v>Cerrado</x:v>
      </x:c>
      <x:c r="B5" s="7" t="n">
        <x:v>7878</x:v>
      </x:c>
      <x:c r="C5" s="7" t="str">
        <x:v>ABAPINTO RICARDO JAVIER</x:v>
      </x:c>
      <x:c r="D5" s="7" t="str">
        <x:v>2025-11-07</x:v>
      </x:c>
      <x:c r="E5" s="7" t="str">
        <x:v>2026-02-04</x:v>
      </x:c>
      <x:c r="F5" s="7" t="str">
        <x:v>2026-02-04</x:v>
      </x:c>
      <x:c r="G5" s="7" t="str">
        <x:v>2026-02-04</x:v>
      </x:c>
      <x:c r="H5" s="7" t="str">
        <x:v>CIRROSIS HEPATICA</x:v>
      </x:c>
      <x:c r="I5" s="7" t="n">
        <x:v>90</x:v>
      </x:c>
      <x:c r="J5" s="7" t="n">
        <x:v>275</x:v>
      </x:c>
      <x:c r="K5" s="7"/>
    </x:row>
    <x:row r="6">
      <x:c r="A6" s="7" t="str">
        <x:v>Cerrado</x:v>
      </x:c>
      <x:c r="B6" s="7" t="n">
        <x:v>7883</x:v>
      </x:c>
      <x:c r="C6" s="7" t="str">
        <x:v>FARIAS FACUNDO EZEQUIEL</x:v>
      </x:c>
      <x:c r="D6" s="7" t="str">
        <x:v>2025-09-15</x:v>
      </x:c>
      <x:c r="E6" s="7" t="str">
        <x:v>2026-05-19</x:v>
      </x:c>
      <x:c r="F6" s="7" t="str">
        <x:v>2026-05-19</x:v>
      </x:c>
      <x:c r="G6" s="7" t="str">
        <x:v>2026-05-19</x:v>
      </x:c>
      <x:c r="H6" s="7" t="str">
        <x:v>DISCOPATIA L2-L3, L5-S1</x:v>
      </x:c>
      <x:c r="I6" s="7" t="n">
        <x:v>247</x:v>
      </x:c>
      <x:c r="J6" s="7" t="n">
        <x:v>-67</x:v>
      </x:c>
      <x:c r="K6" s="7" t="str">
        <x:v>RP</x:v>
      </x:c>
    </x:row>
    <x:row r="7">
      <x:c r="A7" s="7" t="str">
        <x:v>Cerrado</x:v>
      </x:c>
      <x:c r="B7" s="7" t="n">
        <x:v>8643</x:v>
      </x:c>
      <x:c r="C7" s="7" t="str">
        <x:v>PEÑALVA ADRIAN GUSTAVO</x:v>
      </x:c>
      <x:c r="D7" s="7" t="str">
        <x:v>2025-07-18</x:v>
      </x:c>
      <x:c r="E7" s="7" t="str">
        <x:v>2026-03-03</x:v>
      </x:c>
      <x:c r="F7" s="7" t="str">
        <x:v>2026-03-03</x:v>
      </x:c>
      <x:c r="G7" s="7" t="str">
        <x:v>2026-03-03</x:v>
      </x:c>
      <x:c r="H7" s="7" t="str">
        <x:v>POP DE LCA + POL + AOL ROD DER</x:v>
      </x:c>
      <x:c r="I7" s="7" t="n">
        <x:v>229</x:v>
      </x:c>
      <x:c r="J7" s="7" t="n">
        <x:v>136</x:v>
      </x:c>
      <x:c r="K7" s="7"/>
    </x:row>
    <x:row r="8">
      <x:c r="A8" s="7" t="str">
        <x:v>Cerrado</x:v>
      </x:c>
      <x:c r="B8" s="7" t="n">
        <x:v>8694</x:v>
      </x:c>
      <x:c r="C8" s="7" t="str">
        <x:v>BAEZ RAMON SALVADOR</x:v>
      </x:c>
      <x:c r="D8" s="7" t="str">
        <x:v>2025-07-18</x:v>
      </x:c>
      <x:c r="E8" s="7" t="str">
        <x:v>2026-03-27</x:v>
      </x:c>
      <x:c r="F8" s="7" t="str">
        <x:v>2026-03-27</x:v>
      </x:c>
      <x:c r="G8" s="7" t="str">
        <x:v>2026-03-27</x:v>
      </x:c>
      <x:c r="H8" s="7" t="str">
        <x:v>SME MENISCAL (GENU VARO ARTROSICO)</x:v>
      </x:c>
      <x:c r="I8" s="7" t="n">
        <x:v>253</x:v>
      </x:c>
      <x:c r="J8" s="7" t="n">
        <x:v>112</x:v>
      </x:c>
      <x:c r="K8" s="7" t="str">
        <x:v>20/03/2026 NO RESPONDIO</x:v>
      </x:c>
    </x:row>
    <x:row r="9">
      <x:c r="A9" s="7" t="str">
        <x:v>Cerrado</x:v>
      </x:c>
      <x:c r="B9" s="7" t="n">
        <x:v>8729</x:v>
      </x:c>
      <x:c r="C9" s="7" t="str">
        <x:v>CONDORI GERMAN JEREMIAS</x:v>
      </x:c>
      <x:c r="D9" s="7" t="str">
        <x:v>2025-08-01</x:v>
      </x:c>
      <x:c r="E9" s="7" t="str">
        <x:v>2026-03-01</x:v>
      </x:c>
      <x:c r="F9" s="7" t="str">
        <x:v>2026-03-01</x:v>
      </x:c>
      <x:c r="G9" s="7" t="str">
        <x:v>2026-03-01</x:v>
      </x:c>
      <x:c r="H9" s="7" t="str">
        <x:v>POP DE LCA ROD IZQ</x:v>
      </x:c>
      <x:c r="I9" s="7" t="n">
        <x:v>213</x:v>
      </x:c>
      <x:c r="J9" s="7" t="n">
        <x:v>152</x:v>
      </x:c>
      <x:c r="K9" s="7"/>
    </x:row>
    <x:row r="10">
      <x:c r="A10" s="7" t="str">
        <x:v>Cerrado</x:v>
      </x:c>
      <x:c r="B10" s="7" t="n">
        <x:v>8810</x:v>
      </x:c>
      <x:c r="C10" s="7" t="str">
        <x:v>AQUINO FERNANDO ANTONIO</x:v>
      </x:c>
      <x:c r="D10" s="7" t="str">
        <x:v>2026-01-14</x:v>
      </x:c>
      <x:c r="E10" s="7" t="str">
        <x:v>2026-03-16</x:v>
      </x:c>
      <x:c r="F10" s="7" t="str">
        <x:v>2026-03-16</x:v>
      </x:c>
      <x:c r="G10" s="7" t="str">
        <x:v>2026-03-16</x:v>
      </x:c>
      <x:c r="H10" s="7" t="str">
        <x:v>HERNIA DISCAL L5-S1</x:v>
      </x:c>
      <x:c r="I10" s="7" t="n">
        <x:v>62</x:v>
      </x:c>
      <x:c r="J10" s="7" t="n">
        <x:v>118</x:v>
      </x:c>
      <x:c r="K10" s="7" t="str"/>
    </x:row>
    <x:row r="11">
      <x:c r="A11" s="7" t="str">
        <x:v>Cerrado</x:v>
      </x:c>
      <x:c r="B11" s="7" t="n">
        <x:v>8632</x:v>
      </x:c>
      <x:c r="C11" s="7" t="str">
        <x:v>ORELLANO RAFAEL FERNANDO</x:v>
      </x:c>
      <x:c r="D11" s="7" t="str">
        <x:v>2026-01-19</x:v>
      </x:c>
      <x:c r="E11" s="7" t="str">
        <x:v>2026-03-05</x:v>
      </x:c>
      <x:c r="F11" s="7" t="str">
        <x:v>2026-03-05</x:v>
      </x:c>
      <x:c r="G11" s="7" t="str">
        <x:v>2026-03-05</x:v>
      </x:c>
      <x:c r="H11" s="7" t="str">
        <x:v>SME MENISCAL</x:v>
      </x:c>
      <x:c r="I11" s="7" t="n">
        <x:v>46</x:v>
      </x:c>
      <x:c r="J11" s="7" t="n">
        <x:v>310</x:v>
      </x:c>
      <x:c r="K11" s="7" t="str">
        <x:v>DEL 28/11 AL 6/12 (9) DIAS PREVIOS POR MP</x:v>
      </x:c>
    </x:row>
    <x:row r="12">
      <x:c r="A12" s="7" t="str">
        <x:v>Cerrado</x:v>
      </x:c>
      <x:c r="B12" s="7" t="n">
        <x:v>8843</x:v>
      </x:c>
      <x:c r="C12" s="7" t="str">
        <x:v>SOLOAGA PATRICIO JULIAN</x:v>
      </x:c>
      <x:c r="D12" s="7" t="str">
        <x:v>2026-01-19</x:v>
      </x:c>
      <x:c r="E12" s="7" t="str">
        <x:v>2026-02-09</x:v>
      </x:c>
      <x:c r="F12" s="7" t="str">
        <x:v>2026-02-09</x:v>
      </x:c>
      <x:c r="G12" s="7" t="str">
        <x:v>2026-02-09</x:v>
      </x:c>
      <x:c r="H12" s="7" t="str">
        <x:v>HERIDA CORTANTE EN CARA PALMAR MANO DER.</x:v>
      </x:c>
      <x:c r="I12" s="7" t="n">
        <x:v>22</x:v>
      </x:c>
      <x:c r="J12" s="7" t="n">
        <x:v>158</x:v>
      </x:c>
      <x:c r="K12" s="7"/>
    </x:row>
    <x:row r="13">
      <x:c r="A13" s="7" t="str">
        <x:v>Cerrado</x:v>
      </x:c>
      <x:c r="B13" s="7" t="n">
        <x:v>8644</x:v>
      </x:c>
      <x:c r="C13" s="7" t="str">
        <x:v>RIVERO GERMAN ALEJANDRO</x:v>
      </x:c>
      <x:c r="D13" s="7" t="str">
        <x:v>2026-01-29</x:v>
      </x:c>
      <x:c r="E13" s="7" t="str">
        <x:v>2026-02-28</x:v>
      </x:c>
      <x:c r="F13" s="7" t="str">
        <x:v>2026-02-28</x:v>
      </x:c>
      <x:c r="G13" s="7" t="str">
        <x:v>2026-02-28</x:v>
      </x:c>
      <x:c r="H13" s="7" t="str">
        <x:v>APEX</x:v>
      </x:c>
      <x:c r="I13" s="7" t="n">
        <x:v>31</x:v>
      </x:c>
      <x:c r="J13" s="7" t="n">
        <x:v>334</x:v>
      </x:c>
      <x:c r="K13" s="7" t="str">
        <x:v>REINCORPORACION 02/03</x:v>
      </x:c>
    </x:row>
    <x:row r="14">
      <x:c r="A14" s="7" t="str">
        <x:v>Cerrado</x:v>
      </x:c>
      <x:c r="B14" s="7" t="n">
        <x:v>8223</x:v>
      </x:c>
      <x:c r="C14" s="7" t="str">
        <x:v>LEON LEONARDO</x:v>
      </x:c>
      <x:c r="D14" s="7" t="str">
        <x:v>2026-02-09</x:v>
      </x:c>
      <x:c r="E14" s="7" t="str">
        <x:v>2026-03-12</x:v>
      </x:c>
      <x:c r="F14" s="7" t="str">
        <x:v>2026-03-12</x:v>
      </x:c>
      <x:c r="G14" s="7" t="str">
        <x:v>2026-03-12</x:v>
      </x:c>
      <x:c r="H14" s="7" t="str">
        <x:v>EPICONDILITIS</x:v>
      </x:c>
      <x:c r="I14" s="7" t="n">
        <x:v>32</x:v>
      </x:c>
      <x:c r="J14" s="7" t="n">
        <x:v>333</x:v>
      </x:c>
      <x:c r="K14" s="7" t="str">
        <x:v>PRESENTO ALTA 30/03/2026(EN DIFERIDO)</x:v>
      </x:c>
    </x:row>
    <x:row r="15">
      <x:c r="A15" s="7" t="str">
        <x:v>Cerrado</x:v>
      </x:c>
      <x:c r="B15" s="7" t="n">
        <x:v>8771</x:v>
      </x:c>
      <x:c r="C15" s="7" t="str">
        <x:v>SARACHO DAVID ANDRES</x:v>
      </x:c>
      <x:c r="D15" s="7" t="str">
        <x:v>2026-02-26</x:v>
      </x:c>
      <x:c r="E15" s="7" t="str">
        <x:v>2026-03-24</x:v>
      </x:c>
      <x:c r="F15" s="7" t="str">
        <x:v>2026-03-24</x:v>
      </x:c>
      <x:c r="G15" s="7" t="str">
        <x:v>2026-03-24</x:v>
      </x:c>
      <x:c r="H15" s="7" t="str">
        <x:v>SME MENISCAL ROD</x:v>
      </x:c>
      <x:c r="I15" s="7" t="n">
        <x:v>27</x:v>
      </x:c>
      <x:c r="J15" s="7" t="n">
        <x:v>338</x:v>
      </x:c>
      <x:c r="K15" s="7"/>
    </x:row>
    <x:row r="16">
      <x:c r="A16" s="7" t="str">
        <x:v>Cerrado</x:v>
      </x:c>
      <x:c r="B16" s="7" t="n">
        <x:v>8135</x:v>
      </x:c>
      <x:c r="C16" s="7" t="str">
        <x:v>MERCADO RUIZ HERNAN RODRIGO</x:v>
      </x:c>
      <x:c r="D16" s="7" t="str">
        <x:v>2026-03-13</x:v>
      </x:c>
      <x:c r="E16" s="7" t="str">
        <x:v>2026-04-09</x:v>
      </x:c>
      <x:c r="F16" s="7" t="str">
        <x:v>2026-04-13</x:v>
      </x:c>
      <x:c r="G16" s="7" t="str">
        <x:v>2026-04-13</x:v>
      </x:c>
      <x:c r="H16" s="7" t="str">
        <x:v>ULCERA VARICOSA MMII IZQUIERDO</x:v>
      </x:c>
      <x:c r="I16" s="7" t="n">
        <x:v>32</x:v>
      </x:c>
      <x:c r="J16" s="7" t="n">
        <x:v>333</x:v>
      </x:c>
      <x:c r="K16" s="7" t="str">
        <x:v>REPOSO HASTA EL 26/03/2026</x:v>
      </x:c>
    </x:row>
    <x:row r="17">
      <x:c r="A17" s="7" t="str">
        <x:v>Cerrado</x:v>
      </x:c>
      <x:c r="B17" s="7" t="n">
        <x:v>8255</x:v>
      </x:c>
      <x:c r="C17" s="7" t="str">
        <x:v>FRANCO NESTOR JAVIER</x:v>
      </x:c>
      <x:c r="D17" s="7" t="str">
        <x:v>2026-02-26</x:v>
      </x:c>
      <x:c r="E17" s="7" t="str">
        <x:v>2026-03-27</x:v>
      </x:c>
      <x:c r="F17" s="7" t="str">
        <x:v>2026-04-20</x:v>
      </x:c>
      <x:c r="G17" s="7" t="str">
        <x:v>2026-04-20</x:v>
      </x:c>
      <x:c r="H17" s="7" t="str">
        <x:v>POP ARTROSCOPIA DE ROD DERECHA</x:v>
      </x:c>
      <x:c r="I17" s="7" t="n">
        <x:v>54</x:v>
      </x:c>
      <x:c r="J17" s="7" t="n">
        <x:v>311</x:v>
      </x:c>
      <x:c r="K17" s="7" t="str">
        <x:v>REINCORPORACION (20/04/2026)</x:v>
      </x:c>
    </x:row>
    <x:row r="18">
      <x:c r="A18" s="7" t="str">
        <x:v>Cerrado</x:v>
      </x:c>
      <x:c r="B18" s="7" t="n">
        <x:v>8753</x:v>
      </x:c>
      <x:c r="C18" s="7" t="str">
        <x:v>CALSINAS PEDRO</x:v>
      </x:c>
      <x:c r="D18" s="7" t="str">
        <x:v>2026-03-18</x:v>
      </x:c>
      <x:c r="E18" s="7" t="str">
        <x:v>2026-03-20</x:v>
      </x:c>
      <x:c r="F18" s="7" t="str">
        <x:v>2026-03-20</x:v>
      </x:c>
      <x:c r="G18" s="7" t="str">
        <x:v>2026-03-20</x:v>
      </x:c>
      <x:c r="H18" s="7" t="str">
        <x:v>TX DE CODO</x:v>
      </x:c>
      <x:c r="I18" s="7" t="n">
        <x:v>3</x:v>
      </x:c>
      <x:c r="J18" s="7" t="n">
        <x:v>362</x:v>
      </x:c>
      <x:c r="K18" s="7" t="str">
        <x:v>REPOSO POR 21 DIAS (09/04/2026)</x:v>
      </x:c>
    </x:row>
    <x:row r="19">
      <x:c r="A19" s="7" t="str">
        <x:v>Cerrado</x:v>
      </x:c>
      <x:c r="B19" s="7" t="n">
        <x:v>7874</x:v>
      </x:c>
      <x:c r="C19" s="7" t="str">
        <x:v>ALCARAZ CARLOS RODOLFO</x:v>
      </x:c>
      <x:c r="D19" s="7" t="str">
        <x:v>2026-03-17</x:v>
      </x:c>
      <x:c r="E19" s="7" t="str">
        <x:v>2026-04-10</x:v>
      </x:c>
      <x:c r="F19" s="7" t="str">
        <x:v>2026-04-10</x:v>
      </x:c>
      <x:c r="G19" s="7" t="str">
        <x:v>2026-04-10</x:v>
      </x:c>
      <x:c r="H19" s="7" t="str">
        <x:v>HERNIOPLASTIA</x:v>
      </x:c>
      <x:c r="I19" s="7" t="n">
        <x:v>25</x:v>
      </x:c>
      <x:c r="J19" s="7" t="n">
        <x:v>340</x:v>
      </x:c>
      <x:c r="K19" s="7" t="str">
        <x:v>POSIBLE ALTA 10/04/2026</x:v>
      </x:c>
    </x:row>
    <x:row r="20">
      <x:c r="A20" s="7" t="str">
        <x:v>Cerrado</x:v>
      </x:c>
      <x:c r="B20" s="7" t="n">
        <x:v>8810</x:v>
      </x:c>
      <x:c r="C20" s="7" t="str">
        <x:v>AQUINO FERNANDO ANTONIO</x:v>
      </x:c>
      <x:c r="D20" s="7" t="str">
        <x:v>2026-04-15</x:v>
      </x:c>
      <x:c r="E20" s="7" t="str">
        <x:v>2026-04-29</x:v>
      </x:c>
      <x:c r="F20" s="7" t="str">
        <x:v>2026-05-13</x:v>
      </x:c>
      <x:c r="G20" s="7" t="str">
        <x:v>2026-05-13</x:v>
      </x:c>
      <x:c r="H20" s="7" t="str">
        <x:v>HERNIA DISCAL L5-S1</x:v>
      </x:c>
      <x:c r="I20" s="7" t="n">
        <x:v>29</x:v>
      </x:c>
      <x:c r="J20" s="7" t="n">
        <x:v>89</x:v>
      </x:c>
      <x:c r="K20" s="7" t="str">
        <x:v>VA A PEDIR REINGRESO A LA ART</x:v>
      </x:c>
    </x:row>
    <x:row r="21">
      <x:c r="A21" s="7" t="str">
        <x:v>Cerrado</x:v>
      </x:c>
      <x:c r="B21" s="7" t="n">
        <x:v>7941</x:v>
      </x:c>
      <x:c r="C21" s="7" t="str">
        <x:v>LUCERO SEBASTIAN</x:v>
      </x:c>
      <x:c r="D21" s="7" t="str">
        <x:v>2026-04-20</x:v>
      </x:c>
      <x:c r="E21" s="7" t="str">
        <x:v>2026-04-29</x:v>
      </x:c>
      <x:c r="F21" s="7" t="str">
        <x:v>2026-05-08</x:v>
      </x:c>
      <x:c r="G21" s="7" t="str">
        <x:v>2026-05-08</x:v>
      </x:c>
      <x:c r="H21" s="7" t="str">
        <x:v>POP DEDO PIE IZQ (AMPUTACIÓN POR POLIDACTILIA)</x:v>
      </x:c>
      <x:c r="I21" s="7" t="n">
        <x:v>19</x:v>
      </x:c>
      <x:c r="J21" s="7" t="n">
        <x:v>346</x:v>
      </x:c>
      <x:c r="K21" s="7" t="str">
        <x:v>ALTA 8/05, REPOSO POR DRA LECHMAN HASTA 15/05</x:v>
      </x:c>
    </x:row>
    <x:row r="22">
      <x:c r="A22" s="7" t="str">
        <x:v>Cerrado</x:v>
      </x:c>
      <x:c r="B22" s="7" t="n">
        <x:v>8410</x:v>
      </x:c>
      <x:c r="C22" s="7" t="str">
        <x:v>HINOJOSA JORGE LUIS</x:v>
      </x:c>
      <x:c r="D22" s="7" t="str">
        <x:v>2026-04-22</x:v>
      </x:c>
      <x:c r="E22" s="7" t="str">
        <x:v>2026-05-27</x:v>
      </x:c>
      <x:c r="F22" s="7" t="str">
        <x:v>2026-05-27</x:v>
      </x:c>
      <x:c r="G22" s="7" t="str">
        <x:v>2026-05-27</x:v>
      </x:c>
      <x:c r="H22" s="7" t="str">
        <x:v>LUMBALGIA RECIDIVANTE</x:v>
      </x:c>
      <x:c r="I22" s="7" t="n">
        <x:v>36</x:v>
      </x:c>
      <x:c r="J22" s="7" t="n">
        <x:v>329</x:v>
      </x:c>
      <x:c r="K22" s="7"/>
    </x:row>
    <x:row r="23">
      <x:c r="A23" s="7" t="str">
        <x:v>Cerrado</x:v>
      </x:c>
      <x:c r="B23" s="7" t="n">
        <x:v>8502</x:v>
      </x:c>
      <x:c r="C23" s="7" t="str">
        <x:v>SOSA CARLOS ENRIQUE</x:v>
      </x:c>
      <x:c r="D23" s="7" t="str">
        <x:v>2026-05-02</x:v>
      </x:c>
      <x:c r="E23" s="7" t="str">
        <x:v>2026-05-27</x:v>
      </x:c>
      <x:c r="F23" s="7" t="str">
        <x:v>2026-05-31</x:v>
      </x:c>
      <x:c r="G23" s="7" t="str">
        <x:v>2026-05-31</x:v>
      </x:c>
      <x:c r="H23" s="7" t="str">
        <x:v>POP COLECISTECTOMIA</x:v>
      </x:c>
      <x:c r="I23" s="7" t="n">
        <x:v>30</x:v>
      </x:c>
      <x:c r="J23" s="7" t="n">
        <x:v>335</x:v>
      </x:c>
      <x:c r="K23" s="7"/>
    </x:row>
    <x:row r="24">
      <x:c r="A24" s="7" t="str">
        <x:v>Cerrado</x:v>
      </x:c>
      <x:c r="B24" s="7" t="n">
        <x:v>8273</x:v>
      </x:c>
      <x:c r="C24" s="7" t="str">
        <x:v>ANDRADE ALEJANDRO MANUEL</x:v>
      </x:c>
      <x:c r="D24" s="7" t="str">
        <x:v>2026-05-06</x:v>
      </x:c>
      <x:c r="E24" s="7" t="str">
        <x:v>2026-05-11</x:v>
      </x:c>
      <x:c r="F24" s="7" t="str">
        <x:v>2026-06-01</x:v>
      </x:c>
      <x:c r="G24" s="7" t="str">
        <x:v>2026-06-01</x:v>
      </x:c>
      <x:c r="H24" s="7" t="str">
        <x:v>RABDOMIOLISIS</x:v>
      </x:c>
      <x:c r="I24" s="7" t="n">
        <x:v>27</x:v>
      </x:c>
      <x:c r="J24" s="7" t="n">
        <x:v>338</x:v>
      </x:c>
      <x:c r="K24" s="7" t="str">
        <x:v>TOMO REPOSO CON SUS VACACIONES</x:v>
      </x:c>
    </x:row>
    <x:row r="25">
      <x:c r="A25" s="7" t="str">
        <x:v>Activo</x:v>
      </x:c>
      <x:c r="B25" s="7" t="n">
        <x:v>8849</x:v>
      </x:c>
      <x:c r="C25" s="7" t="str">
        <x:v>FLORES GASTON NAHUEL</x:v>
      </x:c>
      <x:c r="D25" s="7" t="str">
        <x:v>2026-04-09</x:v>
      </x:c>
      <x:c r="E25" s="7" t="str">
        <x:v>2026-06-11</x:v>
      </x:c>
      <x:c r="F25" s="7" t="str">
        <x:v>2026-06-18</x:v>
      </x:c>
      <x:c r="G25" s="7"/>
      <x:c r="H25" s="7" t="str">
        <x:v>SME MENISCAL ROD DER</x:v>
      </x:c>
      <x:c r="I25" s="7" t="n">
        <x:v>71</x:v>
      </x:c>
      <x:c r="J25" s="7" t="n">
        <x:v>294</x:v>
      </x:c>
      <x:c r="K25" s="7" t="str">
        <x:v>TIENE CX EL 23/04/2026</x:v>
      </x:c>
    </x:row>
    <x:row r="26">
      <x:c r="A26" s="7" t="str">
        <x:v>Activo</x:v>
      </x:c>
      <x:c r="B26" s="7" t="n">
        <x:v>8694</x:v>
      </x:c>
      <x:c r="C26" s="7" t="str">
        <x:v>BAEZ RAMON SALVADOR</x:v>
      </x:c>
      <x:c r="D26" s="7" t="str">
        <x:v>2026-04-15</x:v>
      </x:c>
      <x:c r="E26" s="7" t="str">
        <x:v>2026-05-27</x:v>
      </x:c>
      <x:c r="F26" s="7" t="str">
        <x:v>2026-06-04</x:v>
      </x:c>
      <x:c r="G26" s="7"/>
      <x:c r="H26" s="7" t="str">
        <x:v>POP OSTEOMIA ROD</x:v>
      </x:c>
      <x:c r="I26" s="7" t="n">
        <x:v>51</x:v>
      </x:c>
      <x:c r="J26" s="7" t="n">
        <x:v>61</x:v>
      </x:c>
      <x:c r="K26" s="7" t="str"/>
    </x:row>
    <x:row r="27">
      <x:c r="A27" s="7" t="str">
        <x:v>Activo</x:v>
      </x:c>
      <x:c r="B27" s="7" t="n">
        <x:v>8630</x:v>
      </x:c>
      <x:c r="C27" s="7" t="str">
        <x:v>BENAVIDEZ SANTIAGO RAUL MARIO</x:v>
      </x:c>
      <x:c r="D27" s="7" t="str">
        <x:v>2026-04-01</x:v>
      </x:c>
      <x:c r="E27" s="7" t="str">
        <x:v>2026-06-11</x:v>
      </x:c>
      <x:c r="F27" s="7" t="str">
        <x:v>2026-06-18</x:v>
      </x:c>
      <x:c r="G27" s="7"/>
      <x:c r="H27" s="7" t="str">
        <x:v>IRC ESPERA DE TRANSPLANTE RENAL</x:v>
      </x:c>
      <x:c r="I27" s="7" t="n">
        <x:v>79</x:v>
      </x:c>
      <x:c r="J27" s="7" t="n">
        <x:v>286</x:v>
      </x:c>
      <x:c r="K27" s="7" t="str">
        <x:v>LIC OTORGADA POR RRHH</x:v>
      </x:c>
    </x:row>
    <x:row r="28">
      <x:c r="A28" s="7" t="str">
        <x:v>Activo</x:v>
      </x:c>
      <x:c r="B28" s="7" t="n">
        <x:v>8632</x:v>
      </x:c>
      <x:c r="C28" s="7" t="str">
        <x:v>ORELLANO RAFAEL FERNANDO</x:v>
      </x:c>
      <x:c r="D28" s="7" t="str">
        <x:v>2026-05-08</x:v>
      </x:c>
      <x:c r="E28" s="7" t="str">
        <x:v>2026-06-11</x:v>
      </x:c>
      <x:c r="F28" s="7" t="str">
        <x:v>2026-06-18</x:v>
      </x:c>
      <x:c r="G28" s="7"/>
      <x:c r="H28" s="7" t="str">
        <x:v>POP SX MENISCAL ROD DRCHA</x:v>
      </x:c>
      <x:c r="I28" s="7" t="n">
        <x:v>42</x:v>
      </x:c>
      <x:c r="J28" s="7" t="n">
        <x:v>268</x:v>
      </x:c>
      <x:c r="K28" s="7"/>
    </x:row>
    <x:row r="29">
      <x:c r="A29" s="7" t="str">
        <x:v>Activo</x:v>
      </x:c>
      <x:c r="B29" s="7" t="n">
        <x:v>8848</x:v>
      </x:c>
      <x:c r="C29" s="7" t="str">
        <x:v>TORRES AGUSTIN ALEJANDRO</x:v>
      </x:c>
      <x:c r="D29" s="7" t="str">
        <x:v>2026-04-01</x:v>
      </x:c>
      <x:c r="E29" s="7" t="str">
        <x:v>2026-05-26</x:v>
      </x:c>
      <x:c r="F29" s="7" t="str">
        <x:v>2026-06-03</x:v>
      </x:c>
      <x:c r="G29" s="7"/>
      <x:c r="H29" s="7" t="str">
        <x:v>POLITRAUMATISMO POR AI</x:v>
      </x:c>
      <x:c r="I29" s="7" t="n">
        <x:v>64</x:v>
      </x:c>
      <x:c r="J29" s="7" t="n">
        <x:v>116</x:v>
      </x:c>
      <x:c r="K29" s="7"/>
    </x:row>
    <x:row r="30">
      <x:c r="A30" s="7" t="str">
        <x:v>Activo</x:v>
      </x:c>
      <x:c r="B30" s="7" t="n">
        <x:v>7874</x:v>
      </x:c>
      <x:c r="C30" s="7" t="str">
        <x:v>ALCARAZ CARLOS RODOLFO</x:v>
      </x:c>
      <x:c r="D30" s="7" t="str">
        <x:v>2026-05-06</x:v>
      </x:c>
      <x:c r="E30" s="7" t="str">
        <x:v>2026-06-02</x:v>
      </x:c>
      <x:c r="F30" s="7" t="str">
        <x:v>2026-06-08</x:v>
      </x:c>
      <x:c r="G30" s="7"/>
      <x:c r="H30" s="7" t="str">
        <x:v>CA PANCREAS</x:v>
      </x:c>
      <x:c r="I30" s="7" t="n">
        <x:v>34</x:v>
      </x:c>
      <x:c r="J30" s="7" t="n">
        <x:v>331</x:v>
      </x:c>
      <x:c r="K30" s="7"/>
    </x:row>
    <x:row r="31">
      <x:c r="A31" s="7" t="str">
        <x:v>Activo</x:v>
      </x:c>
      <x:c r="B31" s="7" t="n">
        <x:v>8568</x:v>
      </x:c>
      <x:c r="C31" s="7" t="str">
        <x:v>ROJAS MAXIMILIANO</x:v>
      </x:c>
      <x:c r="D31" s="7" t="str">
        <x:v>2026-05-04</x:v>
      </x:c>
      <x:c r="E31" s="7" t="str">
        <x:v>2026-06-11</x:v>
      </x:c>
      <x:c r="F31" s="7" t="str">
        <x:v>2026-06-18</x:v>
      </x:c>
      <x:c r="G31" s="7"/>
      <x:c r="H31" s="7" t="str">
        <x:v>IPB PIE IZQ</x:v>
      </x:c>
      <x:c r="I31" s="7" t="n">
        <x:v>46</x:v>
      </x:c>
      <x:c r="J31" s="7" t="n">
        <x:v>134</x:v>
      </x:c>
      <x:c r="K31" s="7" t="str">
        <x:v>hasta 22/06</x:v>
      </x:c>
    </x:row>
    <x:row r="32">
      <x:c r="A32" s="7" t="str">
        <x:v>Activo</x:v>
      </x:c>
      <x:c r="B32" s="7" t="n">
        <x:v>8682</x:v>
      </x:c>
      <x:c r="C32" s="7" t="str">
        <x:v>DA SILVA NICOLAS ANIBAL</x:v>
      </x:c>
      <x:c r="D32" s="7" t="str">
        <x:v>2026-05-28</x:v>
      </x:c>
      <x:c r="E32" s="7" t="str">
        <x:v>2026-06-11</x:v>
      </x:c>
      <x:c r="F32" s="7" t="str">
        <x:v>2026-06-18</x:v>
      </x:c>
      <x:c r="G32" s="7"/>
      <x:c r="H32" s="7" t="str">
        <x:v>LUMBALGIA/DISCOPATIA</x:v>
      </x:c>
      <x:c r="I32" s="7" t="n">
        <x:v>22</x:v>
      </x:c>
      <x:c r="J32" s="7" t="n">
        <x:v>343</x:v>
      </x:c>
      <x:c r="K32" s="7"/>
    </x:row>
    <x:row r="33">
      <x:c r="A33" s="7" t="str">
        <x:v>Activo</x:v>
      </x:c>
      <x:c r="B33" s="7" t="n">
        <x:v>8687</x:v>
      </x:c>
      <x:c r="C33" s="7" t="str">
        <x:v>RIVEROS GUSTAVO HERNAN</x:v>
      </x:c>
      <x:c r="D33" s="7" t="str">
        <x:v>2026-05-29</x:v>
      </x:c>
      <x:c r="E33" s="7" t="str">
        <x:v>2026-06-11</x:v>
      </x:c>
      <x:c r="F33" s="7" t="str">
        <x:v>2026-06-18</x:v>
      </x:c>
      <x:c r="G33" s="7"/>
      <x:c r="H33" s="7" t="str">
        <x:v>TRASTORNO ANSIEDAD GENERALIZADO</x:v>
      </x:c>
      <x:c r="I33" s="7" t="n">
        <x:v>21</x:v>
      </x:c>
      <x:c r="J33" s="7" t="n">
        <x:v>344</x:v>
      </x:c>
      <x:c r="K33" s="7"/>
    </x:row>
    <x:row r="34">
      <x:c r="A34" s="7" t="str">
        <x:v>Activo</x:v>
      </x:c>
      <x:c r="B34" s="7" t="n">
        <x:v>8761</x:v>
      </x:c>
      <x:c r="C34" s="7" t="str">
        <x:v>SANCHEZ LEONARDO FABIAN</x:v>
      </x:c>
      <x:c r="D34" s="7" t="str">
        <x:v>2026-05-29</x:v>
      </x:c>
      <x:c r="E34" s="7" t="str">
        <x:v>2026-06-16</x:v>
      </x:c>
      <x:c r="F34" s="7" t="str">
        <x:v>2026-06-23</x:v>
      </x:c>
      <x:c r="G34" s="7"/>
      <x:c r="H34" s="7" t="str">
        <x:v>TRASTORNO DE ESTRES AGUDO</x:v>
      </x:c>
      <x:c r="I34" s="7" t="n">
        <x:v>26</x:v>
      </x:c>
      <x:c r="J34" s="7" t="n">
        <x:v>339</x:v>
      </x:c>
      <x:c r="K34" s="7"/>
    </x:row>
    <x:row r="35">
      <x:c r="A35" s="7" t="str">
        <x:v>Activo</x:v>
      </x:c>
      <x:c r="B35" s="7" t="n">
        <x:v>8771</x:v>
      </x:c>
      <x:c r="C35" s="7" t="str">
        <x:v>SARACHO DAVID ANDRES</x:v>
      </x:c>
      <x:c r="D35" s="7" t="str">
        <x:v>2026-06-04</x:v>
      </x:c>
      <x:c r="E35" s="7" t="str">
        <x:v>2026-06-11</x:v>
      </x:c>
      <x:c r="F35" s="7" t="str">
        <x:v>2026-06-18</x:v>
      </x:c>
      <x:c r="G35" s="7"/>
      <x:c r="H35" s="7" t="str">
        <x:v>POP SUTURA MENISCAL ROD DCHA</x:v>
      </x:c>
      <x:c r="I35" s="7" t="n">
        <x:v>15</x:v>
      </x:c>
      <x:c r="J35" s="7" t="n">
        <x:v>323</x:v>
      </x:c>
      <x:c r="K35" s="7"/>
    </x:row>
  </x:sheetData>
  <x:pageMargins left="0.7" right="0.7" top="0.75" bottom="0.75" header="0.3" footer="0.3"/>
  <x:tableParts count="1">
    <x:tablePart xmlns:r="http://schemas.openxmlformats.org/officeDocument/2006/relationships" r:id="Rc7b88a3fafdd40c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10.75" hidden="0" customWidth="1"/>
    <x:col min="3" max="3" width="9.5" hidden="0" customWidth="1"/>
    <x:col min="4" max="4" width="26.25" hidden="0" customWidth="1"/>
    <x:col min="5" max="5" width="23.75" hidden="0" customWidth="1"/>
    <x:col min="6" max="6" width="11.25" hidden="0" customWidth="1"/>
    <x:col min="7" max="7" width="11.75" hidden="0" customWidth="1"/>
    <x:col min="8" max="8" width="11.75" hidden="0" customWidth="1"/>
    <x:col min="9" max="9" width="37.5" hidden="0" customWidth="1"/>
    <x:col min="10" max="10" width="9" hidden="0" customWidth="1"/>
    <x:col min="11" max="11" width="9" hidden="0" customWidth="1"/>
    <x:col min="12" max="12" width="15" hidden="0" customWidth="1"/>
    <x:col min="13" max="13" width="22.5" hidden="0" customWidth="1"/>
  </x:cols>
  <x:sheetData>
    <x:row r="1">
      <x:c r="A1" s="4" t="str">
        <x:v>Estado</x:v>
      </x:c>
      <x:c r="B1" s="4" t="str">
        <x:v>Rechazado</x:v>
      </x:c>
      <x:c r="C1" s="4" t="str">
        <x:v>Legajo</x:v>
      </x:c>
      <x:c r="D1" s="4" t="str">
        <x:v>Persona</x:v>
      </x:c>
      <x:c r="E1" s="4" t="str">
        <x:v>Sector</x:v>
      </x:c>
      <x:c r="F1" s="4" t="str">
        <x:v>Contingencia</x:v>
      </x:c>
      <x:c r="G1" s="4" t="str">
        <x:v>Baja</x:v>
      </x:c>
      <x:c r="H1" s="4" t="str">
        <x:v>Alta</x:v>
      </x:c>
      <x:c r="I1" s="4" t="str">
        <x:v>Diagnostico</x:v>
      </x:c>
      <x:c r="J1" s="4" t="str">
        <x:v>ILT</x:v>
      </x:c>
      <x:c r="K1" s="4" t="str">
        <x:v>ILP</x:v>
      </x:c>
      <x:c r="L1" s="4" t="str">
        <x:v>Recalificacion</x:v>
      </x:c>
      <x:c r="M1" s="4" t="str">
        <x:v>Observaciones</x:v>
      </x:c>
    </x:row>
    <x:row r="2">
      <x:c r="A2" s="7" t="str">
        <x:v>Cerrado</x:v>
      </x:c>
      <x:c r="B2" s="7" t="str">
        <x:v>No</x:v>
      </x:c>
      <x:c r="C2" s="7" t="n">
        <x:v>8763</x:v>
      </x:c>
      <x:c r="D2" s="7" t="str">
        <x:v>ORTIZ DANIEL ALEJANDRO</x:v>
      </x:c>
      <x:c r="E2" s="7" t="str">
        <x:v>Depto. Mecánica</x:v>
      </x:c>
      <x:c r="F2" s="7" t="str">
        <x:v>AT</x:v>
      </x:c>
      <x:c r="G2" s="7" t="str">
        <x:v>2026-01-18</x:v>
      </x:c>
      <x:c r="H2" s="7" t="str">
        <x:v>2026-01-29</x:v>
      </x:c>
      <x:c r="I2" s="7" t="str">
        <x:v>HERIDA CORTANTE CON MOLADORA CARA EXTERNA MANO DER.</x:v>
      </x:c>
      <x:c r="J2" s="7" t="n">
        <x:v>12</x:v>
      </x:c>
      <x:c r="K2" s="7"/>
      <x:c r="L2" s="7"/>
      <x:c r="M2" s="7"/>
    </x:row>
    <x:row r="3">
      <x:c r="A3" s="7" t="str">
        <x:v>Cerrado</x:v>
      </x:c>
      <x:c r="B3" s="7" t="str">
        <x:v>No</x:v>
      </x:c>
      <x:c r="C3" s="7" t="n">
        <x:v>8826</x:v>
      </x:c>
      <x:c r="D3" s="7" t="str">
        <x:v>CARRIZO FERNANDO ROBERTO</x:v>
      </x:c>
      <x:c r="E3" s="7" t="str">
        <x:v>Depto. Cobrería</x:v>
      </x:c>
      <x:c r="F3" s="7" t="str">
        <x:v>AT</x:v>
      </x:c>
      <x:c r="G3" s="7" t="str">
        <x:v>2025-12-22</x:v>
      </x:c>
      <x:c r="H3" s="7" t="str">
        <x:v>2026-02-18</x:v>
      </x:c>
      <x:c r="I3" s="7" t="str">
        <x:v>FX. F1 INDICE MANO DER.</x:v>
      </x:c>
      <x:c r="J3" s="7" t="n">
        <x:v>59</x:v>
      </x:c>
      <x:c r="K3" s="7"/>
      <x:c r="L3" s="7"/>
      <x:c r="M3" s="7"/>
    </x:row>
    <x:row r="4">
      <x:c r="A4" s="7" t="str">
        <x:v>Cerrado</x:v>
      </x:c>
      <x:c r="B4" s="7" t="str">
        <x:v>No</x:v>
      </x:c>
      <x:c r="C4" s="7" t="n">
        <x:v>7894</x:v>
      </x:c>
      <x:c r="D4" s="7" t="str">
        <x:v>MOLINA MATIAS JAVIER</x:v>
      </x:c>
      <x:c r="E4" s="7" t="str">
        <x:v>Depto. Syncrolift</x:v>
      </x:c>
      <x:c r="F4" s="7" t="str">
        <x:v>AT</x:v>
      </x:c>
      <x:c r="G4" s="7" t="str">
        <x:v>2025-12-11</x:v>
      </x:c>
      <x:c r="H4" s="7" t="str">
        <x:v>2026-03-17</x:v>
      </x:c>
      <x:c r="I4" s="7" t="str">
        <x:v>ROTURA MENISCO INTERNO RODILLA DER. (POP-ARTROSCOPIA)</x:v>
      </x:c>
      <x:c r="J4" s="7" t="n">
        <x:v>97</x:v>
      </x:c>
      <x:c r="K4" s="7"/>
      <x:c r="L4" s="7"/>
      <x:c r="M4" s="7" t="str">
        <x:v>PROX ALTA, FKT</x:v>
      </x:c>
    </x:row>
    <x:row r="5">
      <x:c r="A5" s="7" t="str">
        <x:v>Cerrado</x:v>
      </x:c>
      <x:c r="B5" s="7" t="str">
        <x:v>No</x:v>
      </x:c>
      <x:c r="C5" s="7" t="n">
        <x:v>8848</x:v>
      </x:c>
      <x:c r="D5" s="7" t="str">
        <x:v>TORRES AGUSTIN ALEJANDRO</x:v>
      </x:c>
      <x:c r="E5" s="7" t="str">
        <x:v>Depto. Casco y Acero</x:v>
      </x:c>
      <x:c r="F5" s="7" t="str">
        <x:v>AI</x:v>
      </x:c>
      <x:c r="G5" s="7" t="str">
        <x:v>2025-12-23</x:v>
      </x:c>
      <x:c r="H5" s="7" t="str">
        <x:v>2026-03-31</x:v>
      </x:c>
      <x:c r="I5" s="7" t="str">
        <x:v>FX. EXPUESTA TOBILLO DER (TOILETTE QX) + 3ER MTC MANO DER + HERIDA CORTANTE EN ABDOMEN</x:v>
      </x:c>
      <x:c r="J5" s="7" t="n">
        <x:v>99</x:v>
      </x:c>
      <x:c r="K5" s="7"/>
      <x:c r="L5" s="7"/>
      <x:c r="M5" s="7" t="str">
        <x:v>REFIERE SOLICITAR REINGRESO</x:v>
      </x:c>
    </x:row>
    <x:row r="6">
      <x:c r="A6" s="7" t="str">
        <x:v>Cerrado</x:v>
      </x:c>
      <x:c r="B6" s="7" t="str">
        <x:v>No</x:v>
      </x:c>
      <x:c r="C6" s="7" t="n">
        <x:v>8743</x:v>
      </x:c>
      <x:c r="D6" s="7" t="str">
        <x:v>NAZAR MARTIN GUSTAVO</x:v>
      </x:c>
      <x:c r="E6" s="7" t="str">
        <x:v>Depto. Maniobras y Transportes</x:v>
      </x:c>
      <x:c r="F6" s="7" t="str">
        <x:v>AI</x:v>
      </x:c>
      <x:c r="G6" s="7" t="str">
        <x:v>2026-01-22</x:v>
      </x:c>
      <x:c r="H6" s="7" t="str">
        <x:v>2026-04-01</x:v>
      </x:c>
      <x:c r="I6" s="7" t="str">
        <x:v>FX. 3ERA CUÑA CON COMPROMISO ART. PIE IZQ (MOTO VS. AUTO)</x:v>
      </x:c>
      <x:c r="J6" s="7" t="n">
        <x:v>70</x:v>
      </x:c>
      <x:c r="K6" s="7"/>
      <x:c r="L6" s="7"/>
      <x:c r="M6" s="7" t="str">
        <x:v>FKT. PROB ALTA 16/03</x:v>
      </x:c>
    </x:row>
    <x:row r="7">
      <x:c r="A7" s="7" t="str">
        <x:v>Cerrado</x:v>
      </x:c>
      <x:c r="B7" s="7" t="str">
        <x:v>Si</x:v>
      </x:c>
      <x:c r="C7" s="7" t="n">
        <x:v>8390</x:v>
      </x:c>
      <x:c r="D7" s="7" t="str">
        <x:v>GAMARRA SERGIO GUSTAVO</x:v>
      </x:c>
      <x:c r="E7" s="7" t="str">
        <x:v>Depto. Maniobras y Transportes</x:v>
      </x:c>
      <x:c r="F7" s="7" t="str">
        <x:v>AT</x:v>
      </x:c>
      <x:c r="G7" s="7" t="str">
        <x:v>2026-02-03</x:v>
      </x:c>
      <x:c r="H7" s="7" t="str">
        <x:v>2026-02-14</x:v>
      </x:c>
      <x:c r="I7" s="7" t="str">
        <x:v>PICADURA DE ARAÑA EN ABDOMEN</x:v>
      </x:c>
      <x:c r="J7" s="7" t="n">
        <x:v>12</x:v>
      </x:c>
      <x:c r="K7" s="7"/>
      <x:c r="L7" s="7"/>
      <x:c r="M7" s="7" t="str">
        <x:v>RECHAZO ART</x:v>
      </x:c>
    </x:row>
    <x:row r="8">
      <x:c r="A8" s="7" t="str">
        <x:v>Cerrado</x:v>
      </x:c>
      <x:c r="B8" s="7" t="str">
        <x:v>Si</x:v>
      </x:c>
      <x:c r="C8" s="7" t="n">
        <x:v>5444</x:v>
      </x:c>
      <x:c r="D8" s="7" t="str">
        <x:v>ZABALA JORGE EDUARDO</x:v>
      </x:c>
      <x:c r="E8" s="7" t="str">
        <x:v>Depto. Mecánica</x:v>
      </x:c>
      <x:c r="F8" s="7" t="str">
        <x:v>AT</x:v>
      </x:c>
      <x:c r="G8" s="7" t="str">
        <x:v>2026-02-03</x:v>
      </x:c>
      <x:c r="H8" s="7" t="str">
        <x:v>2026-02-05</x:v>
      </x:c>
      <x:c r="I8" s="7" t="str">
        <x:v>GONALGIA DER.</x:v>
      </x:c>
      <x:c r="J8" s="7" t="n">
        <x:v>3</x:v>
      </x:c>
      <x:c r="K8" s="7"/>
      <x:c r="L8" s="7"/>
      <x:c r="M8" s="7" t="str">
        <x:v>RECHAZO ART</x:v>
      </x:c>
    </x:row>
    <x:row r="9">
      <x:c r="A9" s="7" t="str">
        <x:v>Cerrado</x:v>
      </x:c>
      <x:c r="B9" s="7" t="str">
        <x:v>No</x:v>
      </x:c>
      <x:c r="C9" s="7" t="n">
        <x:v>8418</x:v>
      </x:c>
      <x:c r="D9" s="7" t="str">
        <x:v>CLAUDEPIERRE GERMAN SIGFRIDO</x:v>
      </x:c>
      <x:c r="E9" s="7" t="str">
        <x:v>Depto. Mecánica</x:v>
      </x:c>
      <x:c r="F9" s="7" t="str">
        <x:v>AT</x:v>
      </x:c>
      <x:c r="G9" s="7" t="str">
        <x:v>2026-02-07</x:v>
      </x:c>
      <x:c r="H9" s="7" t="str">
        <x:v>2026-04-20</x:v>
      </x:c>
      <x:c r="I9" s="7" t="str">
        <x:v>APLASTAMIENTO DE FD 4DEDO MANO DER FX CONMINUTA FALANGE DISTAL</x:v>
      </x:c>
      <x:c r="J9" s="7" t="n">
        <x:v>59</x:v>
      </x:c>
      <x:c r="K9" s="7"/>
      <x:c r="L9" s="7"/>
      <x:c r="M9" s="7" t="str">
        <x:v>PROB ALTA 06/04</x:v>
      </x:c>
    </x:row>
    <x:row r="10">
      <x:c r="A10" s="7" t="str">
        <x:v>Cerrado</x:v>
      </x:c>
      <x:c r="B10" s="7" t="str">
        <x:v>Si</x:v>
      </x:c>
      <x:c r="C10" s="7" t="n">
        <x:v>8771</x:v>
      </x:c>
      <x:c r="D10" s="7" t="str">
        <x:v>SARACHO DAVID ANDRES</x:v>
      </x:c>
      <x:c r="E10" s="7" t="str">
        <x:v>Depto. Mecánica</x:v>
      </x:c>
      <x:c r="F10" s="7" t="str">
        <x:v>AI</x:v>
      </x:c>
      <x:c r="G10" s="7" t="str">
        <x:v>2026-02-23</x:v>
      </x:c>
      <x:c r="H10" s="7" t="str">
        <x:v>2026-02-25</x:v>
      </x:c>
      <x:c r="I10" s="7" t="str">
        <x:v>ENTORSIS DE RODILLA (IN ITINERE)</x:v>
      </x:c>
      <x:c r="J10" s="7" t="n">
        <x:v>3</x:v>
      </x:c>
      <x:c r="K10" s="7"/>
      <x:c r="L10" s="7"/>
      <x:c r="M10" s="7" t="str">
        <x:v>RECHAZO ART 25/03</x:v>
      </x:c>
    </x:row>
    <x:row r="11">
      <x:c r="A11" s="7" t="str">
        <x:v>Cerrado</x:v>
      </x:c>
      <x:c r="B11" s="7" t="str">
        <x:v>Si</x:v>
      </x:c>
      <x:c r="C11" s="7" t="n">
        <x:v>8534</x:v>
      </x:c>
      <x:c r="D11" s="7" t="str">
        <x:v>MAIDANA MIGUEL ANGEL</x:v>
      </x:c>
      <x:c r="E11" s="7" t="str">
        <x:v>Depto. Maniobras y Transportes</x:v>
      </x:c>
      <x:c r="F11" s="7" t="str">
        <x:v>AT</x:v>
      </x:c>
      <x:c r="G11" s="7" t="str">
        <x:v>2026-03-07</x:v>
      </x:c>
      <x:c r="H11" s="7" t="str">
        <x:v>2026-03-25</x:v>
      </x:c>
      <x:c r="I11" s="7" t="str">
        <x:v>ENTORSIS TOBILLO Y RODILLA DERECHA</x:v>
      </x:c>
      <x:c r="J11" s="7" t="n">
        <x:v>19</x:v>
      </x:c>
      <x:c r="K11" s="7"/>
      <x:c r="L11" s="7"/>
      <x:c r="M11" s="7" t="str">
        <x:v>REINGRESO ART 21/03 RECHAZO 25/03</x:v>
      </x:c>
    </x:row>
    <x:row r="12">
      <x:c r="A12" s="7" t="str">
        <x:v>Cerrado</x:v>
      </x:c>
      <x:c r="B12" s="7" t="str">
        <x:v>Si</x:v>
      </x:c>
      <x:c r="C12" s="7" t="n">
        <x:v>8927</x:v>
      </x:c>
      <x:c r="D12" s="7" t="str">
        <x:v>ROMERO SEBASTIAN ALEJANDRO</x:v>
      </x:c>
      <x:c r="E12" s="7" t="str">
        <x:v>Depto. Carenado</x:v>
      </x:c>
      <x:c r="F12" s="7" t="str">
        <x:v>AT</x:v>
      </x:c>
      <x:c r="G12" s="7" t="str">
        <x:v>2026-03-13</x:v>
      </x:c>
      <x:c r="H12" s="7" t="str">
        <x:v>2026-03-13</x:v>
      </x:c>
      <x:c r="I12" s="7" t="str">
        <x:v>DOLOR MUSCULAR EN MIEMBRO SUPERIOR</x:v>
      </x:c>
      <x:c r="J12" s="7" t="n">
        <x:v>1</x:v>
      </x:c>
      <x:c r="K12" s="7"/>
      <x:c r="L12" s="7"/>
      <x:c r="M12" s="7" t="str">
        <x:v>RECHAZO ART 13/03/2026</x:v>
      </x:c>
    </x:row>
    <x:row r="13">
      <x:c r="A13" s="7" t="str">
        <x:v>Cerrado</x:v>
      </x:c>
      <x:c r="B13" s="7" t="str">
        <x:v>Si</x:v>
      </x:c>
      <x:c r="C13" s="7" t="n">
        <x:v>8753</x:v>
      </x:c>
      <x:c r="D13" s="7" t="str">
        <x:v>CALSINAS DELGADO PEDRO</x:v>
      </x:c>
      <x:c r="E13" s="7" t="str">
        <x:v>Depto. Electricidad</x:v>
      </x:c>
      <x:c r="F13" s="7" t="str">
        <x:v>AT</x:v>
      </x:c>
      <x:c r="G13" s="7" t="str">
        <x:v>2026-03-13</x:v>
      </x:c>
      <x:c r="H13" s="7" t="str">
        <x:v>2026-03-18</x:v>
      </x:c>
      <x:c r="I13" s="7" t="str">
        <x:v>DOLOR EN CODO DERECHO</x:v>
      </x:c>
      <x:c r="J13" s="7" t="n">
        <x:v>6</x:v>
      </x:c>
      <x:c r="K13" s="7"/>
      <x:c r="L13" s="7"/>
      <x:c r="M13" s="7" t="str">
        <x:v>RECHAZO ART</x:v>
      </x:c>
    </x:row>
    <x:row r="14">
      <x:c r="A14" s="7" t="str">
        <x:v>Cerrado</x:v>
      </x:c>
      <x:c r="B14" s="7" t="str">
        <x:v>No</x:v>
      </x:c>
      <x:c r="C14" s="7" t="n">
        <x:v>8858</x:v>
      </x:c>
      <x:c r="D14" s="7" t="str">
        <x:v>ARANDA SANTIAGO BRUNO</x:v>
      </x:c>
      <x:c r="E14" s="7" t="str">
        <x:v>Depto. Casco y Acero</x:v>
      </x:c>
      <x:c r="F14" s="7" t="str">
        <x:v>AI</x:v>
      </x:c>
      <x:c r="G14" s="7" t="str">
        <x:v>2026-03-16</x:v>
      </x:c>
      <x:c r="H14" s="7" t="str">
        <x:v>2026-03-19</x:v>
      </x:c>
      <x:c r="I14" s="7" t="str">
        <x:v>TX ROD DERECHA</x:v>
      </x:c>
      <x:c r="J14" s="7" t="n">
        <x:v>4</x:v>
      </x:c>
      <x:c r="K14" s="7"/>
      <x:c r="L14" s="7"/>
      <x:c r="M14" s="7"/>
    </x:row>
    <x:row r="15">
      <x:c r="A15" s="7" t="str">
        <x:v>Cerrado</x:v>
      </x:c>
      <x:c r="B15" s="7" t="str">
        <x:v>No</x:v>
      </x:c>
      <x:c r="C15" s="7" t="n">
        <x:v>8687</x:v>
      </x:c>
      <x:c r="D15" s="7" t="str">
        <x:v>RIVEROS GUSTAVO HERNAN</x:v>
      </x:c>
      <x:c r="E15" s="7" t="str">
        <x:v>Depto. Casco y Acero</x:v>
      </x:c>
      <x:c r="F15" s="7" t="str">
        <x:v>AT</x:v>
      </x:c>
      <x:c r="G15" s="7" t="str">
        <x:v>2026-03-17</x:v>
      </x:c>
      <x:c r="H15" s="7" t="str">
        <x:v>2026-03-20</x:v>
      </x:c>
      <x:c r="I15" s="7" t="str">
        <x:v>RUPTURA PARCIAL DE LCA Y LLI, DESGARRO MENISCAL DE ROD DCHA</x:v>
      </x:c>
      <x:c r="J15" s="7" t="n">
        <x:v>4</x:v>
      </x:c>
      <x:c r="K15" s="7"/>
      <x:c r="L15" s="7"/>
      <x:c r="M15" s="7" t="str">
        <x:v>REINGRESO(17/03) Y ALTA (20/03)</x:v>
      </x:c>
    </x:row>
    <x:row r="16">
      <x:c r="A16" s="7" t="str">
        <x:v>Cerrado</x:v>
      </x:c>
      <x:c r="B16" s="7" t="str">
        <x:v>No</x:v>
      </x:c>
      <x:c r="C16" s="7" t="n">
        <x:v>8849</x:v>
      </x:c>
      <x:c r="D16" s="7" t="str">
        <x:v>FLORES GASTON NAHUEL</x:v>
      </x:c>
      <x:c r="E16" s="7" t="str">
        <x:v>Depto. Servicios Generales</x:v>
      </x:c>
      <x:c r="F16" s="7" t="str">
        <x:v>AT</x:v>
      </x:c>
      <x:c r="G16" s="7" t="str">
        <x:v>2026-04-01</x:v>
      </x:c>
      <x:c r="H16" s="7" t="str">
        <x:v>2026-04-06</x:v>
      </x:c>
      <x:c r="I16" s="7" t="str">
        <x:v>ENTORSIS RODILLA DERECHA</x:v>
      </x:c>
      <x:c r="J16" s="7" t="n">
        <x:v>6</x:v>
      </x:c>
      <x:c r="K16" s="7"/>
      <x:c r="L16" s="7"/>
      <x:c r="M16" s="7"/>
    </x:row>
    <x:row r="17">
      <x:c r="A17" s="7" t="str">
        <x:v>Cerrado</x:v>
      </x:c>
      <x:c r="B17" s="7" t="str">
        <x:v>No</x:v>
      </x:c>
      <x:c r="C17" s="7" t="n">
        <x:v>8859</x:v>
      </x:c>
      <x:c r="D17" s="7" t="str">
        <x:v>VERDIA ELIAS SANTIAGO</x:v>
      </x:c>
      <x:c r="E17" s="7" t="str">
        <x:v>Depto. Casco y Acero</x:v>
      </x:c>
      <x:c r="F17" s="7" t="str">
        <x:v>AT</x:v>
      </x:c>
      <x:c r="G17" s="7" t="str">
        <x:v>2026-04-18</x:v>
      </x:c>
      <x:c r="H17" s="7" t="str">
        <x:v>2026-04-29</x:v>
      </x:c>
      <x:c r="I17" s="7" t="str">
        <x:v>CUERPO EXTRAÑO OJO DERECHO</x:v>
      </x:c>
      <x:c r="J17" s="7" t="n">
        <x:v>10</x:v>
      </x:c>
      <x:c r="K17" s="7"/>
      <x:c r="L17" s="7"/>
      <x:c r="M17" s="7"/>
    </x:row>
    <x:row r="18">
      <x:c r="A18" s="7" t="str">
        <x:v>Cerrado</x:v>
      </x:c>
      <x:c r="B18" s="7" t="str">
        <x:v>Si</x:v>
      </x:c>
      <x:c r="C18" s="7" t="n">
        <x:v>8276</x:v>
      </x:c>
      <x:c r="D18" s="7" t="str">
        <x:v>BENITEZ DIEGO ALBERTO</x:v>
      </x:c>
      <x:c r="E18" s="7" t="str">
        <x:v>Depto. Cobrería</x:v>
      </x:c>
      <x:c r="F18" s="7" t="str">
        <x:v>AT</x:v>
      </x:c>
      <x:c r="G18" s="7" t="str">
        <x:v>2026-04-23</x:v>
      </x:c>
      <x:c r="H18" s="7" t="str">
        <x:v>2026-05-04</x:v>
      </x:c>
      <x:c r="I18" s="7" t="str">
        <x:v>GONALGIA IZQUIERDA</x:v>
      </x:c>
      <x:c r="J18" s="7" t="n">
        <x:v>1</x:v>
      </x:c>
      <x:c r="K18" s="7"/>
      <x:c r="L18" s="7"/>
      <x:c r="M18" s="7" t="str">
        <x:v>AUTODENUNCIA/RECHAZADO</x:v>
      </x:c>
    </x:row>
    <x:row r="19">
      <x:c r="A19" s="7" t="str">
        <x:v>Cerrado</x:v>
      </x:c>
      <x:c r="B19" s="7" t="str">
        <x:v>Si</x:v>
      </x:c>
      <x:c r="C19" s="7" t="n">
        <x:v>8847</x:v>
      </x:c>
      <x:c r="D19" s="7" t="str">
        <x:v>BANEGA JUAN LEONEL</x:v>
      </x:c>
      <x:c r="E19" s="7" t="str">
        <x:v>Depto. Carenado</x:v>
      </x:c>
      <x:c r="F19" s="7" t="str">
        <x:v>AI</x:v>
      </x:c>
      <x:c r="G19" s="7" t="str">
        <x:v>2026-04-27</x:v>
      </x:c>
      <x:c r="H19" s="7" t="str">
        <x:v>2026-05-04</x:v>
      </x:c>
      <x:c r="I19" s="7" t="str">
        <x:v>POLITRAUMA EN MIEMBRE SUPERIOR</x:v>
      </x:c>
      <x:c r="J19" s="7" t="n">
        <x:v>11</x:v>
      </x:c>
      <x:c r="K19" s="7"/>
      <x:c r="L19" s="7"/>
      <x:c r="M19" s="7" t="str">
        <x:v>RECHAZADO</x:v>
      </x:c>
    </x:row>
    <x:row r="20">
      <x:c r="A20" s="7" t="str">
        <x:v>Cerrado</x:v>
      </x:c>
      <x:c r="B20" s="7" t="str">
        <x:v>No</x:v>
      </x:c>
      <x:c r="C20" s="7" t="n">
        <x:v>8732</x:v>
      </x:c>
      <x:c r="D20" s="7" t="str">
        <x:v>LOBOS MARCELO ALEJANDRO</x:v>
      </x:c>
      <x:c r="E20" s="7" t="str">
        <x:v>Depto. Capital Humano</x:v>
      </x:c>
      <x:c r="F20" s="7" t="str">
        <x:v>AT</x:v>
      </x:c>
      <x:c r="G20" s="7" t="str">
        <x:v>2026-04-28</x:v>
      </x:c>
      <x:c r="H20" s="7" t="str">
        <x:v>2026-05-15</x:v>
      </x:c>
      <x:c r="I20" s="7" t="str">
        <x:v>HERIDA CORTANTE DEDO PULGAR IZQUIERDO</x:v>
      </x:c>
      <x:c r="J20" s="7" t="n">
        <x:v>10</x:v>
      </x:c>
      <x:c r="K20" s="7"/>
      <x:c r="L20" s="7"/>
      <x:c r="M20" s="7"/>
    </x:row>
    <x:row r="21">
      <x:c r="A21" s="7" t="str">
        <x:v>Cerrado</x:v>
      </x:c>
      <x:c r="B21" s="7" t="str">
        <x:v>Si</x:v>
      </x:c>
      <x:c r="C21" s="7" t="n">
        <x:v>8632</x:v>
      </x:c>
      <x:c r="D21" s="7" t="str">
        <x:v>ORELLANO RAFAEL FERNANDO</x:v>
      </x:c>
      <x:c r="E21" s="7" t="str">
        <x:v>Depto. Cobrería</x:v>
      </x:c>
      <x:c r="F21" s="7" t="str">
        <x:v>EP</x:v>
      </x:c>
      <x:c r="G21" s="7" t="str">
        <x:v>2026-04-30</x:v>
      </x:c>
      <x:c r="H21" s="7" t="str">
        <x:v>2026-05-01</x:v>
      </x:c>
      <x:c r="I21" s="7" t="str">
        <x:v>HIPOACUSIA BILATERAL</x:v>
      </x:c>
      <x:c r="J21" s="7" t="n">
        <x:v>8</x:v>
      </x:c>
      <x:c r="K21" s="7"/>
      <x:c r="L21" s="7"/>
      <x:c r="M21" s="7" t="str">
        <x:v>AUTODENUNCIA/RECHAZADO</x:v>
      </x:c>
    </x:row>
    <x:row r="22">
      <x:c r="A22" s="7" t="str">
        <x:v>Cerrado</x:v>
      </x:c>
      <x:c r="B22" s="7" t="str">
        <x:v>No</x:v>
      </x:c>
      <x:c r="C22" s="7" t="n">
        <x:v>8643</x:v>
      </x:c>
      <x:c r="D22" s="7" t="str">
        <x:v>PEÑALVA ADRIAN GUSTAVO</x:v>
      </x:c>
      <x:c r="E22" s="7" t="str">
        <x:v>Depto. Mecánica</x:v>
      </x:c>
      <x:c r="F22" s="7" t="str">
        <x:v>AT</x:v>
      </x:c>
      <x:c r="G22" s="7" t="str">
        <x:v>2026-05-07</x:v>
      </x:c>
      <x:c r="H22" s="7" t="str">
        <x:v>2026-05-29</x:v>
      </x:c>
      <x:c r="I22" s="7" t="str">
        <x:v>TX ROD DERECHA</x:v>
      </x:c>
      <x:c r="J22" s="7" t="n">
        <x:v>9</x:v>
      </x:c>
      <x:c r="K22" s="7"/>
      <x:c r="L22" s="7"/>
      <x:c r="M22" s="7" t="str">
        <x:v>REINGRESO</x:v>
      </x:c>
    </x:row>
    <x:row r="23">
      <x:c r="A23" s="7" t="str">
        <x:v>Cerrado</x:v>
      </x:c>
      <x:c r="B23" s="7" t="str">
        <x:v>Si</x:v>
      </x:c>
      <x:c r="C23" s="7" t="n">
        <x:v>8632</x:v>
      </x:c>
      <x:c r="D23" s="7" t="str">
        <x:v>ORELLANO RAFAEL FERNANDO</x:v>
      </x:c>
      <x:c r="E23" s="7" t="str">
        <x:v>Depto. Cobrería</x:v>
      </x:c>
      <x:c r="F23" s="7" t="str">
        <x:v>AI</x:v>
      </x:c>
      <x:c r="G23" s="7" t="str">
        <x:v>2026-05-06</x:v>
      </x:c>
      <x:c r="H23" s="7" t="str">
        <x:v>2026-05-11</x:v>
      </x:c>
      <x:c r="I23" s="7" t="str">
        <x:v>ACCIDENTE IN ITINERE</x:v>
      </x:c>
      <x:c r="J23" s="7" t="n">
        <x:v>6</x:v>
      </x:c>
      <x:c r="K23" s="7"/>
      <x:c r="L23" s="7"/>
      <x:c r="M23" s="7" t="str">
        <x:v>RECHAZADO</x:v>
      </x:c>
    </x:row>
    <x:row r="24">
      <x:c r="A24" s="7" t="str">
        <x:v>Cerrado</x:v>
      </x:c>
      <x:c r="B24" s="7" t="str">
        <x:v>No</x:v>
      </x:c>
      <x:c r="C24" s="7" t="n">
        <x:v>8859</x:v>
      </x:c>
      <x:c r="D24" s="7" t="str">
        <x:v>VERDIA ELIAS  SANTIAGO</x:v>
      </x:c>
      <x:c r="E24" s="7" t="str">
        <x:v>Depto. Casco y Acero</x:v>
      </x:c>
      <x:c r="F24" s="7" t="str">
        <x:v>AT</x:v>
      </x:c>
      <x:c r="G24" s="7" t="str">
        <x:v>2026-05-28</x:v>
      </x:c>
      <x:c r="H24" s="7" t="str">
        <x:v>2026-06-08</x:v>
      </x:c>
      <x:c r="I24" s="7" t="str">
        <x:v>TEC LEVE + HERIDA CORTANTE REGION PARIETAL</x:v>
      </x:c>
      <x:c r="J24" s="7" t="n">
        <x:v>12</x:v>
      </x:c>
      <x:c r="K24" s="7"/>
      <x:c r="L24" s="7"/>
      <x:c r="M24" s="7"/>
    </x:row>
    <x:row r="25">
      <x:c r="A25" s="7" t="str">
        <x:v>Cerrado</x:v>
      </x:c>
      <x:c r="B25" s="7" t="str">
        <x:v>Si</x:v>
      </x:c>
      <x:c r="C25" s="7" t="n">
        <x:v>8602</x:v>
      </x:c>
      <x:c r="D25" s="7" t="str">
        <x:v>JORGE OSCAR ALEJANDRO</x:v>
      </x:c>
      <x:c r="E25" s="7" t="str">
        <x:v>Depto. Mecánica</x:v>
      </x:c>
      <x:c r="F25" s="7" t="str">
        <x:v>AT</x:v>
      </x:c>
      <x:c r="G25" s="7" t="str">
        <x:v>2026-06-04</x:v>
      </x:c>
      <x:c r="H25" s="7" t="str">
        <x:v>2026-06-08</x:v>
      </x:c>
      <x:c r="I25" s="7" t="str">
        <x:v>ENTORSIS ROD IZQDA</x:v>
      </x:c>
      <x:c r="J25" s="7" t="n">
        <x:v>5</x:v>
      </x:c>
      <x:c r="K25" s="7"/>
      <x:c r="L25" s="7"/>
      <x:c r="M25" s="7" t="str">
        <x:v>RECHAZO ART 8/06/2026</x:v>
      </x:c>
    </x:row>
    <x:row r="26">
      <x:c r="A26" s="7" t="str">
        <x:v>Activo</x:v>
      </x:c>
      <x:c r="B26" s="7" t="str">
        <x:v>No</x:v>
      </x:c>
      <x:c r="C26" s="7" t="n">
        <x:v>7822</x:v>
      </x:c>
      <x:c r="D26" s="7" t="str">
        <x:v>PINEDA VIDAL RAMON</x:v>
      </x:c>
      <x:c r="E26" s="7" t="str">
        <x:v>Depto. Maniobras y Transportes</x:v>
      </x:c>
      <x:c r="F26" s="7" t="str">
        <x:v>AT</x:v>
      </x:c>
      <x:c r="G26" s="7" t="str">
        <x:v>2026-05-28</x:v>
      </x:c>
      <x:c r="H26" s="7"/>
      <x:c r="I26" s="7" t="str">
        <x:v>FX FALANGE DISTAL DE 5° DEDO IZQUIERDO</x:v>
      </x:c>
      <x:c r="J26" s="7" t="n">
        <x:v>9</x:v>
      </x:c>
      <x:c r="K26" s="7"/>
      <x:c r="L26" s="7"/>
      <x:c r="M26" s="7"/>
    </x:row>
    <x:row r="27">
      <x:c r="A27" s="7" t="str">
        <x:v>Activo</x:v>
      </x:c>
      <x:c r="B27" s="7" t="str">
        <x:v>No</x:v>
      </x:c>
      <x:c r="C27" s="7" t="n">
        <x:v>7780</x:v>
      </x:c>
      <x:c r="D27" s="7" t="str">
        <x:v>BENARY FELIX GUILLERMO</x:v>
      </x:c>
      <x:c r="E27" s="7" t="str">
        <x:v>Depto. Mecánica</x:v>
      </x:c>
      <x:c r="F27" s="7" t="str">
        <x:v>AI</x:v>
      </x:c>
      <x:c r="G27" s="7" t="str">
        <x:v>2025-08-18</x:v>
      </x:c>
      <x:c r="H27" s="7"/>
      <x:c r="I27" s="7" t="str">
        <x:v>FX. MANO Y RODILLA IZQ (MOTO VS. MOTO)</x:v>
      </x:c>
      <x:c r="J27" s="7" t="n">
        <x:v>232</x:v>
      </x:c>
      <x:c r="K27" s="7"/>
      <x:c r="L27" s="7"/>
      <x:c r="M27" s="7" t="str">
        <x:v>FKT</x:v>
      </x:c>
    </x:row>
    <x:row r="28">
      <x:c r="A28" s="7" t="str">
        <x:v>Activo</x:v>
      </x:c>
      <x:c r="B28" s="7" t="str">
        <x:v>No</x:v>
      </x:c>
      <x:c r="C28" s="7" t="n">
        <x:v>8576</x:v>
      </x:c>
      <x:c r="D28" s="7" t="str">
        <x:v>GARNICA AGAPITO MARCELO</x:v>
      </x:c>
      <x:c r="E28" s="7" t="str">
        <x:v>Depto. Servicios Generales</x:v>
      </x:c>
      <x:c r="F28" s="7" t="str">
        <x:v>AT</x:v>
      </x:c>
      <x:c r="G28" s="7" t="str">
        <x:v>2026-06-02</x:v>
      </x:c>
      <x:c r="H28" s="7"/>
      <x:c r="I28" s="7" t="str">
        <x:v>LUXOFRACTURA TOBILLO IZQDO</x:v>
      </x:c>
      <x:c r="J28" s="7" t="n">
        <x:v>7</x:v>
      </x:c>
      <x:c r="K28" s="7"/>
      <x:c r="L28" s="7"/>
      <x:c r="M28" s="7"/>
    </x:row>
    <x:row r="29">
      <x:c r="A29" s="7" t="str">
        <x:v>Activo</x:v>
      </x:c>
      <x:c r="B29" s="7" t="str">
        <x:v>No</x:v>
      </x:c>
      <x:c r="C29" s="7" t="n">
        <x:v>8186</x:v>
      </x:c>
      <x:c r="D29" s="7" t="str">
        <x:v>MATARESE PABLO GASTON</x:v>
      </x:c>
      <x:c r="E29" s="7" t="str">
        <x:v>Depto. Mecánica</x:v>
      </x:c>
      <x:c r="F29" s="7" t="str">
        <x:v>AI</x:v>
      </x:c>
      <x:c r="G29" s="7" t="str">
        <x:v>2026-06-10</x:v>
      </x:c>
      <x:c r="H29" s="7"/>
      <x:c r="I29" s="7" t="str">
        <x:v>DESGARRO CUADRICEPS IZQDO</x:v>
      </x:c>
      <x:c r="J29" s="7" t="n">
        <x:v>7</x:v>
      </x:c>
      <x:c r="K29" s="7"/>
      <x:c r="L29" s="7"/>
      <x:c r="M29" s="7"/>
    </x:row>
    <x:row r="30">
      <x:c r="A30" s="7" t="str">
        <x:v>Activo</x:v>
      </x:c>
      <x:c r="B30" s="7" t="str">
        <x:v>No</x:v>
      </x:c>
      <x:c r="C30" s="7" t="n">
        <x:v>8889</x:v>
      </x:c>
      <x:c r="D30" s="7" t="str">
        <x:v>FERREYRA CRISTIAN GONZALO</x:v>
      </x:c>
      <x:c r="E30" s="7" t="str">
        <x:v>Depto. Carenado</x:v>
      </x:c>
      <x:c r="F30" s="7" t="str">
        <x:v>AI</x:v>
      </x:c>
      <x:c r="G30" s="7" t="str">
        <x:v>2026-06-11</x:v>
      </x:c>
      <x:c r="H30" s="7"/>
      <x:c r="I30" s="7" t="str">
        <x:v>TX DE PIE DERECHO CON MOTO</x:v>
      </x:c>
      <x:c r="J30" s="7"/>
      <x:c r="K30" s="7"/>
      <x:c r="L30" s="7"/>
      <x:c r="M30" s="7"/>
    </x:row>
    <x:row r="31">
      <x:c r="A31" s="7" t="str">
        <x:v>Activo</x:v>
      </x:c>
      <x:c r="B31" s="7" t="str">
        <x:v>No</x:v>
      </x:c>
      <x:c r="C31" s="7" t="n">
        <x:v>8186</x:v>
      </x:c>
      <x:c r="D31" s="7" t="str">
        <x:v>MATARESE PABLO GASTON</x:v>
      </x:c>
      <x:c r="E31" s="7" t="str">
        <x:v>Depto. Mecánica</x:v>
      </x:c>
      <x:c r="F31" s="7" t="str">
        <x:v>AI</x:v>
      </x:c>
      <x:c r="G31" s="7" t="str">
        <x:v>2026-06-10</x:v>
      </x:c>
      <x:c r="H31" s="7"/>
      <x:c r="I31" s="7" t="str">
        <x:v>DESGARRO CUADRICEPS IZQDO</x:v>
      </x:c>
      <x:c r="J31" s="7"/>
      <x:c r="K31" s="7"/>
      <x:c r="L31" s="7"/>
      <x:c r="M31" s="7"/>
    </x:row>
  </x:sheetData>
  <x:pageMargins left="0.7" right="0.7" top="0.75" bottom="0.75" header="0.3" footer="0.3"/>
  <x:tableParts count="1">
    <x:tablePart xmlns:r="http://schemas.openxmlformats.org/officeDocument/2006/relationships" r:id="Rba2ac1fb0e6b4cc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28.75" hidden="0" customWidth="1"/>
    <x:col min="3" max="3" width="23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>
      <x:c r="A1" s="4" t="str">
        <x:v>Indicador ART</x:v>
      </x:c>
      <x:c r="B1" s="4" t="str">
        <x:v>Valor</x:v>
      </x:c>
      <x:c r="C1" s="4" t="str">
        <x:v>Criterio</x:v>
      </x:c>
      <x:c r="D1" s="4" t="str">
        <x:v>Comentario</x:v>
      </x:c>
    </x:row>
    <x:row r="2">
      <x:c r="A2" s="10" t="str">
        <x:v>Total casos denunciados</x:v>
      </x:c>
      <x:c r="B2" s="10" t="n">
        <x:v>29</x:v>
      </x:c>
      <x:c r="C2" s="10" t="str">
        <x:v>Caso unico por legajo-fecha-contingencia-diagnostico</x:v>
      </x:c>
      <x:c r="D2" s="10" t="str"/>
    </x:row>
    <x:row r="3">
      <x:c r="A3" s="10" t="str">
        <x:v>Casos rechazados</x:v>
      </x:c>
      <x:c r="B3" s="10" t="n">
        <x:v>11</x:v>
      </x:c>
      <x:c r="C3" s="10" t="str">
        <x:v>Observaciones contiene RECHAZO/RECHAZADO</x:v>
      </x:c>
      <x:c r="D3" s="10" t="str"/>
    </x:row>
    <x:row r="4">
      <x:c r="A4" s="10" t="str">
        <x:v>Casos AT</x:v>
      </x:c>
      <x:c r="B4" s="10" t="n">
        <x:v>19</x:v>
      </x:c>
      <x:c r="C4" s="10" t="str">
        <x:v>Contingencia = AT</x:v>
      </x:c>
      <x:c r="D4" s="10" t="str"/>
    </x:row>
    <x:row r="5">
      <x:c r="A5" s="10" t="str">
        <x:v>Casos AI</x:v>
      </x:c>
      <x:c r="B5" s="10" t="n">
        <x:v>9</x:v>
      </x:c>
      <x:c r="C5" s="10" t="str">
        <x:v>Contingencia = AI</x:v>
      </x:c>
      <x:c r="D5" s="10" t="str"/>
    </x:row>
    <x:row r="6">
      <x:c r="A6" s="10" t="str">
        <x:v>No rechazados activos</x:v>
      </x:c>
      <x:c r="B6" s="10" t="n">
        <x:v>5</x:v>
      </x:c>
      <x:c r="C6" s="10" t="str">
        <x:v>Sin rechazo y sin fecha de alta</x:v>
      </x:c>
      <x:c r="D6" s="10" t="str"/>
    </x:row>
    <x:row r="7">
      <x:c r="A7" s="10" t="str">
        <x:v>No rechazados cerrados</x:v>
      </x:c>
      <x:c r="B7" s="10" t="n">
        <x:v>13</x:v>
      </x:c>
      <x:c r="C7" s="10" t="str">
        <x:v>Sin rechazo y con fecha de alta</x:v>
      </x:c>
      <x:c r="D7" s="10" t="str"/>
    </x:row>
    <x:row r="8">
      <x:c r="A8" s="10" t="str">
        <x:v>ART activos reales</x:v>
      </x:c>
      <x:c r="B8" s="10" t="n">
        <x:v>5</x:v>
      </x:c>
      <x:c r="C8" s="10" t="str">
        <x:v>Sin fecha de alta, incluyendo rechazados si existieran</x:v>
      </x:c>
      <x:c r="D8" s="10" t="str"/>
    </x:row>
    <x:row r="9">
      <x:c r="A9" s="10" t="str">
        <x:v>Fuente</x:v>
      </x:c>
      <x:c r="B9" s="10" t="str">
        <x:v>Planilla Tandanor.xlsx</x:v>
      </x:c>
      <x:c r="C9" s="10" t="str">
        <x:v>Hoja ART</x:v>
      </x:c>
      <x:c r="D9" s="10" t="str"/>
    </x:row>
    <x:row r="12">
      <x:c r="A12" s="4" t="str">
        <x:v>Rank</x:v>
      </x:c>
      <x:c r="B12" s="4" t="str">
        <x:v>Sector AT</x:v>
      </x:c>
      <x:c r="C12" s="4" t="str">
        <x:v>Denunciados AT</x:v>
      </x:c>
      <x:c r="D12" s="4" t="str">
        <x:v>Rechazados</x:v>
      </x:c>
      <x:c r="E12" s="4" t="str">
        <x:v>Activos no rechazados</x:v>
      </x:c>
      <x:c r="F12" s="4" t="str">
        <x:v>Cerrados no rechazados</x:v>
      </x:c>
    </x:row>
    <x:row r="13">
      <x:c r="A13" s="7" t="n">
        <x:v>1</x:v>
      </x:c>
      <x:c r="B13" s="7" t="str">
        <x:v>Depto. Mecánica</x:v>
      </x:c>
      <x:c r="C13" s="7" t="n">
        <x:v>5</x:v>
      </x:c>
      <x:c r="D13" s="7" t="n">
        <x:v>2</x:v>
      </x:c>
      <x:c r="E13" s="7" t="n">
        <x:v>0</x:v>
      </x:c>
      <x:c r="F13" s="7" t="n">
        <x:v>3</x:v>
      </x:c>
    </x:row>
    <x:row r="14">
      <x:c r="A14" s="7" t="n">
        <x:v>2</x:v>
      </x:c>
      <x:c r="B14" s="7" t="str">
        <x:v>Depto. Maniobras y Transportes</x:v>
      </x:c>
      <x:c r="C14" s="7" t="n">
        <x:v>3</x:v>
      </x:c>
      <x:c r="D14" s="7" t="n">
        <x:v>2</x:v>
      </x:c>
      <x:c r="E14" s="7" t="n">
        <x:v>1</x:v>
      </x:c>
      <x:c r="F14" s="7" t="n">
        <x:v>0</x:v>
      </x:c>
    </x:row>
    <x:row r="15">
      <x:c r="A15" s="7" t="n">
        <x:v>3</x:v>
      </x:c>
      <x:c r="B15" s="7" t="str">
        <x:v>Depto. Casco y Acero</x:v>
      </x:c>
      <x:c r="C15" s="7" t="n">
        <x:v>3</x:v>
      </x:c>
      <x:c r="D15" s="7" t="n">
        <x:v>0</x:v>
      </x:c>
      <x:c r="E15" s="7" t="n">
        <x:v>0</x:v>
      </x:c>
      <x:c r="F15" s="7" t="n">
        <x:v>3</x:v>
      </x:c>
    </x:row>
    <x:row r="16">
      <x:c r="A16" s="7" t="n">
        <x:v>4</x:v>
      </x:c>
      <x:c r="B16" s="7" t="str">
        <x:v>Depto. Cobrería</x:v>
      </x:c>
      <x:c r="C16" s="7" t="n">
        <x:v>2</x:v>
      </x:c>
      <x:c r="D16" s="7" t="n">
        <x:v>1</x:v>
      </x:c>
      <x:c r="E16" s="7" t="n">
        <x:v>0</x:v>
      </x:c>
      <x:c r="F16" s="7" t="n">
        <x:v>1</x:v>
      </x:c>
    </x:row>
    <x:row r="17">
      <x:c r="A17" s="7" t="n">
        <x:v>5</x:v>
      </x:c>
      <x:c r="B17" s="7" t="str">
        <x:v>Depto. Servicios Generales</x:v>
      </x:c>
      <x:c r="C17" s="7" t="n">
        <x:v>2</x:v>
      </x:c>
      <x:c r="D17" s="7" t="n">
        <x:v>0</x:v>
      </x:c>
      <x:c r="E17" s="7" t="n">
        <x:v>1</x:v>
      </x:c>
      <x:c r="F17" s="7" t="n">
        <x:v>1</x:v>
      </x:c>
    </x:row>
    <x:row r="18">
      <x:c r="A18" s="7" t="n">
        <x:v>6</x:v>
      </x:c>
      <x:c r="B18" s="7" t="str">
        <x:v>Depto. Syncrolift</x:v>
      </x:c>
      <x:c r="C18" s="7" t="n">
        <x:v>1</x:v>
      </x:c>
      <x:c r="D18" s="7" t="n">
        <x:v>0</x:v>
      </x:c>
      <x:c r="E18" s="7" t="n">
        <x:v>0</x:v>
      </x:c>
      <x:c r="F18" s="7" t="n">
        <x:v>1</x:v>
      </x:c>
    </x:row>
    <x:row r="19">
      <x:c r="A19" s="7" t="n">
        <x:v>7</x:v>
      </x:c>
      <x:c r="B19" s="7" t="str">
        <x:v>Depto. Carenado</x:v>
      </x:c>
      <x:c r="C19" s="7" t="n">
        <x:v>1</x:v>
      </x:c>
      <x:c r="D19" s="7" t="n">
        <x:v>1</x:v>
      </x:c>
      <x:c r="E19" s="7" t="n">
        <x:v>0</x:v>
      </x:c>
      <x:c r="F19" s="7" t="n">
        <x:v>0</x:v>
      </x:c>
    </x:row>
    <x:row r="20">
      <x:c r="A20" s="7" t="n">
        <x:v>8</x:v>
      </x:c>
      <x:c r="B20" s="7" t="str">
        <x:v>Depto. Electricidad</x:v>
      </x:c>
      <x:c r="C20" s="7" t="n">
        <x:v>1</x:v>
      </x:c>
      <x:c r="D20" s="7" t="n">
        <x:v>1</x:v>
      </x:c>
      <x:c r="E20" s="7" t="n">
        <x:v>0</x:v>
      </x:c>
      <x:c r="F20" s="7" t="n">
        <x:v>0</x:v>
      </x:c>
    </x:row>
    <x:row r="21">
      <x:c r="A21" s="7" t="n">
        <x:v>9</x:v>
      </x:c>
      <x:c r="B21" s="7" t="str">
        <x:v>Depto. Capital Humano</x:v>
      </x:c>
      <x:c r="C21" s="7" t="n">
        <x:v>1</x:v>
      </x:c>
      <x:c r="D21" s="7" t="n">
        <x:v>0</x:v>
      </x:c>
      <x:c r="E21" s="7" t="n">
        <x:v>0</x:v>
      </x:c>
      <x:c r="F21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8ca3186e702470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.5" hidden="0" customWidth="1"/>
    <x:col min="3" max="3" width="23.75" hidden="0" customWidth="1"/>
    <x:col min="4" max="4" width="52.5" hidden="0" customWidth="1"/>
  </x:cols>
  <x:sheetData>
    <x:row r="1">
      <x:c r="A1" s="4" t="str">
        <x:v>Tema</x:v>
      </x:c>
      <x:c r="B1" s="4" t="str">
        <x:v>Criterio</x:v>
      </x:c>
      <x:c r="C1" s="4" t="str">
        <x:v>Uso</x:v>
      </x:c>
      <x:c r="D1" s="4" t="str">
        <x:v>Observacion</x:v>
      </x:c>
    </x:row>
    <x:row r="2">
      <x:c r="A2" s="7" t="str">
        <x:v>Ausentismo medico</x:v>
      </x:c>
      <x:c r="B2" s="7" t="str">
        <x:v>(Enfermedad + Accidentes/ART) / horas teoricas</x:v>
      </x:c>
      <x:c r="C2" s="7" t="str">
        <x:v>KPI principal</x:v>
      </x:c>
      <x:c r="D2" s="7" t="str">
        <x:v>No usa horas extras como denominador</x:v>
      </x:c>
    </x:row>
    <x:row r="3">
      <x:c r="A3" s="7" t="str">
        <x:v>Ausentismo total s/vac.</x:v>
      </x:c>
      <x:c r="B3" s="7" t="str">
        <x:v>Total ausentismo RRHH sin licencia anual / horas teoricas</x:v>
      </x:c>
      <x:c r="C3" s="7" t="str">
        <x:v>Comparativo principal</x:v>
      </x:c>
      <x:c r="D3" s="7" t="str">
        <x:v>Comparable con gestion operativa</x:v>
      </x:c>
    </x:row>
    <x:row r="4">
      <x:c r="A4" s="7" t="str">
        <x:v>Ausentismo total c/vac.</x:v>
      </x:c>
      <x:c r="B4" s="7" t="str">
        <x:v>Total ausentismo RRHH con licencia anual / horas teoricas</x:v>
      </x:c>
      <x:c r="C4" s="7" t="str">
        <x:v>Referencia secundaria</x:v>
      </x:c>
      <x:c r="D4" s="7" t="str">
        <x:v>Vacaciones no son problema sanitario gestionable</x:v>
      </x:c>
    </x:row>
    <x:row r="5">
      <x:c r="A5" s="7" t="str">
        <x:v>Participacion medica</x:v>
      </x:c>
      <x:c r="B5" s="7" t="str">
        <x:v>Hs medicas / hs ausentismo total s/vac.</x:v>
      </x:c>
      <x:c r="C5" s="7" t="str">
        <x:v>Peso del problema medico</x:v>
      </x:c>
      <x:c r="D5" s="7" t="str">
        <x:v>Ayuda a explicar cuanto del ausentismo cae en gestion medica</x:v>
      </x:c>
    </x:row>
    <x:row r="6">
      <x:c r="A6" s="7" t="str">
        <x:v>Actividad servicio</x:v>
      </x:c>
      <x:c r="B6" s="7" t="str">
        <x:v>Atenciones y licencias de Planilla Tandanor</x:v>
      </x:c>
      <x:c r="C6" s="7" t="str">
        <x:v>Carga asistencial</x:v>
      </x:c>
      <x:c r="D6" s="7" t="str">
        <x:v>Agregado mensual, sin nombres en dashboard</x:v>
      </x:c>
    </x:row>
    <x:row r="7">
      <x:c r="A7" s="7" t="str">
        <x:v>BP</x:v>
      </x:c>
      <x:c r="B7" s="7" t="str">
        <x:v>Casos en hoja BP</x:v>
      </x:c>
      <x:c r="C7" s="7" t="str">
        <x:v>Seguimiento prolongados</x:v>
      </x:c>
      <x:c r="D7" s="7" t="str">
        <x:v>Contiene datos sensibles en hoja soporte</x:v>
      </x:c>
    </x:row>
    <x:row r="8">
      <x:c r="A8" s="7" t="str">
        <x:v>ART</x:v>
      </x:c>
      <x:c r="B8" s="7" t="str">
        <x:v>Denunciados, rechazados, AI/AT, activos y cerrados</x:v>
      </x:c>
      <x:c r="C8" s="7" t="str">
        <x:v>Seguimiento contingencias</x:v>
      </x:c>
      <x:c r="D8" s="7" t="str">
        <x:v>Rechazado se detecta por observaciones con RECHAZO/RECHAZADO</x:v>
      </x:c>
    </x:row>
    <x:row r="9">
      <x:c r="A9" s="7" t="str">
        <x:v>Ranking sectores</x:v>
      </x:c>
      <x:c r="B9" s="7" t="str">
        <x:v>Enfermedad + accidentes por sector</x:v>
      </x:c>
      <x:c r="C9" s="7" t="str">
        <x:v>Intervenciones focalizadas</x:v>
      </x:c>
      <x:c r="D9" s="7" t="str">
        <x:v>Tomado de Indice mensual cuando esta disponible</x:v>
      </x:c>
    </x:row>
    <x:row r="10">
      <x:c r="A10" s="7" t="str">
        <x:v>Fuentes</x:v>
      </x:c>
      <x:c r="B10" s="7" t="str">
        <x:v>Indicador Ausentismo ENERO (1).xlsx; Indicador Ausentismo febrero.xlsx; Indicador Ausentismo marzo.xlsx; Indicador Ausentismo abril.xlsx; Indice marzo 2026.xlsx; Indice abril 2026.xlsx; Planilla Tandanor.xlsx</x:v>
      </x:c>
      <x:c r="C10" s="7" t="str">
        <x:v>Trazabilidad</x:v>
      </x:c>
      <x:c r="D10" s="7" t="str">
        <x:v>Generado 2026-06-17</x:v>
      </x:c>
    </x:row>
  </x:sheetData>
  <x:pageMargins left="0.7" right="0.7" top="0.75" bottom="0.75" header="0.3" footer="0.3"/>
</x:worksheet>
</file>