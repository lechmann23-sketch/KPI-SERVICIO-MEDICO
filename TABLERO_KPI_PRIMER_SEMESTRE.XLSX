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integral" sheetId="1" r:id="rId1"/>
    <sheet name="Actividad 1S" sheetId="2" r:id="rId2"/>
    <sheet name="Seguimiento BP" sheetId="3" r:id="rId3"/>
    <sheet name="ART y rechazos" sheetId="4" r:id="rId4"/>
    <sheet name="Patologías generales" sheetId="5" r:id="rId5"/>
    <sheet name="Patologías por sector" sheetId="6" r:id="rId6"/>
    <sheet name="Detalle clínico sectorial" sheetId="7" r:id="rId7"/>
    <sheet name="Prevención realizada" sheetId="8" r:id="rId8"/>
    <sheet name="Registro de accidentes" sheetId="9" r:id="rId9"/>
    <sheet name="Ausentismo 1S" sheetId="10" r:id="rId10"/>
    <sheet name="Sectores RRHH" sheetId="11" r:id="rId11"/>
    <sheet name="Fuentes y criterios" sheetId="12" r:id="rId12"/>
    <sheet name="Comparación ART 9 meses" sheetId="13" r:id="rId13"/>
  </sheets>
  <definedNames>
    <definedName name="_xlnm._FilterDatabase" localSheetId="6" hidden="1">'Detalle clínico sectorial'!$A$5:$E$44</definedName>
    <definedName name="_xlnm._FilterDatabase" localSheetId="10" hidden="1">'Sectores RRHH'!$A$5:$F$48</definedName>
    <definedName name="_xlnm.Print_Area" localSheetId="1">'Actividad 1S'!$A$1:$H$48</definedName>
    <definedName name="_xlnm.Print_Area" localSheetId="3">'ART y rechazos'!$A$1:$F$43</definedName>
    <definedName name="_xlnm.Print_Area" localSheetId="9">'Ausentismo 1S'!$A$1:$G$43</definedName>
    <definedName name="_xlnm.Print_Area" localSheetId="12">'Comparación ART 9 meses'!$A$1:$E$41</definedName>
    <definedName name="_xlnm.Print_Area" localSheetId="0">'Dashboard integral'!$A$1:$P$42</definedName>
    <definedName name="_xlnm.Print_Area" localSheetId="6">'Detalle clínico sectorial'!$A$1:$E$49</definedName>
    <definedName name="_xlnm.Print_Area" localSheetId="11">'Fuentes y criterios'!$A$1:$D$28</definedName>
    <definedName name="_xlnm.Print_Area" localSheetId="4">'Patologías generales'!$A$1:$E$44</definedName>
    <definedName name="_xlnm.Print_Area" localSheetId="5">'Patologías por sector'!$A$1:$F$22</definedName>
    <definedName name="_xlnm.Print_Area" localSheetId="7">'Prevención realizada'!$A$1:$E$31</definedName>
    <definedName name="_xlnm.Print_Area" localSheetId="8">'Registro de accidentes'!$A$1:$F$40</definedName>
    <definedName name="_xlnm.Print_Area" localSheetId="10">'Sectores RRHH'!$A$1:$F$54</definedName>
    <definedName name="_xlnm.Print_Area" localSheetId="2">'Seguimiento BP'!$A$1:$F$39</definedName>
    <definedName name="_xlnm.Print_Titles" localSheetId="1">'Actividad 1S'!$1:$4</definedName>
    <definedName name="_xlnm.Print_Titles" localSheetId="3">'ART y rechazos'!$1:$4</definedName>
    <definedName name="_xlnm.Print_Titles" localSheetId="9">'Ausentismo 1S'!$1:$4</definedName>
    <definedName name="_xlnm.Print_Titles" localSheetId="12">'Comparación ART 9 meses'!$1:$3</definedName>
    <definedName name="_xlnm.Print_Titles" localSheetId="0">'Dashboard integral'!$1:$4</definedName>
    <definedName name="_xlnm.Print_Titles" localSheetId="6">'Detalle clínico sectorial'!$1:$5</definedName>
    <definedName name="_xlnm.Print_Titles" localSheetId="11">'Fuentes y criterios'!$1:$4</definedName>
    <definedName name="_xlnm.Print_Titles" localSheetId="4">'Patologías generales'!$1:$4</definedName>
    <definedName name="_xlnm.Print_Titles" localSheetId="5">'Patologías por sector'!$1:$4</definedName>
    <definedName name="_xlnm.Print_Titles" localSheetId="7">'Prevención realizada'!$1:$4</definedName>
    <definedName name="_xlnm.Print_Titles" localSheetId="8">'Registro de accidentes'!$1:$4</definedName>
    <definedName name="_xlnm.Print_Titles" localSheetId="10">'Sectores RRHH'!$1:$5</definedName>
    <definedName name="_xlnm.Print_Titles" localSheetId="2">'Seguimiento BP'!$1:$4</definedName>
  </definedNames>
  <calcPr calcId="124519" fullCalcOnLoad="1"/>
</workbook>
</file>

<file path=xl/sharedStrings.xml><?xml version="1.0" encoding="utf-8"?>
<sst xmlns="http://schemas.openxmlformats.org/spreadsheetml/2006/main" count="555" uniqueCount="344">
  <si>
    <t>Gestión del Servicio Médico</t>
  </si>
  <si>
    <t>Resultados realizados · Primer semestre 2026 · Presentación para Dirección</t>
  </si>
  <si>
    <t>TANDANOR  |  SERVICIO MÉDICO  |  ENERO–JUNIO 2026</t>
  </si>
  <si>
    <t>ACTIVIDAD REGISTRADA</t>
  </si>
  <si>
    <t>registros propios · asistencia y administración</t>
  </si>
  <si>
    <t>ATENCIÓN CLÍNICA</t>
  </si>
  <si>
    <t>registros médicos y de enfermería</t>
  </si>
  <si>
    <t>VACUNAS APLICADAS</t>
  </si>
  <si>
    <t>aplicaciones totales confirmadas</t>
  </si>
  <si>
    <t>CAPACITACIÓN RCP Y DEA</t>
  </si>
  <si>
    <t>asistentes · actividad realizada</t>
  </si>
  <si>
    <t>SEGUIMIENTO BP</t>
  </si>
  <si>
    <t>episodios presentes en el semestre</t>
  </si>
  <si>
    <t>CASOS ART INICIADOS</t>
  </si>
  <si>
    <t>19 AT · 8 AI · 1 EP</t>
  </si>
  <si>
    <t>RECHAZOS ART CONSIGNADOS</t>
  </si>
  <si>
    <t>9 AT · 3 AI · 1 EP · casos iniciados 1S</t>
  </si>
  <si>
    <t>CONTROL DE BOTIQUINES</t>
  </si>
  <si>
    <t>botiquines con última revisión fechada 1S</t>
  </si>
  <si>
    <t>El semestre combina atención cotidiana, seguimiento de casos y prevención realizada. La gestión documentó 200 aplicaciones de vacunas y una capacitación de RCP y DEA con 20 asistentes.</t>
  </si>
  <si>
    <t>ART: 13 de los 28 casos iniciados en el semestre tienen rechazo consignado (46,4%). El desglose por contingencia permite mostrar este punto con claridad; el porcentaje describe la documentación disponible.</t>
  </si>
  <si>
    <t>Actividad asistencial y administrativa</t>
  </si>
  <si>
    <t>Registros por fecha real · Base actualizada · Contratistas en un registro separado</t>
  </si>
  <si>
    <t>Mes</t>
  </si>
  <si>
    <t>Total propio</t>
  </si>
  <si>
    <t>Enfermería</t>
  </si>
  <si>
    <t>Médica</t>
  </si>
  <si>
    <t>Administrativa</t>
  </si>
  <si>
    <t>Clínica</t>
  </si>
  <si>
    <t>Sin clasificar</t>
  </si>
  <si>
    <t>Contratistas</t>
  </si>
  <si>
    <t>Enero</t>
  </si>
  <si>
    <t>Febrero</t>
  </si>
  <si>
    <t>Marzo</t>
  </si>
  <si>
    <t>Abril</t>
  </si>
  <si>
    <t>Mayo</t>
  </si>
  <si>
    <t>Junio</t>
  </si>
  <si>
    <t>TOTAL 1S</t>
  </si>
  <si>
    <t>Cada fila es un registro. La cifra no representa consultas clínicas únicas: el total propio incluye 1.238 registros administrativos y 9 sin clasificación. Los 80 registros de contratistas no se suman al total propio.</t>
  </si>
  <si>
    <t>La base contiene 7 repeticiones exactas; excluyéndolas quedan 2.535 registros propios. Los conteos de personas se utilizan sólo como estimaciones internas de deduplicación.</t>
  </si>
  <si>
    <t>Actuaciones de licencias y cantidades de medicación consignadas</t>
  </si>
  <si>
    <t>Actuaciones con licencia</t>
  </si>
  <si>
    <t>Intervalos completos</t>
  </si>
  <si>
    <t>Comprimidos consignados</t>
  </si>
  <si>
    <t>Inyectables consignados</t>
  </si>
  <si>
    <t>Alcance</t>
  </si>
  <si>
    <t>Campos sin cantidad</t>
  </si>
  <si>
    <t>Registro parcial</t>
  </si>
  <si>
    <t>TOTAL CONSIGNADO</t>
  </si>
  <si>
    <t>Licencias: 1.694 actuaciones con campos de licencia; no son 1.694 licencias únicas. Se identifican 566 intervalos completos distintos. No se suman los días informados como horas perdidas.</t>
  </si>
  <si>
    <t>Medicación: 952 comprimidos y 59 inyectables consignados son cantidades parciales en AT. DIARIAS. Enero tiene campos vacíos, no consumo cero. No se vinculan a productos o stock ni se consideran consumo total del servicio.</t>
  </si>
  <si>
    <t>Fuente: Planilla Tandanor.xlsx · AT. DIARIAS y CONTRATISTAS · 01/01–30/06/2026.</t>
  </si>
  <si>
    <t>Seguimiento de bajas prolongadas</t>
  </si>
  <si>
    <t>Episodios administrativos presentes en enero–junio · Estado inferido al 30/06/2026</t>
  </si>
  <si>
    <t>Indicador</t>
  </si>
  <si>
    <t>Resultado</t>
  </si>
  <si>
    <t>Unidad</t>
  </si>
  <si>
    <t>Episodios seguidos</t>
  </si>
  <si>
    <t>episodios</t>
  </si>
  <si>
    <t>Presentes en 1S</t>
  </si>
  <si>
    <t>Arrastre inicial</t>
  </si>
  <si>
    <t>Abiertos al inicio</t>
  </si>
  <si>
    <t>Nuevos inicios</t>
  </si>
  <si>
    <t>Inicio en 1S</t>
  </si>
  <si>
    <t>Altas registradas</t>
  </si>
  <si>
    <t>Alta en 1S</t>
  </si>
  <si>
    <t>Activos al 30/06</t>
  </si>
  <si>
    <t>Abiertos al cierre</t>
  </si>
  <si>
    <t>Inicio del mes</t>
  </si>
  <si>
    <t>Activos fin de mes</t>
  </si>
  <si>
    <t>Balance</t>
  </si>
  <si>
    <t>Balance semestral: 8 de arrastre + 30 nuevos − 23 altas = 15 activos al 30/06. Las altas expresan cierre administrativo; no certifican recuperación ni cumplimiento de controles.</t>
  </si>
  <si>
    <t>Criterio: unión administrativa de intervalos superpuestos o contiguos por persona. Son 39 filas originales consolidadas en 38 episodios; no se certifica continuidad clínica. Fuente: Planilla Tandanor.xlsx · BP.</t>
  </si>
  <si>
    <t>ART: casos y rechazos consignados</t>
  </si>
  <si>
    <t>Foco en AT, AI y EP · Cohorte principal: casos con inicio entre el 01/01 y el 30/06/2026</t>
  </si>
  <si>
    <t>Contingencia</t>
  </si>
  <si>
    <t>Casos iniciados 1S</t>
  </si>
  <si>
    <t>Rechazo consignado</t>
  </si>
  <si>
    <t>Sin mención de rechazo</t>
  </si>
  <si>
    <t>Lectura documental</t>
  </si>
  <si>
    <t>Proporción</t>
  </si>
  <si>
    <t>AT · Trabajo</t>
  </si>
  <si>
    <t>9 de 19 casos</t>
  </si>
  <si>
    <t>AI · In itinere</t>
  </si>
  <si>
    <t>3 de 8 casos</t>
  </si>
  <si>
    <t>EP · Profesional</t>
  </si>
  <si>
    <t>1 de 1 casos</t>
  </si>
  <si>
    <t>1 de 1</t>
  </si>
  <si>
    <t>TOTAL COHORTE</t>
  </si>
  <si>
    <t>13 de 28 casos</t>
  </si>
  <si>
    <t>13 casos iniciados en 1S tienen rechazo consignado: 9 AT, 3 AI y 1 EP. El predominio de AT concentra el mayor volumen de esta problemática en el registro. La ausencia de mención de rechazo no demuestra aceptación.</t>
  </si>
  <si>
    <t>La fecha de inicio del caso delimita la cohorte. Las observaciones pueden contener fechas textuales; no equivalen a una resolución formal verificable ni permiten fechar los 13 rechazos como decisiones emitidas en el semestre.</t>
  </si>
  <si>
    <t>Seguimiento ART del semestre: cohorte presente y evolución mensual</t>
  </si>
  <si>
    <t>32 casos presentes = 4 de arrastre + 28 inicios. 26 altas registradas y 6 activos al 30/06. El arrastre se muestra aparte del denominador de rechazos de casos nuevos.</t>
  </si>
  <si>
    <t>Nuevos casos</t>
  </si>
  <si>
    <t>AT = accidente de trabajo · AI = accidente in itinere · EP = enfermedad profesional. Clasificación conservada de la fuente. Fuente: Planilla Tandanor.xlsx · ART. No se publican nombres, diagnósticos nominales ni motivos inferidos de rechazo.</t>
  </si>
  <si>
    <t>Patologías y motivos clínicos frecuentes</t>
  </si>
  <si>
    <t>Atención médica y de enfermería · Grupos amplios del motivo consignado · Registros, no prevalencia</t>
  </si>
  <si>
    <t>Grupo clínico</t>
  </si>
  <si>
    <t>Registros</t>
  </si>
  <si>
    <t>Personas estimadas</t>
  </si>
  <si>
    <t>% de registros clasificados</t>
  </si>
  <si>
    <t>Posición</t>
  </si>
  <si>
    <t>Musculoesqueléticos</t>
  </si>
  <si>
    <t>Digestivos</t>
  </si>
  <si>
    <t>Respiratorios y ORL</t>
  </si>
  <si>
    <t>Oculares</t>
  </si>
  <si>
    <t>Neurológicos y cefalea</t>
  </si>
  <si>
    <t>Traumatismos y heridas</t>
  </si>
  <si>
    <t>Dermatológicos y alérgicos</t>
  </si>
  <si>
    <t>Odontológicos</t>
  </si>
  <si>
    <t>Cardiovasculares</t>
  </si>
  <si>
    <t>Registros clasificados en grupo único</t>
  </si>
  <si>
    <t>Total de registros clínicos</t>
  </si>
  <si>
    <t>Predominan los motivos musculoesqueléticos (239 registros). El ranking describe la demanda atendida documentada; no identifica causalidad laboral ni mide prevalencia por dotación.</t>
  </si>
  <si>
    <t>De 1.295 registros clínicos. 832 se clasifican en un único grupo y 463 quedan fuera del ranking: prestaciones o controles sin patología consignada. textos no clasificables y motivos múltiples. Los porcentajes usan los 832 clasificados como denominador.</t>
  </si>
  <si>
    <t>Se muestran sólo grupos con al menos 5 registros y 5 personas estimadas. Una persona puede aportar varias atenciones y grupos; los conteos de personas por grupo no se suman. Fuente: Planilla Tandanor.xlsx · AT. DIARIAS · CONSULTA.</t>
  </si>
  <si>
    <t>Lectura clínica por sector</t>
  </si>
  <si>
    <t>Grupo más frecuente entre las celdas publicables de cada sector · Departamento consignado en la atención</t>
  </si>
  <si>
    <t>Sector</t>
  </si>
  <si>
    <t>Registros clínicos</t>
  </si>
  <si>
    <t>Clasificados</t>
  </si>
  <si>
    <t>Grupo predominante publicable</t>
  </si>
  <si>
    <t>Registros del grupo</t>
  </si>
  <si>
    <t>% de clasificados del sector</t>
  </si>
  <si>
    <t>CASCO Y ACERO</t>
  </si>
  <si>
    <t>MECANICA</t>
  </si>
  <si>
    <t>CARENADO</t>
  </si>
  <si>
    <t>SYNCROLIFT</t>
  </si>
  <si>
    <t>SERVICIOS GENERALES</t>
  </si>
  <si>
    <t>CAPITAL HUMANO</t>
  </si>
  <si>
    <t>ELECTRICIDAD</t>
  </si>
  <si>
    <t>COBRERIA</t>
  </si>
  <si>
    <t>BOMBEROS</t>
  </si>
  <si>
    <t>HIGIENE Y SEGURIDAD INDUSTRIAL</t>
  </si>
  <si>
    <t>La tabla permite describir diferencias en los motivos de atención por sector. “Predominante” se refiere al grupo de mayor frecuencia entre las celdas que cumplen el umbral de publicación; no permite afirmar que los puestos hayan causado esas patologías.</t>
  </si>
  <si>
    <t>Los porcentajes representan registros clasificados del sector. No son porcentajes de trabajadores enfermos. Las prestaciones sin patología y las celdas pequeñas no se confunden con cero. El detalle completo publicable está en la hoja “Detalle clínico sectorial”.</t>
  </si>
  <si>
    <t>Umbral: cada celda sector–grupo publicada reúne ≥5 registros y ≥5 personas estimadas. Los sectores sin una celda que cumpla el umbral se conservan en el alcance agregado y no se desglosan por motivo.</t>
  </si>
  <si>
    <t>Detalle agregado de motivos por sector</t>
  </si>
  <si>
    <t>Celdas publicables · No contiene datos nominales ni filas individuales</t>
  </si>
  <si>
    <t>OTROS SECTORES Y SIN SECTOR</t>
  </si>
  <si>
    <t>Cada porcentaje utiliza todos los registros clasificados en grupo único del sector, antes de suprimir celdas pequeñas. La suma de celdas visibles puede ser menor que el total clasificado. “Otros sectores y sin sector” agrupa departamentos que no alcanzan el umbral y registros sin departamento.</t>
  </si>
  <si>
    <t>Se publican sólo grupos clínicos amplios y celdas de al menos 5 registros y 5 personas estimadas. Los conteos de personas por sector/grupo no son aditivos. Fuente: Planilla Tandanor.xlsx · AT. DIARIAS · fecha real de la atención.</t>
  </si>
  <si>
    <t>Prevención y preparación realizadas</t>
  </si>
  <si>
    <t>Resultados ejecutados del primer semestre · Aplicaciones, asistentes y controles documentados</t>
  </si>
  <si>
    <t>Resultado de gestión</t>
  </si>
  <si>
    <t>Cantidad</t>
  </si>
  <si>
    <t>Evidencia</t>
  </si>
  <si>
    <t>Vacunas aplicadas</t>
  </si>
  <si>
    <t>aplicaciones</t>
  </si>
  <si>
    <t>Total 1S confirmado por la responsable</t>
  </si>
  <si>
    <t>Confirmación de la responsable</t>
  </si>
  <si>
    <t>Capacitación RCP y DEA realizada</t>
  </si>
  <si>
    <t>asistentes</t>
  </si>
  <si>
    <t>Actividad realizada con 20 asistentes</t>
  </si>
  <si>
    <t>Botiquines con revisión fechada 1S</t>
  </si>
  <si>
    <t>botiquines</t>
  </si>
  <si>
    <t>Última revisión consignada entre enero y junio</t>
  </si>
  <si>
    <t>BOTIQUINES · fechas de revisión</t>
  </si>
  <si>
    <t>La prevención realizada aporta dos resultados concretos para Dirección: 200 aplicaciones de vacunas y una capacitación de RCP y uso de DEA a la que concurrieron 20 personas.</t>
  </si>
  <si>
    <t>Vacunación: se informa el total de aplicaciones confirmado. No se convierte en personas únicas, cobertura poblacional ni tipo de vacuna. Los registros parciales y las marcas del padrón no se suman a las 200 aplicaciones.</t>
  </si>
  <si>
    <t>Botiquines: evidencia de controles del primer semestre</t>
  </si>
  <si>
    <t>Mes de última revisión registrada</t>
  </si>
  <si>
    <t>Botiquines</t>
  </si>
  <si>
    <t>Criterio</t>
  </si>
  <si>
    <t>Última revisión fechada 1S</t>
  </si>
  <si>
    <t>TOTAL CON FECHA 1S</t>
  </si>
  <si>
    <t>Este indicador acredita 35 botiquines con una última revisión registrada en el semestre. No representa el número total de recorridos de planta ni certifica disponibilidad histórica del equipamiento.</t>
  </si>
  <si>
    <t>RCP y DEA: la confirmación de realización y asistencia de la responsable reemplaza la lectura anterior del campo de asistencia sin completar. No se interpreta el número de asistentes como personal certificado o cobertura de toda la dotación.</t>
  </si>
  <si>
    <t>Fuentes: confirmaciones de la responsable del Servicio Médico del 07/10/2026; Copia de Control_Completo_Servicio_Medico_Astillero2.xlsx · BOTIQUINES · F2:F37. Sólo se incorporan resultados realizados del semestre.</t>
  </si>
  <si>
    <t>Accidentología documentada del semestre</t>
  </si>
  <si>
    <t>Registro preventivo separado del seguimiento ART · Eventos fechados en enero–junio</t>
  </si>
  <si>
    <t>Eventos</t>
  </si>
  <si>
    <t>Tandanor</t>
  </si>
  <si>
    <t>Otros empleadores</t>
  </si>
  <si>
    <t>Derivación ART consignada</t>
  </si>
  <si>
    <t>Lectura</t>
  </si>
  <si>
    <t>Registro de eventos</t>
  </si>
  <si>
    <t>Se documentaron 23 eventos: 15 correspondientes a Tandanor y 8 a otros empleadores. De ellos, 15 tienen derivación ART consignada. La derivación y el seguimiento ART describen etapas distintas y no se suman entre sí.</t>
  </si>
  <si>
    <t>El registro incluye distintas personas y empleadores. Los 23 eventos no constituyen una tasa de incidencia por dotación ni equivalen a los 28 casos ART iniciados. No se asume que todo evento haya sido aceptado por la ART o haya generado baja.</t>
  </si>
  <si>
    <t>Fuente: Copia de Control_Completo_Servicio_Medico_Astillero2.xlsx · Registro Accidentes · fechas 01/01–30/06/2026. Los eventos fechados después del semestre se excluyen.</t>
  </si>
  <si>
    <t>Ausentismo médico: evolución y contexto</t>
  </si>
  <si>
    <t>Información de RRHH · Enfermedad + ART sobre horas teóricas · Primer semestre 2026 y comparación 2025</t>
  </si>
  <si>
    <t>Horas teóricas 2026</t>
  </si>
  <si>
    <t>Horas enfermedad</t>
  </si>
  <si>
    <t>Horas ART</t>
  </si>
  <si>
    <t>Horas médicas</t>
  </si>
  <si>
    <t>Tasa médica 2026</t>
  </si>
  <si>
    <t>Tasa médica 2025</t>
  </si>
  <si>
    <t>TOTAL 1S 2026</t>
  </si>
  <si>
    <t>Comparación 1S</t>
  </si>
  <si>
    <t>Horas teóricas</t>
  </si>
  <si>
    <t>Tasa médica</t>
  </si>
  <si>
    <t>La tasa médica ponderada fue 4,72% frente a 3,92% en 1S2025: +0,795 puntos porcentuales. Se registraron 18.895 horas médicas, 3.166 más que en 1S2025. El dato permite contextualizar la demanda y el seguimiento; no demuestra una causa ni mide por sí solo el desempeño del servicio.</t>
  </si>
  <si>
    <t>La tasa semestral es la suma de horas médicas / suma de horas teóricas; no el promedio simple de porcentajes. BP ya forma parte de enfermedad y no se agrega otra vez. No se convierten días calendario de BP en horas laborables.</t>
  </si>
  <si>
    <t>Fuente: archivos mensuales Indicador Ausentismo de enero a junio · Relaciones Industriales. Comparación médica 2025 recalculada desde horas, sin utilizar tasas totales inconsistentes de otros componentes.</t>
  </si>
  <si>
    <t>Ausentismo médico por sector</t>
  </si>
  <si>
    <t>Horas perdidas y tasa sobre horas teóricas · Universo RRHH · No equivale al ranking clínico por motivo</t>
  </si>
  <si>
    <t>Enfermedad</t>
  </si>
  <si>
    <t>ART</t>
  </si>
  <si>
    <t>MANTENIMIENTO</t>
  </si>
  <si>
    <t>MANIOBRAS Y TRANSPORTES</t>
  </si>
  <si>
    <t>CONTROL PATRIMONIAL</t>
  </si>
  <si>
    <t>SERVICIO COMEDOR</t>
  </si>
  <si>
    <t>MESA DE ENTRADA</t>
  </si>
  <si>
    <t>HABITABILIDAD</t>
  </si>
  <si>
    <t>DE COMPRAS Y CONTRATACIONES</t>
  </si>
  <si>
    <t>INTENDENCIA</t>
  </si>
  <si>
    <t>RELACIONES INSTITUCIONALES</t>
  </si>
  <si>
    <t>JEFATURA DE PROYECTOS</t>
  </si>
  <si>
    <t>JEFATURA DE REPARACIONES</t>
  </si>
  <si>
    <t>DE PRODUCCION</t>
  </si>
  <si>
    <t>ADMINISTRACION Y FINANZAS</t>
  </si>
  <si>
    <t>ALMACENES</t>
  </si>
  <si>
    <t>JEFATURA DE BUQUES</t>
  </si>
  <si>
    <t>CONTROL DE CALIDAD</t>
  </si>
  <si>
    <t>, BOMBEROS</t>
  </si>
  <si>
    <t>COMERCIAL</t>
  </si>
  <si>
    <t>CONTROL DE CONTRATISTAS</t>
  </si>
  <si>
    <t>SERVICIO MEDICO</t>
  </si>
  <si>
    <t>UNIDAD DE AUDITORIA INTERNA</t>
  </si>
  <si>
    <t>DIRECTORIO</t>
  </si>
  <si>
    <t>DIRECCION DE ADMINISTRACION</t>
  </si>
  <si>
    <t>ASUNTOS LEGALES</t>
  </si>
  <si>
    <t>CONTROL DE GESTION</t>
  </si>
  <si>
    <t>DESARROLLO TECNOLOGICO</t>
  </si>
  <si>
    <t>DE INGENIERIA</t>
  </si>
  <si>
    <t>COMPRAS Y CONTRATACIONES</t>
  </si>
  <si>
    <t>METALMECANICA Y GESTION DE MATERI</t>
  </si>
  <si>
    <t>GESTION DE CALIDAD</t>
  </si>
  <si>
    <t>DIRECCION DE OPERACIONES</t>
  </si>
  <si>
    <t>COORDINACION DE OPERACIONES</t>
  </si>
  <si>
    <t>DIRECCION GENERAL</t>
  </si>
  <si>
    <t>PLANIFICACION Y MANTENIMIENTO</t>
  </si>
  <si>
    <t>TOTAL SECTORES</t>
  </si>
  <si>
    <t>Mecánica, Casco y Acero y Cobrería reúnen 10.133 horas médicas (53,6% del total). El volumen de horas y la tasa por sector responden preguntas diferentes: la frecuencia de motivos clínicos se presenta en sus propias hojas.</t>
  </si>
  <si>
    <t>Los rótulos RRHH pueden diferir de los departamentos del registro clínico. Se conservan los agregados de la fuente sin asignar patologías individuales ni unir universos. Las horas sectoriales concilian con las horas médicas mensuales.</t>
  </si>
  <si>
    <t>Fuentes y criterios de lectura</t>
  </si>
  <si>
    <t>Trazabilidad de resultados agregados · Corte 30/06/2026 · Actualización 08/10/2026</t>
  </si>
  <si>
    <t>Dimensión</t>
  </si>
  <si>
    <t>Fuente</t>
  </si>
  <si>
    <t>Unidad / período</t>
  </si>
  <si>
    <t>Criterio de cálculo y lectura</t>
  </si>
  <si>
    <t>Actividad propia</t>
  </si>
  <si>
    <t>Planilla Tandanor.xlsx · AT. DIARIAS</t>
  </si>
  <si>
    <t>Registro con fecha entre 01/01 y 30/06</t>
  </si>
  <si>
    <t>2542 registros: médica, enfermería, administrativa y sin clasificar. La copia actualizada reemplaza a la anterior.</t>
  </si>
  <si>
    <t>Planilla Tandanor.xlsx · CONTRATISTAS</t>
  </si>
  <si>
    <t>Registro fechado en 1S</t>
  </si>
  <si>
    <t>80 registros separados de la actividad propia. No se suman personas entre universos.</t>
  </si>
  <si>
    <t>Seguimiento BP</t>
  </si>
  <si>
    <t>Planilla Tandanor.xlsx · BP</t>
  </si>
  <si>
    <t>Episodio administrativo presente en 1S</t>
  </si>
  <si>
    <t>Unión de intervalos superpuestos o contiguos por persona. 8 de arrastre + 30 inicios − 23 altas = 15 activos.</t>
  </si>
  <si>
    <t>ART y rechazos</t>
  </si>
  <si>
    <t>Planilla Tandanor.xlsx · ART</t>
  </si>
  <si>
    <t>Caso administrativo; cohorte con inicio 1S</t>
  </si>
  <si>
    <t>28 inicios y 13 rechazos consignados. Fecha de inicio no es fecha de decisión. Sin mención de rechazo no equivale a aceptación.</t>
  </si>
  <si>
    <t>Patologías y motivos</t>
  </si>
  <si>
    <t>Registros médicos y de enfermería</t>
  </si>
  <si>
    <t>Grupos amplios a partir de CONSULTA. Porcentajes sobre registros clasificados en grupo único, sin inferir diagnóstico definitivo o causa laboral.</t>
  </si>
  <si>
    <t>Patologías por sector</t>
  </si>
  <si>
    <t>Departamento consignado en cada atención</t>
  </si>
  <si>
    <t>Celda sector–grupo</t>
  </si>
  <si>
    <t>Sólo celdas con ≥5 registros y ≥5 personas estimadas. Los conteos de personas no se suman entre grupos/sectores.</t>
  </si>
  <si>
    <t>Vacunación</t>
  </si>
  <si>
    <t>Confirmación de la responsable · 07/10/2026</t>
  </si>
  <si>
    <t>200 aplicaciones durante 1S</t>
  </si>
  <si>
    <t>Total confirmado. No equivale a personas únicas, cobertura o tipo de vacuna. Los registros parciales no se agregan al total.</t>
  </si>
  <si>
    <t>RCP y DEA</t>
  </si>
  <si>
    <t>20 asistentes a actividad realizada</t>
  </si>
  <si>
    <t>La responsable confirma ejecución y concurrencia. No se interpreta como certificación o cobertura de toda la dotación.</t>
  </si>
  <si>
    <t>Control Completo · BOTIQUINES · F2:F37</t>
  </si>
  <si>
    <t>Botiquín con última revisión fechada 1S</t>
  </si>
  <si>
    <t>35 botiquines. Evidencia de control documentado, no número de recorridos ni disponibilidad histórica.</t>
  </si>
  <si>
    <t>Accidentes</t>
  </si>
  <si>
    <t>Control Completo · Registro Accidentes</t>
  </si>
  <si>
    <t>Evento fechado en 1S</t>
  </si>
  <si>
    <t>23 eventos: 15 Tandanor y 8 otros empleadores. Se mantiene separado de la cohorte ART.</t>
  </si>
  <si>
    <t>Licencias y medicación</t>
  </si>
  <si>
    <t>Actuaciones y cantidades consignadas</t>
  </si>
  <si>
    <t>Licencias pueden repetir un intervalo; no equivalen a bajas únicas. Medicación parcial sin producto: 952 comprimidos y 59 inyectables; campos vacíos no son cero.</t>
  </si>
  <si>
    <t>Ausentismo</t>
  </si>
  <si>
    <t>Indicador Ausentismo · enero a junio</t>
  </si>
  <si>
    <t>Horas RRHH y tasa ponderada</t>
  </si>
  <si>
    <t>(Horas enfermedad + ART) / horas teóricas. BP incluido en enfermedad. Comparación 2025 recalculada con horas.</t>
  </si>
  <si>
    <t>Sectores RRHH</t>
  </si>
  <si>
    <t>Índice mensual · enero a junio</t>
  </si>
  <si>
    <t>Horas y tasas por sector</t>
  </si>
  <si>
    <t>Horas médicas sectoriales conciliadas con RRHH. Etiquetas conservadas del agregado auditado; no cruce nominal con motivos clínicos.</t>
  </si>
  <si>
    <t>Comparación ART · anexo</t>
  </si>
  <si>
    <t>Informes originales Provincia ART 2025/2026 + Planilla · ART</t>
  </si>
  <si>
    <t>Sólo siniestralidad: enero–septiembre</t>
  </si>
  <si>
    <t>El comparativo se muestra separado de la gestión 1S. Denuncias ART e inicios administrativos propios corresponden a universos distintos.</t>
  </si>
  <si>
    <t>Gestión: resultados realizados y registros de enero–junio 2026. El anexo de siniestralidad compara enero–septiembre. La actualización permite revisar el estado administrativo al cierre; las observaciones pueden haberse incorporado después.</t>
  </si>
  <si>
    <t>Los datos se presentan agregados. No hay nombres, documentos, legajos, diagnósticos nominales, firmas ni filas individuales. No se publican celdas clínicas de grupos pequeños.</t>
  </si>
  <si>
    <t>Integridad de la fuente actualizada (SHA-256): d5d2c8abe148ca5c19c578ab6b2d93f8f9c6f88c1f6a4ce9dcdb725fc5ff3747</t>
  </si>
  <si>
    <t>Los archivos originales se conservan íntegros. El tablero visual elegido se usa como referencia de presentación; las cifras se recalculan desde las fuentes auditadas y las confirmaciones de la responsable.</t>
  </si>
  <si>
    <t>Siniestralidad: comparación de fuentes</t>
  </si>
  <si>
    <t>Anexo independiente · Sólo siniestralidad de enero–septiembre · La gestión del tablero mantiene enero–junio</t>
  </si>
  <si>
    <t>TANDANOR  |  SERVICIO MÉDICO  |  ENERO–SEPTIEMBRE 2025 Y 2026</t>
  </si>
  <si>
    <t>Provincia ART · Comparativo enero–septiembre 2025 y 2026</t>
  </si>
  <si>
    <t>Indicador ART</t>
  </si>
  <si>
    <t>Ene–sep 2025</t>
  </si>
  <si>
    <t>Ene–sep 2026</t>
  </si>
  <si>
    <t>Diferencia</t>
  </si>
  <si>
    <t>Lectura del indicador</t>
  </si>
  <si>
    <t>Denuncias registradas</t>
  </si>
  <si>
    <t>Universo de denuncias del informe ART</t>
  </si>
  <si>
    <t>Rechazos informados</t>
  </si>
  <si>
    <t>Rechazos del universo de denuncias ART</t>
  </si>
  <si>
    <t>Sin rechazo · gráfico por tipo</t>
  </si>
  <si>
    <t>Denuncias menos rechazos; total del gráfico</t>
  </si>
  <si>
    <t>Rechazos / denuncias</t>
  </si>
  <si>
    <t>Diferencia expresada en puntos porcentuales</t>
  </si>
  <si>
    <t>La ART informa 56 denuncias frente a 82 en 2025 (−31,7%). Los rechazos pasan de 16 a 25: representan 44,6% de las denuncias frente a 19,5% (+25,1 puntos porcentuales). Son resultados del universo ART; no se atribuyen causalmente a la gestión médica.</t>
  </si>
  <si>
    <t>Tipo sin rechazo · gráfico ART</t>
  </si>
  <si>
    <t>Clasificación conservada del informe</t>
  </si>
  <si>
    <t>Casos sin rechazo del gráfico por tipo</t>
  </si>
  <si>
    <t>Registro propio y Provincia ART · Enero–septiembre 2026</t>
  </si>
  <si>
    <t>Inicios / denuncias</t>
  </si>
  <si>
    <t>Rechazos / menciones</t>
  </si>
  <si>
    <t>Resto del universo</t>
  </si>
  <si>
    <t>Unidad y criterio de inclusión</t>
  </si>
  <si>
    <t>Planilla Tandanor · ART</t>
  </si>
  <si>
    <t>Inicios administrativos válidos; rechazo consignado en observaciones</t>
  </si>
  <si>
    <t>Informe Provincia ART</t>
  </si>
  <si>
    <t>Denuncias, rechazos y resto del gráfico del informe original</t>
  </si>
  <si>
    <t>La planilla contiene 39 inicios válidos y 14 menciones de rechazo; la ART informa 56 denuncias y 25 rechazos. Las diferencias agregadas (17 y 11) no demuestran casos omitidos: las fechas de inicio administrativo y los criterios de inclusión no están confirmados como equivalentes a la denuncia ART.</t>
  </si>
  <si>
    <t>Rechazos consignados en la planilla · Cohorte con inicio enero–septiembre</t>
  </si>
  <si>
    <t>Inicios válidos</t>
  </si>
  <si>
    <t>9 de 23 inicios con mención de rechazo</t>
  </si>
  <si>
    <t>3 de 12 inicios con mención de rechazo</t>
  </si>
  <si>
    <t>2 de 4 inicios con mención de rechazo</t>
  </si>
  <si>
    <t>TOTAL REGISTRO PROPIO</t>
  </si>
  <si>
    <t>El detalle propio separa 9 AT, 3 AI y 2 EP con rechazo consignado en inicios de enero–septiembre. Las observaciones no certifican la fecha ni el resultado de cada resolución. Sin mención de rechazo no equivale a aceptación.</t>
  </si>
  <si>
    <t>Bases y conciliación de los reportes</t>
  </si>
  <si>
    <t>Los originales ART presentan 66/31 casos sin rechazo en sus gráficos de 2025/2026 y 63/23 en las tablas mensuales. Las diferencias (3/8) coinciden con las recaídas informadas, pero la ART no confirma esa explicación. Se identifican las representaciones y se conserva la definición de cada una.</t>
  </si>
  <si>
    <t>Planilla: un registro con alta anterior al inicio se excluye del conteo válido. Los 28 inicios y 13 rechazos del primer semestre permanecen en “ART y rechazos”; esta hoja no los reemplaza ni se suma a ellos. Los índices referidos a 12 meses no se presentan como indicadores de nueve meses.</t>
  </si>
  <si>
    <t>Fuentes: informe-siniestral-202501-202509.pdf e informe-siniestral-202601-202609.pdf · Provincia ART; Planilla Tandanor.xlsx · ART. Informes ART emitidos el 07/10/2026 y recibidos el 08/10/2026. Sólo agregados: no hay datos nominales ni diagnósticos individuales.</t>
  </si>
  <si>
    <t>Lectura de resultados</t>
  </si>
  <si>
    <t>Atención: 947 registros de enfermería y 348 médicos, además de la gestión administrativa. Seguimiento: 38 episodios BP y 32 casos ART presentes en el semestre, con sus altas y estados al cierre documentados en las hojas de respaldo.</t>
  </si>
  <si>
    <t>Contexto RRHH: ausentismo médico ponderado 4,72% (3,92% en 1S2025). La tasa contextualiza la gestión sin atribuir causas. Los motivos clínicos por sector se muestran agrupados y protegen las celdas pequeñas.</t>
  </si>
  <si>
    <t>Vacunas y capacitación: resultados confirmados por la responsable. ART: rechazos consignados en casos iniciados en 1S; no se certifica la fecha de cada decisión. Botiquines: última revisión fechada en el semestre.</t>
  </si>
</sst>
</file>

<file path=xl/styles.xml><?xml version="1.0" encoding="utf-8"?>
<styleSheet xmlns="http://schemas.openxmlformats.org/spreadsheetml/2006/main">
  <numFmts count="4">
    <numFmt numFmtId="164" formatCode="#,##0"/>
    <numFmt numFmtId="165" formatCode="0.0%"/>
    <numFmt numFmtId="166" formatCode="0.00%"/>
    <numFmt numFmtId="167" formatCode="0.0"/>
  </numFmts>
  <fonts count="10">
    <font>
      <sz val="11"/>
      <color theme="1"/>
      <name val="Calibri"/>
      <family val="2"/>
      <scheme val="minor"/>
    </font>
    <font>
      <b/>
      <sz val="22"/>
      <color rgb="FFFFFFFF"/>
      <name val="Calibri"/>
      <family val="2"/>
      <scheme val="minor"/>
    </font>
    <font>
      <sz val="11"/>
      <color rgb="FF607481"/>
      <name val="Calibri"/>
      <family val="2"/>
      <scheme val="minor"/>
    </font>
    <font>
      <sz val="10"/>
      <color rgb="FF607481"/>
      <name val="Calibri"/>
      <family val="2"/>
      <scheme val="minor"/>
    </font>
    <font>
      <b/>
      <sz val="10"/>
      <color rgb="FFFFFFFF"/>
      <name val="Calibri"/>
      <family val="2"/>
      <scheme val="minor"/>
    </font>
    <font>
      <b/>
      <sz val="29"/>
      <color rgb="FF17354D"/>
      <name val="Calibri"/>
      <family val="2"/>
      <scheme val="minor"/>
    </font>
    <font>
      <sz val="12"/>
      <color rgb="FF203D4C"/>
      <name val="Calibri"/>
      <family val="2"/>
      <scheme val="minor"/>
    </font>
    <font>
      <b/>
      <sz val="11"/>
      <color rgb="FFFFFFFF"/>
      <name val="Calibri"/>
      <family val="2"/>
      <scheme val="minor"/>
    </font>
    <font>
      <sz val="11"/>
      <color rgb="FF203D4C"/>
      <name val="Calibri"/>
      <family val="2"/>
      <scheme val="minor"/>
    </font>
    <font>
      <b/>
      <sz val="11"/>
      <color rgb="FF203D4C"/>
      <name val="Calibri"/>
      <family val="2"/>
      <scheme val="minor"/>
    </font>
  </fonts>
  <fills count="6">
    <fill>
      <patternFill patternType="none"/>
    </fill>
    <fill>
      <patternFill patternType="gray125"/>
    </fill>
    <fill>
      <patternFill patternType="solid">
        <fgColor rgb="FF17354D"/>
        <bgColor indexed="64"/>
      </patternFill>
    </fill>
    <fill>
      <patternFill patternType="solid">
        <fgColor rgb="FF007E80"/>
        <bgColor indexed="64"/>
      </patternFill>
    </fill>
    <fill>
      <patternFill patternType="solid">
        <fgColor rgb="FFEDF5F7"/>
        <bgColor indexed="64"/>
      </patternFill>
    </fill>
    <fill>
      <patternFill patternType="solid">
        <fgColor rgb="FFFFFFFF"/>
        <bgColor indexed="64"/>
      </patternFill>
    </fill>
  </fills>
  <borders count="2">
    <border>
      <left/>
      <right/>
      <top/>
      <bottom/>
      <diagonal/>
    </border>
    <border>
      <left/>
      <right/>
      <top style="thin">
        <color rgb="FF007E80"/>
      </top>
      <bottom/>
      <diagonal/>
    </border>
  </borders>
  <cellStyleXfs count="1">
    <xf numFmtId="0" fontId="0" fillId="0" borderId="0"/>
  </cellStyleXfs>
  <cellXfs count="21">
    <xf numFmtId="0" fontId="0" fillId="0" borderId="0" xfId="0"/>
    <xf numFmtId="0" fontId="1" fillId="2" borderId="0" xfId="0" applyFont="1" applyFill="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4" fillId="3" borderId="0" xfId="0" applyFont="1" applyFill="1" applyAlignment="1">
      <alignment horizontal="center" vertical="center" wrapText="1"/>
    </xf>
    <xf numFmtId="164" fontId="5" fillId="4" borderId="0" xfId="0" applyNumberFormat="1" applyFont="1" applyFill="1" applyAlignment="1">
      <alignment horizontal="center" vertical="center"/>
    </xf>
    <xf numFmtId="0" fontId="3" fillId="4" borderId="0" xfId="0" applyFont="1" applyFill="1" applyAlignment="1">
      <alignment horizontal="center" vertical="center" wrapText="1"/>
    </xf>
    <xf numFmtId="0" fontId="6" fillId="4" borderId="0" xfId="0" applyFont="1" applyFill="1" applyAlignment="1">
      <alignment vertical="center" wrapText="1"/>
    </xf>
    <xf numFmtId="0" fontId="7" fillId="3" borderId="0" xfId="0" applyFont="1" applyFill="1" applyAlignment="1">
      <alignment vertical="center"/>
    </xf>
    <xf numFmtId="0" fontId="7" fillId="2" borderId="0" xfId="0" applyFont="1" applyFill="1" applyAlignment="1">
      <alignment vertical="center" wrapText="1"/>
    </xf>
    <xf numFmtId="0" fontId="8" fillId="4" borderId="0" xfId="0" applyFont="1" applyFill="1" applyAlignment="1">
      <alignment vertical="center" wrapText="1"/>
    </xf>
    <xf numFmtId="164" fontId="8" fillId="4" borderId="0" xfId="0" applyNumberFormat="1" applyFont="1" applyFill="1" applyAlignment="1">
      <alignment vertical="center" wrapText="1"/>
    </xf>
    <xf numFmtId="0" fontId="8" fillId="5" borderId="0" xfId="0" applyFont="1" applyFill="1" applyAlignment="1">
      <alignment vertical="center" wrapText="1"/>
    </xf>
    <xf numFmtId="164" fontId="8" fillId="5" borderId="0" xfId="0" applyNumberFormat="1" applyFont="1" applyFill="1" applyAlignment="1">
      <alignment vertical="center" wrapText="1"/>
    </xf>
    <xf numFmtId="164" fontId="9" fillId="4" borderId="1" xfId="0" applyNumberFormat="1" applyFont="1" applyFill="1" applyBorder="1" applyAlignment="1">
      <alignment vertical="center"/>
    </xf>
    <xf numFmtId="165" fontId="8" fillId="4" borderId="0" xfId="0" applyNumberFormat="1" applyFont="1" applyFill="1" applyAlignment="1">
      <alignment vertical="center" wrapText="1"/>
    </xf>
    <xf numFmtId="165" fontId="8" fillId="5" borderId="0" xfId="0" applyNumberFormat="1" applyFont="1" applyFill="1" applyAlignment="1">
      <alignment vertical="center" wrapText="1"/>
    </xf>
    <xf numFmtId="166" fontId="9" fillId="4" borderId="1" xfId="0" applyNumberFormat="1" applyFont="1" applyFill="1" applyBorder="1" applyAlignment="1">
      <alignment vertical="center"/>
    </xf>
    <xf numFmtId="166" fontId="8" fillId="4" borderId="0" xfId="0" applyNumberFormat="1" applyFont="1" applyFill="1" applyAlignment="1">
      <alignment vertical="center" wrapText="1"/>
    </xf>
    <xf numFmtId="166" fontId="8" fillId="5" borderId="0" xfId="0" applyNumberFormat="1" applyFont="1" applyFill="1" applyAlignment="1">
      <alignment vertical="center" wrapText="1"/>
    </xf>
    <xf numFmtId="167" fontId="8" fillId="4" borderId="0" xfId="0" applyNumberFormat="1"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Actividad propia por mes</a:t>
            </a:r>
          </a:p>
        </c:rich>
      </c:tx>
      <c:layout/>
    </c:title>
    <c:plotArea>
      <c:layout/>
      <c:barChart>
        <c:barDir val="col"/>
        <c:grouping val="stacked"/>
        <c:ser>
          <c:idx val="0"/>
          <c:order val="0"/>
          <c:tx>
            <c:v>Enfermería</c:v>
          </c:tx>
          <c:spPr>
            <a:solidFill>
              <a:srgbClr val="007E80"/>
            </a:solidFill>
            <a:ln>
              <a:solidFill>
                <a:srgbClr val="007E80"/>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1S'!$C$6:$C$11</c:f>
              <c:numCache>
                <c:formatCode>General</c:formatCode>
                <c:ptCount val="6"/>
                <c:pt idx="0">
                  <c:v>181</c:v>
                </c:pt>
                <c:pt idx="1">
                  <c:v>103</c:v>
                </c:pt>
                <c:pt idx="2">
                  <c:v>148</c:v>
                </c:pt>
                <c:pt idx="3">
                  <c:v>156</c:v>
                </c:pt>
                <c:pt idx="4">
                  <c:v>161</c:v>
                </c:pt>
                <c:pt idx="5">
                  <c:v>198</c:v>
                </c:pt>
              </c:numCache>
            </c:numRef>
          </c:val>
        </c:ser>
        <c:ser>
          <c:idx val="1"/>
          <c:order val="1"/>
          <c:tx>
            <c:v>Médica</c:v>
          </c:tx>
          <c:spPr>
            <a:solidFill>
              <a:srgbClr val="17354D"/>
            </a:solidFill>
            <a:ln>
              <a:solidFill>
                <a:srgbClr val="17354D"/>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1S'!$D$6:$D$11</c:f>
              <c:numCache>
                <c:formatCode>General</c:formatCode>
                <c:ptCount val="6"/>
                <c:pt idx="0">
                  <c:v>41</c:v>
                </c:pt>
                <c:pt idx="1">
                  <c:v>60</c:v>
                </c:pt>
                <c:pt idx="2">
                  <c:v>75</c:v>
                </c:pt>
                <c:pt idx="3">
                  <c:v>64</c:v>
                </c:pt>
                <c:pt idx="4">
                  <c:v>65</c:v>
                </c:pt>
                <c:pt idx="5">
                  <c:v>43</c:v>
                </c:pt>
              </c:numCache>
            </c:numRef>
          </c:val>
        </c:ser>
        <c:ser>
          <c:idx val="2"/>
          <c:order val="2"/>
          <c:tx>
            <c:v>Administrativa</c:v>
          </c:tx>
          <c:spPr>
            <a:solidFill>
              <a:srgbClr val="5B7FA3"/>
            </a:solidFill>
            <a:ln>
              <a:solidFill>
                <a:srgbClr val="5B7FA3"/>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1S'!$E$6:$E$11</c:f>
              <c:numCache>
                <c:formatCode>General</c:formatCode>
                <c:ptCount val="6"/>
                <c:pt idx="0">
                  <c:v>139</c:v>
                </c:pt>
                <c:pt idx="1">
                  <c:v>108</c:v>
                </c:pt>
                <c:pt idx="2">
                  <c:v>265</c:v>
                </c:pt>
                <c:pt idx="3">
                  <c:v>248</c:v>
                </c:pt>
                <c:pt idx="4">
                  <c:v>237</c:v>
                </c:pt>
                <c:pt idx="5">
                  <c:v>241</c:v>
                </c:pt>
              </c:numCache>
            </c:numRef>
          </c:val>
        </c:ser>
        <c:ser>
          <c:idx val="3"/>
          <c:order val="3"/>
          <c:tx>
            <c:v>Sin clasificar</c:v>
          </c:tx>
          <c:spPr>
            <a:solidFill>
              <a:srgbClr val="CCDADD"/>
            </a:solidFill>
            <a:ln>
              <a:solidFill>
                <a:srgbClr val="CCDADD"/>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1S'!$G$6:$G$11</c:f>
              <c:numCache>
                <c:formatCode>General</c:formatCode>
                <c:ptCount val="6"/>
                <c:pt idx="0">
                  <c:v>1</c:v>
                </c:pt>
                <c:pt idx="1">
                  <c:v>2</c:v>
                </c:pt>
                <c:pt idx="2">
                  <c:v>0</c:v>
                </c:pt>
                <c:pt idx="3">
                  <c:v>2</c:v>
                </c:pt>
                <c:pt idx="4">
                  <c:v>1</c:v>
                </c:pt>
                <c:pt idx="5">
                  <c:v>3</c:v>
                </c:pt>
              </c:numCache>
            </c:numRef>
          </c:val>
        </c:ser>
        <c:gapWidth val="70"/>
        <c:overlap val="100"/>
        <c:axId val="50010001"/>
        <c:axId val="50010002"/>
      </c:barChart>
      <c:catAx>
        <c:axId val="50010001"/>
        <c:scaling>
          <c:orientation val="minMax"/>
        </c:scaling>
        <c:axPos val="b"/>
        <c:tickLblPos val="nextTo"/>
        <c:spPr>
          <a:ln>
            <a:solidFill>
              <a:srgbClr val="B7C7D0"/>
            </a:solidFill>
          </a:ln>
        </c:spPr>
        <c:txPr>
          <a:bodyPr/>
          <a:lstStyle/>
          <a:p>
            <a:pPr>
              <a:defRPr sz="1000" baseline="0">
                <a:solidFill>
                  <a:srgbClr val="607481"/>
                </a:solidFill>
              </a:defRPr>
            </a:pPr>
            <a:endParaRPr lang="en-US"/>
          </a:p>
        </c:txPr>
        <c:crossAx val="50010002"/>
        <c:crosses val="autoZero"/>
        <c:auto val="1"/>
        <c:lblAlgn val="ctr"/>
        <c:lblOffset val="100"/>
      </c:catAx>
      <c:valAx>
        <c:axId val="50010002"/>
        <c:scaling>
          <c:orientation val="minMax"/>
        </c:scaling>
        <c:axPos val="l"/>
        <c:majorGridlines>
          <c:spPr>
            <a:ln>
              <a:solidFill>
                <a:srgbClr val="E2EBEF"/>
              </a:solidFill>
            </a:ln>
          </c:spPr>
        </c:majorGridlines>
        <c:numFmt formatCode="General" sourceLinked="1"/>
        <c:tickLblPos val="nextTo"/>
        <c:txPr>
          <a:bodyPr/>
          <a:lstStyle/>
          <a:p>
            <a:pPr>
              <a:defRPr sz="1000" baseline="0">
                <a:solidFill>
                  <a:srgbClr val="607481"/>
                </a:solidFill>
              </a:defRPr>
            </a:pPr>
            <a:endParaRPr lang="en-US"/>
          </a:p>
        </c:txPr>
        <c:crossAx val="50010001"/>
        <c:crosses val="autoZero"/>
        <c:crossBetween val="between"/>
      </c:valAx>
      <c:spPr>
        <a:ln>
          <a:noFill/>
        </a:ln>
      </c:spPr>
    </c:plotArea>
    <c:legend>
      <c:legendPos val="b"/>
      <c:layout/>
      <c:txPr>
        <a:bodyPr/>
        <a:lstStyle/>
        <a:p>
          <a:pPr>
            <a:defRPr sz="1000" baseline="0"/>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ART: rechazos por contingencia</a:t>
            </a:r>
          </a:p>
        </c:rich>
      </c:tx>
      <c:layout/>
    </c:title>
    <c:plotArea>
      <c:layout/>
      <c:barChart>
        <c:barDir val="col"/>
        <c:grouping val="stacked"/>
        <c:ser>
          <c:idx val="0"/>
          <c:order val="0"/>
          <c:tx>
            <c:v>Rechazo consignado</c:v>
          </c:tx>
          <c:spPr>
            <a:solidFill>
              <a:srgbClr val="C77835"/>
            </a:solidFill>
            <a:ln>
              <a:solidFill>
                <a:srgbClr val="C77835"/>
              </a:solidFill>
            </a:ln>
          </c:spPr>
          <c:dLbls>
            <c:numFmt formatCode="#,##0;-#,##0;;" sourceLinked="0"/>
            <c:txPr>
              <a:bodyPr/>
              <a:lstStyle/>
              <a:p>
                <a:pPr>
                  <a:defRPr sz="1000" baseline="0"/>
                </a:pPr>
                <a:endParaRPr lang="en-US"/>
              </a:p>
            </c:txPr>
            <c:showVal val="1"/>
          </c:dLbls>
          <c:cat>
            <c:strRef>
              <c:f>'ART y rechazos'!$A$6:$A$8</c:f>
              <c:strCache>
                <c:ptCount val="3"/>
                <c:pt idx="0">
                  <c:v>AT · Trabajo</c:v>
                </c:pt>
                <c:pt idx="1">
                  <c:v>AI · In itinere</c:v>
                </c:pt>
                <c:pt idx="2">
                  <c:v>EP · Profesional</c:v>
                </c:pt>
              </c:strCache>
            </c:strRef>
          </c:cat>
          <c:val>
            <c:numRef>
              <c:f>'ART y rechazos'!$C$6:$C$8</c:f>
              <c:numCache>
                <c:formatCode>General</c:formatCode>
                <c:ptCount val="3"/>
                <c:pt idx="0">
                  <c:v>9</c:v>
                </c:pt>
                <c:pt idx="1">
                  <c:v>3</c:v>
                </c:pt>
                <c:pt idx="2">
                  <c:v>1</c:v>
                </c:pt>
              </c:numCache>
            </c:numRef>
          </c:val>
        </c:ser>
        <c:ser>
          <c:idx val="1"/>
          <c:order val="1"/>
          <c:tx>
            <c:v>Sin mención de rechazo</c:v>
          </c:tx>
          <c:spPr>
            <a:solidFill>
              <a:srgbClr val="5B7FA3"/>
            </a:solidFill>
            <a:ln>
              <a:solidFill>
                <a:srgbClr val="5B7FA3"/>
              </a:solidFill>
            </a:ln>
          </c:spPr>
          <c:dLbls>
            <c:numFmt formatCode="#,##0;-#,##0;;" sourceLinked="0"/>
            <c:txPr>
              <a:bodyPr/>
              <a:lstStyle/>
              <a:p>
                <a:pPr>
                  <a:defRPr sz="1000" baseline="0"/>
                </a:pPr>
                <a:endParaRPr lang="en-US"/>
              </a:p>
            </c:txPr>
            <c:showVal val="1"/>
          </c:dLbls>
          <c:cat>
            <c:strRef>
              <c:f>'ART y rechazos'!$A$6:$A$8</c:f>
              <c:strCache>
                <c:ptCount val="3"/>
                <c:pt idx="0">
                  <c:v>AT · Trabajo</c:v>
                </c:pt>
                <c:pt idx="1">
                  <c:v>AI · In itinere</c:v>
                </c:pt>
                <c:pt idx="2">
                  <c:v>EP · Profesional</c:v>
                </c:pt>
              </c:strCache>
            </c:strRef>
          </c:cat>
          <c:val>
            <c:numRef>
              <c:f>'ART y rechazos'!$D$6:$D$8</c:f>
              <c:numCache>
                <c:formatCode>General</c:formatCode>
                <c:ptCount val="3"/>
                <c:pt idx="0">
                  <c:v>10</c:v>
                </c:pt>
                <c:pt idx="1">
                  <c:v>5</c:v>
                </c:pt>
                <c:pt idx="2">
                  <c:v>0</c:v>
                </c:pt>
              </c:numCache>
            </c:numRef>
          </c:val>
        </c:ser>
        <c:gapWidth val="70"/>
        <c:overlap val="100"/>
        <c:axId val="50020001"/>
        <c:axId val="50020002"/>
      </c:barChart>
      <c:catAx>
        <c:axId val="50020001"/>
        <c:scaling>
          <c:orientation val="minMax"/>
        </c:scaling>
        <c:axPos val="b"/>
        <c:tickLblPos val="nextTo"/>
        <c:spPr>
          <a:ln>
            <a:solidFill>
              <a:srgbClr val="B7C7D0"/>
            </a:solidFill>
          </a:ln>
        </c:spPr>
        <c:txPr>
          <a:bodyPr/>
          <a:lstStyle/>
          <a:p>
            <a:pPr>
              <a:defRPr sz="1000" baseline="0">
                <a:solidFill>
                  <a:srgbClr val="607481"/>
                </a:solidFill>
              </a:defRPr>
            </a:pPr>
            <a:endParaRPr lang="en-US"/>
          </a:p>
        </c:txPr>
        <c:crossAx val="50020002"/>
        <c:crosses val="autoZero"/>
        <c:auto val="1"/>
        <c:lblAlgn val="ctr"/>
        <c:lblOffset val="100"/>
      </c:catAx>
      <c:valAx>
        <c:axId val="50020002"/>
        <c:scaling>
          <c:orientation val="minMax"/>
        </c:scaling>
        <c:axPos val="l"/>
        <c:majorGridlines>
          <c:spPr>
            <a:ln>
              <a:solidFill>
                <a:srgbClr val="E2EBEF"/>
              </a:solidFill>
            </a:ln>
          </c:spPr>
        </c:majorGridlines>
        <c:numFmt formatCode="General" sourceLinked="1"/>
        <c:tickLblPos val="nextTo"/>
        <c:txPr>
          <a:bodyPr/>
          <a:lstStyle/>
          <a:p>
            <a:pPr>
              <a:defRPr sz="1000" baseline="0">
                <a:solidFill>
                  <a:srgbClr val="607481"/>
                </a:solidFill>
              </a:defRPr>
            </a:pPr>
            <a:endParaRPr lang="en-US"/>
          </a:p>
        </c:txPr>
        <c:crossAx val="50020001"/>
        <c:crosses val="autoZero"/>
        <c:crossBetween val="between"/>
      </c:valAx>
      <c:spPr>
        <a:ln>
          <a:noFill/>
        </a:ln>
      </c:spPr>
    </c:plotArea>
    <c:legend>
      <c:legendPos val="b"/>
      <c:layout/>
      <c:txPr>
        <a:bodyPr/>
        <a:lstStyle/>
        <a:p>
          <a:pPr>
            <a:defRPr sz="1000" baseline="0"/>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Actividad propia por mes y tipo</a:t>
            </a:r>
          </a:p>
        </c:rich>
      </c:tx>
      <c:layout/>
    </c:title>
    <c:plotArea>
      <c:layout/>
      <c:barChart>
        <c:barDir val="col"/>
        <c:grouping val="stacked"/>
        <c:ser>
          <c:idx val="0"/>
          <c:order val="0"/>
          <c:tx>
            <c:v>Enfermería</c:v>
          </c:tx>
          <c:spPr>
            <a:solidFill>
              <a:srgbClr val="007E80"/>
            </a:solidFill>
            <a:ln>
              <a:solidFill>
                <a:srgbClr val="007E80"/>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1S'!$C$6:$C$11</c:f>
              <c:numCache>
                <c:formatCode>General</c:formatCode>
                <c:ptCount val="6"/>
                <c:pt idx="0">
                  <c:v>181</c:v>
                </c:pt>
                <c:pt idx="1">
                  <c:v>103</c:v>
                </c:pt>
                <c:pt idx="2">
                  <c:v>148</c:v>
                </c:pt>
                <c:pt idx="3">
                  <c:v>156</c:v>
                </c:pt>
                <c:pt idx="4">
                  <c:v>161</c:v>
                </c:pt>
                <c:pt idx="5">
                  <c:v>198</c:v>
                </c:pt>
              </c:numCache>
            </c:numRef>
          </c:val>
        </c:ser>
        <c:ser>
          <c:idx val="1"/>
          <c:order val="1"/>
          <c:tx>
            <c:v>Médica</c:v>
          </c:tx>
          <c:spPr>
            <a:solidFill>
              <a:srgbClr val="17354D"/>
            </a:solidFill>
            <a:ln>
              <a:solidFill>
                <a:srgbClr val="17354D"/>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1S'!$D$6:$D$11</c:f>
              <c:numCache>
                <c:formatCode>General</c:formatCode>
                <c:ptCount val="6"/>
                <c:pt idx="0">
                  <c:v>41</c:v>
                </c:pt>
                <c:pt idx="1">
                  <c:v>60</c:v>
                </c:pt>
                <c:pt idx="2">
                  <c:v>75</c:v>
                </c:pt>
                <c:pt idx="3">
                  <c:v>64</c:v>
                </c:pt>
                <c:pt idx="4">
                  <c:v>65</c:v>
                </c:pt>
                <c:pt idx="5">
                  <c:v>43</c:v>
                </c:pt>
              </c:numCache>
            </c:numRef>
          </c:val>
        </c:ser>
        <c:ser>
          <c:idx val="2"/>
          <c:order val="2"/>
          <c:tx>
            <c:v>Administrativa</c:v>
          </c:tx>
          <c:spPr>
            <a:solidFill>
              <a:srgbClr val="5B7FA3"/>
            </a:solidFill>
            <a:ln>
              <a:solidFill>
                <a:srgbClr val="5B7FA3"/>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1S'!$E$6:$E$11</c:f>
              <c:numCache>
                <c:formatCode>General</c:formatCode>
                <c:ptCount val="6"/>
                <c:pt idx="0">
                  <c:v>139</c:v>
                </c:pt>
                <c:pt idx="1">
                  <c:v>108</c:v>
                </c:pt>
                <c:pt idx="2">
                  <c:v>265</c:v>
                </c:pt>
                <c:pt idx="3">
                  <c:v>248</c:v>
                </c:pt>
                <c:pt idx="4">
                  <c:v>237</c:v>
                </c:pt>
                <c:pt idx="5">
                  <c:v>241</c:v>
                </c:pt>
              </c:numCache>
            </c:numRef>
          </c:val>
        </c:ser>
        <c:ser>
          <c:idx val="3"/>
          <c:order val="3"/>
          <c:tx>
            <c:v>Sin clasificar</c:v>
          </c:tx>
          <c:spPr>
            <a:solidFill>
              <a:srgbClr val="CCDADD"/>
            </a:solidFill>
            <a:ln>
              <a:solidFill>
                <a:srgbClr val="CCDADD"/>
              </a:solidFill>
            </a:ln>
          </c:spPr>
          <c:dLbls>
            <c:numFmt formatCode="#,##0;-#,##0;;" sourceLinked="0"/>
            <c:txPr>
              <a:bodyPr/>
              <a:lstStyle/>
              <a:p>
                <a:pPr>
                  <a:defRPr sz="1000" baseline="0"/>
                </a:pPr>
                <a:endParaRPr lang="en-US"/>
              </a:p>
            </c:txPr>
          </c:dLbls>
          <c:cat>
            <c:strRef>
              <c:f>'Actividad 1S'!$A$6:$A$11</c:f>
              <c:strCache>
                <c:ptCount val="6"/>
                <c:pt idx="0">
                  <c:v>Enero</c:v>
                </c:pt>
                <c:pt idx="1">
                  <c:v>Febrero</c:v>
                </c:pt>
                <c:pt idx="2">
                  <c:v>Marzo</c:v>
                </c:pt>
                <c:pt idx="3">
                  <c:v>Abril</c:v>
                </c:pt>
                <c:pt idx="4">
                  <c:v>Mayo</c:v>
                </c:pt>
                <c:pt idx="5">
                  <c:v>Junio</c:v>
                </c:pt>
              </c:strCache>
            </c:strRef>
          </c:cat>
          <c:val>
            <c:numRef>
              <c:f>'Actividad 1S'!$G$6:$G$11</c:f>
              <c:numCache>
                <c:formatCode>General</c:formatCode>
                <c:ptCount val="6"/>
                <c:pt idx="0">
                  <c:v>1</c:v>
                </c:pt>
                <c:pt idx="1">
                  <c:v>2</c:v>
                </c:pt>
                <c:pt idx="2">
                  <c:v>0</c:v>
                </c:pt>
                <c:pt idx="3">
                  <c:v>2</c:v>
                </c:pt>
                <c:pt idx="4">
                  <c:v>1</c:v>
                </c:pt>
                <c:pt idx="5">
                  <c:v>3</c:v>
                </c:pt>
              </c:numCache>
            </c:numRef>
          </c:val>
        </c:ser>
        <c:gapWidth val="70"/>
        <c:overlap val="100"/>
        <c:axId val="50030001"/>
        <c:axId val="50030002"/>
      </c:barChart>
      <c:catAx>
        <c:axId val="50030001"/>
        <c:scaling>
          <c:orientation val="minMax"/>
        </c:scaling>
        <c:axPos val="b"/>
        <c:tickLblPos val="nextTo"/>
        <c:spPr>
          <a:ln>
            <a:solidFill>
              <a:srgbClr val="B7C7D0"/>
            </a:solidFill>
          </a:ln>
        </c:spPr>
        <c:txPr>
          <a:bodyPr/>
          <a:lstStyle/>
          <a:p>
            <a:pPr>
              <a:defRPr sz="1000" baseline="0">
                <a:solidFill>
                  <a:srgbClr val="607481"/>
                </a:solidFill>
              </a:defRPr>
            </a:pPr>
            <a:endParaRPr lang="en-US"/>
          </a:p>
        </c:txPr>
        <c:crossAx val="50030002"/>
        <c:crosses val="autoZero"/>
        <c:auto val="1"/>
        <c:lblAlgn val="ctr"/>
        <c:lblOffset val="100"/>
      </c:catAx>
      <c:valAx>
        <c:axId val="50030002"/>
        <c:scaling>
          <c:orientation val="minMax"/>
        </c:scaling>
        <c:axPos val="l"/>
        <c:majorGridlines>
          <c:spPr>
            <a:ln>
              <a:solidFill>
                <a:srgbClr val="E2EBEF"/>
              </a:solidFill>
            </a:ln>
          </c:spPr>
        </c:majorGridlines>
        <c:numFmt formatCode="General" sourceLinked="1"/>
        <c:tickLblPos val="nextTo"/>
        <c:txPr>
          <a:bodyPr/>
          <a:lstStyle/>
          <a:p>
            <a:pPr>
              <a:defRPr sz="1000" baseline="0">
                <a:solidFill>
                  <a:srgbClr val="607481"/>
                </a:solidFill>
              </a:defRPr>
            </a:pPr>
            <a:endParaRPr lang="en-US"/>
          </a:p>
        </c:txPr>
        <c:crossAx val="50030001"/>
        <c:crosses val="autoZero"/>
        <c:crossBetween val="between"/>
      </c:valAx>
      <c:spPr>
        <a:ln>
          <a:noFill/>
        </a:ln>
      </c:spPr>
    </c:plotArea>
    <c:legend>
      <c:legendPos val="b"/>
      <c:layout/>
      <c:txPr>
        <a:bodyPr/>
        <a:lstStyle/>
        <a:p>
          <a:pPr>
            <a:defRPr sz="1000" baseline="0"/>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Evolución de episodios BP</a:t>
            </a:r>
          </a:p>
        </c:rich>
      </c:tx>
      <c:layout/>
    </c:title>
    <c:plotArea>
      <c:layout/>
      <c:lineChart>
        <c:grouping val="standard"/>
        <c:ser>
          <c:idx val="0"/>
          <c:order val="0"/>
          <c:tx>
            <c:v>Nuevos inicios</c:v>
          </c:tx>
          <c:spPr>
            <a:solidFill>
              <a:srgbClr val="5B7FA3"/>
            </a:solidFill>
            <a:ln>
              <a:solidFill>
                <a:srgbClr val="5B7FA3"/>
              </a:solidFill>
            </a:ln>
          </c:spPr>
          <c:marker>
            <c:symbol val="none"/>
          </c:marker>
          <c:dLbls>
            <c:numFmt formatCode="#,##0;-#,##0;;" sourceLinked="0"/>
            <c:txPr>
              <a:bodyPr/>
              <a:lstStyle/>
              <a:p>
                <a:pPr>
                  <a:defRPr sz="1000" baseline="0"/>
                </a:pPr>
                <a:endParaRPr lang="en-US"/>
              </a:p>
            </c:txPr>
          </c:dLbls>
          <c:cat>
            <c:strRef>
              <c:f>'Seguimiento BP'!$A$13:$A$18</c:f>
              <c:strCache>
                <c:ptCount val="6"/>
                <c:pt idx="0">
                  <c:v>Enero</c:v>
                </c:pt>
                <c:pt idx="1">
                  <c:v>Febrero</c:v>
                </c:pt>
                <c:pt idx="2">
                  <c:v>Marzo</c:v>
                </c:pt>
                <c:pt idx="3">
                  <c:v>Abril</c:v>
                </c:pt>
                <c:pt idx="4">
                  <c:v>Mayo</c:v>
                </c:pt>
                <c:pt idx="5">
                  <c:v>Junio</c:v>
                </c:pt>
              </c:strCache>
            </c:strRef>
          </c:cat>
          <c:val>
            <c:numRef>
              <c:f>'Seguimiento BP'!$C$13:$C$18</c:f>
              <c:numCache>
                <c:formatCode>General</c:formatCode>
                <c:ptCount val="6"/>
                <c:pt idx="0">
                  <c:v>4</c:v>
                </c:pt>
                <c:pt idx="1">
                  <c:v>3</c:v>
                </c:pt>
                <c:pt idx="2">
                  <c:v>3</c:v>
                </c:pt>
                <c:pt idx="3">
                  <c:v>7</c:v>
                </c:pt>
                <c:pt idx="4">
                  <c:v>8</c:v>
                </c:pt>
                <c:pt idx="5">
                  <c:v>5</c:v>
                </c:pt>
              </c:numCache>
            </c:numRef>
          </c:val>
        </c:ser>
        <c:ser>
          <c:idx val="1"/>
          <c:order val="1"/>
          <c:tx>
            <c:v>Altas registradas</c:v>
          </c:tx>
          <c:spPr>
            <a:solidFill>
              <a:srgbClr val="007E80"/>
            </a:solidFill>
            <a:ln>
              <a:solidFill>
                <a:srgbClr val="007E80"/>
              </a:solidFill>
            </a:ln>
          </c:spPr>
          <c:marker>
            <c:symbol val="none"/>
          </c:marker>
          <c:dLbls>
            <c:numFmt formatCode="#,##0;-#,##0;;" sourceLinked="0"/>
            <c:txPr>
              <a:bodyPr/>
              <a:lstStyle/>
              <a:p>
                <a:pPr>
                  <a:defRPr sz="1000" baseline="0"/>
                </a:pPr>
                <a:endParaRPr lang="en-US"/>
              </a:p>
            </c:txPr>
          </c:dLbls>
          <c:cat>
            <c:strRef>
              <c:f>'Seguimiento BP'!$A$13:$A$18</c:f>
              <c:strCache>
                <c:ptCount val="6"/>
                <c:pt idx="0">
                  <c:v>Enero</c:v>
                </c:pt>
                <c:pt idx="1">
                  <c:v>Febrero</c:v>
                </c:pt>
                <c:pt idx="2">
                  <c:v>Marzo</c:v>
                </c:pt>
                <c:pt idx="3">
                  <c:v>Abril</c:v>
                </c:pt>
                <c:pt idx="4">
                  <c:v>Mayo</c:v>
                </c:pt>
                <c:pt idx="5">
                  <c:v>Junio</c:v>
                </c:pt>
              </c:strCache>
            </c:strRef>
          </c:cat>
          <c:val>
            <c:numRef>
              <c:f>'Seguimiento BP'!$D$13:$D$18</c:f>
              <c:numCache>
                <c:formatCode>General</c:formatCode>
                <c:ptCount val="6"/>
                <c:pt idx="0">
                  <c:v>3</c:v>
                </c:pt>
                <c:pt idx="1">
                  <c:v>3</c:v>
                </c:pt>
                <c:pt idx="2">
                  <c:v>8</c:v>
                </c:pt>
                <c:pt idx="3">
                  <c:v>3</c:v>
                </c:pt>
                <c:pt idx="4">
                  <c:v>4</c:v>
                </c:pt>
                <c:pt idx="5">
                  <c:v>2</c:v>
                </c:pt>
              </c:numCache>
            </c:numRef>
          </c:val>
        </c:ser>
        <c:ser>
          <c:idx val="2"/>
          <c:order val="2"/>
          <c:tx>
            <c:v>Activos al fin de mes</c:v>
          </c:tx>
          <c:spPr>
            <a:solidFill>
              <a:srgbClr val="17354D"/>
            </a:solidFill>
            <a:ln>
              <a:solidFill>
                <a:srgbClr val="17354D"/>
              </a:solidFill>
            </a:ln>
          </c:spPr>
          <c:marker>
            <c:symbol val="none"/>
          </c:marker>
          <c:dLbls>
            <c:numFmt formatCode="#,##0;-#,##0;;" sourceLinked="0"/>
            <c:txPr>
              <a:bodyPr/>
              <a:lstStyle/>
              <a:p>
                <a:pPr>
                  <a:defRPr sz="1000" baseline="0"/>
                </a:pPr>
                <a:endParaRPr lang="en-US"/>
              </a:p>
            </c:txPr>
          </c:dLbls>
          <c:cat>
            <c:strRef>
              <c:f>'Seguimiento BP'!$A$13:$A$18</c:f>
              <c:strCache>
                <c:ptCount val="6"/>
                <c:pt idx="0">
                  <c:v>Enero</c:v>
                </c:pt>
                <c:pt idx="1">
                  <c:v>Febrero</c:v>
                </c:pt>
                <c:pt idx="2">
                  <c:v>Marzo</c:v>
                </c:pt>
                <c:pt idx="3">
                  <c:v>Abril</c:v>
                </c:pt>
                <c:pt idx="4">
                  <c:v>Mayo</c:v>
                </c:pt>
                <c:pt idx="5">
                  <c:v>Junio</c:v>
                </c:pt>
              </c:strCache>
            </c:strRef>
          </c:cat>
          <c:val>
            <c:numRef>
              <c:f>'Seguimiento BP'!$E$13:$E$18</c:f>
              <c:numCache>
                <c:formatCode>General</c:formatCode>
                <c:ptCount val="6"/>
                <c:pt idx="0">
                  <c:v>9</c:v>
                </c:pt>
                <c:pt idx="1">
                  <c:v>9</c:v>
                </c:pt>
                <c:pt idx="2">
                  <c:v>4</c:v>
                </c:pt>
                <c:pt idx="3">
                  <c:v>8</c:v>
                </c:pt>
                <c:pt idx="4">
                  <c:v>12</c:v>
                </c:pt>
                <c:pt idx="5">
                  <c:v>15</c:v>
                </c:pt>
              </c:numCache>
            </c:numRef>
          </c:val>
        </c:ser>
        <c:marker val="1"/>
        <c:axId val="50040001"/>
        <c:axId val="50040002"/>
      </c:lineChart>
      <c:catAx>
        <c:axId val="50040001"/>
        <c:scaling>
          <c:orientation val="minMax"/>
        </c:scaling>
        <c:axPos val="b"/>
        <c:tickLblPos val="nextTo"/>
        <c:spPr>
          <a:ln>
            <a:solidFill>
              <a:srgbClr val="B7C7D0"/>
            </a:solidFill>
          </a:ln>
        </c:spPr>
        <c:txPr>
          <a:bodyPr/>
          <a:lstStyle/>
          <a:p>
            <a:pPr>
              <a:defRPr sz="1000" baseline="0">
                <a:solidFill>
                  <a:srgbClr val="607481"/>
                </a:solidFill>
              </a:defRPr>
            </a:pPr>
            <a:endParaRPr lang="en-US"/>
          </a:p>
        </c:txPr>
        <c:crossAx val="50040002"/>
        <c:crosses val="autoZero"/>
        <c:auto val="1"/>
        <c:lblAlgn val="ctr"/>
        <c:lblOffset val="100"/>
      </c:catAx>
      <c:valAx>
        <c:axId val="50040002"/>
        <c:scaling>
          <c:orientation val="minMax"/>
        </c:scaling>
        <c:axPos val="l"/>
        <c:majorGridlines>
          <c:spPr>
            <a:ln>
              <a:solidFill>
                <a:srgbClr val="E2EBEF"/>
              </a:solidFill>
            </a:ln>
          </c:spPr>
        </c:majorGridlines>
        <c:numFmt formatCode="General" sourceLinked="1"/>
        <c:tickLblPos val="nextTo"/>
        <c:txPr>
          <a:bodyPr/>
          <a:lstStyle/>
          <a:p>
            <a:pPr>
              <a:defRPr sz="1000" baseline="0">
                <a:solidFill>
                  <a:srgbClr val="607481"/>
                </a:solidFill>
              </a:defRPr>
            </a:pPr>
            <a:endParaRPr lang="en-US"/>
          </a:p>
        </c:txPr>
        <c:crossAx val="50040001"/>
        <c:crosses val="autoZero"/>
        <c:crossBetween val="between"/>
      </c:valAx>
      <c:spPr>
        <a:ln>
          <a:noFill/>
        </a:ln>
      </c:spPr>
    </c:plotArea>
    <c:legend>
      <c:legendPos val="b"/>
      <c:layout/>
      <c:txPr>
        <a:bodyPr/>
        <a:lstStyle/>
        <a:p>
          <a:pPr>
            <a:defRPr sz="1000" baseline="0"/>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Rechazos consignados por contingencia · casos iniciados 1S</a:t>
            </a:r>
          </a:p>
        </c:rich>
      </c:tx>
      <c:layout/>
    </c:title>
    <c:plotArea>
      <c:layout/>
      <c:barChart>
        <c:barDir val="col"/>
        <c:grouping val="stacked"/>
        <c:ser>
          <c:idx val="0"/>
          <c:order val="0"/>
          <c:tx>
            <c:v>Rechazo consignado</c:v>
          </c:tx>
          <c:spPr>
            <a:solidFill>
              <a:srgbClr val="C77835"/>
            </a:solidFill>
            <a:ln>
              <a:solidFill>
                <a:srgbClr val="C77835"/>
              </a:solidFill>
            </a:ln>
          </c:spPr>
          <c:dLbls>
            <c:numFmt formatCode="#,##0;-#,##0;;" sourceLinked="0"/>
            <c:txPr>
              <a:bodyPr/>
              <a:lstStyle/>
              <a:p>
                <a:pPr>
                  <a:defRPr sz="1000" baseline="0"/>
                </a:pPr>
                <a:endParaRPr lang="en-US"/>
              </a:p>
            </c:txPr>
            <c:showVal val="1"/>
          </c:dLbls>
          <c:cat>
            <c:strRef>
              <c:f>'ART y rechazos'!$A$6:$A$8</c:f>
              <c:strCache>
                <c:ptCount val="3"/>
                <c:pt idx="0">
                  <c:v>AT · Trabajo</c:v>
                </c:pt>
                <c:pt idx="1">
                  <c:v>AI · In itinere</c:v>
                </c:pt>
                <c:pt idx="2">
                  <c:v>EP · Profesional</c:v>
                </c:pt>
              </c:strCache>
            </c:strRef>
          </c:cat>
          <c:val>
            <c:numRef>
              <c:f>'ART y rechazos'!$C$6:$C$8</c:f>
              <c:numCache>
                <c:formatCode>General</c:formatCode>
                <c:ptCount val="3"/>
                <c:pt idx="0">
                  <c:v>9</c:v>
                </c:pt>
                <c:pt idx="1">
                  <c:v>3</c:v>
                </c:pt>
                <c:pt idx="2">
                  <c:v>1</c:v>
                </c:pt>
              </c:numCache>
            </c:numRef>
          </c:val>
        </c:ser>
        <c:ser>
          <c:idx val="1"/>
          <c:order val="1"/>
          <c:tx>
            <c:v>Sin mención de rechazo</c:v>
          </c:tx>
          <c:spPr>
            <a:solidFill>
              <a:srgbClr val="5B7FA3"/>
            </a:solidFill>
            <a:ln>
              <a:solidFill>
                <a:srgbClr val="5B7FA3"/>
              </a:solidFill>
            </a:ln>
          </c:spPr>
          <c:dLbls>
            <c:numFmt formatCode="#,##0;-#,##0;;" sourceLinked="0"/>
            <c:txPr>
              <a:bodyPr/>
              <a:lstStyle/>
              <a:p>
                <a:pPr>
                  <a:defRPr sz="1000" baseline="0"/>
                </a:pPr>
                <a:endParaRPr lang="en-US"/>
              </a:p>
            </c:txPr>
            <c:showVal val="1"/>
          </c:dLbls>
          <c:cat>
            <c:strRef>
              <c:f>'ART y rechazos'!$A$6:$A$8</c:f>
              <c:strCache>
                <c:ptCount val="3"/>
                <c:pt idx="0">
                  <c:v>AT · Trabajo</c:v>
                </c:pt>
                <c:pt idx="1">
                  <c:v>AI · In itinere</c:v>
                </c:pt>
                <c:pt idx="2">
                  <c:v>EP · Profesional</c:v>
                </c:pt>
              </c:strCache>
            </c:strRef>
          </c:cat>
          <c:val>
            <c:numRef>
              <c:f>'ART y rechazos'!$D$6:$D$8</c:f>
              <c:numCache>
                <c:formatCode>General</c:formatCode>
                <c:ptCount val="3"/>
                <c:pt idx="0">
                  <c:v>10</c:v>
                </c:pt>
                <c:pt idx="1">
                  <c:v>5</c:v>
                </c:pt>
                <c:pt idx="2">
                  <c:v>0</c:v>
                </c:pt>
              </c:numCache>
            </c:numRef>
          </c:val>
        </c:ser>
        <c:gapWidth val="70"/>
        <c:overlap val="100"/>
        <c:axId val="50050001"/>
        <c:axId val="50050002"/>
      </c:barChart>
      <c:catAx>
        <c:axId val="50050001"/>
        <c:scaling>
          <c:orientation val="minMax"/>
        </c:scaling>
        <c:axPos val="b"/>
        <c:tickLblPos val="nextTo"/>
        <c:spPr>
          <a:ln>
            <a:solidFill>
              <a:srgbClr val="B7C7D0"/>
            </a:solidFill>
          </a:ln>
        </c:spPr>
        <c:txPr>
          <a:bodyPr/>
          <a:lstStyle/>
          <a:p>
            <a:pPr>
              <a:defRPr sz="1000" baseline="0">
                <a:solidFill>
                  <a:srgbClr val="607481"/>
                </a:solidFill>
              </a:defRPr>
            </a:pPr>
            <a:endParaRPr lang="en-US"/>
          </a:p>
        </c:txPr>
        <c:crossAx val="50050002"/>
        <c:crosses val="autoZero"/>
        <c:auto val="1"/>
        <c:lblAlgn val="ctr"/>
        <c:lblOffset val="100"/>
      </c:catAx>
      <c:valAx>
        <c:axId val="50050002"/>
        <c:scaling>
          <c:orientation val="minMax"/>
        </c:scaling>
        <c:axPos val="l"/>
        <c:majorGridlines>
          <c:spPr>
            <a:ln>
              <a:solidFill>
                <a:srgbClr val="E2EBEF"/>
              </a:solidFill>
            </a:ln>
          </c:spPr>
        </c:majorGridlines>
        <c:numFmt formatCode="General" sourceLinked="1"/>
        <c:tickLblPos val="nextTo"/>
        <c:txPr>
          <a:bodyPr/>
          <a:lstStyle/>
          <a:p>
            <a:pPr>
              <a:defRPr sz="1000" baseline="0">
                <a:solidFill>
                  <a:srgbClr val="607481"/>
                </a:solidFill>
              </a:defRPr>
            </a:pPr>
            <a:endParaRPr lang="en-US"/>
          </a:p>
        </c:txPr>
        <c:crossAx val="50050001"/>
        <c:crosses val="autoZero"/>
        <c:crossBetween val="between"/>
      </c:valAx>
      <c:spPr>
        <a:ln>
          <a:noFill/>
        </a:ln>
      </c:spPr>
    </c:plotArea>
    <c:legend>
      <c:legendPos val="b"/>
      <c:layout/>
      <c:txPr>
        <a:bodyPr/>
        <a:lstStyle/>
        <a:p>
          <a:pPr>
            <a:defRPr sz="1000" baseline="0"/>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Grupos clínicos más frecuentes · registros</a:t>
            </a:r>
          </a:p>
        </c:rich>
      </c:tx>
      <c:layout/>
    </c:title>
    <c:plotArea>
      <c:layout/>
      <c:barChart>
        <c:barDir val="bar"/>
        <c:grouping val="clustered"/>
        <c:ser>
          <c:idx val="0"/>
          <c:order val="0"/>
          <c:tx>
            <c:v>Registros clínicos</c:v>
          </c:tx>
          <c:spPr>
            <a:solidFill>
              <a:srgbClr val="007E80"/>
            </a:solidFill>
            <a:ln>
              <a:solidFill>
                <a:srgbClr val="007E80"/>
              </a:solidFill>
            </a:ln>
          </c:spPr>
          <c:dLbls>
            <c:numFmt formatCode="#,##0;-#,##0;;" sourceLinked="0"/>
            <c:txPr>
              <a:bodyPr/>
              <a:lstStyle/>
              <a:p>
                <a:pPr>
                  <a:defRPr sz="1000" baseline="0"/>
                </a:pPr>
                <a:endParaRPr lang="en-US"/>
              </a:p>
            </c:txPr>
            <c:showVal val="1"/>
          </c:dLbls>
          <c:cat>
            <c:strRef>
              <c:f>'Patologías generales'!$A$6:$A$13</c:f>
              <c:strCache>
                <c:ptCount val="8"/>
                <c:pt idx="0">
                  <c:v>Musculoesqueléticos</c:v>
                </c:pt>
                <c:pt idx="1">
                  <c:v>Digestivos</c:v>
                </c:pt>
                <c:pt idx="2">
                  <c:v>Respiratorios y ORL</c:v>
                </c:pt>
                <c:pt idx="3">
                  <c:v>Oculares</c:v>
                </c:pt>
                <c:pt idx="4">
                  <c:v>Neurológicos y cefalea</c:v>
                </c:pt>
                <c:pt idx="5">
                  <c:v>Traumatismos y heridas</c:v>
                </c:pt>
                <c:pt idx="6">
                  <c:v>Dermatológicos y alérgicos</c:v>
                </c:pt>
                <c:pt idx="7">
                  <c:v>Odontológicos</c:v>
                </c:pt>
              </c:strCache>
            </c:strRef>
          </c:cat>
          <c:val>
            <c:numRef>
              <c:f>'Patologías generales'!$B$6:$B$13</c:f>
              <c:numCache>
                <c:formatCode>General</c:formatCode>
                <c:ptCount val="8"/>
                <c:pt idx="0">
                  <c:v>239</c:v>
                </c:pt>
                <c:pt idx="1">
                  <c:v>148</c:v>
                </c:pt>
                <c:pt idx="2">
                  <c:v>122</c:v>
                </c:pt>
                <c:pt idx="3">
                  <c:v>95</c:v>
                </c:pt>
                <c:pt idx="4">
                  <c:v>84</c:v>
                </c:pt>
                <c:pt idx="5">
                  <c:v>64</c:v>
                </c:pt>
                <c:pt idx="6">
                  <c:v>41</c:v>
                </c:pt>
                <c:pt idx="7">
                  <c:v>29</c:v>
                </c:pt>
              </c:numCache>
            </c:numRef>
          </c:val>
        </c:ser>
        <c:gapWidth val="70"/>
        <c:axId val="50060001"/>
        <c:axId val="50060002"/>
      </c:barChart>
      <c:catAx>
        <c:axId val="50060001"/>
        <c:scaling>
          <c:orientation val="maxMin"/>
        </c:scaling>
        <c:axPos val="l"/>
        <c:tickLblPos val="nextTo"/>
        <c:txPr>
          <a:bodyPr/>
          <a:lstStyle/>
          <a:p>
            <a:pPr>
              <a:defRPr sz="1000" baseline="0"/>
            </a:pPr>
            <a:endParaRPr lang="en-US"/>
          </a:p>
        </c:txPr>
        <c:crossAx val="50060002"/>
        <c:crosses val="autoZero"/>
        <c:auto val="1"/>
        <c:lblAlgn val="ctr"/>
        <c:lblOffset val="100"/>
      </c:catAx>
      <c:valAx>
        <c:axId val="50060002"/>
        <c:scaling>
          <c:orientation val="minMax"/>
        </c:scaling>
        <c:axPos val="t"/>
        <c:majorGridlines/>
        <c:numFmt formatCode="General" sourceLinked="1"/>
        <c:tickLblPos val="nextTo"/>
        <c:spPr>
          <a:ln>
            <a:solidFill>
              <a:srgbClr val="B7C7D0"/>
            </a:solidFill>
          </a:ln>
        </c:spPr>
        <c:txPr>
          <a:bodyPr/>
          <a:lstStyle/>
          <a:p>
            <a:pPr>
              <a:defRPr sz="1000" baseline="0">
                <a:solidFill>
                  <a:srgbClr val="607481"/>
                </a:solidFill>
              </a:defRPr>
            </a:pPr>
            <a:endParaRPr lang="en-US"/>
          </a:p>
        </c:txPr>
        <c:crossAx val="50060001"/>
        <c:crosses val="autoZero"/>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Eventos documentados por mes y empleador</a:t>
            </a:r>
          </a:p>
        </c:rich>
      </c:tx>
      <c:layout/>
    </c:title>
    <c:plotArea>
      <c:layout/>
      <c:barChart>
        <c:barDir val="col"/>
        <c:grouping val="stacked"/>
        <c:ser>
          <c:idx val="0"/>
          <c:order val="0"/>
          <c:tx>
            <c:v>Tandanor</c:v>
          </c:tx>
          <c:spPr>
            <a:solidFill>
              <a:srgbClr val="007E80"/>
            </a:solidFill>
            <a:ln>
              <a:solidFill>
                <a:srgbClr val="007E80"/>
              </a:solidFill>
            </a:ln>
          </c:spPr>
          <c:dLbls>
            <c:numFmt formatCode="#,##0;-#,##0;;" sourceLinked="0"/>
            <c:txPr>
              <a:bodyPr/>
              <a:lstStyle/>
              <a:p>
                <a:pPr>
                  <a:defRPr sz="1000" baseline="0"/>
                </a:pPr>
                <a:endParaRPr lang="en-US"/>
              </a:p>
            </c:txPr>
          </c:dLbls>
          <c:cat>
            <c:strRef>
              <c:f>'Registro de accidentes'!$A$6:$A$11</c:f>
              <c:strCache>
                <c:ptCount val="6"/>
                <c:pt idx="0">
                  <c:v>Enero</c:v>
                </c:pt>
                <c:pt idx="1">
                  <c:v>Febrero</c:v>
                </c:pt>
                <c:pt idx="2">
                  <c:v>Marzo</c:v>
                </c:pt>
                <c:pt idx="3">
                  <c:v>Abril</c:v>
                </c:pt>
                <c:pt idx="4">
                  <c:v>Mayo</c:v>
                </c:pt>
                <c:pt idx="5">
                  <c:v>Junio</c:v>
                </c:pt>
              </c:strCache>
            </c:strRef>
          </c:cat>
          <c:val>
            <c:numRef>
              <c:f>'Registro de accidentes'!$C$6:$C$11</c:f>
              <c:numCache>
                <c:formatCode>General</c:formatCode>
                <c:ptCount val="6"/>
                <c:pt idx="0">
                  <c:v>1</c:v>
                </c:pt>
                <c:pt idx="1">
                  <c:v>1</c:v>
                </c:pt>
                <c:pt idx="2">
                  <c:v>0</c:v>
                </c:pt>
                <c:pt idx="3">
                  <c:v>5</c:v>
                </c:pt>
                <c:pt idx="4">
                  <c:v>6</c:v>
                </c:pt>
                <c:pt idx="5">
                  <c:v>2</c:v>
                </c:pt>
              </c:numCache>
            </c:numRef>
          </c:val>
        </c:ser>
        <c:ser>
          <c:idx val="1"/>
          <c:order val="1"/>
          <c:tx>
            <c:v>Otros empleadores</c:v>
          </c:tx>
          <c:spPr>
            <a:solidFill>
              <a:srgbClr val="5B7FA3"/>
            </a:solidFill>
            <a:ln>
              <a:solidFill>
                <a:srgbClr val="5B7FA3"/>
              </a:solidFill>
            </a:ln>
          </c:spPr>
          <c:dLbls>
            <c:numFmt formatCode="#,##0;-#,##0;;" sourceLinked="0"/>
            <c:txPr>
              <a:bodyPr/>
              <a:lstStyle/>
              <a:p>
                <a:pPr>
                  <a:defRPr sz="1000" baseline="0"/>
                </a:pPr>
                <a:endParaRPr lang="en-US"/>
              </a:p>
            </c:txPr>
          </c:dLbls>
          <c:cat>
            <c:strRef>
              <c:f>'Registro de accidentes'!$A$6:$A$11</c:f>
              <c:strCache>
                <c:ptCount val="6"/>
                <c:pt idx="0">
                  <c:v>Enero</c:v>
                </c:pt>
                <c:pt idx="1">
                  <c:v>Febrero</c:v>
                </c:pt>
                <c:pt idx="2">
                  <c:v>Marzo</c:v>
                </c:pt>
                <c:pt idx="3">
                  <c:v>Abril</c:v>
                </c:pt>
                <c:pt idx="4">
                  <c:v>Mayo</c:v>
                </c:pt>
                <c:pt idx="5">
                  <c:v>Junio</c:v>
                </c:pt>
              </c:strCache>
            </c:strRef>
          </c:cat>
          <c:val>
            <c:numRef>
              <c:f>'Registro de accidentes'!$D$6:$D$11</c:f>
              <c:numCache>
                <c:formatCode>General</c:formatCode>
                <c:ptCount val="6"/>
                <c:pt idx="0">
                  <c:v>2</c:v>
                </c:pt>
                <c:pt idx="1">
                  <c:v>0</c:v>
                </c:pt>
                <c:pt idx="2">
                  <c:v>2</c:v>
                </c:pt>
                <c:pt idx="3">
                  <c:v>1</c:v>
                </c:pt>
                <c:pt idx="4">
                  <c:v>1</c:v>
                </c:pt>
                <c:pt idx="5">
                  <c:v>2</c:v>
                </c:pt>
              </c:numCache>
            </c:numRef>
          </c:val>
        </c:ser>
        <c:gapWidth val="70"/>
        <c:overlap val="100"/>
        <c:axId val="50070001"/>
        <c:axId val="50070002"/>
      </c:barChart>
      <c:catAx>
        <c:axId val="50070001"/>
        <c:scaling>
          <c:orientation val="minMax"/>
        </c:scaling>
        <c:axPos val="b"/>
        <c:tickLblPos val="nextTo"/>
        <c:spPr>
          <a:ln>
            <a:solidFill>
              <a:srgbClr val="B7C7D0"/>
            </a:solidFill>
          </a:ln>
        </c:spPr>
        <c:txPr>
          <a:bodyPr/>
          <a:lstStyle/>
          <a:p>
            <a:pPr>
              <a:defRPr sz="1000" baseline="0">
                <a:solidFill>
                  <a:srgbClr val="607481"/>
                </a:solidFill>
              </a:defRPr>
            </a:pPr>
            <a:endParaRPr lang="en-US"/>
          </a:p>
        </c:txPr>
        <c:crossAx val="50070002"/>
        <c:crosses val="autoZero"/>
        <c:auto val="1"/>
        <c:lblAlgn val="ctr"/>
        <c:lblOffset val="100"/>
      </c:catAx>
      <c:valAx>
        <c:axId val="50070002"/>
        <c:scaling>
          <c:orientation val="minMax"/>
        </c:scaling>
        <c:axPos val="l"/>
        <c:majorGridlines>
          <c:spPr>
            <a:ln>
              <a:solidFill>
                <a:srgbClr val="E2EBEF"/>
              </a:solidFill>
            </a:ln>
          </c:spPr>
        </c:majorGridlines>
        <c:numFmt formatCode="General" sourceLinked="1"/>
        <c:tickLblPos val="nextTo"/>
        <c:txPr>
          <a:bodyPr/>
          <a:lstStyle/>
          <a:p>
            <a:pPr>
              <a:defRPr sz="1000" baseline="0">
                <a:solidFill>
                  <a:srgbClr val="607481"/>
                </a:solidFill>
              </a:defRPr>
            </a:pPr>
            <a:endParaRPr lang="en-US"/>
          </a:p>
        </c:txPr>
        <c:crossAx val="50070001"/>
        <c:crosses val="autoZero"/>
        <c:crossBetween val="between"/>
      </c:valAx>
      <c:spPr>
        <a:ln>
          <a:noFill/>
        </a:ln>
      </c:spPr>
    </c:plotArea>
    <c:legend>
      <c:legendPos val="b"/>
      <c:layout/>
      <c:txPr>
        <a:bodyPr/>
        <a:lstStyle/>
        <a:p>
          <a:pPr>
            <a:defRPr sz="1000" baseline="0"/>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aseline="0">
                <a:solidFill>
                  <a:srgbClr val="17354D"/>
                </a:solidFill>
                <a:latin typeface="Calibri"/>
              </a:defRPr>
            </a:pPr>
            <a:r>
              <a:rPr lang="en-US" sz="1300" baseline="0">
                <a:solidFill>
                  <a:srgbClr val="17354D"/>
                </a:solidFill>
                <a:latin typeface="Calibri"/>
              </a:rPr>
              <a:t>Tasa médica mensual · 2025 y 2026</a:t>
            </a:r>
          </a:p>
        </c:rich>
      </c:tx>
      <c:layout/>
    </c:title>
    <c:plotArea>
      <c:layout/>
      <c:lineChart>
        <c:grouping val="standard"/>
        <c:ser>
          <c:idx val="0"/>
          <c:order val="0"/>
          <c:tx>
            <c:v>2026</c:v>
          </c:tx>
          <c:spPr>
            <a:solidFill>
              <a:srgbClr val="007E80"/>
            </a:solidFill>
            <a:ln>
              <a:solidFill>
                <a:srgbClr val="007E80"/>
              </a:solidFill>
            </a:ln>
          </c:spPr>
          <c:marker>
            <c:symbol val="none"/>
          </c:marker>
          <c:dLbls>
            <c:numFmt formatCode="#,##0;-#,##0;;" sourceLinked="0"/>
            <c:txPr>
              <a:bodyPr/>
              <a:lstStyle/>
              <a:p>
                <a:pPr>
                  <a:defRPr sz="1000" baseline="0"/>
                </a:pPr>
                <a:endParaRPr lang="en-US"/>
              </a:p>
            </c:txPr>
          </c:dLbls>
          <c:cat>
            <c:strRef>
              <c:f>'Ausentismo 1S'!$A$6:$A$11</c:f>
              <c:strCache>
                <c:ptCount val="6"/>
                <c:pt idx="0">
                  <c:v>Enero</c:v>
                </c:pt>
                <c:pt idx="1">
                  <c:v>Febrero</c:v>
                </c:pt>
                <c:pt idx="2">
                  <c:v>Marzo</c:v>
                </c:pt>
                <c:pt idx="3">
                  <c:v>Abril</c:v>
                </c:pt>
                <c:pt idx="4">
                  <c:v>Mayo</c:v>
                </c:pt>
                <c:pt idx="5">
                  <c:v>Junio</c:v>
                </c:pt>
              </c:strCache>
            </c:strRef>
          </c:cat>
          <c:val>
            <c:numRef>
              <c:f>'Ausentismo 1S'!$F$6:$F$11</c:f>
              <c:numCache>
                <c:formatCode>General</c:formatCode>
                <c:ptCount val="6"/>
                <c:pt idx="0">
                  <c:v>0.043604326976692316</c:v>
                </c:pt>
                <c:pt idx="1">
                  <c:v>0.04348896769109535</c:v>
                </c:pt>
                <c:pt idx="2">
                  <c:v>0.044376491646778045</c:v>
                </c:pt>
                <c:pt idx="3">
                  <c:v>0.042030502392344495</c:v>
                </c:pt>
                <c:pt idx="4">
                  <c:v>0.05137844611528822</c:v>
                </c:pt>
                <c:pt idx="5">
                  <c:v>0.05770107085896559</c:v>
                </c:pt>
              </c:numCache>
            </c:numRef>
          </c:val>
        </c:ser>
        <c:ser>
          <c:idx val="1"/>
          <c:order val="1"/>
          <c:tx>
            <c:v>2025</c:v>
          </c:tx>
          <c:spPr>
            <a:solidFill>
              <a:srgbClr val="5B7FA3"/>
            </a:solidFill>
            <a:ln>
              <a:solidFill>
                <a:srgbClr val="5B7FA3"/>
              </a:solidFill>
            </a:ln>
          </c:spPr>
          <c:marker>
            <c:symbol val="none"/>
          </c:marker>
          <c:dLbls>
            <c:numFmt formatCode="#,##0;-#,##0;;" sourceLinked="0"/>
            <c:txPr>
              <a:bodyPr/>
              <a:lstStyle/>
              <a:p>
                <a:pPr>
                  <a:defRPr sz="1000" baseline="0"/>
                </a:pPr>
                <a:endParaRPr lang="en-US"/>
              </a:p>
            </c:txPr>
          </c:dLbls>
          <c:cat>
            <c:strRef>
              <c:f>'Ausentismo 1S'!$A$6:$A$11</c:f>
              <c:strCache>
                <c:ptCount val="6"/>
                <c:pt idx="0">
                  <c:v>Enero</c:v>
                </c:pt>
                <c:pt idx="1">
                  <c:v>Febrero</c:v>
                </c:pt>
                <c:pt idx="2">
                  <c:v>Marzo</c:v>
                </c:pt>
                <c:pt idx="3">
                  <c:v>Abril</c:v>
                </c:pt>
                <c:pt idx="4">
                  <c:v>Mayo</c:v>
                </c:pt>
                <c:pt idx="5">
                  <c:v>Junio</c:v>
                </c:pt>
              </c:strCache>
            </c:strRef>
          </c:cat>
          <c:val>
            <c:numRef>
              <c:f>'Ausentismo 1S'!$G$6:$G$11</c:f>
              <c:numCache>
                <c:formatCode>General</c:formatCode>
                <c:ptCount val="6"/>
                <c:pt idx="0">
                  <c:v>0.03046048369682574</c:v>
                </c:pt>
                <c:pt idx="1">
                  <c:v>0.0389618138424821</c:v>
                </c:pt>
                <c:pt idx="2">
                  <c:v>0.04117063492063492</c:v>
                </c:pt>
                <c:pt idx="3">
                  <c:v>0.04003258293838863</c:v>
                </c:pt>
                <c:pt idx="4">
                  <c:v>0.03835697399527187</c:v>
                </c:pt>
                <c:pt idx="5">
                  <c:v>0.04776346895607814</c:v>
                </c:pt>
              </c:numCache>
            </c:numRef>
          </c:val>
        </c:ser>
        <c:marker val="1"/>
        <c:axId val="50080001"/>
        <c:axId val="50080002"/>
      </c:lineChart>
      <c:catAx>
        <c:axId val="50080001"/>
        <c:scaling>
          <c:orientation val="minMax"/>
        </c:scaling>
        <c:axPos val="b"/>
        <c:tickLblPos val="nextTo"/>
        <c:spPr>
          <a:ln>
            <a:solidFill>
              <a:srgbClr val="B7C7D0"/>
            </a:solidFill>
          </a:ln>
        </c:spPr>
        <c:txPr>
          <a:bodyPr/>
          <a:lstStyle/>
          <a:p>
            <a:pPr>
              <a:defRPr sz="1000" baseline="0">
                <a:solidFill>
                  <a:srgbClr val="607481"/>
                </a:solidFill>
              </a:defRPr>
            </a:pPr>
            <a:endParaRPr lang="en-US"/>
          </a:p>
        </c:txPr>
        <c:crossAx val="50080002"/>
        <c:crosses val="autoZero"/>
        <c:auto val="1"/>
        <c:lblAlgn val="ctr"/>
        <c:lblOffset val="100"/>
      </c:catAx>
      <c:valAx>
        <c:axId val="50080002"/>
        <c:scaling>
          <c:orientation val="minMax"/>
          <c:min val="0"/>
        </c:scaling>
        <c:axPos val="l"/>
        <c:majorGridlines>
          <c:spPr>
            <a:ln>
              <a:solidFill>
                <a:srgbClr val="E2EBEF"/>
              </a:solidFill>
            </a:ln>
          </c:spPr>
        </c:majorGridlines>
        <c:numFmt formatCode="0.0%" sourceLinked="0"/>
        <c:tickLblPos val="nextTo"/>
        <c:crossAx val="50080001"/>
        <c:crosses val="autoZero"/>
        <c:crossBetween val="between"/>
      </c:valAx>
      <c:spPr>
        <a:ln>
          <a:noFill/>
        </a:ln>
      </c:spPr>
    </c:plotArea>
    <c:legend>
      <c:legendPos val="b"/>
      <c:layout/>
      <c:txPr>
        <a:bodyPr/>
        <a:lstStyle/>
        <a:p>
          <a:pPr>
            <a:defRPr sz="1000" baseline="0"/>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0</xdr:rowOff>
    </xdr:from>
    <xdr:to>
      <xdr:col>7</xdr:col>
      <xdr:colOff>476250</xdr:colOff>
      <xdr:row>34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15</xdr:col>
      <xdr:colOff>476250</xdr:colOff>
      <xdr:row>34</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7</xdr:col>
      <xdr:colOff>819150</xdr:colOff>
      <xdr:row>30</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22</xdr:row>
      <xdr:rowOff>0</xdr:rowOff>
    </xdr:from>
    <xdr:to>
      <xdr:col>5</xdr:col>
      <xdr:colOff>1104900</xdr:colOff>
      <xdr:row>34</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0</xdr:rowOff>
    </xdr:from>
    <xdr:to>
      <xdr:col>5</xdr:col>
      <xdr:colOff>628650</xdr:colOff>
      <xdr:row>27</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22</xdr:row>
      <xdr:rowOff>0</xdr:rowOff>
    </xdr:from>
    <xdr:to>
      <xdr:col>4</xdr:col>
      <xdr:colOff>1019175</xdr:colOff>
      <xdr:row>36</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0</xdr:rowOff>
    </xdr:from>
    <xdr:to>
      <xdr:col>5</xdr:col>
      <xdr:colOff>914400</xdr:colOff>
      <xdr:row>31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22</xdr:row>
      <xdr:rowOff>0</xdr:rowOff>
    </xdr:from>
    <xdr:to>
      <xdr:col>6</xdr:col>
      <xdr:colOff>952500</xdr:colOff>
      <xdr:row>36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sheetPr>
    <tabColor rgb="FF007E80"/>
    <pageSetUpPr fitToPage="1"/>
  </sheetPr>
  <dimension ref="A1:P42"/>
  <sheetViews>
    <sheetView showGridLines="0" tabSelected="1" zoomScale="80" zoomScaleNormal="80" workbookViewId="0">
      <pane topLeftCell="A1" activePane="bottomLeft" state="frozen"/>
      <selection pane="bottomLeft"/>
    </sheetView>
  </sheetViews>
  <sheetFormatPr defaultRowHeight="15"/>
  <cols>
    <col min="1" max="16" width="10.7109375" customWidth="1"/>
  </cols>
  <sheetData>
    <row r="1" spans="1:16" ht="32" customHeight="1">
      <c r="A1" s="1" t="s">
        <v>0</v>
      </c>
      <c r="B1" s="1"/>
      <c r="C1" s="1"/>
      <c r="D1" s="1"/>
      <c r="E1" s="1"/>
      <c r="F1" s="1"/>
      <c r="G1" s="1"/>
      <c r="H1" s="1"/>
      <c r="I1" s="1"/>
      <c r="J1" s="1"/>
      <c r="K1" s="1"/>
      <c r="L1" s="1"/>
      <c r="M1" s="1"/>
      <c r="N1" s="1"/>
      <c r="O1" s="1"/>
      <c r="P1" s="1"/>
    </row>
    <row r="2" spans="1:16" ht="24" customHeight="1">
      <c r="A2" s="2" t="s">
        <v>1</v>
      </c>
      <c r="B2" s="2"/>
      <c r="C2" s="2"/>
      <c r="D2" s="2"/>
      <c r="E2" s="2"/>
      <c r="F2" s="2"/>
      <c r="G2" s="2"/>
      <c r="H2" s="2"/>
      <c r="I2" s="2"/>
      <c r="J2" s="2"/>
      <c r="K2" s="2"/>
      <c r="L2" s="2"/>
      <c r="M2" s="2"/>
      <c r="N2" s="2"/>
      <c r="O2" s="2"/>
      <c r="P2" s="2"/>
    </row>
    <row r="3" spans="1:16" ht="14" customHeight="1">
      <c r="A3" s="3" t="s">
        <v>2</v>
      </c>
      <c r="B3" s="3"/>
      <c r="C3" s="3"/>
      <c r="D3" s="3"/>
      <c r="E3" s="3"/>
      <c r="F3" s="3"/>
      <c r="G3" s="3"/>
      <c r="H3" s="3"/>
      <c r="I3" s="3"/>
      <c r="J3" s="3"/>
      <c r="K3" s="3"/>
      <c r="L3" s="3"/>
      <c r="M3" s="3"/>
      <c r="N3" s="3"/>
      <c r="O3" s="3"/>
      <c r="P3" s="3"/>
    </row>
    <row r="4" spans="1:16" ht="8" customHeight="1"/>
    <row r="5" spans="1:16" ht="24" customHeight="1">
      <c r="A5" s="4" t="s">
        <v>3</v>
      </c>
      <c r="B5" s="4"/>
      <c r="C5" s="4"/>
      <c r="D5" s="4"/>
      <c r="E5" s="4" t="s">
        <v>5</v>
      </c>
      <c r="F5" s="4"/>
      <c r="G5" s="4"/>
      <c r="H5" s="4"/>
      <c r="I5" s="4" t="s">
        <v>7</v>
      </c>
      <c r="J5" s="4"/>
      <c r="K5" s="4"/>
      <c r="L5" s="4"/>
      <c r="M5" s="4" t="s">
        <v>9</v>
      </c>
      <c r="N5" s="4"/>
      <c r="O5" s="4"/>
      <c r="P5" s="4"/>
    </row>
    <row r="6" spans="1:16" ht="18" customHeight="1">
      <c r="A6" s="5">
        <f>'Actividad 1S'!B12</f>
        <v>2542</v>
      </c>
      <c r="B6" s="5"/>
      <c r="C6" s="5"/>
      <c r="D6" s="5"/>
      <c r="E6" s="5">
        <f>'Actividad 1S'!F12</f>
        <v>1295</v>
      </c>
      <c r="F6" s="5"/>
      <c r="G6" s="5"/>
      <c r="H6" s="5"/>
      <c r="I6" s="5">
        <f>'Prevención realizada'!B6</f>
        <v>200</v>
      </c>
      <c r="J6" s="5"/>
      <c r="K6" s="5"/>
      <c r="L6" s="5"/>
      <c r="M6" s="5">
        <f>'Prevención realizada'!B7</f>
        <v>20</v>
      </c>
      <c r="N6" s="5"/>
      <c r="O6" s="5"/>
      <c r="P6" s="5"/>
    </row>
    <row r="7" spans="1:16" ht="18" customHeight="1">
      <c r="A7" s="5"/>
      <c r="B7" s="5"/>
      <c r="C7" s="5"/>
      <c r="D7" s="5"/>
      <c r="E7" s="5"/>
      <c r="F7" s="5"/>
      <c r="G7" s="5"/>
      <c r="H7" s="5"/>
      <c r="I7" s="5"/>
      <c r="J7" s="5"/>
      <c r="K7" s="5"/>
      <c r="L7" s="5"/>
      <c r="M7" s="5"/>
      <c r="N7" s="5"/>
      <c r="O7" s="5"/>
      <c r="P7" s="5"/>
    </row>
    <row r="8" spans="1:16" ht="12" customHeight="1">
      <c r="A8" s="6" t="s">
        <v>4</v>
      </c>
      <c r="B8" s="6"/>
      <c r="C8" s="6"/>
      <c r="D8" s="6"/>
      <c r="E8" s="6" t="s">
        <v>6</v>
      </c>
      <c r="F8" s="6"/>
      <c r="G8" s="6"/>
      <c r="H8" s="6"/>
      <c r="I8" s="6" t="s">
        <v>8</v>
      </c>
      <c r="J8" s="6"/>
      <c r="K8" s="6"/>
      <c r="L8" s="6"/>
      <c r="M8" s="6" t="s">
        <v>10</v>
      </c>
      <c r="N8" s="6"/>
      <c r="O8" s="6"/>
      <c r="P8" s="6"/>
    </row>
    <row r="9" spans="1:16" ht="12" customHeight="1">
      <c r="A9" s="6"/>
      <c r="B9" s="6"/>
      <c r="C9" s="6"/>
      <c r="D9" s="6"/>
      <c r="E9" s="6"/>
      <c r="F9" s="6"/>
      <c r="G9" s="6"/>
      <c r="H9" s="6"/>
      <c r="I9" s="6"/>
      <c r="J9" s="6"/>
      <c r="K9" s="6"/>
      <c r="L9" s="6"/>
      <c r="M9" s="6"/>
      <c r="N9" s="6"/>
      <c r="O9" s="6"/>
      <c r="P9" s="6"/>
    </row>
    <row r="10" spans="1:16" ht="8" customHeight="1"/>
    <row r="11" spans="1:16" ht="24" customHeight="1">
      <c r="A11" s="4" t="s">
        <v>11</v>
      </c>
      <c r="B11" s="4"/>
      <c r="C11" s="4"/>
      <c r="D11" s="4"/>
      <c r="E11" s="4" t="s">
        <v>13</v>
      </c>
      <c r="F11" s="4"/>
      <c r="G11" s="4"/>
      <c r="H11" s="4"/>
      <c r="I11" s="4" t="s">
        <v>15</v>
      </c>
      <c r="J11" s="4"/>
      <c r="K11" s="4"/>
      <c r="L11" s="4"/>
      <c r="M11" s="4" t="s">
        <v>17</v>
      </c>
      <c r="N11" s="4"/>
      <c r="O11" s="4"/>
      <c r="P11" s="4"/>
    </row>
    <row r="12" spans="1:16" ht="18" customHeight="1">
      <c r="A12" s="5">
        <f>'Seguimiento BP'!B6</f>
        <v>38</v>
      </c>
      <c r="B12" s="5"/>
      <c r="C12" s="5"/>
      <c r="D12" s="5"/>
      <c r="E12" s="5">
        <f>'ART y rechazos'!B9</f>
        <v>28</v>
      </c>
      <c r="F12" s="5"/>
      <c r="G12" s="5"/>
      <c r="H12" s="5"/>
      <c r="I12" s="5">
        <f>'ART y rechazos'!C9</f>
        <v>13</v>
      </c>
      <c r="J12" s="5"/>
      <c r="K12" s="5"/>
      <c r="L12" s="5"/>
      <c r="M12" s="5">
        <f>'Prevención realizada'!B8</f>
        <v>35</v>
      </c>
      <c r="N12" s="5"/>
      <c r="O12" s="5"/>
      <c r="P12" s="5"/>
    </row>
    <row r="13" spans="1:16" ht="18" customHeight="1">
      <c r="A13" s="5"/>
      <c r="B13" s="5"/>
      <c r="C13" s="5"/>
      <c r="D13" s="5"/>
      <c r="E13" s="5"/>
      <c r="F13" s="5"/>
      <c r="G13" s="5"/>
      <c r="H13" s="5"/>
      <c r="I13" s="5"/>
      <c r="J13" s="5"/>
      <c r="K13" s="5"/>
      <c r="L13" s="5"/>
      <c r="M13" s="5"/>
      <c r="N13" s="5"/>
      <c r="O13" s="5"/>
      <c r="P13" s="5"/>
    </row>
    <row r="14" spans="1:16" ht="12" customHeight="1">
      <c r="A14" s="6" t="s">
        <v>12</v>
      </c>
      <c r="B14" s="6"/>
      <c r="C14" s="6"/>
      <c r="D14" s="6"/>
      <c r="E14" s="6" t="s">
        <v>14</v>
      </c>
      <c r="F14" s="6"/>
      <c r="G14" s="6"/>
      <c r="H14" s="6"/>
      <c r="I14" s="6" t="s">
        <v>16</v>
      </c>
      <c r="J14" s="6"/>
      <c r="K14" s="6"/>
      <c r="L14" s="6"/>
      <c r="M14" s="6" t="s">
        <v>18</v>
      </c>
      <c r="N14" s="6"/>
      <c r="O14" s="6"/>
      <c r="P14" s="6"/>
    </row>
    <row r="15" spans="1:16" ht="12" customHeight="1">
      <c r="A15" s="6"/>
      <c r="B15" s="6"/>
      <c r="C15" s="6"/>
      <c r="D15" s="6"/>
      <c r="E15" s="6"/>
      <c r="F15" s="6"/>
      <c r="G15" s="6"/>
      <c r="H15" s="6"/>
      <c r="I15" s="6"/>
      <c r="J15" s="6"/>
      <c r="K15" s="6"/>
      <c r="L15" s="6"/>
      <c r="M15" s="6"/>
      <c r="N15" s="6"/>
      <c r="O15" s="6"/>
      <c r="P15" s="6"/>
    </row>
    <row r="16" spans="1:16" ht="8" customHeight="1"/>
    <row r="17" spans="1:16" ht="28" customHeight="1">
      <c r="A17" s="7" t="s">
        <v>19</v>
      </c>
      <c r="B17" s="7"/>
      <c r="C17" s="7"/>
      <c r="D17" s="7"/>
      <c r="E17" s="7"/>
      <c r="F17" s="7"/>
      <c r="G17" s="7"/>
      <c r="H17" s="7"/>
      <c r="I17" s="7"/>
      <c r="J17" s="7"/>
      <c r="K17" s="7"/>
      <c r="L17" s="7"/>
      <c r="M17" s="7"/>
      <c r="N17" s="7"/>
      <c r="O17" s="7"/>
      <c r="P17" s="7"/>
    </row>
    <row r="18" spans="1:16" ht="6" customHeight="1"/>
    <row r="19" spans="1:16" ht="28" customHeight="1">
      <c r="A19" s="7" t="s">
        <v>20</v>
      </c>
      <c r="B19" s="7"/>
      <c r="C19" s="7"/>
      <c r="D19" s="7"/>
      <c r="E19" s="7"/>
      <c r="F19" s="7"/>
      <c r="G19" s="7"/>
      <c r="H19" s="7"/>
      <c r="I19" s="7"/>
      <c r="J19" s="7"/>
      <c r="K19" s="7"/>
      <c r="L19" s="7"/>
      <c r="M19" s="7"/>
      <c r="N19" s="7"/>
      <c r="O19" s="7"/>
      <c r="P19" s="7"/>
    </row>
    <row r="20" spans="1:16" ht="6" customHeight="1"/>
    <row r="21" spans="1:16" ht="6" customHeight="1"/>
    <row r="22" spans="1:16" ht="12" customHeight="1"/>
    <row r="23" spans="1:16" ht="12" customHeight="1"/>
    <row r="24" spans="1:16" ht="12" customHeight="1"/>
    <row r="25" spans="1:16" ht="12" customHeight="1"/>
    <row r="26" spans="1:16" ht="12" customHeight="1"/>
    <row r="27" spans="1:16" ht="12" customHeight="1"/>
    <row r="28" spans="1:16" ht="12" customHeight="1"/>
    <row r="29" spans="1:16" ht="12" customHeight="1"/>
    <row r="30" spans="1:16" ht="12" customHeight="1"/>
    <row r="31" spans="1:16" ht="12" customHeight="1"/>
    <row r="32" spans="1:16" ht="12" customHeight="1"/>
    <row r="33" spans="1:16" ht="12" customHeight="1"/>
    <row r="34" spans="1:16" ht="12" customHeight="1"/>
    <row r="35" spans="1:16" ht="12" customHeight="1"/>
    <row r="36" spans="1:16" ht="22" customHeight="1">
      <c r="A36" s="8" t="s">
        <v>340</v>
      </c>
      <c r="B36" s="8"/>
      <c r="C36" s="8"/>
      <c r="D36" s="8"/>
      <c r="E36" s="8"/>
      <c r="F36" s="8"/>
      <c r="G36" s="8"/>
      <c r="H36" s="8"/>
      <c r="I36" s="8"/>
      <c r="J36" s="8"/>
      <c r="K36" s="8"/>
      <c r="L36" s="8"/>
      <c r="M36" s="8"/>
      <c r="N36" s="8"/>
      <c r="O36" s="8"/>
      <c r="P36" s="8"/>
    </row>
    <row r="37" spans="1:16" ht="24" customHeight="1">
      <c r="A37" s="3" t="s">
        <v>341</v>
      </c>
      <c r="B37" s="3"/>
      <c r="C37" s="3"/>
      <c r="D37" s="3"/>
      <c r="E37" s="3"/>
      <c r="F37" s="3"/>
      <c r="G37" s="3"/>
      <c r="H37" s="3"/>
      <c r="I37" s="3"/>
      <c r="J37" s="3"/>
      <c r="K37" s="3"/>
      <c r="L37" s="3"/>
      <c r="M37" s="3"/>
      <c r="N37" s="3"/>
      <c r="O37" s="3"/>
      <c r="P37" s="3"/>
    </row>
    <row r="38" spans="1:16" ht="6" customHeight="1"/>
    <row r="39" spans="1:16" ht="24" customHeight="1">
      <c r="A39" s="3" t="s">
        <v>342</v>
      </c>
      <c r="B39" s="3"/>
      <c r="C39" s="3"/>
      <c r="D39" s="3"/>
      <c r="E39" s="3"/>
      <c r="F39" s="3"/>
      <c r="G39" s="3"/>
      <c r="H39" s="3"/>
      <c r="I39" s="3"/>
      <c r="J39" s="3"/>
      <c r="K39" s="3"/>
      <c r="L39" s="3"/>
      <c r="M39" s="3"/>
      <c r="N39" s="3"/>
      <c r="O39" s="3"/>
      <c r="P39" s="3"/>
    </row>
    <row r="40" spans="1:16" ht="6" customHeight="1"/>
    <row r="41" spans="1:16" ht="24" customHeight="1">
      <c r="A41" s="3" t="s">
        <v>343</v>
      </c>
      <c r="B41" s="3"/>
      <c r="C41" s="3"/>
      <c r="D41" s="3"/>
      <c r="E41" s="3"/>
      <c r="F41" s="3"/>
      <c r="G41" s="3"/>
      <c r="H41" s="3"/>
      <c r="I41" s="3"/>
      <c r="J41" s="3"/>
      <c r="K41" s="3"/>
      <c r="L41" s="3"/>
      <c r="M41" s="3"/>
      <c r="N41" s="3"/>
      <c r="O41" s="3"/>
      <c r="P41" s="3"/>
    </row>
    <row r="42" spans="1:16" ht="6" customHeight="1"/>
  </sheetData>
  <mergeCells count="33">
    <mergeCell ref="A1:P1"/>
    <mergeCell ref="A2:P2"/>
    <mergeCell ref="A3:P3"/>
    <mergeCell ref="A5:D5"/>
    <mergeCell ref="A6:D7"/>
    <mergeCell ref="A8:D9"/>
    <mergeCell ref="E5:H5"/>
    <mergeCell ref="E6:H7"/>
    <mergeCell ref="E8:H9"/>
    <mergeCell ref="I5:L5"/>
    <mergeCell ref="I6:L7"/>
    <mergeCell ref="I8:L9"/>
    <mergeCell ref="M5:P5"/>
    <mergeCell ref="M6:P7"/>
    <mergeCell ref="M8:P9"/>
    <mergeCell ref="A11:D11"/>
    <mergeCell ref="A12:D13"/>
    <mergeCell ref="A14:D15"/>
    <mergeCell ref="E11:H11"/>
    <mergeCell ref="E12:H13"/>
    <mergeCell ref="E14:H15"/>
    <mergeCell ref="I11:L11"/>
    <mergeCell ref="I12:L13"/>
    <mergeCell ref="I14:L15"/>
    <mergeCell ref="M11:P11"/>
    <mergeCell ref="M12:P13"/>
    <mergeCell ref="M14:P15"/>
    <mergeCell ref="A17:P17"/>
    <mergeCell ref="A19:P19"/>
    <mergeCell ref="A36:P36"/>
    <mergeCell ref="A37:P37"/>
    <mergeCell ref="A39:P39"/>
    <mergeCell ref="A41:P41"/>
  </mergeCells>
  <printOptions horizontalCentered="1"/>
  <pageMargins left="0.3" right="0.3" top="0.32" bottom="0.36" header="0.12" footer="0.14"/>
  <pageSetup paperSize="9" orientation="landscape"/>
  <headerFooter>
    <oddHeader>&amp;LServicio Médico Tandanor &amp;RPrimer semestre 2026</oddHeader>
    <oddFooter>&amp;LUso interno · Datos agregados &amp;CPágina &amp;P de &amp;N &amp;RActualizado 08/10/2026</oddFooter>
  </headerFooter>
  <drawing r:id="rId1"/>
</worksheet>
</file>

<file path=xl/worksheets/sheet2.xml><?xml version="1.0" encoding="utf-8"?>
<worksheet xmlns="http://schemas.openxmlformats.org/spreadsheetml/2006/main" xmlns:r="http://schemas.openxmlformats.org/officeDocument/2006/relationships">
  <sheetPr>
    <tabColor rgb="FF17354D"/>
    <pageSetUpPr fitToPage="1"/>
  </sheetPr>
  <dimension ref="A1:H47"/>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17.7109375" customWidth="1"/>
    <col min="2" max="2" width="16.7109375" customWidth="1"/>
    <col min="3" max="4" width="15.7109375" customWidth="1"/>
    <col min="5" max="6" width="16.7109375" customWidth="1"/>
    <col min="7" max="7" width="17.7109375" customWidth="1"/>
    <col min="8" max="8" width="15.7109375" customWidth="1"/>
  </cols>
  <sheetData>
    <row r="1" spans="1:8" ht="40" customHeight="1">
      <c r="A1" s="1" t="s">
        <v>21</v>
      </c>
      <c r="B1" s="1"/>
      <c r="C1" s="1"/>
      <c r="D1" s="1"/>
      <c r="E1" s="1"/>
      <c r="F1" s="1"/>
      <c r="G1" s="1"/>
      <c r="H1" s="1"/>
    </row>
    <row r="2" spans="1:8" ht="36" customHeight="1">
      <c r="A2" s="2" t="s">
        <v>22</v>
      </c>
      <c r="B2" s="2"/>
      <c r="C2" s="2"/>
      <c r="D2" s="2"/>
      <c r="E2" s="2"/>
      <c r="F2" s="2"/>
      <c r="G2" s="2"/>
      <c r="H2" s="2"/>
    </row>
    <row r="3" spans="1:8" ht="20" customHeight="1">
      <c r="A3" s="3" t="s">
        <v>2</v>
      </c>
      <c r="B3" s="3"/>
      <c r="C3" s="3"/>
      <c r="D3" s="3"/>
      <c r="E3" s="3"/>
      <c r="F3" s="3"/>
      <c r="G3" s="3"/>
      <c r="H3" s="3"/>
    </row>
    <row r="5" spans="1:8" ht="36" customHeight="1">
      <c r="A5" s="9" t="s">
        <v>23</v>
      </c>
      <c r="B5" s="9" t="s">
        <v>24</v>
      </c>
      <c r="C5" s="9" t="s">
        <v>25</v>
      </c>
      <c r="D5" s="9" t="s">
        <v>26</v>
      </c>
      <c r="E5" s="9" t="s">
        <v>27</v>
      </c>
      <c r="F5" s="9" t="s">
        <v>28</v>
      </c>
      <c r="G5" s="9" t="s">
        <v>29</v>
      </c>
      <c r="H5" s="9" t="s">
        <v>30</v>
      </c>
    </row>
    <row r="6" spans="1:8" ht="28" customHeight="1">
      <c r="A6" s="10" t="s">
        <v>31</v>
      </c>
      <c r="B6" s="11">
        <v>362</v>
      </c>
      <c r="C6" s="11">
        <v>181</v>
      </c>
      <c r="D6" s="11">
        <v>41</v>
      </c>
      <c r="E6" s="11">
        <v>139</v>
      </c>
      <c r="F6" s="11">
        <f>C6+D6</f>
        <v>222</v>
      </c>
      <c r="G6" s="11">
        <v>1</v>
      </c>
      <c r="H6" s="11">
        <v>11</v>
      </c>
    </row>
    <row r="7" spans="1:8" ht="28" customHeight="1">
      <c r="A7" s="12" t="s">
        <v>32</v>
      </c>
      <c r="B7" s="13">
        <v>273</v>
      </c>
      <c r="C7" s="13">
        <v>103</v>
      </c>
      <c r="D7" s="13">
        <v>60</v>
      </c>
      <c r="E7" s="13">
        <v>108</v>
      </c>
      <c r="F7" s="13">
        <f>C7+D7</f>
        <v>163</v>
      </c>
      <c r="G7" s="13">
        <v>2</v>
      </c>
      <c r="H7" s="13">
        <v>17</v>
      </c>
    </row>
    <row r="8" spans="1:8" ht="28" customHeight="1">
      <c r="A8" s="10" t="s">
        <v>33</v>
      </c>
      <c r="B8" s="11">
        <v>488</v>
      </c>
      <c r="C8" s="11">
        <v>148</v>
      </c>
      <c r="D8" s="11">
        <v>75</v>
      </c>
      <c r="E8" s="11">
        <v>265</v>
      </c>
      <c r="F8" s="11">
        <f>C8+D8</f>
        <v>223</v>
      </c>
      <c r="G8" s="11">
        <v>0</v>
      </c>
      <c r="H8" s="11">
        <v>10</v>
      </c>
    </row>
    <row r="9" spans="1:8" ht="28" customHeight="1">
      <c r="A9" s="12" t="s">
        <v>34</v>
      </c>
      <c r="B9" s="13">
        <v>470</v>
      </c>
      <c r="C9" s="13">
        <v>156</v>
      </c>
      <c r="D9" s="13">
        <v>64</v>
      </c>
      <c r="E9" s="13">
        <v>248</v>
      </c>
      <c r="F9" s="13">
        <f>C9+D9</f>
        <v>220</v>
      </c>
      <c r="G9" s="13">
        <v>2</v>
      </c>
      <c r="H9" s="13">
        <v>23</v>
      </c>
    </row>
    <row r="10" spans="1:8" ht="28" customHeight="1">
      <c r="A10" s="10" t="s">
        <v>35</v>
      </c>
      <c r="B10" s="11">
        <v>464</v>
      </c>
      <c r="C10" s="11">
        <v>161</v>
      </c>
      <c r="D10" s="11">
        <v>65</v>
      </c>
      <c r="E10" s="11">
        <v>237</v>
      </c>
      <c r="F10" s="11">
        <f>C10+D10</f>
        <v>226</v>
      </c>
      <c r="G10" s="11">
        <v>1</v>
      </c>
      <c r="H10" s="11">
        <v>1</v>
      </c>
    </row>
    <row r="11" spans="1:8" ht="28" customHeight="1">
      <c r="A11" s="12" t="s">
        <v>36</v>
      </c>
      <c r="B11" s="13">
        <v>485</v>
      </c>
      <c r="C11" s="13">
        <v>198</v>
      </c>
      <c r="D11" s="13">
        <v>43</v>
      </c>
      <c r="E11" s="13">
        <v>241</v>
      </c>
      <c r="F11" s="13">
        <f>C11+D11</f>
        <v>241</v>
      </c>
      <c r="G11" s="13">
        <v>3</v>
      </c>
      <c r="H11" s="13">
        <v>18</v>
      </c>
    </row>
    <row r="12" spans="1:8">
      <c r="A12" s="14" t="s">
        <v>37</v>
      </c>
      <c r="B12" s="14">
        <f>SUM(B6:B11)</f>
        <v>2542</v>
      </c>
      <c r="C12" s="14">
        <f>SUM(C6:C11)</f>
        <v>947</v>
      </c>
      <c r="D12" s="14">
        <f>SUM(D6:D11)</f>
        <v>348</v>
      </c>
      <c r="E12" s="14">
        <f>SUM(E6:E11)</f>
        <v>1238</v>
      </c>
      <c r="F12" s="14">
        <f>SUM(F6:F11)</f>
        <v>1295</v>
      </c>
      <c r="G12" s="14">
        <f>SUM(G6:G11)</f>
        <v>9</v>
      </c>
      <c r="H12" s="14">
        <f>SUM(H6:H11)</f>
        <v>80</v>
      </c>
    </row>
    <row r="14" spans="1:8" ht="43" customHeight="1">
      <c r="A14" s="3" t="s">
        <v>38</v>
      </c>
      <c r="B14" s="3"/>
      <c r="C14" s="3"/>
      <c r="D14" s="3"/>
      <c r="E14" s="3"/>
      <c r="F14" s="3"/>
      <c r="G14" s="3"/>
      <c r="H14" s="3"/>
    </row>
    <row r="16" spans="1:8" ht="38" customHeight="1">
      <c r="A16" s="3" t="s">
        <v>39</v>
      </c>
      <c r="B16" s="3"/>
      <c r="C16" s="3"/>
      <c r="D16" s="3"/>
      <c r="E16" s="3"/>
      <c r="F16" s="3"/>
      <c r="G16" s="3"/>
      <c r="H16" s="3"/>
    </row>
    <row r="32" spans="1:8" ht="26" customHeight="1">
      <c r="A32" s="8" t="s">
        <v>40</v>
      </c>
      <c r="B32" s="8"/>
      <c r="C32" s="8"/>
      <c r="D32" s="8"/>
      <c r="E32" s="8"/>
      <c r="F32" s="8"/>
      <c r="G32" s="8"/>
      <c r="H32" s="8"/>
    </row>
    <row r="33" spans="1:8" ht="45" customHeight="1">
      <c r="A33" s="9" t="s">
        <v>23</v>
      </c>
      <c r="B33" s="9" t="s">
        <v>41</v>
      </c>
      <c r="C33" s="9" t="s">
        <v>42</v>
      </c>
      <c r="D33" s="9" t="s">
        <v>43</v>
      </c>
      <c r="E33" s="9" t="s">
        <v>44</v>
      </c>
      <c r="F33" s="9" t="s">
        <v>45</v>
      </c>
      <c r="G33" s="9"/>
      <c r="H33" s="9"/>
    </row>
    <row r="34" spans="1:8" ht="28" customHeight="1">
      <c r="A34" s="10" t="s">
        <v>31</v>
      </c>
      <c r="B34" s="11">
        <v>133</v>
      </c>
      <c r="C34" s="11">
        <v>80</v>
      </c>
      <c r="D34" s="10"/>
      <c r="E34" s="10"/>
      <c r="F34" s="10" t="s">
        <v>46</v>
      </c>
      <c r="G34" s="10"/>
      <c r="H34" s="10"/>
    </row>
    <row r="35" spans="1:8" ht="28" customHeight="1">
      <c r="A35" s="12" t="s">
        <v>32</v>
      </c>
      <c r="B35" s="13">
        <v>132</v>
      </c>
      <c r="C35" s="13">
        <v>51</v>
      </c>
      <c r="D35" s="13">
        <v>126</v>
      </c>
      <c r="E35" s="13">
        <v>9</v>
      </c>
      <c r="F35" s="12" t="s">
        <v>47</v>
      </c>
      <c r="G35" s="12"/>
      <c r="H35" s="12"/>
    </row>
    <row r="36" spans="1:8" ht="28" customHeight="1">
      <c r="A36" s="10" t="s">
        <v>33</v>
      </c>
      <c r="B36" s="11">
        <v>301</v>
      </c>
      <c r="C36" s="11">
        <v>155</v>
      </c>
      <c r="D36" s="11">
        <v>194</v>
      </c>
      <c r="E36" s="11">
        <v>7</v>
      </c>
      <c r="F36" s="10" t="s">
        <v>47</v>
      </c>
      <c r="G36" s="10"/>
      <c r="H36" s="10"/>
    </row>
    <row r="37" spans="1:8" ht="28" customHeight="1">
      <c r="A37" s="12" t="s">
        <v>34</v>
      </c>
      <c r="B37" s="13">
        <v>292</v>
      </c>
      <c r="C37" s="13">
        <v>110</v>
      </c>
      <c r="D37" s="13">
        <v>185</v>
      </c>
      <c r="E37" s="13">
        <v>6</v>
      </c>
      <c r="F37" s="12" t="s">
        <v>47</v>
      </c>
      <c r="G37" s="12"/>
      <c r="H37" s="12"/>
    </row>
    <row r="38" spans="1:8" ht="28" customHeight="1">
      <c r="A38" s="10" t="s">
        <v>35</v>
      </c>
      <c r="B38" s="11">
        <v>452</v>
      </c>
      <c r="C38" s="11">
        <v>121</v>
      </c>
      <c r="D38" s="11">
        <v>207</v>
      </c>
      <c r="E38" s="11">
        <v>18</v>
      </c>
      <c r="F38" s="10" t="s">
        <v>47</v>
      </c>
      <c r="G38" s="10"/>
      <c r="H38" s="10"/>
    </row>
    <row r="39" spans="1:8" ht="28" customHeight="1">
      <c r="A39" s="12" t="s">
        <v>36</v>
      </c>
      <c r="B39" s="13">
        <v>384</v>
      </c>
      <c r="C39" s="13">
        <v>97</v>
      </c>
      <c r="D39" s="13">
        <v>240</v>
      </c>
      <c r="E39" s="13">
        <v>19</v>
      </c>
      <c r="F39" s="12" t="s">
        <v>47</v>
      </c>
      <c r="G39" s="12"/>
      <c r="H39" s="12"/>
    </row>
    <row r="40" spans="1:8">
      <c r="A40" s="14" t="s">
        <v>48</v>
      </c>
      <c r="B40" s="14">
        <f>SUM(B34:B39)</f>
        <v>1694</v>
      </c>
      <c r="C40" s="14">
        <f>SUM(C34:C39)</f>
        <v>614</v>
      </c>
      <c r="D40" s="14">
        <f>SUM(D34:D39)</f>
        <v>952.0</v>
      </c>
      <c r="E40" s="14">
        <f>SUM(E34:E39)</f>
        <v>59.0</v>
      </c>
    </row>
    <row r="42" spans="1:8" ht="45" customHeight="1">
      <c r="A42" s="3" t="s">
        <v>49</v>
      </c>
      <c r="B42" s="3"/>
      <c r="C42" s="3"/>
      <c r="D42" s="3"/>
      <c r="E42" s="3"/>
      <c r="F42" s="3"/>
      <c r="G42" s="3"/>
      <c r="H42" s="3"/>
    </row>
    <row r="44" spans="1:8" ht="45" customHeight="1">
      <c r="A44" s="3" t="s">
        <v>50</v>
      </c>
      <c r="B44" s="3"/>
      <c r="C44" s="3"/>
      <c r="D44" s="3"/>
      <c r="E44" s="3"/>
      <c r="F44" s="3"/>
      <c r="G44" s="3"/>
      <c r="H44" s="3"/>
    </row>
    <row r="47" spans="1:8" ht="24" customHeight="1">
      <c r="A47" s="3" t="s">
        <v>51</v>
      </c>
      <c r="B47" s="3"/>
      <c r="C47" s="3"/>
      <c r="D47" s="3"/>
      <c r="E47" s="3"/>
      <c r="F47" s="3"/>
      <c r="G47" s="3"/>
      <c r="H47" s="3"/>
    </row>
  </sheetData>
  <mergeCells count="9">
    <mergeCell ref="A1:H1"/>
    <mergeCell ref="A2:H2"/>
    <mergeCell ref="A3:H3"/>
    <mergeCell ref="A14:H14"/>
    <mergeCell ref="A16:H16"/>
    <mergeCell ref="A32:H32"/>
    <mergeCell ref="A42:H42"/>
    <mergeCell ref="A44:H44"/>
    <mergeCell ref="A47:H47"/>
  </mergeCells>
  <printOptions horizontalCentered="1"/>
  <pageMargins left="0.3" right="0.3" top="0.32" bottom="0.36" header="0.12" footer="0.14"/>
  <pageSetup paperSize="9" fitToHeight="2" orientation="landscape"/>
  <headerFooter>
    <oddHeader>&amp;LServicio Médico Tandanor &amp;RPrimer semestre 2026</oddHeader>
    <oddFooter>&amp;LUso interno · Datos agregados &amp;CPágina &amp;P de &amp;N &amp;RActualizado 08/10/2026</oddFooter>
  </headerFooter>
  <rowBreaks count="1" manualBreakCount="1">
    <brk id="31" max="16383" man="1"/>
  </rowBreaks>
  <drawing r:id="rId1"/>
</worksheet>
</file>

<file path=xl/worksheets/sheet3.xml><?xml version="1.0" encoding="utf-8"?>
<worksheet xmlns="http://schemas.openxmlformats.org/spreadsheetml/2006/main" xmlns:r="http://schemas.openxmlformats.org/officeDocument/2006/relationships">
  <sheetPr>
    <tabColor rgb="FF17354D"/>
    <pageSetUpPr fitToPage="1"/>
  </sheetPr>
  <dimension ref="A1:F36"/>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customWidth="1"/>
    <col min="2" max="6" width="18.7109375" customWidth="1"/>
  </cols>
  <sheetData>
    <row r="1" spans="1:6" ht="40" customHeight="1">
      <c r="A1" s="1" t="s">
        <v>52</v>
      </c>
      <c r="B1" s="1"/>
      <c r="C1" s="1"/>
      <c r="D1" s="1"/>
      <c r="E1" s="1"/>
      <c r="F1" s="1"/>
    </row>
    <row r="2" spans="1:6" ht="36" customHeight="1">
      <c r="A2" s="2" t="s">
        <v>53</v>
      </c>
      <c r="B2" s="2"/>
      <c r="C2" s="2"/>
      <c r="D2" s="2"/>
      <c r="E2" s="2"/>
      <c r="F2" s="2"/>
    </row>
    <row r="3" spans="1:6" ht="20" customHeight="1">
      <c r="A3" s="3" t="s">
        <v>2</v>
      </c>
      <c r="B3" s="3"/>
      <c r="C3" s="3"/>
      <c r="D3" s="3"/>
      <c r="E3" s="3"/>
      <c r="F3" s="3"/>
    </row>
    <row r="5" spans="1:6" ht="36" customHeight="1">
      <c r="A5" s="9" t="s">
        <v>54</v>
      </c>
      <c r="B5" s="9" t="s">
        <v>55</v>
      </c>
      <c r="C5" s="9" t="s">
        <v>56</v>
      </c>
      <c r="D5" s="9" t="s">
        <v>45</v>
      </c>
      <c r="E5" s="9"/>
      <c r="F5" s="9"/>
    </row>
    <row r="6" spans="1:6" ht="28" customHeight="1">
      <c r="A6" s="10" t="s">
        <v>57</v>
      </c>
      <c r="B6" s="11">
        <v>38</v>
      </c>
      <c r="C6" s="10" t="s">
        <v>58</v>
      </c>
      <c r="D6" s="10" t="s">
        <v>59</v>
      </c>
      <c r="E6" s="10"/>
      <c r="F6" s="10"/>
    </row>
    <row r="7" spans="1:6" ht="28" customHeight="1">
      <c r="A7" s="12" t="s">
        <v>60</v>
      </c>
      <c r="B7" s="13">
        <v>8</v>
      </c>
      <c r="C7" s="12" t="s">
        <v>58</v>
      </c>
      <c r="D7" s="12" t="s">
        <v>61</v>
      </c>
      <c r="E7" s="12"/>
      <c r="F7" s="12"/>
    </row>
    <row r="8" spans="1:6" ht="28" customHeight="1">
      <c r="A8" s="10" t="s">
        <v>62</v>
      </c>
      <c r="B8" s="11">
        <v>30</v>
      </c>
      <c r="C8" s="10" t="s">
        <v>58</v>
      </c>
      <c r="D8" s="10" t="s">
        <v>63</v>
      </c>
      <c r="E8" s="10"/>
      <c r="F8" s="10"/>
    </row>
    <row r="9" spans="1:6" ht="28" customHeight="1">
      <c r="A9" s="12" t="s">
        <v>64</v>
      </c>
      <c r="B9" s="13">
        <v>23</v>
      </c>
      <c r="C9" s="12" t="s">
        <v>58</v>
      </c>
      <c r="D9" s="12" t="s">
        <v>65</v>
      </c>
      <c r="E9" s="12"/>
      <c r="F9" s="12"/>
    </row>
    <row r="10" spans="1:6" ht="28" customHeight="1">
      <c r="A10" s="10" t="s">
        <v>66</v>
      </c>
      <c r="B10" s="11">
        <v>15</v>
      </c>
      <c r="C10" s="10" t="s">
        <v>58</v>
      </c>
      <c r="D10" s="10" t="s">
        <v>67</v>
      </c>
      <c r="E10" s="10"/>
      <c r="F10" s="10"/>
    </row>
    <row r="12" spans="1:6" ht="40" customHeight="1">
      <c r="A12" s="9" t="s">
        <v>23</v>
      </c>
      <c r="B12" s="9" t="s">
        <v>68</v>
      </c>
      <c r="C12" s="9" t="s">
        <v>62</v>
      </c>
      <c r="D12" s="9" t="s">
        <v>64</v>
      </c>
      <c r="E12" s="9" t="s">
        <v>69</v>
      </c>
      <c r="F12" s="9" t="s">
        <v>70</v>
      </c>
    </row>
    <row r="13" spans="1:6" ht="28" customHeight="1">
      <c r="A13" s="12" t="s">
        <v>31</v>
      </c>
      <c r="B13" s="13">
        <v>8</v>
      </c>
      <c r="C13" s="13">
        <v>4</v>
      </c>
      <c r="D13" s="13">
        <v>3</v>
      </c>
      <c r="E13" s="13">
        <v>9</v>
      </c>
      <c r="F13" s="13">
        <f>B13+C13-D13</f>
        <v>9</v>
      </c>
    </row>
    <row r="14" spans="1:6" ht="28" customHeight="1">
      <c r="A14" s="10" t="s">
        <v>32</v>
      </c>
      <c r="B14" s="11">
        <v>9</v>
      </c>
      <c r="C14" s="11">
        <v>3</v>
      </c>
      <c r="D14" s="11">
        <v>3</v>
      </c>
      <c r="E14" s="11">
        <v>9</v>
      </c>
      <c r="F14" s="11">
        <f>B14+C14-D14</f>
        <v>9</v>
      </c>
    </row>
    <row r="15" spans="1:6" ht="28" customHeight="1">
      <c r="A15" s="12" t="s">
        <v>33</v>
      </c>
      <c r="B15" s="13">
        <v>9</v>
      </c>
      <c r="C15" s="13">
        <v>3</v>
      </c>
      <c r="D15" s="13">
        <v>8</v>
      </c>
      <c r="E15" s="13">
        <v>4</v>
      </c>
      <c r="F15" s="13">
        <f>B15+C15-D15</f>
        <v>4</v>
      </c>
    </row>
    <row r="16" spans="1:6" ht="28" customHeight="1">
      <c r="A16" s="10" t="s">
        <v>34</v>
      </c>
      <c r="B16" s="11">
        <v>4</v>
      </c>
      <c r="C16" s="11">
        <v>7</v>
      </c>
      <c r="D16" s="11">
        <v>3</v>
      </c>
      <c r="E16" s="11">
        <v>8</v>
      </c>
      <c r="F16" s="11">
        <f>B16+C16-D16</f>
        <v>8</v>
      </c>
    </row>
    <row r="17" spans="1:6" ht="28" customHeight="1">
      <c r="A17" s="12" t="s">
        <v>35</v>
      </c>
      <c r="B17" s="13">
        <v>8</v>
      </c>
      <c r="C17" s="13">
        <v>8</v>
      </c>
      <c r="D17" s="13">
        <v>4</v>
      </c>
      <c r="E17" s="13">
        <v>12</v>
      </c>
      <c r="F17" s="13">
        <f>B17+C17-D17</f>
        <v>12</v>
      </c>
    </row>
    <row r="18" spans="1:6" ht="28" customHeight="1">
      <c r="A18" s="10" t="s">
        <v>36</v>
      </c>
      <c r="B18" s="11">
        <v>12</v>
      </c>
      <c r="C18" s="11">
        <v>5</v>
      </c>
      <c r="D18" s="11">
        <v>2</v>
      </c>
      <c r="E18" s="11">
        <v>15</v>
      </c>
      <c r="F18" s="11">
        <f>B18+C18-D18</f>
        <v>15</v>
      </c>
    </row>
    <row r="20" spans="1:6" ht="40" customHeight="1">
      <c r="A20" s="7" t="s">
        <v>71</v>
      </c>
      <c r="B20" s="7"/>
      <c r="C20" s="7"/>
      <c r="D20" s="7"/>
      <c r="E20" s="7"/>
      <c r="F20" s="7"/>
    </row>
    <row r="36" spans="1:6" ht="44" customHeight="1">
      <c r="A36" s="3" t="s">
        <v>72</v>
      </c>
      <c r="B36" s="3"/>
      <c r="C36" s="3"/>
      <c r="D36" s="3"/>
      <c r="E36" s="3"/>
      <c r="F36" s="3"/>
    </row>
  </sheetData>
  <mergeCells count="5">
    <mergeCell ref="A1:F1"/>
    <mergeCell ref="A2:F2"/>
    <mergeCell ref="A3:F3"/>
    <mergeCell ref="A20:F20"/>
    <mergeCell ref="A36:F36"/>
  </mergeCells>
  <printOptions horizontalCentered="1"/>
  <pageMargins left="0.3" right="0.3" top="0.32" bottom="0.36" header="0.12" footer="0.14"/>
  <pageSetup paperSize="9" orientation="portrait"/>
  <headerFooter>
    <oddHeader>&amp;LServicio Médico Tandanor &amp;RPrimer semestre 2026</oddHeader>
    <oddFooter>&amp;LUso interno · Datos agregados &amp;CPágina &amp;P de &amp;N &amp;RActualizado 08/10/2026</oddFooter>
  </headerFooter>
  <drawing r:id="rId1"/>
</worksheet>
</file>

<file path=xl/worksheets/sheet4.xml><?xml version="1.0" encoding="utf-8"?>
<worksheet xmlns="http://schemas.openxmlformats.org/spreadsheetml/2006/main" xmlns:r="http://schemas.openxmlformats.org/officeDocument/2006/relationships">
  <sheetPr>
    <tabColor rgb="FF17354D"/>
    <pageSetUpPr fitToPage="1"/>
  </sheetPr>
  <dimension ref="A1:F42"/>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4.7109375" customWidth="1"/>
    <col min="2" max="2" width="18.7109375" customWidth="1"/>
    <col min="3" max="3" width="20.7109375" customWidth="1"/>
    <col min="4" max="4" width="22.7109375" customWidth="1"/>
    <col min="5" max="5" width="23.7109375" customWidth="1"/>
    <col min="6" max="6" width="18.7109375" customWidth="1"/>
  </cols>
  <sheetData>
    <row r="1" spans="1:6" ht="40" customHeight="1">
      <c r="A1" s="1" t="s">
        <v>73</v>
      </c>
      <c r="B1" s="1"/>
      <c r="C1" s="1"/>
      <c r="D1" s="1"/>
      <c r="E1" s="1"/>
      <c r="F1" s="1"/>
    </row>
    <row r="2" spans="1:6" ht="36" customHeight="1">
      <c r="A2" s="2" t="s">
        <v>74</v>
      </c>
      <c r="B2" s="2"/>
      <c r="C2" s="2"/>
      <c r="D2" s="2"/>
      <c r="E2" s="2"/>
      <c r="F2" s="2"/>
    </row>
    <row r="3" spans="1:6" ht="20" customHeight="1">
      <c r="A3" s="3" t="s">
        <v>2</v>
      </c>
      <c r="B3" s="3"/>
      <c r="C3" s="3"/>
      <c r="D3" s="3"/>
      <c r="E3" s="3"/>
      <c r="F3" s="3"/>
    </row>
    <row r="5" spans="1:6" ht="43" customHeight="1">
      <c r="A5" s="9" t="s">
        <v>75</v>
      </c>
      <c r="B5" s="9" t="s">
        <v>76</v>
      </c>
      <c r="C5" s="9" t="s">
        <v>77</v>
      </c>
      <c r="D5" s="9" t="s">
        <v>78</v>
      </c>
      <c r="E5" s="9" t="s">
        <v>79</v>
      </c>
      <c r="F5" s="9" t="s">
        <v>80</v>
      </c>
    </row>
    <row r="6" spans="1:6" ht="28" customHeight="1">
      <c r="A6" s="10" t="s">
        <v>81</v>
      </c>
      <c r="B6" s="11">
        <v>19</v>
      </c>
      <c r="C6" s="11">
        <v>9</v>
      </c>
      <c r="D6" s="11">
        <v>10</v>
      </c>
      <c r="E6" s="10" t="s">
        <v>82</v>
      </c>
      <c r="F6" s="15">
        <f>C6/B6</f>
        <v>0.47368421052631576</v>
      </c>
    </row>
    <row r="7" spans="1:6" ht="28" customHeight="1">
      <c r="A7" s="12" t="s">
        <v>83</v>
      </c>
      <c r="B7" s="13">
        <v>8</v>
      </c>
      <c r="C7" s="13">
        <v>3</v>
      </c>
      <c r="D7" s="13">
        <v>5</v>
      </c>
      <c r="E7" s="12" t="s">
        <v>84</v>
      </c>
      <c r="F7" s="16">
        <f>C7/B7</f>
        <v>0.375</v>
      </c>
    </row>
    <row r="8" spans="1:6" ht="28" customHeight="1">
      <c r="A8" s="10" t="s">
        <v>85</v>
      </c>
      <c r="B8" s="11">
        <v>1</v>
      </c>
      <c r="C8" s="11">
        <v>1</v>
      </c>
      <c r="D8" s="11">
        <v>0</v>
      </c>
      <c r="E8" s="10" t="s">
        <v>86</v>
      </c>
      <c r="F8" s="10" t="s">
        <v>87</v>
      </c>
    </row>
    <row r="9" spans="1:6">
      <c r="A9" s="14" t="s">
        <v>88</v>
      </c>
      <c r="B9" s="14">
        <f>SUM(B6:B8)</f>
        <v>28</v>
      </c>
      <c r="C9" s="14">
        <f>SUM(C6:C8)</f>
        <v>13</v>
      </c>
      <c r="D9" s="14">
        <f>SUM(D6:D8)</f>
        <v>15</v>
      </c>
      <c r="E9" s="14" t="s">
        <v>89</v>
      </c>
      <c r="F9" s="17">
        <f>C9/B9</f>
        <v>0.4642857142857143</v>
      </c>
    </row>
    <row r="11" spans="1:6" ht="48" customHeight="1">
      <c r="A11" s="7" t="s">
        <v>90</v>
      </c>
      <c r="B11" s="7"/>
      <c r="C11" s="7"/>
      <c r="D11" s="7"/>
      <c r="E11" s="7"/>
      <c r="F11" s="7"/>
    </row>
    <row r="13" spans="1:6" ht="44" customHeight="1">
      <c r="A13" s="3" t="s">
        <v>91</v>
      </c>
      <c r="B13" s="3"/>
      <c r="C13" s="3"/>
      <c r="D13" s="3"/>
      <c r="E13" s="3"/>
      <c r="F13" s="3"/>
    </row>
    <row r="30" spans="1:6" ht="26" customHeight="1">
      <c r="A30" s="8" t="s">
        <v>92</v>
      </c>
      <c r="B30" s="8"/>
      <c r="C30" s="8"/>
      <c r="D30" s="8"/>
      <c r="E30" s="8"/>
      <c r="F30" s="8"/>
    </row>
    <row r="31" spans="1:6" ht="39" customHeight="1">
      <c r="A31" s="3" t="s">
        <v>93</v>
      </c>
      <c r="B31" s="3"/>
      <c r="C31" s="3"/>
      <c r="D31" s="3"/>
      <c r="E31" s="3"/>
      <c r="F31" s="3"/>
    </row>
    <row r="33" spans="1:6" ht="38" customHeight="1">
      <c r="A33" s="9" t="s">
        <v>23</v>
      </c>
      <c r="B33" s="9" t="s">
        <v>68</v>
      </c>
      <c r="C33" s="9" t="s">
        <v>94</v>
      </c>
      <c r="D33" s="9" t="s">
        <v>64</v>
      </c>
      <c r="E33" s="9" t="s">
        <v>69</v>
      </c>
      <c r="F33" s="9" t="s">
        <v>70</v>
      </c>
    </row>
    <row r="34" spans="1:6" ht="28" customHeight="1">
      <c r="A34" s="10" t="s">
        <v>31</v>
      </c>
      <c r="B34" s="11">
        <v>4</v>
      </c>
      <c r="C34" s="11">
        <v>2</v>
      </c>
      <c r="D34" s="11">
        <v>1</v>
      </c>
      <c r="E34" s="11">
        <v>5</v>
      </c>
      <c r="F34" s="11">
        <f>B34+C34-D34</f>
        <v>5</v>
      </c>
    </row>
    <row r="35" spans="1:6" ht="28" customHeight="1">
      <c r="A35" s="12" t="s">
        <v>32</v>
      </c>
      <c r="B35" s="13">
        <v>5</v>
      </c>
      <c r="C35" s="13">
        <v>4</v>
      </c>
      <c r="D35" s="13">
        <v>4</v>
      </c>
      <c r="E35" s="13">
        <v>5</v>
      </c>
      <c r="F35" s="13">
        <f>B35+C35-D35</f>
        <v>5</v>
      </c>
    </row>
    <row r="36" spans="1:6" ht="28" customHeight="1">
      <c r="A36" s="10" t="s">
        <v>33</v>
      </c>
      <c r="B36" s="11">
        <v>5</v>
      </c>
      <c r="C36" s="11">
        <v>5</v>
      </c>
      <c r="D36" s="11">
        <v>7</v>
      </c>
      <c r="E36" s="11">
        <v>3</v>
      </c>
      <c r="F36" s="11">
        <f>B36+C36-D36</f>
        <v>3</v>
      </c>
    </row>
    <row r="37" spans="1:6" ht="28" customHeight="1">
      <c r="A37" s="12" t="s">
        <v>34</v>
      </c>
      <c r="B37" s="13">
        <v>3</v>
      </c>
      <c r="C37" s="13">
        <v>6</v>
      </c>
      <c r="D37" s="13">
        <v>4</v>
      </c>
      <c r="E37" s="13">
        <v>5</v>
      </c>
      <c r="F37" s="13">
        <f>B37+C37-D37</f>
        <v>5</v>
      </c>
    </row>
    <row r="38" spans="1:6" ht="28" customHeight="1">
      <c r="A38" s="10" t="s">
        <v>35</v>
      </c>
      <c r="B38" s="11">
        <v>5</v>
      </c>
      <c r="C38" s="11">
        <v>4</v>
      </c>
      <c r="D38" s="11">
        <v>6</v>
      </c>
      <c r="E38" s="11">
        <v>3</v>
      </c>
      <c r="F38" s="11">
        <f>B38+C38-D38</f>
        <v>3</v>
      </c>
    </row>
    <row r="39" spans="1:6" ht="28" customHeight="1">
      <c r="A39" s="12" t="s">
        <v>36</v>
      </c>
      <c r="B39" s="13">
        <v>3</v>
      </c>
      <c r="C39" s="13">
        <v>7</v>
      </c>
      <c r="D39" s="13">
        <v>4</v>
      </c>
      <c r="E39" s="13">
        <v>6</v>
      </c>
      <c r="F39" s="13">
        <f>B39+C39-D39</f>
        <v>6</v>
      </c>
    </row>
    <row r="42" spans="1:6" ht="45" customHeight="1">
      <c r="A42" s="3" t="s">
        <v>95</v>
      </c>
      <c r="B42" s="3"/>
      <c r="C42" s="3"/>
      <c r="D42" s="3"/>
      <c r="E42" s="3"/>
      <c r="F42" s="3"/>
    </row>
  </sheetData>
  <mergeCells count="8">
    <mergeCell ref="A1:F1"/>
    <mergeCell ref="A2:F2"/>
    <mergeCell ref="A3:F3"/>
    <mergeCell ref="A11:F11"/>
    <mergeCell ref="A13:F13"/>
    <mergeCell ref="A30:F30"/>
    <mergeCell ref="A31:F31"/>
    <mergeCell ref="A42:F42"/>
  </mergeCells>
  <printOptions horizontalCentered="1"/>
  <pageMargins left="0.3" right="0.3" top="0.32" bottom="0.36" header="0.12" footer="0.14"/>
  <pageSetup paperSize="9" fitToHeight="2" orientation="landscape"/>
  <headerFooter>
    <oddHeader>&amp;LServicio Médico Tandanor &amp;RPrimer semestre 2026</oddHeader>
    <oddFooter>&amp;LUso interno · Datos agregados &amp;CPágina &amp;P de &amp;N &amp;RActualizado 08/10/2026</oddFooter>
  </headerFooter>
  <rowBreaks count="1" manualBreakCount="1">
    <brk id="29" max="16383" man="1"/>
  </rowBreaks>
  <drawing r:id="rId1"/>
</worksheet>
</file>

<file path=xl/worksheets/sheet5.xml><?xml version="1.0" encoding="utf-8"?>
<worksheet xmlns="http://schemas.openxmlformats.org/spreadsheetml/2006/main" xmlns:r="http://schemas.openxmlformats.org/officeDocument/2006/relationships">
  <sheetPr>
    <tabColor rgb="FF17354D"/>
    <pageSetUpPr fitToPage="1"/>
  </sheetPr>
  <dimension ref="A1:E41"/>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0.7109375" customWidth="1"/>
    <col min="2" max="2" width="17.7109375" customWidth="1"/>
    <col min="3" max="3" width="19.7109375" customWidth="1"/>
    <col min="4" max="4" width="23.7109375" customWidth="1"/>
    <col min="5" max="5" width="18.7109375" customWidth="1"/>
  </cols>
  <sheetData>
    <row r="1" spans="1:5" ht="40" customHeight="1">
      <c r="A1" s="1" t="s">
        <v>96</v>
      </c>
      <c r="B1" s="1"/>
      <c r="C1" s="1"/>
      <c r="D1" s="1"/>
      <c r="E1" s="1"/>
    </row>
    <row r="2" spans="1:5" ht="36" customHeight="1">
      <c r="A2" s="2" t="s">
        <v>97</v>
      </c>
      <c r="B2" s="2"/>
      <c r="C2" s="2"/>
      <c r="D2" s="2"/>
      <c r="E2" s="2"/>
    </row>
    <row r="3" spans="1:5" ht="20" customHeight="1">
      <c r="A3" s="3" t="s">
        <v>2</v>
      </c>
      <c r="B3" s="3"/>
      <c r="C3" s="3"/>
      <c r="D3" s="3"/>
      <c r="E3" s="3"/>
    </row>
    <row r="5" spans="1:5" ht="44" customHeight="1">
      <c r="A5" s="9" t="s">
        <v>98</v>
      </c>
      <c r="B5" s="9" t="s">
        <v>99</v>
      </c>
      <c r="C5" s="9" t="s">
        <v>100</v>
      </c>
      <c r="D5" s="9" t="s">
        <v>101</v>
      </c>
      <c r="E5" s="9" t="s">
        <v>102</v>
      </c>
    </row>
    <row r="6" spans="1:5" ht="30" customHeight="1">
      <c r="A6" s="10" t="s">
        <v>103</v>
      </c>
      <c r="B6" s="11">
        <v>239</v>
      </c>
      <c r="C6" s="11">
        <v>113</v>
      </c>
      <c r="D6" s="15">
        <f>B6/$B$17</f>
        <v>0.28725961538461536</v>
      </c>
      <c r="E6" s="11">
        <v>1</v>
      </c>
    </row>
    <row r="7" spans="1:5" ht="30" customHeight="1">
      <c r="A7" s="12" t="s">
        <v>104</v>
      </c>
      <c r="B7" s="13">
        <v>148</v>
      </c>
      <c r="C7" s="13">
        <v>86</v>
      </c>
      <c r="D7" s="16">
        <f>B7/$B$17</f>
        <v>0.1778846153846154</v>
      </c>
      <c r="E7" s="13">
        <v>2</v>
      </c>
    </row>
    <row r="8" spans="1:5" ht="30" customHeight="1">
      <c r="A8" s="10" t="s">
        <v>105</v>
      </c>
      <c r="B8" s="11">
        <v>122</v>
      </c>
      <c r="C8" s="11">
        <v>83</v>
      </c>
      <c r="D8" s="15">
        <f>B8/$B$17</f>
        <v>0.1466346153846154</v>
      </c>
      <c r="E8" s="11">
        <v>3</v>
      </c>
    </row>
    <row r="9" spans="1:5" ht="30" customHeight="1">
      <c r="A9" s="12" t="s">
        <v>106</v>
      </c>
      <c r="B9" s="13">
        <v>95</v>
      </c>
      <c r="C9" s="13">
        <v>61</v>
      </c>
      <c r="D9" s="16">
        <f>B9/$B$17</f>
        <v>0.1141826923076923</v>
      </c>
      <c r="E9" s="13">
        <v>4</v>
      </c>
    </row>
    <row r="10" spans="1:5" ht="30" customHeight="1">
      <c r="A10" s="10" t="s">
        <v>107</v>
      </c>
      <c r="B10" s="11">
        <v>84</v>
      </c>
      <c r="C10" s="11">
        <v>55</v>
      </c>
      <c r="D10" s="15">
        <f>B10/$B$17</f>
        <v>0.10096153846153846</v>
      </c>
      <c r="E10" s="11">
        <v>5</v>
      </c>
    </row>
    <row r="11" spans="1:5" ht="30" customHeight="1">
      <c r="A11" s="12" t="s">
        <v>108</v>
      </c>
      <c r="B11" s="13">
        <v>64</v>
      </c>
      <c r="C11" s="13">
        <v>43</v>
      </c>
      <c r="D11" s="16">
        <f>B11/$B$17</f>
        <v>0.07692307692307693</v>
      </c>
      <c r="E11" s="13">
        <v>6</v>
      </c>
    </row>
    <row r="12" spans="1:5" ht="30" customHeight="1">
      <c r="A12" s="10" t="s">
        <v>109</v>
      </c>
      <c r="B12" s="11">
        <v>41</v>
      </c>
      <c r="C12" s="11">
        <v>12</v>
      </c>
      <c r="D12" s="15">
        <f>B12/$B$17</f>
        <v>0.04927884615384615</v>
      </c>
      <c r="E12" s="11">
        <v>7</v>
      </c>
    </row>
    <row r="13" spans="1:5" ht="30" customHeight="1">
      <c r="A13" s="12" t="s">
        <v>110</v>
      </c>
      <c r="B13" s="13">
        <v>29</v>
      </c>
      <c r="C13" s="13">
        <v>20</v>
      </c>
      <c r="D13" s="16">
        <f>B13/$B$17</f>
        <v>0.03485576923076923</v>
      </c>
      <c r="E13" s="13">
        <v>8</v>
      </c>
    </row>
    <row r="14" spans="1:5" ht="30" customHeight="1">
      <c r="A14" s="10" t="s">
        <v>111</v>
      </c>
      <c r="B14" s="11">
        <v>8</v>
      </c>
      <c r="C14" s="11">
        <v>7</v>
      </c>
      <c r="D14" s="15">
        <f>B14/$B$17</f>
        <v>0.009615384615384616</v>
      </c>
      <c r="E14" s="11">
        <v>9</v>
      </c>
    </row>
    <row r="17" spans="1:5">
      <c r="A17" s="14" t="s">
        <v>112</v>
      </c>
      <c r="B17" s="14">
        <v>832</v>
      </c>
    </row>
    <row r="18" spans="1:5">
      <c r="A18" s="10" t="s">
        <v>113</v>
      </c>
      <c r="B18" s="11">
        <v>1295</v>
      </c>
      <c r="D18" s="15">
        <f>B17/B18</f>
        <v>0.6424710424710425</v>
      </c>
    </row>
    <row r="20" spans="1:5" ht="40" customHeight="1">
      <c r="A20" s="7" t="s">
        <v>114</v>
      </c>
      <c r="B20" s="7"/>
      <c r="C20" s="7"/>
      <c r="D20" s="7"/>
      <c r="E20" s="7"/>
    </row>
    <row r="38" spans="1:5" ht="46" customHeight="1">
      <c r="A38" s="3" t="s">
        <v>115</v>
      </c>
      <c r="B38" s="3"/>
      <c r="C38" s="3"/>
      <c r="D38" s="3"/>
      <c r="E38" s="3"/>
    </row>
    <row r="41" spans="1:5" ht="40" customHeight="1">
      <c r="A41" s="3" t="s">
        <v>116</v>
      </c>
      <c r="B41" s="3"/>
      <c r="C41" s="3"/>
      <c r="D41" s="3"/>
      <c r="E41" s="3"/>
    </row>
  </sheetData>
  <mergeCells count="6">
    <mergeCell ref="A1:E1"/>
    <mergeCell ref="A2:E2"/>
    <mergeCell ref="A3:E3"/>
    <mergeCell ref="A20:E20"/>
    <mergeCell ref="A38:E38"/>
    <mergeCell ref="A41:E41"/>
  </mergeCells>
  <printOptions horizontalCentered="1"/>
  <pageMargins left="0.3" right="0.3" top="0.32" bottom="0.36" header="0.12" footer="0.14"/>
  <pageSetup paperSize="9" orientation="portrait"/>
  <headerFooter>
    <oddHeader>&amp;LServicio Médico Tandanor &amp;RPrimer semestre 2026</oddHeader>
    <oddFooter>&amp;LUso interno · Datos agregados &amp;CPágina &amp;P de &amp;N &amp;RActualizado 08/10/2026</oddFooter>
  </headerFooter>
  <drawing r:id="rId1"/>
</worksheet>
</file>

<file path=xl/worksheets/sheet6.xml><?xml version="1.0" encoding="utf-8"?>
<worksheet xmlns="http://schemas.openxmlformats.org/spreadsheetml/2006/main" xmlns:r="http://schemas.openxmlformats.org/officeDocument/2006/relationships">
  <sheetPr>
    <tabColor rgb="FF17354D"/>
    <pageSetUpPr fitToPage="1"/>
  </sheetPr>
  <dimension ref="A1:F21"/>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2.7109375" customWidth="1"/>
    <col min="2" max="2" width="14.7109375" customWidth="1"/>
    <col min="3" max="3" width="15.7109375" customWidth="1"/>
    <col min="4" max="4" width="35.7109375" customWidth="1"/>
    <col min="5" max="5" width="14.7109375" customWidth="1"/>
    <col min="6" max="6" width="19.7109375" customWidth="1"/>
  </cols>
  <sheetData>
    <row r="1" spans="1:6" ht="40" customHeight="1">
      <c r="A1" s="1" t="s">
        <v>117</v>
      </c>
      <c r="B1" s="1"/>
      <c r="C1" s="1"/>
      <c r="D1" s="1"/>
      <c r="E1" s="1"/>
      <c r="F1" s="1"/>
    </row>
    <row r="2" spans="1:6" ht="36" customHeight="1">
      <c r="A2" s="2" t="s">
        <v>118</v>
      </c>
      <c r="B2" s="2"/>
      <c r="C2" s="2"/>
      <c r="D2" s="2"/>
      <c r="E2" s="2"/>
      <c r="F2" s="2"/>
    </row>
    <row r="3" spans="1:6" ht="20" customHeight="1">
      <c r="A3" s="3" t="s">
        <v>2</v>
      </c>
      <c r="B3" s="3"/>
      <c r="C3" s="3"/>
      <c r="D3" s="3"/>
      <c r="E3" s="3"/>
      <c r="F3" s="3"/>
    </row>
    <row r="5" spans="1:6" ht="47" customHeight="1">
      <c r="A5" s="9" t="s">
        <v>119</v>
      </c>
      <c r="B5" s="9" t="s">
        <v>120</v>
      </c>
      <c r="C5" s="9" t="s">
        <v>121</v>
      </c>
      <c r="D5" s="9" t="s">
        <v>122</v>
      </c>
      <c r="E5" s="9" t="s">
        <v>123</v>
      </c>
      <c r="F5" s="9" t="s">
        <v>124</v>
      </c>
    </row>
    <row r="6" spans="1:6" ht="38" customHeight="1">
      <c r="A6" s="10" t="s">
        <v>125</v>
      </c>
      <c r="B6" s="11">
        <v>267</v>
      </c>
      <c r="C6" s="11">
        <v>181</v>
      </c>
      <c r="D6" s="10" t="s">
        <v>103</v>
      </c>
      <c r="E6" s="11">
        <v>58</v>
      </c>
      <c r="F6" s="15">
        <f>E6/C6</f>
        <v>0.32044198895027626</v>
      </c>
    </row>
    <row r="7" spans="1:6" ht="38" customHeight="1">
      <c r="A7" s="12" t="s">
        <v>126</v>
      </c>
      <c r="B7" s="13">
        <v>144</v>
      </c>
      <c r="C7" s="13">
        <v>83</v>
      </c>
      <c r="D7" s="12" t="s">
        <v>105</v>
      </c>
      <c r="E7" s="13">
        <v>20</v>
      </c>
      <c r="F7" s="16">
        <f>E7/C7</f>
        <v>0.24096385542168675</v>
      </c>
    </row>
    <row r="8" spans="1:6" ht="38" customHeight="1">
      <c r="A8" s="10" t="s">
        <v>127</v>
      </c>
      <c r="B8" s="11">
        <v>103</v>
      </c>
      <c r="C8" s="11">
        <v>57</v>
      </c>
      <c r="D8" s="10" t="s">
        <v>103</v>
      </c>
      <c r="E8" s="11">
        <v>19</v>
      </c>
      <c r="F8" s="15">
        <f>E8/C8</f>
        <v>0.3333333333333333</v>
      </c>
    </row>
    <row r="9" spans="1:6" ht="38" customHeight="1">
      <c r="A9" s="12" t="s">
        <v>128</v>
      </c>
      <c r="B9" s="13">
        <v>96</v>
      </c>
      <c r="C9" s="13">
        <v>70</v>
      </c>
      <c r="D9" s="12" t="s">
        <v>103</v>
      </c>
      <c r="E9" s="13">
        <v>28</v>
      </c>
      <c r="F9" s="16">
        <f>E9/C9</f>
        <v>0.4</v>
      </c>
    </row>
    <row r="10" spans="1:6" ht="38" customHeight="1">
      <c r="A10" s="10" t="s">
        <v>129</v>
      </c>
      <c r="B10" s="11">
        <v>81</v>
      </c>
      <c r="C10" s="11">
        <v>64</v>
      </c>
      <c r="D10" s="10" t="s">
        <v>103</v>
      </c>
      <c r="E10" s="11">
        <v>31</v>
      </c>
      <c r="F10" s="15">
        <f>E10/C10</f>
        <v>0.484375</v>
      </c>
    </row>
    <row r="11" spans="1:6" ht="38" customHeight="1">
      <c r="A11" s="12" t="s">
        <v>130</v>
      </c>
      <c r="B11" s="13">
        <v>76</v>
      </c>
      <c r="C11" s="13">
        <v>49</v>
      </c>
      <c r="D11" s="12" t="s">
        <v>103</v>
      </c>
      <c r="E11" s="13">
        <v>16</v>
      </c>
      <c r="F11" s="16">
        <f>E11/C11</f>
        <v>0.32653061224489793</v>
      </c>
    </row>
    <row r="12" spans="1:6" ht="38" customHeight="1">
      <c r="A12" s="10" t="s">
        <v>131</v>
      </c>
      <c r="B12" s="11">
        <v>76</v>
      </c>
      <c r="C12" s="11">
        <v>43</v>
      </c>
      <c r="D12" s="10" t="s">
        <v>103</v>
      </c>
      <c r="E12" s="11">
        <v>13</v>
      </c>
      <c r="F12" s="15">
        <f>E12/C12</f>
        <v>0.3023255813953488</v>
      </c>
    </row>
    <row r="13" spans="1:6" ht="38" customHeight="1">
      <c r="A13" s="12" t="s">
        <v>132</v>
      </c>
      <c r="B13" s="13">
        <v>60</v>
      </c>
      <c r="C13" s="13">
        <v>41</v>
      </c>
      <c r="D13" s="12" t="s">
        <v>104</v>
      </c>
      <c r="E13" s="13">
        <v>14</v>
      </c>
      <c r="F13" s="16">
        <f>E13/C13</f>
        <v>0.34146341463414637</v>
      </c>
    </row>
    <row r="14" spans="1:6" ht="38" customHeight="1">
      <c r="A14" s="10" t="s">
        <v>133</v>
      </c>
      <c r="B14" s="11">
        <v>44</v>
      </c>
      <c r="C14" s="11">
        <v>32</v>
      </c>
      <c r="D14" s="10" t="s">
        <v>104</v>
      </c>
      <c r="E14" s="11">
        <v>10</v>
      </c>
      <c r="F14" s="15">
        <f>E14/C14</f>
        <v>0.3125</v>
      </c>
    </row>
    <row r="15" spans="1:6" ht="38" customHeight="1">
      <c r="A15" s="12" t="s">
        <v>134</v>
      </c>
      <c r="B15" s="13">
        <v>42</v>
      </c>
      <c r="C15" s="13">
        <v>17</v>
      </c>
      <c r="D15" s="12" t="s">
        <v>104</v>
      </c>
      <c r="E15" s="13">
        <v>5</v>
      </c>
      <c r="F15" s="16">
        <f>E15/C15</f>
        <v>0.29411764705882354</v>
      </c>
    </row>
    <row r="17" spans="1:6" ht="49" customHeight="1">
      <c r="A17" s="7" t="s">
        <v>135</v>
      </c>
      <c r="B17" s="7"/>
      <c r="C17" s="7"/>
      <c r="D17" s="7"/>
      <c r="E17" s="7"/>
      <c r="F17" s="7"/>
    </row>
    <row r="19" spans="1:6" ht="44" customHeight="1">
      <c r="A19" s="3" t="s">
        <v>136</v>
      </c>
      <c r="B19" s="3"/>
      <c r="C19" s="3"/>
      <c r="D19" s="3"/>
      <c r="E19" s="3"/>
      <c r="F19" s="3"/>
    </row>
    <row r="21" spans="1:6" ht="43" customHeight="1">
      <c r="A21" s="3" t="s">
        <v>137</v>
      </c>
      <c r="B21" s="3"/>
      <c r="C21" s="3"/>
      <c r="D21" s="3"/>
      <c r="E21" s="3"/>
      <c r="F21" s="3"/>
    </row>
  </sheetData>
  <mergeCells count="6">
    <mergeCell ref="A1:F1"/>
    <mergeCell ref="A2:F2"/>
    <mergeCell ref="A3:F3"/>
    <mergeCell ref="A17:F17"/>
    <mergeCell ref="A19:F19"/>
    <mergeCell ref="A21:F21"/>
  </mergeCells>
  <printOptions horizontalCentered="1"/>
  <pageMargins left="0.3" right="0.3" top="0.32" bottom="0.36" header="0.12" footer="0.14"/>
  <pageSetup paperSize="9" orientation="portrait"/>
  <headerFooter>
    <oddHeader>&amp;LServicio Médico Tandanor &amp;RPrimer semestre 2026</oddHeader>
    <oddFooter>&amp;LUso interno · Datos agregados &amp;CPágina &amp;P de &amp;N &amp;RActualizado 08/10/2026</oddFooter>
  </headerFooter>
</worksheet>
</file>

<file path=xl/worksheets/sheet7.xml><?xml version="1.0" encoding="utf-8"?>
<worksheet xmlns="http://schemas.openxmlformats.org/spreadsheetml/2006/main" xmlns:r="http://schemas.openxmlformats.org/officeDocument/2006/relationships">
  <sheetPr>
    <tabColor rgb="FF17354D"/>
    <pageSetUpPr fitToPage="1"/>
  </sheetPr>
  <dimension ref="A1:E48"/>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3.7109375" customWidth="1"/>
    <col min="2" max="2" width="38.7109375" customWidth="1"/>
    <col min="3" max="3" width="15.7109375" customWidth="1"/>
    <col min="4" max="5" width="20.7109375" customWidth="1"/>
  </cols>
  <sheetData>
    <row r="1" spans="1:5" ht="40" customHeight="1">
      <c r="A1" s="1" t="s">
        <v>138</v>
      </c>
      <c r="B1" s="1"/>
      <c r="C1" s="1"/>
      <c r="D1" s="1"/>
      <c r="E1" s="1"/>
    </row>
    <row r="2" spans="1:5" ht="36" customHeight="1">
      <c r="A2" s="2" t="s">
        <v>139</v>
      </c>
      <c r="B2" s="2"/>
      <c r="C2" s="2"/>
      <c r="D2" s="2"/>
      <c r="E2" s="2"/>
    </row>
    <row r="3" spans="1:5" ht="20" customHeight="1">
      <c r="A3" s="3" t="s">
        <v>2</v>
      </c>
      <c r="B3" s="3"/>
      <c r="C3" s="3"/>
      <c r="D3" s="3"/>
      <c r="E3" s="3"/>
    </row>
    <row r="5" spans="1:5" ht="44" customHeight="1">
      <c r="A5" s="9" t="s">
        <v>119</v>
      </c>
      <c r="B5" s="9" t="s">
        <v>98</v>
      </c>
      <c r="C5" s="9" t="s">
        <v>99</v>
      </c>
      <c r="D5" s="9" t="s">
        <v>100</v>
      </c>
      <c r="E5" s="9" t="s">
        <v>124</v>
      </c>
    </row>
    <row r="6" spans="1:5" ht="31" customHeight="1">
      <c r="A6" s="10" t="s">
        <v>125</v>
      </c>
      <c r="B6" s="10" t="s">
        <v>103</v>
      </c>
      <c r="C6" s="11">
        <v>58</v>
      </c>
      <c r="D6" s="11">
        <v>23</v>
      </c>
      <c r="E6" s="15">
        <v>0.3204419889502763</v>
      </c>
    </row>
    <row r="7" spans="1:5" ht="31" customHeight="1">
      <c r="A7" s="12" t="s">
        <v>125</v>
      </c>
      <c r="B7" s="12" t="s">
        <v>106</v>
      </c>
      <c r="C7" s="13">
        <v>38</v>
      </c>
      <c r="D7" s="13">
        <v>20</v>
      </c>
      <c r="E7" s="16">
        <v>0.2099447513812155</v>
      </c>
    </row>
    <row r="8" spans="1:5" ht="31" customHeight="1">
      <c r="A8" s="10" t="s">
        <v>125</v>
      </c>
      <c r="B8" s="10" t="s">
        <v>104</v>
      </c>
      <c r="C8" s="11">
        <v>25</v>
      </c>
      <c r="D8" s="11">
        <v>13</v>
      </c>
      <c r="E8" s="15">
        <v>0.138121546961326</v>
      </c>
    </row>
    <row r="9" spans="1:5" ht="31" customHeight="1">
      <c r="A9" s="12" t="s">
        <v>125</v>
      </c>
      <c r="B9" s="12" t="s">
        <v>105</v>
      </c>
      <c r="C9" s="13">
        <v>20</v>
      </c>
      <c r="D9" s="13">
        <v>11</v>
      </c>
      <c r="E9" s="16">
        <v>0.1104972375690608</v>
      </c>
    </row>
    <row r="10" spans="1:5" ht="31" customHeight="1">
      <c r="A10" s="10" t="s">
        <v>125</v>
      </c>
      <c r="B10" s="10" t="s">
        <v>108</v>
      </c>
      <c r="C10" s="11">
        <v>14</v>
      </c>
      <c r="D10" s="11">
        <v>10</v>
      </c>
      <c r="E10" s="15">
        <v>0.07734806629834254</v>
      </c>
    </row>
    <row r="11" spans="1:5" ht="31" customHeight="1">
      <c r="A11" s="12" t="s">
        <v>125</v>
      </c>
      <c r="B11" s="12" t="s">
        <v>107</v>
      </c>
      <c r="C11" s="13">
        <v>13</v>
      </c>
      <c r="D11" s="13">
        <v>10</v>
      </c>
      <c r="E11" s="16">
        <v>0.0718232044198895</v>
      </c>
    </row>
    <row r="12" spans="1:5" ht="31" customHeight="1">
      <c r="A12" s="10" t="s">
        <v>126</v>
      </c>
      <c r="B12" s="10" t="s">
        <v>105</v>
      </c>
      <c r="C12" s="11">
        <v>20</v>
      </c>
      <c r="D12" s="11">
        <v>10</v>
      </c>
      <c r="E12" s="15">
        <v>0.2409638554216867</v>
      </c>
    </row>
    <row r="13" spans="1:5" ht="31" customHeight="1">
      <c r="A13" s="12" t="s">
        <v>126</v>
      </c>
      <c r="B13" s="12" t="s">
        <v>104</v>
      </c>
      <c r="C13" s="13">
        <v>18</v>
      </c>
      <c r="D13" s="13">
        <v>12</v>
      </c>
      <c r="E13" s="16">
        <v>0.2168674698795181</v>
      </c>
    </row>
    <row r="14" spans="1:5" ht="31" customHeight="1">
      <c r="A14" s="10" t="s">
        <v>126</v>
      </c>
      <c r="B14" s="10" t="s">
        <v>103</v>
      </c>
      <c r="C14" s="11">
        <v>16</v>
      </c>
      <c r="D14" s="11">
        <v>12</v>
      </c>
      <c r="E14" s="15">
        <v>0.1927710843373494</v>
      </c>
    </row>
    <row r="15" spans="1:5" ht="31" customHeight="1">
      <c r="A15" s="12" t="s">
        <v>126</v>
      </c>
      <c r="B15" s="12" t="s">
        <v>106</v>
      </c>
      <c r="C15" s="13">
        <v>11</v>
      </c>
      <c r="D15" s="13">
        <v>8</v>
      </c>
      <c r="E15" s="16">
        <v>0.1325301204819277</v>
      </c>
    </row>
    <row r="16" spans="1:5" ht="31" customHeight="1">
      <c r="A16" s="10" t="s">
        <v>126</v>
      </c>
      <c r="B16" s="10" t="s">
        <v>108</v>
      </c>
      <c r="C16" s="11">
        <v>10</v>
      </c>
      <c r="D16" s="11">
        <v>7</v>
      </c>
      <c r="E16" s="15">
        <v>0.1204819277108434</v>
      </c>
    </row>
    <row r="17" spans="1:5" ht="31" customHeight="1">
      <c r="A17" s="12" t="s">
        <v>126</v>
      </c>
      <c r="B17" s="12" t="s">
        <v>107</v>
      </c>
      <c r="C17" s="13">
        <v>6</v>
      </c>
      <c r="D17" s="13">
        <v>5</v>
      </c>
      <c r="E17" s="16">
        <v>0.07228915662650602</v>
      </c>
    </row>
    <row r="18" spans="1:5" ht="31" customHeight="1">
      <c r="A18" s="10" t="s">
        <v>127</v>
      </c>
      <c r="B18" s="10" t="s">
        <v>103</v>
      </c>
      <c r="C18" s="11">
        <v>19</v>
      </c>
      <c r="D18" s="11">
        <v>9</v>
      </c>
      <c r="E18" s="15">
        <v>0.3333333333333333</v>
      </c>
    </row>
    <row r="19" spans="1:5" ht="31" customHeight="1">
      <c r="A19" s="12" t="s">
        <v>127</v>
      </c>
      <c r="B19" s="12" t="s">
        <v>105</v>
      </c>
      <c r="C19" s="13">
        <v>12</v>
      </c>
      <c r="D19" s="13">
        <v>8</v>
      </c>
      <c r="E19" s="16">
        <v>0.2105263157894737</v>
      </c>
    </row>
    <row r="20" spans="1:5" ht="31" customHeight="1">
      <c r="A20" s="10" t="s">
        <v>127</v>
      </c>
      <c r="B20" s="10" t="s">
        <v>104</v>
      </c>
      <c r="C20" s="11">
        <v>10</v>
      </c>
      <c r="D20" s="11">
        <v>6</v>
      </c>
      <c r="E20" s="15">
        <v>0.1754385964912281</v>
      </c>
    </row>
    <row r="21" spans="1:5" ht="31" customHeight="1">
      <c r="A21" s="12" t="s">
        <v>128</v>
      </c>
      <c r="B21" s="12" t="s">
        <v>103</v>
      </c>
      <c r="C21" s="13">
        <v>28</v>
      </c>
      <c r="D21" s="13">
        <v>8</v>
      </c>
      <c r="E21" s="16">
        <v>0.4</v>
      </c>
    </row>
    <row r="22" spans="1:5" ht="31" customHeight="1">
      <c r="A22" s="10" t="s">
        <v>128</v>
      </c>
      <c r="B22" s="10" t="s">
        <v>104</v>
      </c>
      <c r="C22" s="11">
        <v>15</v>
      </c>
      <c r="D22" s="11">
        <v>6</v>
      </c>
      <c r="E22" s="15">
        <v>0.2142857142857143</v>
      </c>
    </row>
    <row r="23" spans="1:5" ht="31" customHeight="1">
      <c r="A23" s="12" t="s">
        <v>128</v>
      </c>
      <c r="B23" s="12" t="s">
        <v>105</v>
      </c>
      <c r="C23" s="13">
        <v>12</v>
      </c>
      <c r="D23" s="13">
        <v>8</v>
      </c>
      <c r="E23" s="16">
        <v>0.1714285714285714</v>
      </c>
    </row>
    <row r="24" spans="1:5" ht="31" customHeight="1">
      <c r="A24" s="10" t="s">
        <v>129</v>
      </c>
      <c r="B24" s="10" t="s">
        <v>103</v>
      </c>
      <c r="C24" s="11">
        <v>31</v>
      </c>
      <c r="D24" s="11">
        <v>14</v>
      </c>
      <c r="E24" s="15">
        <v>0.484375</v>
      </c>
    </row>
    <row r="25" spans="1:5" ht="31" customHeight="1">
      <c r="A25" s="12" t="s">
        <v>129</v>
      </c>
      <c r="B25" s="12" t="s">
        <v>104</v>
      </c>
      <c r="C25" s="13">
        <v>9</v>
      </c>
      <c r="D25" s="13">
        <v>7</v>
      </c>
      <c r="E25" s="16">
        <v>0.140625</v>
      </c>
    </row>
    <row r="26" spans="1:5" ht="31" customHeight="1">
      <c r="A26" s="10" t="s">
        <v>129</v>
      </c>
      <c r="B26" s="10" t="s">
        <v>108</v>
      </c>
      <c r="C26" s="11">
        <v>7</v>
      </c>
      <c r="D26" s="11">
        <v>6</v>
      </c>
      <c r="E26" s="15">
        <v>0.109375</v>
      </c>
    </row>
    <row r="27" spans="1:5" ht="31" customHeight="1">
      <c r="A27" s="12" t="s">
        <v>129</v>
      </c>
      <c r="B27" s="12" t="s">
        <v>106</v>
      </c>
      <c r="C27" s="13">
        <v>7</v>
      </c>
      <c r="D27" s="13">
        <v>5</v>
      </c>
      <c r="E27" s="16">
        <v>0.109375</v>
      </c>
    </row>
    <row r="28" spans="1:5" ht="31" customHeight="1">
      <c r="A28" s="10" t="s">
        <v>130</v>
      </c>
      <c r="B28" s="10" t="s">
        <v>103</v>
      </c>
      <c r="C28" s="11">
        <v>16</v>
      </c>
      <c r="D28" s="11">
        <v>9</v>
      </c>
      <c r="E28" s="15">
        <v>0.3265306122448979</v>
      </c>
    </row>
    <row r="29" spans="1:5" ht="31" customHeight="1">
      <c r="A29" s="12" t="s">
        <v>130</v>
      </c>
      <c r="B29" s="12" t="s">
        <v>105</v>
      </c>
      <c r="C29" s="13">
        <v>6</v>
      </c>
      <c r="D29" s="13">
        <v>5</v>
      </c>
      <c r="E29" s="16">
        <v>0.1224489795918367</v>
      </c>
    </row>
    <row r="30" spans="1:5" ht="31" customHeight="1">
      <c r="A30" s="10" t="s">
        <v>131</v>
      </c>
      <c r="B30" s="10" t="s">
        <v>103</v>
      </c>
      <c r="C30" s="11">
        <v>13</v>
      </c>
      <c r="D30" s="11">
        <v>7</v>
      </c>
      <c r="E30" s="15">
        <v>0.3023255813953488</v>
      </c>
    </row>
    <row r="31" spans="1:5" ht="31" customHeight="1">
      <c r="A31" s="12" t="s">
        <v>131</v>
      </c>
      <c r="B31" s="12" t="s">
        <v>105</v>
      </c>
      <c r="C31" s="13">
        <v>7</v>
      </c>
      <c r="D31" s="13">
        <v>6</v>
      </c>
      <c r="E31" s="16">
        <v>0.1627906976744186</v>
      </c>
    </row>
    <row r="32" spans="1:5" ht="31" customHeight="1">
      <c r="A32" s="10" t="s">
        <v>131</v>
      </c>
      <c r="B32" s="10" t="s">
        <v>104</v>
      </c>
      <c r="C32" s="11">
        <v>7</v>
      </c>
      <c r="D32" s="11">
        <v>6</v>
      </c>
      <c r="E32" s="15">
        <v>0.1627906976744186</v>
      </c>
    </row>
    <row r="33" spans="1:5" ht="31" customHeight="1">
      <c r="A33" s="12" t="s">
        <v>131</v>
      </c>
      <c r="B33" s="12" t="s">
        <v>107</v>
      </c>
      <c r="C33" s="13">
        <v>5</v>
      </c>
      <c r="D33" s="13">
        <v>5</v>
      </c>
      <c r="E33" s="16">
        <v>0.1162790697674419</v>
      </c>
    </row>
    <row r="34" spans="1:5" ht="31" customHeight="1">
      <c r="A34" s="10" t="s">
        <v>132</v>
      </c>
      <c r="B34" s="10" t="s">
        <v>104</v>
      </c>
      <c r="C34" s="11">
        <v>14</v>
      </c>
      <c r="D34" s="11">
        <v>6</v>
      </c>
      <c r="E34" s="15">
        <v>0.3414634146341464</v>
      </c>
    </row>
    <row r="35" spans="1:5" ht="31" customHeight="1">
      <c r="A35" s="12" t="s">
        <v>132</v>
      </c>
      <c r="B35" s="12" t="s">
        <v>105</v>
      </c>
      <c r="C35" s="13">
        <v>7</v>
      </c>
      <c r="D35" s="13">
        <v>7</v>
      </c>
      <c r="E35" s="16">
        <v>0.1707317073170732</v>
      </c>
    </row>
    <row r="36" spans="1:5" ht="31" customHeight="1">
      <c r="A36" s="10" t="s">
        <v>132</v>
      </c>
      <c r="B36" s="10" t="s">
        <v>107</v>
      </c>
      <c r="C36" s="11">
        <v>5</v>
      </c>
      <c r="D36" s="11">
        <v>5</v>
      </c>
      <c r="E36" s="15">
        <v>0.1219512195121951</v>
      </c>
    </row>
    <row r="37" spans="1:5" ht="31" customHeight="1">
      <c r="A37" s="12" t="s">
        <v>133</v>
      </c>
      <c r="B37" s="12" t="s">
        <v>104</v>
      </c>
      <c r="C37" s="13">
        <v>10</v>
      </c>
      <c r="D37" s="13">
        <v>7</v>
      </c>
      <c r="E37" s="16">
        <v>0.3125</v>
      </c>
    </row>
    <row r="38" spans="1:5" ht="31" customHeight="1">
      <c r="A38" s="10" t="s">
        <v>134</v>
      </c>
      <c r="B38" s="10" t="s">
        <v>104</v>
      </c>
      <c r="C38" s="11">
        <v>5</v>
      </c>
      <c r="D38" s="11">
        <v>5</v>
      </c>
      <c r="E38" s="15">
        <v>0.2941176470588235</v>
      </c>
    </row>
    <row r="39" spans="1:5" ht="31" customHeight="1">
      <c r="A39" s="12" t="s">
        <v>140</v>
      </c>
      <c r="B39" s="12" t="s">
        <v>103</v>
      </c>
      <c r="C39" s="13">
        <v>35</v>
      </c>
      <c r="D39" s="13">
        <v>16</v>
      </c>
      <c r="E39" s="16">
        <v>0.2536231884057971</v>
      </c>
    </row>
    <row r="40" spans="1:5" ht="31" customHeight="1">
      <c r="A40" s="10" t="s">
        <v>140</v>
      </c>
      <c r="B40" s="10" t="s">
        <v>105</v>
      </c>
      <c r="C40" s="11">
        <v>25</v>
      </c>
      <c r="D40" s="11">
        <v>17</v>
      </c>
      <c r="E40" s="15">
        <v>0.1811594202898551</v>
      </c>
    </row>
    <row r="41" spans="1:5" ht="31" customHeight="1">
      <c r="A41" s="12" t="s">
        <v>140</v>
      </c>
      <c r="B41" s="12" t="s">
        <v>107</v>
      </c>
      <c r="C41" s="13">
        <v>19</v>
      </c>
      <c r="D41" s="13">
        <v>10</v>
      </c>
      <c r="E41" s="16">
        <v>0.1376811594202899</v>
      </c>
    </row>
    <row r="42" spans="1:5" ht="31" customHeight="1">
      <c r="A42" s="10" t="s">
        <v>140</v>
      </c>
      <c r="B42" s="10" t="s">
        <v>104</v>
      </c>
      <c r="C42" s="11">
        <v>15</v>
      </c>
      <c r="D42" s="11">
        <v>10</v>
      </c>
      <c r="E42" s="15">
        <v>0.108695652173913</v>
      </c>
    </row>
    <row r="43" spans="1:5" ht="31" customHeight="1">
      <c r="A43" s="12" t="s">
        <v>140</v>
      </c>
      <c r="B43" s="12" t="s">
        <v>108</v>
      </c>
      <c r="C43" s="13">
        <v>8</v>
      </c>
      <c r="D43" s="13">
        <v>7</v>
      </c>
      <c r="E43" s="16">
        <v>0.05797101449275362</v>
      </c>
    </row>
    <row r="44" spans="1:5" ht="31" customHeight="1">
      <c r="A44" s="10" t="s">
        <v>140</v>
      </c>
      <c r="B44" s="10" t="s">
        <v>106</v>
      </c>
      <c r="C44" s="11">
        <v>7</v>
      </c>
      <c r="D44" s="11">
        <v>6</v>
      </c>
      <c r="E44" s="15">
        <v>0.05072463768115942</v>
      </c>
    </row>
    <row r="46" spans="1:5" ht="50" customHeight="1">
      <c r="A46" s="3" t="s">
        <v>141</v>
      </c>
      <c r="B46" s="3"/>
      <c r="C46" s="3"/>
      <c r="D46" s="3"/>
      <c r="E46" s="3"/>
    </row>
    <row r="48" spans="1:5" ht="43" customHeight="1">
      <c r="A48" s="3" t="s">
        <v>142</v>
      </c>
      <c r="B48" s="3"/>
      <c r="C48" s="3"/>
      <c r="D48" s="3"/>
      <c r="E48" s="3"/>
    </row>
  </sheetData>
  <autoFilter ref="A5:E44"/>
  <mergeCells count="5">
    <mergeCell ref="A1:E1"/>
    <mergeCell ref="A2:E2"/>
    <mergeCell ref="A3:E3"/>
    <mergeCell ref="A46:E46"/>
    <mergeCell ref="A48:E48"/>
  </mergeCells>
  <printOptions horizontalCentered="1"/>
  <pageMargins left="0.3" right="0.3" top="0.32" bottom="0.36" header="0.12" footer="0.14"/>
  <pageSetup paperSize="9" fitToHeight="2" orientation="portrait"/>
  <headerFooter>
    <oddHeader>&amp;LServicio Médico Tandanor &amp;RPrimer semestre 2026</oddHeader>
    <oddFooter>&amp;LUso interno · Datos agregados &amp;CPágina &amp;P de &amp;N &amp;RActualizado 08/10/2026</oddFooter>
  </headerFooter>
  <rowBreaks count="1" manualBreakCount="1">
    <brk id="31" max="16383" man="1"/>
  </rowBreaks>
</worksheet>
</file>

<file path=xl/worksheets/sheet8.xml><?xml version="1.0" encoding="utf-8"?>
<worksheet xmlns="http://schemas.openxmlformats.org/spreadsheetml/2006/main" xmlns:r="http://schemas.openxmlformats.org/officeDocument/2006/relationships">
  <sheetPr>
    <tabColor rgb="FF17354D"/>
    <pageSetUpPr fitToPage="1"/>
  </sheetPr>
  <dimension ref="A1:E30"/>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5.7109375" customWidth="1"/>
    <col min="2" max="2" width="17.7109375" customWidth="1"/>
    <col min="3" max="3" width="21.7109375" customWidth="1"/>
    <col min="4" max="4" width="36.7109375" customWidth="1"/>
    <col min="5" max="5" width="26.7109375" customWidth="1"/>
  </cols>
  <sheetData>
    <row r="1" spans="1:5" ht="40" customHeight="1">
      <c r="A1" s="1" t="s">
        <v>143</v>
      </c>
      <c r="B1" s="1"/>
      <c r="C1" s="1"/>
      <c r="D1" s="1"/>
      <c r="E1" s="1"/>
    </row>
    <row r="2" spans="1:5" ht="36" customHeight="1">
      <c r="A2" s="2" t="s">
        <v>144</v>
      </c>
      <c r="B2" s="2"/>
      <c r="C2" s="2"/>
      <c r="D2" s="2"/>
      <c r="E2" s="2"/>
    </row>
    <row r="3" spans="1:5" ht="20" customHeight="1">
      <c r="A3" s="3" t="s">
        <v>2</v>
      </c>
      <c r="B3" s="3"/>
      <c r="C3" s="3"/>
      <c r="D3" s="3"/>
      <c r="E3" s="3"/>
    </row>
    <row r="5" spans="1:5" ht="42" customHeight="1">
      <c r="A5" s="9" t="s">
        <v>145</v>
      </c>
      <c r="B5" s="9" t="s">
        <v>146</v>
      </c>
      <c r="C5" s="9" t="s">
        <v>56</v>
      </c>
      <c r="D5" s="9" t="s">
        <v>45</v>
      </c>
      <c r="E5" s="9" t="s">
        <v>147</v>
      </c>
    </row>
    <row r="6" spans="1:5" ht="44" customHeight="1">
      <c r="A6" s="10" t="s">
        <v>148</v>
      </c>
      <c r="B6" s="11">
        <v>200</v>
      </c>
      <c r="C6" s="10" t="s">
        <v>149</v>
      </c>
      <c r="D6" s="10" t="s">
        <v>150</v>
      </c>
      <c r="E6" s="10" t="s">
        <v>151</v>
      </c>
    </row>
    <row r="7" spans="1:5" ht="44" customHeight="1">
      <c r="A7" s="12" t="s">
        <v>152</v>
      </c>
      <c r="B7" s="13">
        <v>20</v>
      </c>
      <c r="C7" s="12" t="s">
        <v>153</v>
      </c>
      <c r="D7" s="12" t="s">
        <v>154</v>
      </c>
      <c r="E7" s="12" t="s">
        <v>151</v>
      </c>
    </row>
    <row r="8" spans="1:5" ht="44" customHeight="1">
      <c r="A8" s="10" t="s">
        <v>155</v>
      </c>
      <c r="B8" s="11">
        <v>35</v>
      </c>
      <c r="C8" s="10" t="s">
        <v>156</v>
      </c>
      <c r="D8" s="10" t="s">
        <v>157</v>
      </c>
      <c r="E8" s="10" t="s">
        <v>158</v>
      </c>
    </row>
    <row r="10" spans="1:5" ht="45" customHeight="1">
      <c r="A10" s="7" t="s">
        <v>159</v>
      </c>
      <c r="B10" s="7"/>
      <c r="C10" s="7"/>
      <c r="D10" s="7"/>
      <c r="E10" s="7"/>
    </row>
    <row r="12" spans="1:5" ht="42" customHeight="1">
      <c r="A12" s="3" t="s">
        <v>160</v>
      </c>
      <c r="B12" s="3"/>
      <c r="C12" s="3"/>
      <c r="D12" s="3"/>
      <c r="E12" s="3"/>
    </row>
    <row r="15" spans="1:5" ht="26" customHeight="1">
      <c r="A15" s="8" t="s">
        <v>161</v>
      </c>
      <c r="B15" s="8"/>
      <c r="C15" s="8"/>
      <c r="D15" s="8"/>
      <c r="E15" s="8"/>
    </row>
    <row r="16" spans="1:5" ht="39" customHeight="1">
      <c r="A16" s="9" t="s">
        <v>162</v>
      </c>
      <c r="B16" s="9" t="s">
        <v>163</v>
      </c>
      <c r="C16" s="9" t="s">
        <v>56</v>
      </c>
      <c r="D16" s="9" t="s">
        <v>164</v>
      </c>
      <c r="E16" s="9"/>
    </row>
    <row r="17" spans="1:5" ht="28" customHeight="1">
      <c r="A17" s="12" t="s">
        <v>33</v>
      </c>
      <c r="B17" s="13">
        <v>2</v>
      </c>
      <c r="C17" s="12" t="s">
        <v>156</v>
      </c>
      <c r="D17" s="12" t="s">
        <v>165</v>
      </c>
      <c r="E17" s="12"/>
    </row>
    <row r="18" spans="1:5" ht="28" customHeight="1">
      <c r="A18" s="10" t="s">
        <v>34</v>
      </c>
      <c r="B18" s="11">
        <v>1</v>
      </c>
      <c r="C18" s="10" t="s">
        <v>156</v>
      </c>
      <c r="D18" s="10" t="s">
        <v>165</v>
      </c>
      <c r="E18" s="10"/>
    </row>
    <row r="19" spans="1:5" ht="28" customHeight="1">
      <c r="A19" s="12" t="s">
        <v>35</v>
      </c>
      <c r="B19" s="13">
        <v>19</v>
      </c>
      <c r="C19" s="12" t="s">
        <v>156</v>
      </c>
      <c r="D19" s="12" t="s">
        <v>165</v>
      </c>
      <c r="E19" s="12"/>
    </row>
    <row r="20" spans="1:5" ht="28" customHeight="1">
      <c r="A20" s="10" t="s">
        <v>36</v>
      </c>
      <c r="B20" s="11">
        <v>13</v>
      </c>
      <c r="C20" s="10" t="s">
        <v>156</v>
      </c>
      <c r="D20" s="10" t="s">
        <v>165</v>
      </c>
      <c r="E20" s="10"/>
    </row>
    <row r="21" spans="1:5">
      <c r="A21" s="14" t="s">
        <v>166</v>
      </c>
      <c r="B21" s="14">
        <f>SUM(B17:B20)</f>
        <v>35</v>
      </c>
    </row>
    <row r="23" spans="1:5" ht="44" customHeight="1">
      <c r="A23" s="3" t="s">
        <v>167</v>
      </c>
      <c r="B23" s="3"/>
      <c r="C23" s="3"/>
      <c r="D23" s="3"/>
      <c r="E23" s="3"/>
    </row>
    <row r="26" spans="1:5" ht="46" customHeight="1">
      <c r="A26" s="3" t="s">
        <v>168</v>
      </c>
      <c r="B26" s="3"/>
      <c r="C26" s="3"/>
      <c r="D26" s="3"/>
      <c r="E26" s="3"/>
    </row>
    <row r="30" spans="1:5" ht="44" customHeight="1">
      <c r="A30" s="3" t="s">
        <v>169</v>
      </c>
      <c r="B30" s="3"/>
      <c r="C30" s="3"/>
      <c r="D30" s="3"/>
      <c r="E30" s="3"/>
    </row>
  </sheetData>
  <mergeCells count="9">
    <mergeCell ref="A1:E1"/>
    <mergeCell ref="A2:E2"/>
    <mergeCell ref="A3:E3"/>
    <mergeCell ref="A10:E10"/>
    <mergeCell ref="A12:E12"/>
    <mergeCell ref="A15:E15"/>
    <mergeCell ref="A23:E23"/>
    <mergeCell ref="A26:E26"/>
    <mergeCell ref="A30:E30"/>
  </mergeCells>
  <printOptions horizontalCentered="1"/>
  <pageMargins left="0.3" right="0.3" top="0.32" bottom="0.36" header="0.12" footer="0.14"/>
  <pageSetup paperSize="9" orientation="portrait"/>
  <headerFooter>
    <oddHeader>&amp;LServicio Médico Tandanor &amp;RPrimer semestre 2026</oddHeader>
    <oddFooter>&amp;LUso interno · Datos agregados &amp;CPágina &amp;P de &amp;N &amp;RActualizado 08/10/2026</oddFooter>
  </headerFooter>
</worksheet>
</file>

<file path=xl/worksheets/sheet9.xml><?xml version="1.0" encoding="utf-8"?>
<worksheet xmlns="http://schemas.openxmlformats.org/spreadsheetml/2006/main" xmlns:r="http://schemas.openxmlformats.org/officeDocument/2006/relationships">
  <sheetPr>
    <tabColor rgb="FF17354D"/>
    <pageSetUpPr fitToPage="1"/>
  </sheetPr>
  <dimension ref="A1:F37"/>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3.7109375" customWidth="1"/>
    <col min="2" max="2" width="17.7109375" customWidth="1"/>
    <col min="3" max="3" width="20.7109375" customWidth="1"/>
    <col min="4" max="5" width="21.7109375" customWidth="1"/>
    <col min="6" max="6" width="22.7109375" customWidth="1"/>
  </cols>
  <sheetData>
    <row r="1" spans="1:6" ht="40" customHeight="1">
      <c r="A1" s="1" t="s">
        <v>170</v>
      </c>
      <c r="B1" s="1"/>
      <c r="C1" s="1"/>
      <c r="D1" s="1"/>
      <c r="E1" s="1"/>
      <c r="F1" s="1"/>
    </row>
    <row r="2" spans="1:6" ht="36" customHeight="1">
      <c r="A2" s="2" t="s">
        <v>171</v>
      </c>
      <c r="B2" s="2"/>
      <c r="C2" s="2"/>
      <c r="D2" s="2"/>
      <c r="E2" s="2"/>
      <c r="F2" s="2"/>
    </row>
    <row r="3" spans="1:6" ht="20" customHeight="1">
      <c r="A3" s="3" t="s">
        <v>2</v>
      </c>
      <c r="B3" s="3"/>
      <c r="C3" s="3"/>
      <c r="D3" s="3"/>
      <c r="E3" s="3"/>
      <c r="F3" s="3"/>
    </row>
    <row r="5" spans="1:6" ht="43" customHeight="1">
      <c r="A5" s="9" t="s">
        <v>23</v>
      </c>
      <c r="B5" s="9" t="s">
        <v>172</v>
      </c>
      <c r="C5" s="9" t="s">
        <v>173</v>
      </c>
      <c r="D5" s="9" t="s">
        <v>174</v>
      </c>
      <c r="E5" s="9" t="s">
        <v>175</v>
      </c>
      <c r="F5" s="9" t="s">
        <v>176</v>
      </c>
    </row>
    <row r="6" spans="1:6" ht="30" customHeight="1">
      <c r="A6" s="10" t="s">
        <v>31</v>
      </c>
      <c r="B6" s="11">
        <v>3</v>
      </c>
      <c r="C6" s="11">
        <v>1</v>
      </c>
      <c r="D6" s="11">
        <v>2</v>
      </c>
      <c r="E6" s="11">
        <v>2</v>
      </c>
      <c r="F6" s="10" t="s">
        <v>177</v>
      </c>
    </row>
    <row r="7" spans="1:6" ht="30" customHeight="1">
      <c r="A7" s="12" t="s">
        <v>32</v>
      </c>
      <c r="B7" s="13">
        <v>1</v>
      </c>
      <c r="C7" s="13">
        <v>1</v>
      </c>
      <c r="D7" s="13">
        <v>0</v>
      </c>
      <c r="E7" s="13">
        <v>1</v>
      </c>
      <c r="F7" s="12" t="s">
        <v>177</v>
      </c>
    </row>
    <row r="8" spans="1:6" ht="30" customHeight="1">
      <c r="A8" s="10" t="s">
        <v>33</v>
      </c>
      <c r="B8" s="11">
        <v>2</v>
      </c>
      <c r="C8" s="11">
        <v>0</v>
      </c>
      <c r="D8" s="11">
        <v>2</v>
      </c>
      <c r="E8" s="11">
        <v>2</v>
      </c>
      <c r="F8" s="10" t="s">
        <v>177</v>
      </c>
    </row>
    <row r="9" spans="1:6" ht="30" customHeight="1">
      <c r="A9" s="12" t="s">
        <v>34</v>
      </c>
      <c r="B9" s="13">
        <v>6</v>
      </c>
      <c r="C9" s="13">
        <v>5</v>
      </c>
      <c r="D9" s="13">
        <v>1</v>
      </c>
      <c r="E9" s="13">
        <v>3</v>
      </c>
      <c r="F9" s="12" t="s">
        <v>177</v>
      </c>
    </row>
    <row r="10" spans="1:6" ht="30" customHeight="1">
      <c r="A10" s="10" t="s">
        <v>35</v>
      </c>
      <c r="B10" s="11">
        <v>7</v>
      </c>
      <c r="C10" s="11">
        <v>6</v>
      </c>
      <c r="D10" s="11">
        <v>1</v>
      </c>
      <c r="E10" s="11">
        <v>3</v>
      </c>
      <c r="F10" s="10" t="s">
        <v>177</v>
      </c>
    </row>
    <row r="11" spans="1:6" ht="30" customHeight="1">
      <c r="A11" s="12" t="s">
        <v>36</v>
      </c>
      <c r="B11" s="13">
        <v>4</v>
      </c>
      <c r="C11" s="13">
        <v>2</v>
      </c>
      <c r="D11" s="13">
        <v>2</v>
      </c>
      <c r="E11" s="13">
        <v>4</v>
      </c>
      <c r="F11" s="12" t="s">
        <v>177</v>
      </c>
    </row>
    <row r="12" spans="1:6">
      <c r="A12" s="14" t="s">
        <v>37</v>
      </c>
      <c r="B12" s="14">
        <f>SUM(B6:B11)</f>
        <v>23</v>
      </c>
      <c r="C12" s="14">
        <f>SUM(C6:C11)</f>
        <v>15</v>
      </c>
      <c r="D12" s="14">
        <f>SUM(D6:D11)</f>
        <v>8</v>
      </c>
      <c r="E12" s="14">
        <f>SUM(E6:E11)</f>
        <v>15</v>
      </c>
    </row>
    <row r="14" spans="1:6" ht="45" customHeight="1">
      <c r="A14" s="7" t="s">
        <v>178</v>
      </c>
      <c r="B14" s="7"/>
      <c r="C14" s="7"/>
      <c r="D14" s="7"/>
      <c r="E14" s="7"/>
      <c r="F14" s="7"/>
    </row>
    <row r="34" spans="1:6" ht="45" customHeight="1">
      <c r="A34" s="3" t="s">
        <v>179</v>
      </c>
      <c r="B34" s="3"/>
      <c r="C34" s="3"/>
      <c r="D34" s="3"/>
      <c r="E34" s="3"/>
      <c r="F34" s="3"/>
    </row>
    <row r="37" spans="1:6" ht="36" customHeight="1">
      <c r="A37" s="3" t="s">
        <v>180</v>
      </c>
      <c r="B37" s="3"/>
      <c r="C37" s="3"/>
      <c r="D37" s="3"/>
      <c r="E37" s="3"/>
      <c r="F37" s="3"/>
    </row>
  </sheetData>
  <mergeCells count="6">
    <mergeCell ref="A1:F1"/>
    <mergeCell ref="A2:F2"/>
    <mergeCell ref="A3:F3"/>
    <mergeCell ref="A14:F14"/>
    <mergeCell ref="A34:F34"/>
    <mergeCell ref="A37:F37"/>
  </mergeCells>
  <printOptions horizontalCentered="1"/>
  <pageMargins left="0.3" right="0.3" top="0.32" bottom="0.36" header="0.12" footer="0.14"/>
  <pageSetup paperSize="9" orientation="portrait"/>
  <headerFooter>
    <oddHeader>&amp;LServicio Médico Tandanor &amp;RPrimer semestre 2026</oddHeader>
    <oddFooter>&amp;LUso interno · Datos agregados &amp;CPágina &amp;P de &amp;N &amp;RActualizado 08/10/2026</oddFooter>
  </headerFooter>
  <drawing r:id="rId1"/>
</worksheet>
</file>

<file path=xl/worksheets/sheet10.xml><?xml version="1.0" encoding="utf-8"?>
<worksheet xmlns="http://schemas.openxmlformats.org/spreadsheetml/2006/main" xmlns:r="http://schemas.openxmlformats.org/officeDocument/2006/relationships">
  <sheetPr>
    <tabColor rgb="FF17354D"/>
    <pageSetUpPr fitToPage="1"/>
  </sheetPr>
  <dimension ref="A1:G41"/>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18.7109375" customWidth="1"/>
    <col min="2" max="3" width="19.7109375" customWidth="1"/>
    <col min="4" max="4" width="17.7109375" customWidth="1"/>
    <col min="5" max="5" width="19.7109375" customWidth="1"/>
    <col min="6" max="7" width="18.7109375" customWidth="1"/>
  </cols>
  <sheetData>
    <row r="1" spans="1:7" ht="40" customHeight="1">
      <c r="A1" s="1" t="s">
        <v>181</v>
      </c>
      <c r="B1" s="1"/>
      <c r="C1" s="1"/>
      <c r="D1" s="1"/>
      <c r="E1" s="1"/>
      <c r="F1" s="1"/>
      <c r="G1" s="1"/>
    </row>
    <row r="2" spans="1:7" ht="36" customHeight="1">
      <c r="A2" s="2" t="s">
        <v>182</v>
      </c>
      <c r="B2" s="2"/>
      <c r="C2" s="2"/>
      <c r="D2" s="2"/>
      <c r="E2" s="2"/>
      <c r="F2" s="2"/>
      <c r="G2" s="2"/>
    </row>
    <row r="3" spans="1:7" ht="20" customHeight="1">
      <c r="A3" s="3" t="s">
        <v>2</v>
      </c>
      <c r="B3" s="3"/>
      <c r="C3" s="3"/>
      <c r="D3" s="3"/>
      <c r="E3" s="3"/>
      <c r="F3" s="3"/>
      <c r="G3" s="3"/>
    </row>
    <row r="5" spans="1:7" ht="43" customHeight="1">
      <c r="A5" s="9" t="s">
        <v>23</v>
      </c>
      <c r="B5" s="9" t="s">
        <v>183</v>
      </c>
      <c r="C5" s="9" t="s">
        <v>184</v>
      </c>
      <c r="D5" s="9" t="s">
        <v>185</v>
      </c>
      <c r="E5" s="9" t="s">
        <v>186</v>
      </c>
      <c r="F5" s="9" t="s">
        <v>187</v>
      </c>
      <c r="G5" s="9" t="s">
        <v>188</v>
      </c>
    </row>
    <row r="6" spans="1:7" ht="28" customHeight="1">
      <c r="A6" s="10" t="s">
        <v>31</v>
      </c>
      <c r="B6" s="11">
        <v>71736</v>
      </c>
      <c r="C6" s="11">
        <v>2208</v>
      </c>
      <c r="D6" s="11">
        <v>920</v>
      </c>
      <c r="E6" s="11">
        <f>C6+D6</f>
        <v>3128</v>
      </c>
      <c r="F6" s="18">
        <f>E6/B6</f>
        <v>0.043604326976692316</v>
      </c>
      <c r="G6" s="18">
        <v>0.03046048369682574</v>
      </c>
    </row>
    <row r="7" spans="1:7" ht="28" customHeight="1">
      <c r="A7" s="12" t="s">
        <v>32</v>
      </c>
      <c r="B7" s="13">
        <v>60912</v>
      </c>
      <c r="C7" s="13">
        <v>1881</v>
      </c>
      <c r="D7" s="13">
        <v>768</v>
      </c>
      <c r="E7" s="13">
        <f>C7+D7</f>
        <v>2649</v>
      </c>
      <c r="F7" s="19">
        <f>E7/B7</f>
        <v>0.04348896769109535</v>
      </c>
      <c r="G7" s="19">
        <v>0.0389618138424821</v>
      </c>
    </row>
    <row r="8" spans="1:7" ht="28" customHeight="1">
      <c r="A8" s="10" t="s">
        <v>33</v>
      </c>
      <c r="B8" s="11">
        <v>67040</v>
      </c>
      <c r="C8" s="11">
        <v>2095</v>
      </c>
      <c r="D8" s="11">
        <v>880</v>
      </c>
      <c r="E8" s="11">
        <f>C8+D8</f>
        <v>2975</v>
      </c>
      <c r="F8" s="18">
        <f>E8/B8</f>
        <v>0.044376491646778045</v>
      </c>
      <c r="G8" s="18">
        <v>0.04117063492063492</v>
      </c>
    </row>
    <row r="9" spans="1:7" ht="28" customHeight="1">
      <c r="A9" s="12" t="s">
        <v>34</v>
      </c>
      <c r="B9" s="13">
        <v>66880</v>
      </c>
      <c r="C9" s="13">
        <v>2467</v>
      </c>
      <c r="D9" s="13">
        <v>344</v>
      </c>
      <c r="E9" s="13">
        <f>C9+D9</f>
        <v>2811</v>
      </c>
      <c r="F9" s="19">
        <f>E9/B9</f>
        <v>0.042030502392344495</v>
      </c>
      <c r="G9" s="19">
        <v>0.04003258293838863</v>
      </c>
    </row>
    <row r="10" spans="1:7" ht="28" customHeight="1">
      <c r="A10" s="10" t="s">
        <v>35</v>
      </c>
      <c r="B10" s="11">
        <v>63840</v>
      </c>
      <c r="C10" s="11">
        <v>2871</v>
      </c>
      <c r="D10" s="11">
        <v>409</v>
      </c>
      <c r="E10" s="11">
        <f>C10+D10</f>
        <v>3280</v>
      </c>
      <c r="F10" s="18">
        <f>E10/B10</f>
        <v>0.05137844611528822</v>
      </c>
      <c r="G10" s="18">
        <v>0.03835697399527187</v>
      </c>
    </row>
    <row r="11" spans="1:7" ht="28" customHeight="1">
      <c r="A11" s="12" t="s">
        <v>36</v>
      </c>
      <c r="B11" s="13">
        <v>70224</v>
      </c>
      <c r="C11" s="13">
        <v>3358</v>
      </c>
      <c r="D11" s="13">
        <v>694</v>
      </c>
      <c r="E11" s="13">
        <f>C11+D11</f>
        <v>4052</v>
      </c>
      <c r="F11" s="19">
        <f>E11/B11</f>
        <v>0.05770107085896559</v>
      </c>
      <c r="G11" s="19">
        <v>0.04776346895607814</v>
      </c>
    </row>
    <row r="12" spans="1:7">
      <c r="A12" s="14" t="s">
        <v>189</v>
      </c>
      <c r="B12" s="14">
        <f>SUM(B6:B11)</f>
        <v>400632</v>
      </c>
      <c r="C12" s="14">
        <f>SUM(C6:C11)</f>
        <v>14880</v>
      </c>
      <c r="D12" s="14">
        <f>SUM(D6:D11)</f>
        <v>4015</v>
      </c>
      <c r="E12" s="14">
        <f>SUM(E6:E11)</f>
        <v>18895</v>
      </c>
      <c r="F12" s="17">
        <f>E12/B12</f>
        <v>0.04716298248766948</v>
      </c>
      <c r="G12" s="17">
        <v>0.03921348650750912</v>
      </c>
    </row>
    <row r="15" spans="1:7" ht="40" customHeight="1">
      <c r="A15" s="9" t="s">
        <v>190</v>
      </c>
      <c r="B15" s="9" t="s">
        <v>191</v>
      </c>
      <c r="C15" s="9" t="s">
        <v>184</v>
      </c>
      <c r="D15" s="9" t="s">
        <v>185</v>
      </c>
      <c r="E15" s="9" t="s">
        <v>186</v>
      </c>
      <c r="F15" s="9" t="s">
        <v>192</v>
      </c>
      <c r="G15" s="9"/>
    </row>
    <row r="16" spans="1:7" ht="28" customHeight="1">
      <c r="A16" s="10">
        <v>2025</v>
      </c>
      <c r="B16" s="11">
        <v>401112</v>
      </c>
      <c r="C16" s="11">
        <v>13349</v>
      </c>
      <c r="D16" s="11">
        <v>2380</v>
      </c>
      <c r="E16" s="11">
        <v>15729</v>
      </c>
      <c r="F16" s="18">
        <v>0.03921348650750912</v>
      </c>
      <c r="G16" s="10"/>
    </row>
    <row r="17" spans="1:7" ht="28" customHeight="1">
      <c r="A17" s="12">
        <v>2026</v>
      </c>
      <c r="B17" s="13">
        <v>400632</v>
      </c>
      <c r="C17" s="13">
        <v>14880</v>
      </c>
      <c r="D17" s="13">
        <v>4015</v>
      </c>
      <c r="E17" s="13">
        <v>18895</v>
      </c>
      <c r="F17" s="19">
        <v>0.04716298248766948</v>
      </c>
      <c r="G17" s="12"/>
    </row>
    <row r="19" spans="1:7" ht="50" customHeight="1">
      <c r="A19" s="7" t="s">
        <v>193</v>
      </c>
      <c r="B19" s="7"/>
      <c r="C19" s="7"/>
      <c r="D19" s="7"/>
      <c r="E19" s="7"/>
      <c r="F19" s="7"/>
      <c r="G19" s="7"/>
    </row>
    <row r="38" spans="1:7" ht="45" customHeight="1">
      <c r="A38" s="3" t="s">
        <v>194</v>
      </c>
      <c r="B38" s="3"/>
      <c r="C38" s="3"/>
      <c r="D38" s="3"/>
      <c r="E38" s="3"/>
      <c r="F38" s="3"/>
      <c r="G38" s="3"/>
    </row>
    <row r="41" spans="1:7" ht="35" customHeight="1">
      <c r="A41" s="3" t="s">
        <v>195</v>
      </c>
      <c r="B41" s="3"/>
      <c r="C41" s="3"/>
      <c r="D41" s="3"/>
      <c r="E41" s="3"/>
      <c r="F41" s="3"/>
      <c r="G41" s="3"/>
    </row>
  </sheetData>
  <mergeCells count="6">
    <mergeCell ref="A1:G1"/>
    <mergeCell ref="A2:G2"/>
    <mergeCell ref="A3:G3"/>
    <mergeCell ref="A19:G19"/>
    <mergeCell ref="A38:G38"/>
    <mergeCell ref="A41:G41"/>
  </mergeCells>
  <printOptions horizontalCentered="1"/>
  <pageMargins left="0.3" right="0.3" top="0.32" bottom="0.36" header="0.12" footer="0.14"/>
  <pageSetup paperSize="9" orientation="portrait"/>
  <headerFooter>
    <oddHeader>&amp;LServicio Médico Tandanor &amp;RPrimer semestre 2026</oddHeader>
    <oddFooter>&amp;LUso interno · Datos agregados &amp;CPágina &amp;P de &amp;N &amp;RActualizado 08/10/2026</oddFooter>
  </headerFooter>
  <drawing r:id="rId1"/>
</worksheet>
</file>

<file path=xl/worksheets/sheet11.xml><?xml version="1.0" encoding="utf-8"?>
<worksheet xmlns="http://schemas.openxmlformats.org/spreadsheetml/2006/main" xmlns:r="http://schemas.openxmlformats.org/officeDocument/2006/relationships">
  <sheetPr>
    <tabColor rgb="FF17354D"/>
    <pageSetUpPr fitToPage="1"/>
  </sheetPr>
  <dimension ref="A1:F53"/>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7.7109375" customWidth="1"/>
    <col min="2" max="2" width="18.7109375" customWidth="1"/>
    <col min="3" max="3" width="17.7109375" customWidth="1"/>
    <col min="4" max="4" width="18.7109375" customWidth="1"/>
    <col min="5" max="5" width="19.7109375" customWidth="1"/>
    <col min="6" max="6" width="18.7109375" customWidth="1"/>
  </cols>
  <sheetData>
    <row r="1" spans="1:6" ht="40" customHeight="1">
      <c r="A1" s="1" t="s">
        <v>196</v>
      </c>
      <c r="B1" s="1"/>
      <c r="C1" s="1"/>
      <c r="D1" s="1"/>
      <c r="E1" s="1"/>
      <c r="F1" s="1"/>
    </row>
    <row r="2" spans="1:6" ht="36" customHeight="1">
      <c r="A2" s="2" t="s">
        <v>197</v>
      </c>
      <c r="B2" s="2"/>
      <c r="C2" s="2"/>
      <c r="D2" s="2"/>
      <c r="E2" s="2"/>
      <c r="F2" s="2"/>
    </row>
    <row r="3" spans="1:6" ht="20" customHeight="1">
      <c r="A3" s="3" t="s">
        <v>2</v>
      </c>
      <c r="B3" s="3"/>
      <c r="C3" s="3"/>
      <c r="D3" s="3"/>
      <c r="E3" s="3"/>
      <c r="F3" s="3"/>
    </row>
    <row r="5" spans="1:6" ht="41" customHeight="1">
      <c r="A5" s="9" t="s">
        <v>119</v>
      </c>
      <c r="B5" s="9" t="s">
        <v>191</v>
      </c>
      <c r="C5" s="9" t="s">
        <v>198</v>
      </c>
      <c r="D5" s="9" t="s">
        <v>199</v>
      </c>
      <c r="E5" s="9" t="s">
        <v>186</v>
      </c>
      <c r="F5" s="9" t="s">
        <v>192</v>
      </c>
    </row>
    <row r="6" spans="1:6" ht="25" customHeight="1">
      <c r="A6" s="10" t="s">
        <v>126</v>
      </c>
      <c r="B6" s="11">
        <v>53616</v>
      </c>
      <c r="C6" s="11">
        <v>2698</v>
      </c>
      <c r="D6" s="11">
        <v>1613</v>
      </c>
      <c r="E6" s="11">
        <f>C6+D6</f>
        <v>4311.0</v>
      </c>
      <c r="F6" s="18">
        <f>E6/B6</f>
        <v>0.08040510295434199</v>
      </c>
    </row>
    <row r="7" spans="1:6" ht="25" customHeight="1">
      <c r="A7" s="12" t="s">
        <v>125</v>
      </c>
      <c r="B7" s="13">
        <v>62832</v>
      </c>
      <c r="C7" s="13">
        <v>3006</v>
      </c>
      <c r="D7" s="13">
        <v>760</v>
      </c>
      <c r="E7" s="13">
        <f>C7+D7</f>
        <v>3766.0</v>
      </c>
      <c r="F7" s="19">
        <f>E7/B7</f>
        <v>0.05993761140819964</v>
      </c>
    </row>
    <row r="8" spans="1:6" ht="25" customHeight="1">
      <c r="A8" s="10" t="s">
        <v>132</v>
      </c>
      <c r="B8" s="11">
        <v>30608</v>
      </c>
      <c r="C8" s="11">
        <v>1712</v>
      </c>
      <c r="D8" s="11">
        <v>344</v>
      </c>
      <c r="E8" s="11">
        <f>C8+D8</f>
        <v>2056.0</v>
      </c>
      <c r="F8" s="18">
        <f>E8/B8</f>
        <v>0.06717198118139049</v>
      </c>
    </row>
    <row r="9" spans="1:6" ht="25" customHeight="1">
      <c r="A9" s="12" t="s">
        <v>127</v>
      </c>
      <c r="B9" s="13">
        <v>28560</v>
      </c>
      <c r="C9" s="13">
        <v>1817</v>
      </c>
      <c r="D9" s="13">
        <v>0</v>
      </c>
      <c r="E9" s="13">
        <f>C9+D9</f>
        <v>1817.0</v>
      </c>
      <c r="F9" s="19">
        <f>E9/B9</f>
        <v>0.0636204481792717</v>
      </c>
    </row>
    <row r="10" spans="1:6" ht="25" customHeight="1">
      <c r="A10" s="10" t="s">
        <v>200</v>
      </c>
      <c r="B10" s="11">
        <v>19680</v>
      </c>
      <c r="C10" s="11">
        <v>1512</v>
      </c>
      <c r="D10" s="11">
        <v>157</v>
      </c>
      <c r="E10" s="11">
        <f>C10+D10</f>
        <v>1669.0</v>
      </c>
      <c r="F10" s="18">
        <f>E10/B10</f>
        <v>0.08480691056910569</v>
      </c>
    </row>
    <row r="11" spans="1:6" ht="25" customHeight="1">
      <c r="A11" s="12" t="s">
        <v>201</v>
      </c>
      <c r="B11" s="13">
        <v>20944</v>
      </c>
      <c r="C11" s="13">
        <v>523</v>
      </c>
      <c r="D11" s="13">
        <v>637</v>
      </c>
      <c r="E11" s="13">
        <f>C11+D11</f>
        <v>1160.0</v>
      </c>
      <c r="F11" s="19">
        <f>E11/B11</f>
        <v>0.05538579067990833</v>
      </c>
    </row>
    <row r="12" spans="1:6" ht="25" customHeight="1">
      <c r="A12" s="10" t="s">
        <v>128</v>
      </c>
      <c r="B12" s="11">
        <v>18864</v>
      </c>
      <c r="C12" s="11">
        <v>561</v>
      </c>
      <c r="D12" s="11">
        <v>408</v>
      </c>
      <c r="E12" s="11">
        <f>C12+D12</f>
        <v>969.0</v>
      </c>
      <c r="F12" s="18">
        <f>E12/B12</f>
        <v>0.0513676844783715</v>
      </c>
    </row>
    <row r="13" spans="1:6" ht="25" customHeight="1">
      <c r="A13" s="12" t="s">
        <v>202</v>
      </c>
      <c r="B13" s="13">
        <v>8256</v>
      </c>
      <c r="C13" s="13">
        <v>697</v>
      </c>
      <c r="D13" s="13">
        <v>0</v>
      </c>
      <c r="E13" s="13">
        <f>C13+D13</f>
        <v>697.0</v>
      </c>
      <c r="F13" s="19">
        <f>E13/B13</f>
        <v>0.0844234496124031</v>
      </c>
    </row>
    <row r="14" spans="1:6" ht="25" customHeight="1">
      <c r="A14" s="10" t="s">
        <v>203</v>
      </c>
      <c r="B14" s="11">
        <v>6664</v>
      </c>
      <c r="C14" s="11">
        <v>221</v>
      </c>
      <c r="D14" s="11">
        <v>96</v>
      </c>
      <c r="E14" s="11">
        <f>C14+D14</f>
        <v>317.0</v>
      </c>
      <c r="F14" s="18">
        <f>E14/B14</f>
        <v>0.047569027611044416</v>
      </c>
    </row>
    <row r="15" spans="1:6" ht="25" customHeight="1">
      <c r="A15" s="12" t="s">
        <v>131</v>
      </c>
      <c r="B15" s="13">
        <v>20944</v>
      </c>
      <c r="C15" s="13">
        <v>314</v>
      </c>
      <c r="D15" s="13">
        <v>0</v>
      </c>
      <c r="E15" s="13">
        <f>C15+D15</f>
        <v>314.0</v>
      </c>
      <c r="F15" s="19">
        <f>E15/B15</f>
        <v>0.014992360580595875</v>
      </c>
    </row>
    <row r="16" spans="1:6" ht="25" customHeight="1">
      <c r="A16" s="10" t="s">
        <v>204</v>
      </c>
      <c r="B16" s="11">
        <v>1272</v>
      </c>
      <c r="C16" s="11">
        <v>264</v>
      </c>
      <c r="D16" s="11">
        <v>0</v>
      </c>
      <c r="E16" s="11">
        <f>C16+D16</f>
        <v>264.0</v>
      </c>
      <c r="F16" s="18">
        <f>E16/B16</f>
        <v>0.20754716981132076</v>
      </c>
    </row>
    <row r="17" spans="1:6" ht="25" customHeight="1">
      <c r="A17" s="12" t="s">
        <v>205</v>
      </c>
      <c r="B17" s="13">
        <v>9208</v>
      </c>
      <c r="C17" s="13">
        <v>206</v>
      </c>
      <c r="D17" s="13">
        <v>0</v>
      </c>
      <c r="E17" s="13">
        <f>C17+D17</f>
        <v>206.0</v>
      </c>
      <c r="F17" s="19">
        <f>E17/B17</f>
        <v>0.022371850564726323</v>
      </c>
    </row>
    <row r="18" spans="1:6" ht="25" customHeight="1">
      <c r="A18" s="10" t="s">
        <v>206</v>
      </c>
      <c r="B18" s="11">
        <v>3632</v>
      </c>
      <c r="C18" s="11">
        <v>167</v>
      </c>
      <c r="D18" s="11">
        <v>0</v>
      </c>
      <c r="E18" s="11">
        <f>C18+D18</f>
        <v>167.0</v>
      </c>
      <c r="F18" s="18">
        <f>E18/B18</f>
        <v>0.04598017621145375</v>
      </c>
    </row>
    <row r="19" spans="1:6" ht="25" customHeight="1">
      <c r="A19" s="12" t="s">
        <v>207</v>
      </c>
      <c r="B19" s="13">
        <v>6664</v>
      </c>
      <c r="C19" s="13">
        <v>154</v>
      </c>
      <c r="D19" s="13">
        <v>0</v>
      </c>
      <c r="E19" s="13">
        <f>C19+D19</f>
        <v>154.0</v>
      </c>
      <c r="F19" s="19">
        <f>E19/B19</f>
        <v>0.023109243697478993</v>
      </c>
    </row>
    <row r="20" spans="1:6" ht="25" customHeight="1">
      <c r="A20" s="10" t="s">
        <v>208</v>
      </c>
      <c r="B20" s="11">
        <v>2856</v>
      </c>
      <c r="C20" s="11">
        <v>138</v>
      </c>
      <c r="D20" s="11">
        <v>0</v>
      </c>
      <c r="E20" s="11">
        <f>C20+D20</f>
        <v>138.0</v>
      </c>
      <c r="F20" s="18">
        <f>E20/B20</f>
        <v>0.04831932773109244</v>
      </c>
    </row>
    <row r="21" spans="1:6" ht="25" customHeight="1">
      <c r="A21" s="12" t="s">
        <v>134</v>
      </c>
      <c r="B21" s="13">
        <v>10472</v>
      </c>
      <c r="C21" s="13">
        <v>118</v>
      </c>
      <c r="D21" s="13">
        <v>0</v>
      </c>
      <c r="E21" s="13">
        <f>C21+D21</f>
        <v>118.0</v>
      </c>
      <c r="F21" s="19">
        <f>E21/B21</f>
        <v>0.011268143621084798</v>
      </c>
    </row>
    <row r="22" spans="1:6" ht="25" customHeight="1">
      <c r="A22" s="10" t="s">
        <v>209</v>
      </c>
      <c r="B22" s="11">
        <v>6032</v>
      </c>
      <c r="C22" s="11">
        <v>105</v>
      </c>
      <c r="D22" s="11">
        <v>0</v>
      </c>
      <c r="E22" s="11">
        <f>C22+D22</f>
        <v>105.0</v>
      </c>
      <c r="F22" s="18">
        <f>E22/B22</f>
        <v>0.017407161803713527</v>
      </c>
    </row>
    <row r="23" spans="1:6" ht="25" customHeight="1">
      <c r="A23" s="12" t="s">
        <v>210</v>
      </c>
      <c r="B23" s="13">
        <v>5840</v>
      </c>
      <c r="C23" s="13">
        <v>92</v>
      </c>
      <c r="D23" s="13">
        <v>0</v>
      </c>
      <c r="E23" s="13">
        <f>C23+D23</f>
        <v>92.0</v>
      </c>
      <c r="F23" s="19">
        <f>E23/B23</f>
        <v>0.015753424657534248</v>
      </c>
    </row>
    <row r="24" spans="1:6" ht="25" customHeight="1">
      <c r="A24" s="10" t="s">
        <v>211</v>
      </c>
      <c r="B24" s="11">
        <v>5224</v>
      </c>
      <c r="C24" s="11">
        <v>84</v>
      </c>
      <c r="D24" s="11">
        <v>0</v>
      </c>
      <c r="E24" s="11">
        <f>C24+D24</f>
        <v>84.0</v>
      </c>
      <c r="F24" s="18">
        <f>E24/B24</f>
        <v>0.016079632465543645</v>
      </c>
    </row>
    <row r="25" spans="1:6" ht="25" customHeight="1">
      <c r="A25" s="12" t="s">
        <v>130</v>
      </c>
      <c r="B25" s="13">
        <v>6024</v>
      </c>
      <c r="C25" s="13">
        <v>69</v>
      </c>
      <c r="D25" s="13">
        <v>0</v>
      </c>
      <c r="E25" s="13">
        <f>C25+D25</f>
        <v>69.0</v>
      </c>
      <c r="F25" s="19">
        <f>E25/B25</f>
        <v>0.011454183266932271</v>
      </c>
    </row>
    <row r="26" spans="1:6" ht="25" customHeight="1">
      <c r="A26" s="10" t="s">
        <v>133</v>
      </c>
      <c r="B26" s="11">
        <v>8960</v>
      </c>
      <c r="C26" s="11">
        <v>67</v>
      </c>
      <c r="D26" s="11">
        <v>0</v>
      </c>
      <c r="E26" s="11">
        <f>C26+D26</f>
        <v>67.0</v>
      </c>
      <c r="F26" s="18">
        <f>E26/B26</f>
        <v>0.007477678571428572</v>
      </c>
    </row>
    <row r="27" spans="1:6" ht="25" customHeight="1">
      <c r="A27" s="12" t="s">
        <v>212</v>
      </c>
      <c r="B27" s="13">
        <v>6216</v>
      </c>
      <c r="C27" s="13">
        <v>66</v>
      </c>
      <c r="D27" s="13">
        <v>0</v>
      </c>
      <c r="E27" s="13">
        <f>C27+D27</f>
        <v>66.0</v>
      </c>
      <c r="F27" s="19">
        <f>E27/B27</f>
        <v>0.010617760617760617</v>
      </c>
    </row>
    <row r="28" spans="1:6" ht="25" customHeight="1">
      <c r="A28" s="10" t="s">
        <v>213</v>
      </c>
      <c r="B28" s="11">
        <v>6992</v>
      </c>
      <c r="C28" s="11">
        <v>62</v>
      </c>
      <c r="D28" s="11">
        <v>0</v>
      </c>
      <c r="E28" s="11">
        <f>C28+D28</f>
        <v>62.0</v>
      </c>
      <c r="F28" s="18">
        <f>E28/B28</f>
        <v>0.008867276887871853</v>
      </c>
    </row>
    <row r="29" spans="1:6" ht="25" customHeight="1">
      <c r="A29" s="12" t="s">
        <v>214</v>
      </c>
      <c r="B29" s="13">
        <v>2728</v>
      </c>
      <c r="C29" s="13">
        <v>49</v>
      </c>
      <c r="D29" s="13">
        <v>0</v>
      </c>
      <c r="E29" s="13">
        <f>C29+D29</f>
        <v>49</v>
      </c>
      <c r="F29" s="19">
        <f>E29/B29</f>
        <v>0.017961876832844576</v>
      </c>
    </row>
    <row r="30" spans="1:6" ht="25" customHeight="1">
      <c r="A30" s="10" t="s">
        <v>215</v>
      </c>
      <c r="B30" s="11">
        <v>7928</v>
      </c>
      <c r="C30" s="11">
        <v>48</v>
      </c>
      <c r="D30" s="11">
        <v>0</v>
      </c>
      <c r="E30" s="11">
        <f>C30+D30</f>
        <v>48.0</v>
      </c>
      <c r="F30" s="18">
        <f>E30/B30</f>
        <v>0.006054490413723511</v>
      </c>
    </row>
    <row r="31" spans="1:6" ht="25" customHeight="1">
      <c r="A31" s="12" t="s">
        <v>216</v>
      </c>
      <c r="B31" s="13">
        <v>4680</v>
      </c>
      <c r="C31" s="13">
        <v>24</v>
      </c>
      <c r="D31" s="13">
        <v>0</v>
      </c>
      <c r="E31" s="13">
        <f>C31+D31</f>
        <v>24.0</v>
      </c>
      <c r="F31" s="19">
        <f>E31/B31</f>
        <v>0.005128205128205128</v>
      </c>
    </row>
    <row r="32" spans="1:6" ht="25" customHeight="1">
      <c r="A32" s="10" t="s">
        <v>217</v>
      </c>
      <c r="B32" s="11">
        <v>5712</v>
      </c>
      <c r="C32" s="11">
        <v>18</v>
      </c>
      <c r="D32" s="11">
        <v>0</v>
      </c>
      <c r="E32" s="11">
        <f>C32+D32</f>
        <v>18.0</v>
      </c>
      <c r="F32" s="18">
        <f>E32/B32</f>
        <v>0.0031512605042016808</v>
      </c>
    </row>
    <row r="33" spans="1:6" ht="25" customHeight="1">
      <c r="A33" s="12" t="s">
        <v>218</v>
      </c>
      <c r="B33" s="13">
        <v>1904</v>
      </c>
      <c r="C33" s="13">
        <v>17</v>
      </c>
      <c r="D33" s="13">
        <v>0</v>
      </c>
      <c r="E33" s="13">
        <f>C33+D33</f>
        <v>17.0</v>
      </c>
      <c r="F33" s="19">
        <f>E33/B33</f>
        <v>0.008928571428571428</v>
      </c>
    </row>
    <row r="34" spans="1:6" ht="25" customHeight="1">
      <c r="A34" s="10" t="s">
        <v>219</v>
      </c>
      <c r="B34" s="11">
        <v>4128</v>
      </c>
      <c r="C34" s="11">
        <v>16</v>
      </c>
      <c r="D34" s="11">
        <v>0</v>
      </c>
      <c r="E34" s="11">
        <f>C34+D34</f>
        <v>16.0</v>
      </c>
      <c r="F34" s="18">
        <f>E34/B34</f>
        <v>0.003875968992248062</v>
      </c>
    </row>
    <row r="35" spans="1:6" ht="25" customHeight="1">
      <c r="A35" s="12" t="s">
        <v>220</v>
      </c>
      <c r="B35" s="13">
        <v>952</v>
      </c>
      <c r="C35" s="13">
        <v>16</v>
      </c>
      <c r="D35" s="13">
        <v>0</v>
      </c>
      <c r="E35" s="13">
        <f>C35+D35</f>
        <v>16.0</v>
      </c>
      <c r="F35" s="19">
        <f>E35/B35</f>
        <v>0.01680672268907563</v>
      </c>
    </row>
    <row r="36" spans="1:6" ht="25" customHeight="1">
      <c r="A36" s="10" t="s">
        <v>221</v>
      </c>
      <c r="B36" s="11">
        <v>952</v>
      </c>
      <c r="C36" s="11">
        <v>10</v>
      </c>
      <c r="D36" s="11">
        <v>0</v>
      </c>
      <c r="E36" s="11">
        <f>C36+D36</f>
        <v>10.0</v>
      </c>
      <c r="F36" s="18">
        <f>E36/B36</f>
        <v>0.01050420168067227</v>
      </c>
    </row>
    <row r="37" spans="1:6" ht="25" customHeight="1">
      <c r="A37" s="12" t="s">
        <v>222</v>
      </c>
      <c r="B37" s="13">
        <v>952</v>
      </c>
      <c r="C37" s="13">
        <v>8</v>
      </c>
      <c r="D37" s="13">
        <v>0</v>
      </c>
      <c r="E37" s="13">
        <f>C37+D37</f>
        <v>8.0</v>
      </c>
      <c r="F37" s="19">
        <f>E37/B37</f>
        <v>0.008403361344537815</v>
      </c>
    </row>
    <row r="38" spans="1:6" ht="25" customHeight="1">
      <c r="A38" s="10" t="s">
        <v>223</v>
      </c>
      <c r="B38" s="11">
        <v>2856</v>
      </c>
      <c r="C38" s="11">
        <v>6</v>
      </c>
      <c r="D38" s="11">
        <v>0</v>
      </c>
      <c r="E38" s="11">
        <f>C38+D38</f>
        <v>6.0</v>
      </c>
      <c r="F38" s="18">
        <f>E38/B38</f>
        <v>0.0021008403361344537</v>
      </c>
    </row>
    <row r="39" spans="1:6" ht="25" customHeight="1">
      <c r="A39" s="12" t="s">
        <v>224</v>
      </c>
      <c r="B39" s="13">
        <v>1904</v>
      </c>
      <c r="C39" s="13">
        <v>5</v>
      </c>
      <c r="D39" s="13">
        <v>0</v>
      </c>
      <c r="E39" s="13">
        <f>C39+D39</f>
        <v>5.0</v>
      </c>
      <c r="F39" s="19">
        <f>E39/B39</f>
        <v>0.0026260504201680674</v>
      </c>
    </row>
    <row r="40" spans="1:6" ht="25" customHeight="1">
      <c r="A40" s="10" t="s">
        <v>225</v>
      </c>
      <c r="B40" s="11">
        <v>2856</v>
      </c>
      <c r="C40" s="11">
        <v>4</v>
      </c>
      <c r="D40" s="11">
        <v>0</v>
      </c>
      <c r="E40" s="11">
        <f>C40+D40</f>
        <v>4.0</v>
      </c>
      <c r="F40" s="18">
        <f>E40/B40</f>
        <v>0.0014005602240896359</v>
      </c>
    </row>
    <row r="41" spans="1:6" ht="25" customHeight="1">
      <c r="A41" s="12" t="s">
        <v>226</v>
      </c>
      <c r="B41" s="13">
        <v>2688</v>
      </c>
      <c r="C41" s="13">
        <v>3</v>
      </c>
      <c r="D41" s="13">
        <v>0</v>
      </c>
      <c r="E41" s="13">
        <f>C41+D41</f>
        <v>3.0</v>
      </c>
      <c r="F41" s="19">
        <f>E41/B41</f>
        <v>0.0011160714285714285</v>
      </c>
    </row>
    <row r="42" spans="1:6" ht="25" customHeight="1">
      <c r="A42" s="10" t="s">
        <v>227</v>
      </c>
      <c r="B42" s="11">
        <v>3200</v>
      </c>
      <c r="C42" s="11">
        <v>2</v>
      </c>
      <c r="D42" s="11">
        <v>0</v>
      </c>
      <c r="E42" s="11">
        <f>C42+D42</f>
        <v>2.0</v>
      </c>
      <c r="F42" s="18">
        <f>E42/B42</f>
        <v>0.000625</v>
      </c>
    </row>
    <row r="43" spans="1:6" ht="25" customHeight="1">
      <c r="A43" s="12" t="s">
        <v>228</v>
      </c>
      <c r="B43" s="13">
        <v>952</v>
      </c>
      <c r="C43" s="13">
        <v>1</v>
      </c>
      <c r="D43" s="13">
        <v>0</v>
      </c>
      <c r="E43" s="13">
        <f>C43+D43</f>
        <v>1.0</v>
      </c>
      <c r="F43" s="19">
        <f>E43/B43</f>
        <v>0.0010504201680672268</v>
      </c>
    </row>
    <row r="44" spans="1:6" ht="25" customHeight="1">
      <c r="A44" s="10" t="s">
        <v>229</v>
      </c>
      <c r="B44" s="11">
        <v>952</v>
      </c>
      <c r="C44" s="11">
        <v>0</v>
      </c>
      <c r="D44" s="11">
        <v>0</v>
      </c>
      <c r="E44" s="11">
        <f>C44+D44</f>
        <v>0.0</v>
      </c>
      <c r="F44" s="18">
        <f>E44/B44</f>
        <v>0.0</v>
      </c>
    </row>
    <row r="45" spans="1:6" ht="25" customHeight="1">
      <c r="A45" s="12" t="s">
        <v>230</v>
      </c>
      <c r="B45" s="13">
        <v>1904</v>
      </c>
      <c r="C45" s="13">
        <v>0</v>
      </c>
      <c r="D45" s="13">
        <v>0</v>
      </c>
      <c r="E45" s="13">
        <f>C45+D45</f>
        <v>0.0</v>
      </c>
      <c r="F45" s="19">
        <f>E45/B45</f>
        <v>0.0</v>
      </c>
    </row>
    <row r="46" spans="1:6" ht="25" customHeight="1">
      <c r="A46" s="10" t="s">
        <v>231</v>
      </c>
      <c r="B46" s="11">
        <v>168</v>
      </c>
      <c r="C46" s="11">
        <v>0</v>
      </c>
      <c r="D46" s="11">
        <v>0</v>
      </c>
      <c r="E46" s="11">
        <f>C46+D46</f>
        <v>0.0</v>
      </c>
      <c r="F46" s="18">
        <f>E46/B46</f>
        <v>0.0</v>
      </c>
    </row>
    <row r="47" spans="1:6" ht="25" customHeight="1">
      <c r="A47" s="12" t="s">
        <v>232</v>
      </c>
      <c r="B47" s="13">
        <v>1904</v>
      </c>
      <c r="C47" s="13">
        <v>0</v>
      </c>
      <c r="D47" s="13">
        <v>0</v>
      </c>
      <c r="E47" s="13">
        <f>C47+D47</f>
        <v>0.0</v>
      </c>
      <c r="F47" s="19">
        <f>E47/B47</f>
        <v>0.0</v>
      </c>
    </row>
    <row r="48" spans="1:6" ht="25" customHeight="1">
      <c r="A48" s="10" t="s">
        <v>233</v>
      </c>
      <c r="B48" s="11">
        <v>952</v>
      </c>
      <c r="C48" s="11">
        <v>0</v>
      </c>
      <c r="D48" s="11">
        <v>0</v>
      </c>
      <c r="E48" s="11">
        <f>C48+D48</f>
        <v>0.0</v>
      </c>
      <c r="F48" s="18">
        <f>E48/B48</f>
        <v>0.0</v>
      </c>
    </row>
    <row r="49" spans="1:6">
      <c r="A49" s="14" t="s">
        <v>234</v>
      </c>
      <c r="B49" s="14">
        <f>SUM(B6:B48)</f>
        <v>400632.0</v>
      </c>
      <c r="C49" s="14">
        <f>SUM(C6:C48)</f>
        <v>14880.0</v>
      </c>
      <c r="D49" s="14">
        <f>SUM(D6:D48)</f>
        <v>4015.0</v>
      </c>
      <c r="E49" s="14">
        <f>SUM(E6:E48)</f>
        <v>18895.0</v>
      </c>
      <c r="F49" s="17">
        <f>E49/B49</f>
        <v>0.04716298248766948</v>
      </c>
    </row>
    <row r="51" spans="1:6" ht="43" customHeight="1">
      <c r="A51" s="7" t="s">
        <v>235</v>
      </c>
      <c r="B51" s="7"/>
      <c r="C51" s="7"/>
      <c r="D51" s="7"/>
      <c r="E51" s="7"/>
      <c r="F51" s="7"/>
    </row>
    <row r="53" spans="1:6" ht="44" customHeight="1">
      <c r="A53" s="3" t="s">
        <v>236</v>
      </c>
      <c r="B53" s="3"/>
      <c r="C53" s="3"/>
      <c r="D53" s="3"/>
      <c r="E53" s="3"/>
      <c r="F53" s="3"/>
    </row>
  </sheetData>
  <autoFilter ref="A5:F48"/>
  <mergeCells count="5">
    <mergeCell ref="A1:F1"/>
    <mergeCell ref="A2:F2"/>
    <mergeCell ref="A3:F3"/>
    <mergeCell ref="A51:F51"/>
    <mergeCell ref="A53:F53"/>
  </mergeCells>
  <printOptions horizontalCentered="1"/>
  <pageMargins left="0.3" right="0.3" top="0.32" bottom="0.36" header="0.12" footer="0.14"/>
  <pageSetup paperSize="9" fitToHeight="2" orientation="portrait"/>
  <headerFooter>
    <oddHeader>&amp;LServicio Médico Tandanor &amp;RPrimer semestre 2026</oddHeader>
    <oddFooter>&amp;LUso interno · Datos agregados &amp;CPágina &amp;P de &amp;N &amp;RActualizado 08/10/2026</oddFooter>
  </headerFooter>
  <rowBreaks count="1" manualBreakCount="1">
    <brk id="32" max="16383" man="1"/>
  </rowBreaks>
</worksheet>
</file>

<file path=xl/worksheets/sheet12.xml><?xml version="1.0" encoding="utf-8"?>
<worksheet xmlns="http://schemas.openxmlformats.org/spreadsheetml/2006/main" xmlns:r="http://schemas.openxmlformats.org/officeDocument/2006/relationships">
  <sheetPr>
    <tabColor rgb="FF17354D"/>
    <pageSetUpPr fitToPage="1"/>
  </sheetPr>
  <dimension ref="A1:D27"/>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8.7109375" customWidth="1"/>
    <col min="2" max="2" width="35.7109375" customWidth="1"/>
    <col min="3" max="3" width="39.7109375" customWidth="1"/>
    <col min="4" max="4" width="47.7109375" customWidth="1"/>
  </cols>
  <sheetData>
    <row r="1" spans="1:4" ht="40" customHeight="1">
      <c r="A1" s="1" t="s">
        <v>237</v>
      </c>
      <c r="B1" s="1"/>
      <c r="C1" s="1"/>
      <c r="D1" s="1"/>
    </row>
    <row r="2" spans="1:4" ht="36" customHeight="1">
      <c r="A2" s="2" t="s">
        <v>238</v>
      </c>
      <c r="B2" s="2"/>
      <c r="C2" s="2"/>
      <c r="D2" s="2"/>
    </row>
    <row r="3" spans="1:4" ht="20" customHeight="1">
      <c r="A3" s="3" t="s">
        <v>2</v>
      </c>
      <c r="B3" s="3"/>
      <c r="C3" s="3"/>
      <c r="D3" s="3"/>
    </row>
    <row r="5" spans="1:4" ht="42" customHeight="1">
      <c r="A5" s="9" t="s">
        <v>239</v>
      </c>
      <c r="B5" s="9" t="s">
        <v>240</v>
      </c>
      <c r="C5" s="9" t="s">
        <v>241</v>
      </c>
      <c r="D5" s="9" t="s">
        <v>242</v>
      </c>
    </row>
    <row r="6" spans="1:4" ht="63" customHeight="1">
      <c r="A6" s="10" t="s">
        <v>243</v>
      </c>
      <c r="B6" s="10" t="s">
        <v>244</v>
      </c>
      <c r="C6" s="10" t="s">
        <v>245</v>
      </c>
      <c r="D6" s="10" t="s">
        <v>246</v>
      </c>
    </row>
    <row r="7" spans="1:4" ht="63" customHeight="1">
      <c r="A7" s="12" t="s">
        <v>30</v>
      </c>
      <c r="B7" s="12" t="s">
        <v>247</v>
      </c>
      <c r="C7" s="12" t="s">
        <v>248</v>
      </c>
      <c r="D7" s="12" t="s">
        <v>249</v>
      </c>
    </row>
    <row r="8" spans="1:4" ht="63" customHeight="1">
      <c r="A8" s="10" t="s">
        <v>250</v>
      </c>
      <c r="B8" s="10" t="s">
        <v>251</v>
      </c>
      <c r="C8" s="10" t="s">
        <v>252</v>
      </c>
      <c r="D8" s="10" t="s">
        <v>253</v>
      </c>
    </row>
    <row r="9" spans="1:4" ht="63" customHeight="1">
      <c r="A9" s="12" t="s">
        <v>254</v>
      </c>
      <c r="B9" s="12" t="s">
        <v>255</v>
      </c>
      <c r="C9" s="12" t="s">
        <v>256</v>
      </c>
      <c r="D9" s="12" t="s">
        <v>257</v>
      </c>
    </row>
    <row r="10" spans="1:4" ht="63" customHeight="1">
      <c r="A10" s="10" t="s">
        <v>258</v>
      </c>
      <c r="B10" s="10" t="s">
        <v>244</v>
      </c>
      <c r="C10" s="10" t="s">
        <v>259</v>
      </c>
      <c r="D10" s="10" t="s">
        <v>260</v>
      </c>
    </row>
    <row r="11" spans="1:4" ht="63" customHeight="1">
      <c r="A11" s="12" t="s">
        <v>261</v>
      </c>
      <c r="B11" s="12" t="s">
        <v>262</v>
      </c>
      <c r="C11" s="12" t="s">
        <v>263</v>
      </c>
      <c r="D11" s="12" t="s">
        <v>264</v>
      </c>
    </row>
    <row r="12" spans="1:4" ht="63" customHeight="1">
      <c r="A12" s="10" t="s">
        <v>265</v>
      </c>
      <c r="B12" s="10" t="s">
        <v>266</v>
      </c>
      <c r="C12" s="10" t="s">
        <v>267</v>
      </c>
      <c r="D12" s="10" t="s">
        <v>268</v>
      </c>
    </row>
    <row r="13" spans="1:4" ht="63" customHeight="1">
      <c r="A13" s="12" t="s">
        <v>269</v>
      </c>
      <c r="B13" s="12" t="s">
        <v>266</v>
      </c>
      <c r="C13" s="12" t="s">
        <v>270</v>
      </c>
      <c r="D13" s="12" t="s">
        <v>271</v>
      </c>
    </row>
    <row r="14" spans="1:4" ht="63" customHeight="1">
      <c r="A14" s="10" t="s">
        <v>163</v>
      </c>
      <c r="B14" s="10" t="s">
        <v>272</v>
      </c>
      <c r="C14" s="10" t="s">
        <v>273</v>
      </c>
      <c r="D14" s="10" t="s">
        <v>274</v>
      </c>
    </row>
    <row r="15" spans="1:4" ht="63" customHeight="1">
      <c r="A15" s="12" t="s">
        <v>275</v>
      </c>
      <c r="B15" s="12" t="s">
        <v>276</v>
      </c>
      <c r="C15" s="12" t="s">
        <v>277</v>
      </c>
      <c r="D15" s="12" t="s">
        <v>278</v>
      </c>
    </row>
    <row r="16" spans="1:4" ht="63" customHeight="1">
      <c r="A16" s="10" t="s">
        <v>279</v>
      </c>
      <c r="B16" s="10" t="s">
        <v>244</v>
      </c>
      <c r="C16" s="10" t="s">
        <v>280</v>
      </c>
      <c r="D16" s="10" t="s">
        <v>281</v>
      </c>
    </row>
    <row r="17" spans="1:4" ht="63" customHeight="1">
      <c r="A17" s="12" t="s">
        <v>282</v>
      </c>
      <c r="B17" s="12" t="s">
        <v>283</v>
      </c>
      <c r="C17" s="12" t="s">
        <v>284</v>
      </c>
      <c r="D17" s="12" t="s">
        <v>285</v>
      </c>
    </row>
    <row r="18" spans="1:4" ht="63" customHeight="1">
      <c r="A18" s="10" t="s">
        <v>286</v>
      </c>
      <c r="B18" s="10" t="s">
        <v>287</v>
      </c>
      <c r="C18" s="10" t="s">
        <v>288</v>
      </c>
      <c r="D18" s="10" t="s">
        <v>289</v>
      </c>
    </row>
    <row r="19" spans="1:4" ht="63" customHeight="1">
      <c r="A19" s="12" t="s">
        <v>290</v>
      </c>
      <c r="B19" s="12" t="s">
        <v>291</v>
      </c>
      <c r="C19" s="12" t="s">
        <v>292</v>
      </c>
      <c r="D19" s="12" t="s">
        <v>293</v>
      </c>
    </row>
    <row r="21" spans="1:4" ht="48" customHeight="1">
      <c r="A21" s="3" t="s">
        <v>294</v>
      </c>
      <c r="B21" s="3"/>
      <c r="C21" s="3"/>
      <c r="D21" s="3"/>
    </row>
    <row r="23" spans="1:4" ht="40" customHeight="1">
      <c r="A23" s="3" t="s">
        <v>295</v>
      </c>
      <c r="B23" s="3"/>
      <c r="C23" s="3"/>
      <c r="D23" s="3"/>
    </row>
    <row r="25" spans="1:4" ht="38" customHeight="1">
      <c r="A25" s="3" t="s">
        <v>296</v>
      </c>
      <c r="B25" s="3"/>
      <c r="C25" s="3"/>
      <c r="D25" s="3"/>
    </row>
    <row r="27" spans="1:4" ht="40" customHeight="1">
      <c r="A27" s="3" t="s">
        <v>297</v>
      </c>
      <c r="B27" s="3"/>
      <c r="C27" s="3"/>
      <c r="D27" s="3"/>
    </row>
  </sheetData>
  <mergeCells count="7">
    <mergeCell ref="A1:D1"/>
    <mergeCell ref="A2:D2"/>
    <mergeCell ref="A3:D3"/>
    <mergeCell ref="A21:D21"/>
    <mergeCell ref="A23:D23"/>
    <mergeCell ref="A25:D25"/>
    <mergeCell ref="A27:D27"/>
  </mergeCells>
  <printOptions horizontalCentered="1"/>
  <pageMargins left="0.3" right="0.3" top="0.32" bottom="0.36" header="0.12" footer="0.14"/>
  <pageSetup paperSize="9" fitToHeight="2" orientation="landscape"/>
  <headerFooter>
    <oddHeader>&amp;LServicio Médico Tandanor &amp;RPrimer semestre 2026</oddHeader>
    <oddFooter>&amp;LUso interno · Datos agregados &amp;CPágina &amp;P de &amp;N &amp;RActualizado 08/10/2026</oddFooter>
  </headerFooter>
  <rowBreaks count="1" manualBreakCount="1">
    <brk id="12" max="16383" man="1"/>
  </rowBreaks>
</worksheet>
</file>

<file path=xl/worksheets/sheet13.xml><?xml version="1.0" encoding="utf-8"?>
<worksheet xmlns="http://schemas.openxmlformats.org/spreadsheetml/2006/main" xmlns:r="http://schemas.openxmlformats.org/officeDocument/2006/relationships">
  <sheetPr>
    <tabColor rgb="FF17354D"/>
    <pageSetUpPr fitToPage="1"/>
  </sheetPr>
  <dimension ref="A1:E40"/>
  <sheetViews>
    <sheetView showGridLines="0" zoomScale="95" zoomScaleNormal="9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0.7109375" customWidth="1"/>
    <col min="2" max="2" width="17.7109375" customWidth="1"/>
    <col min="3" max="4" width="18.7109375" customWidth="1"/>
    <col min="5" max="5" width="33.7109375" customWidth="1"/>
  </cols>
  <sheetData>
    <row r="1" spans="1:5" ht="40" customHeight="1">
      <c r="A1" s="1" t="s">
        <v>298</v>
      </c>
      <c r="B1" s="1"/>
      <c r="C1" s="1"/>
      <c r="D1" s="1"/>
      <c r="E1" s="1"/>
    </row>
    <row r="2" spans="1:5" ht="36" customHeight="1">
      <c r="A2" s="2" t="s">
        <v>299</v>
      </c>
      <c r="B2" s="2"/>
      <c r="C2" s="2"/>
      <c r="D2" s="2"/>
      <c r="E2" s="2"/>
    </row>
    <row r="3" spans="1:5" ht="20" customHeight="1">
      <c r="A3" s="3" t="s">
        <v>300</v>
      </c>
      <c r="B3" s="3"/>
      <c r="C3" s="3"/>
      <c r="D3" s="3"/>
      <c r="E3" s="3"/>
    </row>
    <row r="5" spans="1:5" ht="26" customHeight="1">
      <c r="A5" s="8" t="s">
        <v>301</v>
      </c>
      <c r="B5" s="8"/>
      <c r="C5" s="8"/>
      <c r="D5" s="8"/>
      <c r="E5" s="8"/>
    </row>
    <row r="6" spans="1:5" ht="40" customHeight="1">
      <c r="A6" s="9" t="s">
        <v>302</v>
      </c>
      <c r="B6" s="9" t="s">
        <v>303</v>
      </c>
      <c r="C6" s="9" t="s">
        <v>304</v>
      </c>
      <c r="D6" s="9" t="s">
        <v>305</v>
      </c>
      <c r="E6" s="9" t="s">
        <v>306</v>
      </c>
    </row>
    <row r="7" spans="1:5" ht="31" customHeight="1">
      <c r="A7" s="12" t="s">
        <v>307</v>
      </c>
      <c r="B7" s="13">
        <v>82</v>
      </c>
      <c r="C7" s="13">
        <v>56</v>
      </c>
      <c r="D7" s="13">
        <f>C7-B7</f>
        <v>-26</v>
      </c>
      <c r="E7" s="12" t="s">
        <v>308</v>
      </c>
    </row>
    <row r="8" spans="1:5" ht="31" customHeight="1">
      <c r="A8" s="10" t="s">
        <v>309</v>
      </c>
      <c r="B8" s="11">
        <v>16</v>
      </c>
      <c r="C8" s="11">
        <v>25</v>
      </c>
      <c r="D8" s="11">
        <f>C8-B8</f>
        <v>9</v>
      </c>
      <c r="E8" s="10" t="s">
        <v>310</v>
      </c>
    </row>
    <row r="9" spans="1:5" ht="31" customHeight="1">
      <c r="A9" s="12" t="s">
        <v>311</v>
      </c>
      <c r="B9" s="13">
        <v>66</v>
      </c>
      <c r="C9" s="13">
        <v>31</v>
      </c>
      <c r="D9" s="13">
        <f>C9-B9</f>
        <v>-35</v>
      </c>
      <c r="E9" s="12" t="s">
        <v>312</v>
      </c>
    </row>
    <row r="10" spans="1:5" ht="35" customHeight="1">
      <c r="A10" s="10" t="s">
        <v>313</v>
      </c>
      <c r="B10" s="15">
        <f>B8/B7</f>
        <v>0.1951219512195122</v>
      </c>
      <c r="C10" s="15">
        <f>C8/C7</f>
        <v>0.44642857142857145</v>
      </c>
      <c r="D10" s="20">
        <f>(C10-B10)*100</f>
        <v>25.130662020905923</v>
      </c>
      <c r="E10" s="10" t="s">
        <v>314</v>
      </c>
    </row>
    <row r="12" spans="1:5" ht="48" customHeight="1">
      <c r="A12" s="7" t="s">
        <v>315</v>
      </c>
      <c r="B12" s="7"/>
      <c r="C12" s="7"/>
      <c r="D12" s="7"/>
      <c r="E12" s="7"/>
    </row>
    <row r="14" spans="1:5" ht="41" customHeight="1">
      <c r="A14" s="9" t="s">
        <v>316</v>
      </c>
      <c r="B14" s="9" t="s">
        <v>303</v>
      </c>
      <c r="C14" s="9" t="s">
        <v>304</v>
      </c>
      <c r="D14" s="9" t="s">
        <v>305</v>
      </c>
      <c r="E14" s="9" t="s">
        <v>317</v>
      </c>
    </row>
    <row r="15" spans="1:5" ht="28" customHeight="1">
      <c r="A15" s="12" t="s">
        <v>81</v>
      </c>
      <c r="B15" s="13">
        <v>38</v>
      </c>
      <c r="C15" s="13">
        <v>16</v>
      </c>
      <c r="D15" s="13">
        <f>C15-B15</f>
        <v>-22</v>
      </c>
      <c r="E15" s="12" t="s">
        <v>318</v>
      </c>
    </row>
    <row r="16" spans="1:5" ht="28" customHeight="1">
      <c r="A16" s="10" t="s">
        <v>83</v>
      </c>
      <c r="B16" s="11">
        <v>9</v>
      </c>
      <c r="C16" s="11">
        <v>9</v>
      </c>
      <c r="D16" s="11">
        <f>C16-B16</f>
        <v>0</v>
      </c>
      <c r="E16" s="10" t="s">
        <v>318</v>
      </c>
    </row>
    <row r="17" spans="1:5" ht="28" customHeight="1">
      <c r="A17" s="12" t="s">
        <v>85</v>
      </c>
      <c r="B17" s="13">
        <v>19</v>
      </c>
      <c r="C17" s="13">
        <v>6</v>
      </c>
      <c r="D17" s="13">
        <f>C17-B17</f>
        <v>-13</v>
      </c>
      <c r="E17" s="12" t="s">
        <v>318</v>
      </c>
    </row>
    <row r="19" spans="1:5" ht="26" customHeight="1">
      <c r="A19" s="8" t="s">
        <v>319</v>
      </c>
      <c r="B19" s="8"/>
      <c r="C19" s="8"/>
      <c r="D19" s="8"/>
      <c r="E19" s="8"/>
    </row>
    <row r="20" spans="1:5" ht="46" customHeight="1">
      <c r="A20" s="9" t="s">
        <v>240</v>
      </c>
      <c r="B20" s="9" t="s">
        <v>320</v>
      </c>
      <c r="C20" s="9" t="s">
        <v>321</v>
      </c>
      <c r="D20" s="9" t="s">
        <v>322</v>
      </c>
      <c r="E20" s="9" t="s">
        <v>323</v>
      </c>
    </row>
    <row r="21" spans="1:5" ht="40" customHeight="1">
      <c r="A21" s="12" t="s">
        <v>324</v>
      </c>
      <c r="B21" s="13">
        <v>39</v>
      </c>
      <c r="C21" s="13">
        <v>14</v>
      </c>
      <c r="D21" s="13">
        <v>25</v>
      </c>
      <c r="E21" s="12" t="s">
        <v>325</v>
      </c>
    </row>
    <row r="22" spans="1:5" ht="40" customHeight="1">
      <c r="A22" s="10" t="s">
        <v>326</v>
      </c>
      <c r="B22" s="11">
        <v>56</v>
      </c>
      <c r="C22" s="11">
        <v>25</v>
      </c>
      <c r="D22" s="11">
        <v>31</v>
      </c>
      <c r="E22" s="10" t="s">
        <v>327</v>
      </c>
    </row>
    <row r="24" spans="1:5" ht="49" customHeight="1">
      <c r="A24" s="7" t="s">
        <v>328</v>
      </c>
      <c r="B24" s="7"/>
      <c r="C24" s="7"/>
      <c r="D24" s="7"/>
      <c r="E24" s="7"/>
    </row>
    <row r="26" spans="1:5" ht="26" customHeight="1">
      <c r="A26" s="8" t="s">
        <v>329</v>
      </c>
      <c r="B26" s="8"/>
      <c r="C26" s="8"/>
      <c r="D26" s="8"/>
      <c r="E26" s="8"/>
    </row>
    <row r="27" spans="1:5" ht="43" customHeight="1">
      <c r="A27" s="9" t="s">
        <v>75</v>
      </c>
      <c r="B27" s="9" t="s">
        <v>330</v>
      </c>
      <c r="C27" s="9" t="s">
        <v>77</v>
      </c>
      <c r="D27" s="9" t="s">
        <v>78</v>
      </c>
      <c r="E27" s="9" t="s">
        <v>79</v>
      </c>
    </row>
    <row r="28" spans="1:5" ht="30" customHeight="1">
      <c r="A28" s="10" t="s">
        <v>81</v>
      </c>
      <c r="B28" s="11">
        <v>23</v>
      </c>
      <c r="C28" s="11">
        <v>9</v>
      </c>
      <c r="D28" s="11">
        <v>14</v>
      </c>
      <c r="E28" s="10" t="s">
        <v>331</v>
      </c>
    </row>
    <row r="29" spans="1:5" ht="30" customHeight="1">
      <c r="A29" s="12" t="s">
        <v>83</v>
      </c>
      <c r="B29" s="13">
        <v>12</v>
      </c>
      <c r="C29" s="13">
        <v>3</v>
      </c>
      <c r="D29" s="13">
        <v>9</v>
      </c>
      <c r="E29" s="12" t="s">
        <v>332</v>
      </c>
    </row>
    <row r="30" spans="1:5" ht="30" customHeight="1">
      <c r="A30" s="10" t="s">
        <v>85</v>
      </c>
      <c r="B30" s="11">
        <v>4</v>
      </c>
      <c r="C30" s="11">
        <v>2</v>
      </c>
      <c r="D30" s="11">
        <v>2</v>
      </c>
      <c r="E30" s="10" t="s">
        <v>333</v>
      </c>
    </row>
    <row r="31" spans="1:5">
      <c r="A31" s="14" t="s">
        <v>334</v>
      </c>
      <c r="B31" s="14">
        <f>SUM(B28:B30)</f>
        <v>39</v>
      </c>
      <c r="C31" s="14">
        <f>SUM(C28:C30)</f>
        <v>14</v>
      </c>
      <c r="D31" s="14">
        <f>SUM(D28:D30)</f>
        <v>25</v>
      </c>
    </row>
    <row r="33" spans="1:5" ht="44" customHeight="1">
      <c r="A33" s="3" t="s">
        <v>335</v>
      </c>
      <c r="B33" s="3"/>
      <c r="C33" s="3"/>
      <c r="D33" s="3"/>
      <c r="E33" s="3"/>
    </row>
    <row r="35" spans="1:5" ht="26" customHeight="1">
      <c r="A35" s="8" t="s">
        <v>336</v>
      </c>
      <c r="B35" s="8"/>
      <c r="C35" s="8"/>
      <c r="D35" s="8"/>
      <c r="E35" s="8"/>
    </row>
    <row r="36" spans="1:5" ht="50" customHeight="1">
      <c r="A36" s="3" t="s">
        <v>337</v>
      </c>
      <c r="B36" s="3"/>
      <c r="C36" s="3"/>
      <c r="D36" s="3"/>
      <c r="E36" s="3"/>
    </row>
    <row r="38" spans="1:5" ht="45" customHeight="1">
      <c r="A38" s="3" t="s">
        <v>338</v>
      </c>
      <c r="B38" s="3"/>
      <c r="C38" s="3"/>
      <c r="D38" s="3"/>
      <c r="E38" s="3"/>
    </row>
    <row r="40" spans="1:5" ht="44" customHeight="1">
      <c r="A40" s="3" t="s">
        <v>339</v>
      </c>
      <c r="B40" s="3"/>
      <c r="C40" s="3"/>
      <c r="D40" s="3"/>
      <c r="E40" s="3"/>
    </row>
  </sheetData>
  <mergeCells count="13">
    <mergeCell ref="A1:E1"/>
    <mergeCell ref="A2:E2"/>
    <mergeCell ref="A3:E3"/>
    <mergeCell ref="A5:E5"/>
    <mergeCell ref="A12:E12"/>
    <mergeCell ref="A19:E19"/>
    <mergeCell ref="A24:E24"/>
    <mergeCell ref="A26:E26"/>
    <mergeCell ref="A33:E33"/>
    <mergeCell ref="A35:E35"/>
    <mergeCell ref="A36:E36"/>
    <mergeCell ref="A38:E38"/>
    <mergeCell ref="A40:E40"/>
  </mergeCells>
  <printOptions horizontalCentered="1"/>
  <pageMargins left="0.3" right="0.3" top="0.32" bottom="0.36" header="0.12" footer="0.14"/>
  <pageSetup paperSize="9" fitToHeight="0" orientation="portrait"/>
  <headerFooter>
    <oddHeader>&amp;LServicio Médico Tandanor &amp;RSiniestralidad · 9 meses</oddHeader>
    <oddFooter>&amp;LUso interno · Datos agregados &amp;CPágina &amp;P de &amp;N &amp;RActualizado 08/10/2026</oddFooter>
  </headerFooter>
  <rowBreaks count="1" manualBreakCount="1">
    <brk id="1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26</vt:i4>
      </vt:variant>
    </vt:vector>
  </HeadingPairs>
  <TitlesOfParts>
    <vt:vector size="39" baseType="lpstr">
      <vt:lpstr>Dashboard integral</vt:lpstr>
      <vt:lpstr>Actividad 1S</vt:lpstr>
      <vt:lpstr>Seguimiento BP</vt:lpstr>
      <vt:lpstr>ART y rechazos</vt:lpstr>
      <vt:lpstr>Patologías generales</vt:lpstr>
      <vt:lpstr>Patologías por sector</vt:lpstr>
      <vt:lpstr>Detalle clínico sectorial</vt:lpstr>
      <vt:lpstr>Prevención realizada</vt:lpstr>
      <vt:lpstr>Registro de accidentes</vt:lpstr>
      <vt:lpstr>Ausentismo 1S</vt:lpstr>
      <vt:lpstr>Sectores RRHH</vt:lpstr>
      <vt:lpstr>Fuentes y criterios</vt:lpstr>
      <vt:lpstr>Comparación ART 9 meses</vt:lpstr>
      <vt:lpstr>'Actividad 1S'!Print_Area</vt:lpstr>
      <vt:lpstr>'ART y rechazos'!Print_Area</vt:lpstr>
      <vt:lpstr>'Ausentismo 1S'!Print_Area</vt:lpstr>
      <vt:lpstr>'Comparación ART 9 meses'!Print_Area</vt:lpstr>
      <vt:lpstr>'Dashboard integral'!Print_Area</vt:lpstr>
      <vt:lpstr>'Detalle clínico sectorial'!Print_Area</vt:lpstr>
      <vt:lpstr>'Fuentes y criterios'!Print_Area</vt:lpstr>
      <vt:lpstr>'Patologías generales'!Print_Area</vt:lpstr>
      <vt:lpstr>'Patologías por sector'!Print_Area</vt:lpstr>
      <vt:lpstr>'Prevención realizada'!Print_Area</vt:lpstr>
      <vt:lpstr>'Registro de accidentes'!Print_Area</vt:lpstr>
      <vt:lpstr>'Sectores RRHH'!Print_Area</vt:lpstr>
      <vt:lpstr>'Seguimiento BP'!Print_Area</vt:lpstr>
      <vt:lpstr>'Actividad 1S'!Print_Titles</vt:lpstr>
      <vt:lpstr>'ART y rechazos'!Print_Titles</vt:lpstr>
      <vt:lpstr>'Ausentismo 1S'!Print_Titles</vt:lpstr>
      <vt:lpstr>'Comparación ART 9 meses'!Print_Titles</vt:lpstr>
      <vt:lpstr>'Dashboard integral'!Print_Titles</vt:lpstr>
      <vt:lpstr>'Detalle clínico sectorial'!Print_Titles</vt:lpstr>
      <vt:lpstr>'Fuentes y criterios'!Print_Titles</vt:lpstr>
      <vt:lpstr>'Patologías generales'!Print_Titles</vt:lpstr>
      <vt:lpstr>'Patologías por sector'!Print_Titles</vt:lpstr>
      <vt:lpstr>'Prevención realizada'!Print_Titles</vt:lpstr>
      <vt:lpstr>'Registro de accidentes'!Print_Titles</vt:lpstr>
      <vt:lpstr>'Sectores RRHH'!Print_Titles</vt:lpstr>
      <vt:lpstr>'Seguimiento BP'!Print_Titles</vt:lpstr>
    </vt:vector>
  </TitlesOfParts>
  <Company>Tandanor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Gestión del Servicio Médico Tandanor | Primer semestre 2026</dc:title>
  <dc:subject>Resultados realizados y análisis agregado para Dirección</dc:subject>
  <dc:creator>Servicio Médico Tandanor</dc:creator>
  <dc:description>Gestión 1S2026 agregada sin datos nominales. Comparación ART enero–septiembre en una hoja separada.</dc:description>
  <cp:lastModifiedBy>Servicio Médico Tandanor</cp:lastModifiedBy>
  <dcterms:created xsi:type="dcterms:W3CDTF">2026-10-08T12:55:55Z</dcterms:created>
  <dcterms:modified xsi:type="dcterms:W3CDTF">2026-10-08T12:55:55Z</dcterms:modified>
</cp:coreProperties>
</file>