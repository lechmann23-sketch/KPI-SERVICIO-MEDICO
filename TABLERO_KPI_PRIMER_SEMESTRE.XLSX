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men ejecutivo" sheetId="1" r:id="rId1"/>
    <sheet name="Actividad" sheetId="2" r:id="rId2"/>
    <sheet name="Ausentismo" sheetId="3" r:id="rId3"/>
    <sheet name="Focos sectoriales" sheetId="4" r:id="rId4"/>
    <sheet name="Base sectorial" sheetId="5" r:id="rId5"/>
    <sheet name="Seguimiento BP" sheetId="6" r:id="rId6"/>
    <sheet name="Gestión ART" sheetId="7" r:id="rId7"/>
    <sheet name="Licencias y calidad" sheetId="8" r:id="rId8"/>
    <sheet name="Accidentalidad" sheetId="9" r:id="rId9"/>
    <sheet name="Vacunación" sheetId="10" r:id="rId10"/>
    <sheet name="Equipos emergencia" sheetId="11" r:id="rId11"/>
    <sheet name="Detalle activos" sheetId="12" r:id="rId12"/>
    <sheet name="Medicamentos" sheetId="13" r:id="rId13"/>
    <sheet name="Consumo" sheetId="14" r:id="rId14"/>
    <sheet name="Capacitación" sheetId="15" r:id="rId15"/>
    <sheet name="Equipo del servicio" sheetId="16" r:id="rId16"/>
    <sheet name="Recorridos de planta" sheetId="17" r:id="rId17"/>
    <sheet name="Mejoras 2S - Aptitudes" sheetId="18" r:id="rId18"/>
    <sheet name="Enero" sheetId="19" r:id="rId19"/>
    <sheet name="Febrero" sheetId="20" r:id="rId20"/>
    <sheet name="Marzo" sheetId="21" r:id="rId21"/>
    <sheet name="Abril" sheetId="22" r:id="rId22"/>
    <sheet name="Mayo" sheetId="23" r:id="rId23"/>
    <sheet name="Junio" sheetId="24" r:id="rId24"/>
    <sheet name="Catálogo de indicadores" sheetId="25" r:id="rId25"/>
    <sheet name="Metas y acciones" sheetId="26" r:id="rId26"/>
    <sheet name="Calidad y pendientes" sheetId="27" r:id="rId27"/>
    <sheet name="Fuentes" sheetId="28" r:id="rId28"/>
    <sheet name="Índice" sheetId="29" r:id="rId29"/>
  </sheets>
  <definedNames>
    <definedName name="_xlnm._FilterDatabase" localSheetId="21" hidden="1">Abril!$A$6:$C$18</definedName>
    <definedName name="_xlnm._FilterDatabase" localSheetId="8" hidden="1">Accidentalidad!$A$6:$E$12</definedName>
    <definedName name="_xlnm._FilterDatabase" localSheetId="4" hidden="1">'Base sectorial'!$A$6:$K$350</definedName>
    <definedName name="_xlnm._FilterDatabase" localSheetId="26" hidden="1">'Calidad y pendientes'!$A$6:$C$23</definedName>
    <definedName name="_xlnm._FilterDatabase" localSheetId="14" hidden="1">Capacitación!$A$6:$F$7</definedName>
    <definedName name="_xlnm._FilterDatabase" localSheetId="24" hidden="1">'Catálogo de indicadores'!$A$6:$L$62</definedName>
    <definedName name="_xlnm._FilterDatabase" localSheetId="13" hidden="1">Consumo!$A$6:$D$8</definedName>
    <definedName name="_xlnm._FilterDatabase" localSheetId="11" hidden="1">'Detalle activos'!$A$6:$G$53</definedName>
    <definedName name="_xlnm._FilterDatabase" localSheetId="18" hidden="1">Enero!$A$6:$C$18</definedName>
    <definedName name="_xlnm._FilterDatabase" localSheetId="15" hidden="1">'Equipo del servicio'!$A$6:$B$9</definedName>
    <definedName name="_xlnm._FilterDatabase" localSheetId="10" hidden="1">'Equipos emergencia'!$A$6:$F$9</definedName>
    <definedName name="_xlnm._FilterDatabase" localSheetId="19" hidden="1">Febrero!$A$6:$C$18</definedName>
    <definedName name="_xlnm._FilterDatabase" localSheetId="3" hidden="1">'Focos sectoriales'!$A$6:$H$49</definedName>
    <definedName name="_xlnm._FilterDatabase" localSheetId="27" hidden="1">Fuentes!$A$6:$D$26</definedName>
    <definedName name="_xlnm._FilterDatabase" localSheetId="6" hidden="1">'Gestión ART'!$A$6:$H$12</definedName>
    <definedName name="_xlnm._FilterDatabase" localSheetId="23" hidden="1">Junio!$A$6:$C$18</definedName>
    <definedName name="_xlnm._FilterDatabase" localSheetId="7" hidden="1">'Licencias y calidad'!$A$6:$E$12</definedName>
    <definedName name="_xlnm._FilterDatabase" localSheetId="20" hidden="1">Marzo!$A$6:$C$18</definedName>
    <definedName name="_xlnm._FilterDatabase" localSheetId="22" hidden="1">Mayo!$A$6:$C$18</definedName>
    <definedName name="_xlnm._FilterDatabase" localSheetId="12" hidden="1">Medicamentos!$A$6:$C$11</definedName>
    <definedName name="_xlnm._FilterDatabase" localSheetId="17" hidden="1">'Mejoras 2S - Aptitudes'!$A$6:$C$10</definedName>
    <definedName name="_xlnm._FilterDatabase" localSheetId="25" hidden="1">'Metas y acciones'!$A$6:$E$14</definedName>
    <definedName name="_xlnm._FilterDatabase" localSheetId="16" hidden="1">'Recorridos de planta'!$A$13:$G$19</definedName>
    <definedName name="_xlnm._FilterDatabase" localSheetId="5" hidden="1">'Seguimiento BP'!$A$6:$H$12</definedName>
    <definedName name="_xlnm._FilterDatabase" localSheetId="9" hidden="1">Vacunación!$A$6:$C$12</definedName>
    <definedName name="_xlnm.Print_Area" localSheetId="0">'Resumen ejecutivo'!$A$1:$P$51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7" authorId="0">
      <text>
        <r>
          <rPr>
            <sz val="8"/>
            <color indexed="81"/>
            <rFont val="Tahoma"/>
            <family val="2"/>
          </rPr>
          <t>Registros clínicos propios
Enero–junio 2026
Calculado desde fuente</t>
        </r>
      </text>
    </comment>
    <comment ref="E7" authorId="0">
      <text>
        <r>
          <rPr>
            <sz val="8"/>
            <color indexed="81"/>
            <rFont val="Tahoma"/>
            <family val="2"/>
          </rPr>
          <t>Gestiones administrativas
Enero–junio 2026
Calculado desde fuente</t>
        </r>
      </text>
    </comment>
    <comment ref="I7" authorId="0">
      <text>
        <r>
          <rPr>
            <sz val="8"/>
            <color indexed="81"/>
            <rFont val="Tahoma"/>
            <family val="2"/>
          </rPr>
          <t>Episodios iniciados en 1S
Enero–junio 2026
Criterio administrativo explícito</t>
        </r>
      </text>
    </comment>
    <comment ref="M7" authorId="0">
      <text>
        <r>
          <rPr>
            <sz val="8"/>
            <color indexed="81"/>
            <rFont val="Tahoma"/>
            <family val="2"/>
          </rPr>
          <t>Marcación SI en nómina antigripal
Campaña 2026 | último padrón sin fechas
Cobertura registrada; cierre pendiente</t>
        </r>
      </text>
    </comment>
    <comment ref="A13" authorId="0">
      <text>
        <r>
          <rPr>
            <sz val="8"/>
            <color indexed="81"/>
            <rFont val="Tahoma"/>
            <family val="2"/>
          </rPr>
          <t>Personas con casos en el semestre
Enero–junio 2026
Calculado desde fuente</t>
        </r>
      </text>
    </comment>
    <comment ref="E13" authorId="0">
      <text>
        <r>
          <rPr>
            <sz val="8"/>
            <color indexed="81"/>
            <rFont val="Tahoma"/>
            <family val="2"/>
          </rPr>
          <t>Actividades fechadas registradas
Enero–junio 2026
Calculado desde fuente</t>
        </r>
      </text>
    </comment>
    <comment ref="I13" authorId="0">
      <text>
        <r>
          <rPr>
            <sz val="8"/>
            <color indexed="81"/>
            <rFont val="Tahoma"/>
            <family val="2"/>
          </rPr>
          <t>DEA operativos declarados
Último estado del inventario
Declarado; corte heterogéneo</t>
        </r>
      </text>
    </comment>
    <comment ref="M13" authorId="0">
      <text>
        <r>
          <rPr>
            <sz val="8"/>
            <color indexed="81"/>
            <rFont val="Tahoma"/>
            <family val="2"/>
          </rPr>
          <t>Líneas de stock bajo mínimo
Stock sin fecha de corte
Recalculado desde cantidades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F7" authorId="0">
      <text>
        <r>
          <rPr>
            <sz val="8"/>
            <color indexed="81"/>
            <rFont val="Tahoma"/>
            <family val="2"/>
          </rPr>
          <t>Registros propios del servicio
Enero–junio 2026
Calculado desde fuente
Planilla Tandanor (1).xlsx | AT. DIARIAS / CONTRATISTAS
Volumen registrado por fecha; no mide calidad ni eficacia por sí solo.</t>
        </r>
      </text>
    </comment>
    <comment ref="F8" authorId="0">
      <text>
        <r>
          <rPr>
            <sz val="8"/>
            <color indexed="81"/>
            <rFont val="Tahoma"/>
            <family val="2"/>
          </rPr>
          <t>Registros de enfermería
Enero–junio 2026
Calculado desde fuente
Planilla Tandanor (1).xlsx | AT. DIARIAS / CONTRATISTAS
Volumen registrado por fecha; no mide calidad ni eficacia por sí solo.</t>
        </r>
      </text>
    </comment>
    <comment ref="F9" authorId="0">
      <text>
        <r>
          <rPr>
            <sz val="8"/>
            <color indexed="81"/>
            <rFont val="Tahoma"/>
            <family val="2"/>
          </rPr>
          <t>Registros médicos
Enero–junio 2026
Calculado desde fuente
Planilla Tandanor (1).xlsx | AT. DIARIAS / CONTRATISTAS
Volumen registrado por fecha; no mide calidad ni eficacia por sí solo.</t>
        </r>
      </text>
    </comment>
    <comment ref="F10" authorId="0">
      <text>
        <r>
          <rPr>
            <sz val="8"/>
            <color indexed="81"/>
            <rFont val="Tahoma"/>
            <family val="2"/>
          </rPr>
          <t>Gestiones administrativas
Enero–junio 2026
Calculado desde fuente
Planilla Tandanor (1).xlsx | AT. DIARIAS / CONTRATISTAS
Volumen registrado por fecha; no mide calidad ni eficacia por sí solo.</t>
        </r>
      </text>
    </comment>
    <comment ref="F11" authorId="0">
      <text>
        <r>
          <rPr>
            <sz val="8"/>
            <color indexed="81"/>
            <rFont val="Tahoma"/>
            <family val="2"/>
          </rPr>
          <t>Registros clínicos propios
Enero–junio 2026
Calculado desde fuente
Planilla Tandanor (1).xlsx | AT. DIARIAS / CONTRATISTAS
Volumen registrado por fecha; no mide calidad ni eficacia por sí solo.</t>
        </r>
      </text>
    </comment>
    <comment ref="F12" authorId="0">
      <text>
        <r>
          <rPr>
            <sz val="8"/>
            <color indexed="81"/>
            <rFont val="Tahoma"/>
            <family val="2"/>
          </rPr>
          <t>Registros de contratistas
Enero–junio 2026
Calculado desde fuente
Planilla Tandanor (1).xlsx | AT. DIARIAS / CONTRATISTAS
Volumen registrado por fecha; no mide calidad ni eficacia por sí solo.</t>
        </r>
      </text>
    </comment>
    <comment ref="F13" authorId="0">
      <text>
        <r>
          <rPr>
            <sz val="8"/>
            <color indexed="81"/>
            <rFont val="Tahoma"/>
            <family val="2"/>
          </rPr>
          <t>Participación clínica en actividad propia
Enero–junio 2026
Calculado desde fuente
AT. DIARIAS | ATENCION
Enfermería + médica / registros propios; administración está en el denominador.</t>
        </r>
      </text>
    </comment>
    <comment ref="F14" authorId="0">
      <text>
        <r>
          <rPr>
            <sz val="8"/>
            <color indexed="81"/>
            <rFont val="Tahoma"/>
            <family val="2"/>
          </rPr>
          <t>Identidades atendidas estimadas
Enero–junio 2026
Identificación con calidad pendiente
AT. DIARIAS | LEGAJO/NOMBRE
Deduplicación semestral; no usar para afirmar cobertura poblacional.</t>
        </r>
      </text>
    </comment>
    <comment ref="F15" authorId="0">
      <text>
        <r>
          <rPr>
            <sz val="8"/>
            <color indexed="81"/>
            <rFont val="Tahoma"/>
            <family val="2"/>
          </rPr>
          <t>Duplicados exactos en actividad
Enero–junio 2026
Calculado desde fuente
AT. DIARIAS | A:S
Repetición exacta de filas; se conservan hasta revisión.</t>
        </r>
      </text>
    </comment>
    <comment ref="F16" authorId="0">
      <text>
        <r>
          <rPr>
            <sz val="8"/>
            <color indexed="81"/>
            <rFont val="Tahoma"/>
            <family val="2"/>
          </rPr>
          <t>Actividad con tipo consignado
Enero–junio 2026
Calculado desde fuente
AT. DIARIAS | ATENCION
Completitud de clasificación; no es calidad clínica.</t>
        </r>
      </text>
    </comment>
    <comment ref="F17" authorId="0">
      <text>
        <r>
          <rPr>
            <sz val="8"/>
            <color indexed="81"/>
            <rFont val="Tahoma"/>
            <family val="2"/>
          </rPr>
          <t>Ausentismo médico
Enero–junio 2026
Calculado desde fuente
Indicador Ausentismo junio.xlsx | RRHH
Enfermedad + accidentes/ART / horas normales teóricas.</t>
        </r>
      </text>
    </comment>
    <comment ref="F18" authorId="0">
      <text>
        <r>
          <rPr>
            <sz val="8"/>
            <color indexed="81"/>
            <rFont val="Tahoma"/>
            <family val="2"/>
          </rPr>
          <t>Horas médicas perdidas
Enero–junio 2026
Calculado desde fuente
RRHH enero–junio
BP ya está dentro de enfermedad.</t>
        </r>
      </text>
    </comment>
    <comment ref="F19" authorId="0">
      <text>
        <r>
          <rPr>
            <sz val="8"/>
            <color indexed="81"/>
            <rFont val="Tahoma"/>
            <family val="2"/>
          </rPr>
          <t xml:space="preserve">Ausentismo por accidentes/ART
Enero–junio 2026
Calculado desde fuente
RRHH enero–junio
</t>
        </r>
      </text>
    </comment>
    <comment ref="F20" authorId="0">
      <text>
        <r>
          <rPr>
            <sz val="8"/>
            <color indexed="81"/>
            <rFont val="Tahoma"/>
            <family val="2"/>
          </rPr>
          <t>Personas con casos en el semestre
Enero–junio 2026
Calculado desde fuente
Planilla Tandanor (1).xlsx | BP
Identidades únicas por legajo; incluye arrastre.</t>
        </r>
      </text>
    </comment>
    <comment ref="F21" authorId="0">
      <text>
        <r>
          <rPr>
            <sz val="8"/>
            <color indexed="81"/>
            <rFont val="Tahoma"/>
            <family val="2"/>
          </rPr>
          <t>Episodios iniciados en 1S
Enero–junio 2026
Criterio administrativo explícito
Planilla Tandanor (1).xlsx | BP
Unión de intervalos superpuestos/contiguos por persona; no confirma continuidad clínica.</t>
        </r>
      </text>
    </comment>
    <comment ref="F22" authorId="0">
      <text>
        <r>
          <rPr>
            <sz val="8"/>
            <color indexed="81"/>
            <rFont val="Tahoma"/>
            <family val="2"/>
          </rPr>
          <t>Altas registradas en 1S
Enero–junio 2026
Calculado desde fuente
Planilla Tandanor (1).xlsx | BP | ALTA
Cierre de intervalo registrado; no tasa de éxito terapéutico.</t>
        </r>
      </text>
    </comment>
    <comment ref="F23" authorId="0">
      <text>
        <r>
          <rPr>
            <sz val="8"/>
            <color indexed="81"/>
            <rFont val="Tahoma"/>
            <family val="2"/>
          </rPr>
          <t>Activos inferidos al 30/06
Enero–junio 2026
Calculado desde fuente
Planilla Tandanor (1).xlsx | BP
Inicio al corte y alta ausente/posterior; no confundir con situación actual.</t>
        </r>
      </text>
    </comment>
    <comment ref="F24" authorId="0">
      <text>
        <r>
          <rPr>
            <sz val="8"/>
            <color indexed="81"/>
            <rFont val="Tahoma"/>
            <family val="2"/>
          </rPr>
          <t>Completitud de última consulta
Último registro de casos presentes en 1S
Completitud de registro; no adherencia
BP | ULT.CONS
Campos válidos sobre filas; no evalúa consultas realizadas según agenda.</t>
        </r>
      </text>
    </comment>
    <comment ref="F25" authorId="0">
      <text>
        <r>
          <rPr>
            <sz val="8"/>
            <color indexed="81"/>
            <rFont val="Tahoma"/>
            <family val="2"/>
          </rPr>
          <t>Cumplimiento de seguimiento programado
Enero–junio 2026
Pendiente de historia de controles
BP
Controles realizados dentro de plazo / controles programados.</t>
        </r>
      </text>
    </comment>
    <comment ref="F26" authorId="0">
      <text>
        <r>
          <rPr>
            <sz val="8"/>
            <color indexed="81"/>
            <rFont val="Tahoma"/>
            <family val="2"/>
          </rPr>
          <t>Personas con casos en el semestre
Enero–junio 2026
Calculado desde fuente
Planilla Tandanor (1).xlsx | ART
Identidades únicas por legajo; incluye arrastre.</t>
        </r>
      </text>
    </comment>
    <comment ref="F27" authorId="0">
      <text>
        <r>
          <rPr>
            <sz val="8"/>
            <color indexed="81"/>
            <rFont val="Tahoma"/>
            <family val="2"/>
          </rPr>
          <t>Episodios iniciados en 1S
Enero–junio 2026
Criterio administrativo explícito
Planilla Tandanor (1).xlsx | ART
Casos deduplicados por persona, inicio, contingencia y texto diagnóstico; no se unen intervalos ART.</t>
        </r>
      </text>
    </comment>
    <comment ref="F28" authorId="0">
      <text>
        <r>
          <rPr>
            <sz val="8"/>
            <color indexed="81"/>
            <rFont val="Tahoma"/>
            <family val="2"/>
          </rPr>
          <t>Altas registradas en 1S
Enero–junio 2026
Calculado desde fuente
Planilla Tandanor (1).xlsx | ART | ALTA
Cierre de intervalo registrado; no tasa de éxito terapéutico.</t>
        </r>
      </text>
    </comment>
    <comment ref="F29" authorId="0">
      <text>
        <r>
          <rPr>
            <sz val="8"/>
            <color indexed="81"/>
            <rFont val="Tahoma"/>
            <family val="2"/>
          </rPr>
          <t>Activos inferidos al 30/06
Enero–junio 2026
Calculado desde fuente
Planilla Tandanor (1).xlsx | ART
Inicio al corte y alta ausente/posterior; no confundir con situación actual.</t>
        </r>
      </text>
    </comment>
    <comment ref="F30" authorId="0">
      <text>
        <r>
          <rPr>
            <sz val="8"/>
            <color indexed="81"/>
            <rFont val="Tahoma"/>
            <family val="2"/>
          </rPr>
          <t>Completitud de última consulta
Último registro de casos presentes en 1S
Completitud de registro; no adherencia
ART | ULT.CONS
Campos válidos sobre filas; no evalúa consultas realizadas según agenda.</t>
        </r>
      </text>
    </comment>
    <comment ref="F31" authorId="0">
      <text>
        <r>
          <rPr>
            <sz val="8"/>
            <color indexed="81"/>
            <rFont val="Tahoma"/>
            <family val="2"/>
          </rPr>
          <t>Cumplimiento de seguimiento programado
Enero–junio 2026
Pendiente de historia de controles
ART
Controles realizados dentro de plazo / controles programados.</t>
        </r>
      </text>
    </comment>
    <comment ref="F32" authorId="0">
      <text>
        <r>
          <rPr>
            <sz val="8"/>
            <color indexed="81"/>
            <rFont val="Tahoma"/>
            <family val="2"/>
          </rPr>
          <t>Actuaciones con campos de licencia
Enero–junio 2026
Calculado desde fuente
AT. DIARIAS | LICENCIAS / DIAS
No equivale a licencias únicas.</t>
        </r>
      </text>
    </comment>
    <comment ref="F33" authorId="0">
      <text>
        <r>
          <rPr>
            <sz val="8"/>
            <color indexed="81"/>
            <rFont val="Tahoma"/>
            <family val="2"/>
          </rPr>
          <t>Completitud de intervalo inicio/fin
Enero–junio 2026
Calculado desde fuente
AT. DIARIAS | LICENCIAS / FIN DE LICENCIA
Porcentaje de actuaciones con ambas fechas interpretables.</t>
        </r>
      </text>
    </comment>
    <comment ref="F34" authorId="0">
      <text>
        <r>
          <rPr>
            <sz val="8"/>
            <color indexed="81"/>
            <rFont val="Tahoma"/>
            <family val="2"/>
          </rPr>
          <t>Completitud de campo documentación
Enero–junio 2026
Calculado desde fuente
AT. DIARIAS | DOCUMENTACION
Campo presente; no demuestra aprobación ni validez de certificado.</t>
        </r>
      </text>
    </comment>
    <comment ref="F35" authorId="0">
      <text>
        <r>
          <rPr>
            <sz val="8"/>
            <color indexed="81"/>
            <rFont val="Tahoma"/>
            <family val="2"/>
          </rPr>
          <t>Eventos registrados en 1S
Enero–junio 2026
Calculado desde fuente
Control Completo | Registro Accidentes | FECHA
Incluye Tandanor y otros empleadores.</t>
        </r>
      </text>
    </comment>
    <comment ref="F36" authorId="0">
      <text>
        <r>
          <rPr>
            <sz val="8"/>
            <color indexed="81"/>
            <rFont val="Tahoma"/>
            <family val="2"/>
          </rPr>
          <t>Derivación ART consignada
Enero–junio 2026
Calculado desde fuente
Registro Accidentes | ART
Registro de derivación; no acredita aceptación ART.</t>
        </r>
      </text>
    </comment>
    <comment ref="F37" authorId="0">
      <text>
        <r>
          <rPr>
            <sz val="8"/>
            <color indexed="81"/>
            <rFont val="Tahoma"/>
            <family val="2"/>
          </rPr>
          <t>Acciones correctivas documentadas
Enero–junio 2026
Calculado desde fuente
Registro Accidentes | ACCION CORRECTIVA
Completitud documental; no ausencia demostrada de acciones.</t>
        </r>
      </text>
    </comment>
    <comment ref="F38" authorId="0">
      <text>
        <r>
          <rPr>
            <sz val="8"/>
            <color indexed="81"/>
            <rFont val="Tahoma"/>
            <family val="2"/>
          </rPr>
          <t>Marcación SI en nómina antigripal
Campaña 2026 | último padrón sin fechas
Cobertura registrada; cierre pendiente
Control Completo | Antigripal 2026
Porcentaje de SI en nómina; no cobertura histórica final.</t>
        </r>
      </text>
    </comment>
    <comment ref="F39" authorId="0">
      <text>
        <r>
          <rPr>
            <sz val="8"/>
            <color indexed="81"/>
            <rFont val="Tahoma"/>
            <family val="2"/>
          </rPr>
          <t>Aplicaciones fechadas del registro parcial
Enero–junio 2026
Calculado desde fuente
Control Completo | vacunacion
No sumar a los SI de nómina; registro parcial.</t>
        </r>
      </text>
    </comment>
    <comment ref="F40" authorId="0">
      <text>
        <r>
          <rPr>
            <sz val="8"/>
            <color indexed="81"/>
            <rFont val="Tahoma"/>
            <family val="2"/>
          </rPr>
          <t>Cobertura antigripal final al 30/06
Enero–junio 2026
Pendiente de conciliación
Nómina + registro + PDF
Personas únicas vacunadas en 1S / población elegible al corte.</t>
        </r>
      </text>
    </comment>
    <comment ref="F41" authorId="0">
      <text>
        <r>
          <rPr>
            <sz val="8"/>
            <color indexed="81"/>
            <rFont val="Tahoma"/>
            <family val="2"/>
          </rPr>
          <t>Botiquines plenamente operativos declarados
Último estado del inventario
Declarado; corte heterogéneo
Control Completo | inventarios
Operativo según estado; requiere prueba funcional y fecha.</t>
        </r>
      </text>
    </comment>
    <comment ref="F42" authorId="0">
      <text>
        <r>
          <rPr>
            <sz val="8"/>
            <color indexed="81"/>
            <rFont val="Tahoma"/>
            <family val="2"/>
          </rPr>
          <t>DEA operativos declarados
Último estado del inventario
Declarado; corte heterogéneo
Control Completo | inventarios
Operativo según estado; requiere prueba funcional y fecha.</t>
        </r>
      </text>
    </comment>
    <comment ref="F43" authorId="0">
      <text>
        <r>
          <rPr>
            <sz val="8"/>
            <color indexed="81"/>
            <rFont val="Tahoma"/>
            <family val="2"/>
          </rPr>
          <t>Oxígeno operativo declarado
Último estado del inventario
Declarado; corte heterogéneo
Control Completo | inventarios
Operativo según estado; requiere prueba funcional y fecha.</t>
        </r>
      </text>
    </comment>
    <comment ref="F44" authorId="0">
      <text>
        <r>
          <rPr>
            <sz val="8"/>
            <color indexed="81"/>
            <rFont val="Tahoma"/>
            <family val="2"/>
          </rPr>
          <t xml:space="preserve">Activos no operativos registrados
Último estado del inventario
Declarado; corte heterogéneo
Botiquines + DEA + Oxigeno
</t>
        </r>
      </text>
    </comment>
    <comment ref="F45" authorId="0">
      <text>
        <r>
          <rPr>
            <sz val="8"/>
            <color indexed="81"/>
            <rFont val="Tahoma"/>
            <family val="2"/>
          </rPr>
          <t>Botiquines con última revisión fechada en 1S
Enero–junio 2026
Evidencia de última fecha; no cumplimiento
BOTIQUINES | Fecha ul Revicion
No cuenta recorridos ni todas las revisiones realizadas.</t>
        </r>
      </text>
    </comment>
    <comment ref="F46" authorId="0">
      <text>
        <r>
          <rPr>
            <sz val="8"/>
            <color indexed="81"/>
            <rFont val="Tahoma"/>
            <family val="2"/>
          </rPr>
          <t>Cumplimiento del plan de control de equipos
Enero–junio 2026
Pendiente de agenda e historial
Plan de controles no aportado
Controles realizados en plazo / controles programados.</t>
        </r>
      </text>
    </comment>
    <comment ref="F47" authorId="0">
      <text>
        <r>
          <rPr>
            <sz val="8"/>
            <color indexed="81"/>
            <rFont val="Tahoma"/>
            <family val="2"/>
          </rPr>
          <t xml:space="preserve">Líneas de stock bajo mínimo
Stock sin fecha de corte
Recalculado desde cantidades
Medicaciones en stock | D:E
</t>
        </r>
      </text>
    </comment>
    <comment ref="F48" authorId="0">
      <text>
        <r>
          <rPr>
            <sz val="8"/>
            <color indexed="81"/>
            <rFont val="Tahoma"/>
            <family val="2"/>
          </rPr>
          <t>Líneas que cumplen stock mínimo
Stock sin fecha de corte
Recalculado desde cantidades
Medicaciones en stock | D:E
No mide disponibilidad de medicamentos críticos por puesto ni histórica.</t>
        </r>
      </text>
    </comment>
    <comment ref="F49" authorId="0">
      <text>
        <r>
          <rPr>
            <sz val="8"/>
            <color indexed="81"/>
            <rFont val="Tahoma"/>
            <family val="2"/>
          </rPr>
          <t>Consumo mensual con unidad y año confirmados
Enero–junio 2026
Año de mayo y cinco meses pendientes
Medicacion Usadas Mens
Meses con consumo completo y comparable / seis meses.</t>
        </r>
      </text>
    </comment>
    <comment ref="F50" authorId="0">
      <text>
        <r>
          <rPr>
            <sz val="8"/>
            <color indexed="81"/>
            <rFont val="Tahoma"/>
            <family val="2"/>
          </rPr>
          <t>Actividades fechadas registradas
Enero–junio 2026
Calculado desde fuente
Control Completo | Capacitaciones
Fecha de 1S presente; asistencia no documentada.</t>
        </r>
      </text>
    </comment>
    <comment ref="F51" authorId="0">
      <text>
        <r>
          <rPr>
            <sz val="8"/>
            <color indexed="81"/>
            <rFont val="Tahoma"/>
            <family val="2"/>
          </rPr>
          <t>Cumplimiento del plan de capacitación
Enero–junio 2026
Pendiente de plan y resultados
Capacitaciones | plan incompleto
Cursos realizados / cursos programados para 1S.</t>
        </r>
      </text>
    </comment>
    <comment ref="F52" authorId="0">
      <text>
        <r>
          <rPr>
            <sz val="8"/>
            <color indexed="81"/>
            <rFont val="Tahoma"/>
            <family val="2"/>
          </rPr>
          <t>Cobertura de capacitación por población objetivo
Enero–junio 2026
Pendiente de asistencia y padrón
Capacitaciones | asistencia vacía
Personas únicas capacitadas / población objetivo por tema.</t>
        </r>
      </text>
    </comment>
    <comment ref="F53" authorId="0">
      <text>
        <r>
          <rPr>
            <sz val="8"/>
            <color indexed="81"/>
            <rFont val="Tahoma"/>
            <family val="2"/>
          </rPr>
          <t xml:space="preserve">Integrantes del servicio registrados
Última dotación sin corte
Registro de capacidad
Control Completo | Personal
</t>
        </r>
      </text>
    </comment>
    <comment ref="F54" authorId="0">
      <text>
        <r>
          <rPr>
            <sz val="8"/>
            <color indexed="81"/>
            <rFont val="Tahoma"/>
            <family val="2"/>
          </rPr>
          <t>Vigencia temporal de formación RCP
Enero–junio 2026
Fechas y población elegible pendientes
Personal | Capacitación RCP
Personas con certificado vigente al corte / personal obligado a capacitarse.</t>
        </r>
      </text>
    </comment>
    <comment ref="F55" authorId="0">
      <text>
        <r>
          <rPr>
            <sz val="8"/>
            <color indexed="81"/>
            <rFont val="Tahoma"/>
            <family val="2"/>
          </rPr>
          <t>Cumplimiento del plan de recorridos
Enero–junio 2026
Pendiente de registro
Recorridos realizados / recorridos programados.</t>
        </r>
      </text>
    </comment>
    <comment ref="F56" authorId="0">
      <text>
        <r>
          <rPr>
            <sz val="8"/>
            <color indexed="81"/>
            <rFont val="Tahoma"/>
            <family val="2"/>
          </rPr>
          <t>Cierre de hallazgos dentro del plazo
Enero–junio 2026
Pendiente de registro
Hallazgos cerrados en plazo / hallazgos con vencimiento dentro del período.</t>
        </r>
      </text>
    </comment>
    <comment ref="F57" authorId="0">
      <text>
        <r>
          <rPr>
            <sz val="8"/>
            <color indexed="81"/>
            <rFont val="Tahoma"/>
            <family val="2"/>
          </rPr>
          <t>Personas en base de tareas críticas
Segundo semestre | última base ESTOC
Base del nuevo programa
Seguimiento ESTOC
Población de esta base, no cobertura certificada.</t>
        </r>
      </text>
    </comment>
    <comment ref="F58" authorId="0">
      <text>
        <r>
          <rPr>
            <sz val="8"/>
            <color indexed="81"/>
            <rFont val="Tahoma"/>
            <family val="2"/>
          </rPr>
          <t>Proporción de estados APTO cargados
Segundo semestre | última base ESTOC
Estado registrado; no ejecución certificada
Seguimiento ESTOC | APTITUD
No mide estudios realizados ni aptitud vigente.</t>
        </r>
      </text>
    </comment>
    <comment ref="F59" authorId="0">
      <text>
        <r>
          <rPr>
            <sz val="8"/>
            <color indexed="81"/>
            <rFont val="Tahoma"/>
            <family val="2"/>
          </rPr>
          <t>Cobertura de aptitudes vigentes en tareas críticas
Segundo semestre | programa implementado
Pendiente de vigencia y padrón elegible
Seguimiento ESTOC + fuente efectiva
Trabajadores con aptitud vigente por tarea / trabajadores que requieren esa aptitud.</t>
        </r>
      </text>
    </comment>
    <comment ref="F60" authorId="0">
      <text>
        <r>
          <rPr>
            <sz val="8"/>
            <color indexed="81"/>
            <rFont val="Tahoma"/>
            <family val="2"/>
          </rPr>
          <t>Comprimidos consignados en actividad
Enero–junio 2026
Registro parcial; no consumo total
AT. DIARIAS | COMPRIMIDOS
Suma de cantidades positivas numéricas; vacíos no equivalen a cero.</t>
        </r>
      </text>
    </comment>
    <comment ref="F61" authorId="0">
      <text>
        <r>
          <rPr>
            <sz val="8"/>
            <color indexed="81"/>
            <rFont val="Tahoma"/>
            <family val="2"/>
          </rPr>
          <t>Inyectables consignados en actividad
Enero–junio 2026
Registro parcial; no consumo total
AT. DIARIAS | INYECTABLES
Suma de cantidades positivas numéricas; vacíos no equivalen a cero.</t>
        </r>
      </text>
    </comment>
    <comment ref="F62" authorId="0">
      <text>
        <r>
          <rPr>
            <sz val="8"/>
            <color indexed="81"/>
            <rFont val="Tahoma"/>
            <family val="2"/>
          </rPr>
          <t>Acción documentada en registros de contratistas
Enero–junio 2026
Calculado desde fuente
CONTRATISTAS | ACCION
Completitud documental; no efectividad terapéutica ni cobertura poblacional.</t>
        </r>
      </text>
    </comment>
  </commentList>
</comments>
</file>

<file path=xl/sharedStrings.xml><?xml version="1.0" encoding="utf-8"?>
<sst xmlns="http://schemas.openxmlformats.org/spreadsheetml/2006/main" count="4200" uniqueCount="1243">
  <si>
    <t>GESTIÓN INTEGRAL | SERVICIO MÉDICO</t>
  </si>
  <si>
    <t>Resultados enero–junio 2026 · Seguimiento, prevención y respuesta · Aptitudes críticas: mejora implementada en 2S, según confirmación de la responsable.</t>
  </si>
  <si>
    <t>ACTIVIDAD ASISTENCIAL Y ADMINISTRATIVA</t>
  </si>
  <si>
    <t>Registros por FECHA válida, no por etiqueta MES · Médica y enfermería se distinguen de administración · Contratistas se informan aparte.</t>
  </si>
  <si>
    <t>Volver al tablero</t>
  </si>
  <si>
    <t>Mes</t>
  </si>
  <si>
    <t>Registros propios</t>
  </si>
  <si>
    <t>Enfermería</t>
  </si>
  <si>
    <t>Médica</t>
  </si>
  <si>
    <t>Administrativa</t>
  </si>
  <si>
    <t>Sin clasificar</t>
  </si>
  <si>
    <t>Clínicos propios</t>
  </si>
  <si>
    <t>Duplicados exactos</t>
  </si>
  <si>
    <t>Escenario sin duplicados</t>
  </si>
  <si>
    <t>Identidades distintas*</t>
  </si>
  <si>
    <t>Registros contratistas</t>
  </si>
  <si>
    <t>Total de ambas bases</t>
  </si>
  <si>
    <t>MES discordante</t>
  </si>
  <si>
    <t>Enero</t>
  </si>
  <si>
    <t>Febrero</t>
  </si>
  <si>
    <t>Marzo</t>
  </si>
  <si>
    <t>Abril</t>
  </si>
  <si>
    <t>Mayo</t>
  </si>
  <si>
    <t>Junio</t>
  </si>
  <si>
    <t>1S2026</t>
  </si>
  <si>
    <t>Interpretación: estos son registros de trabajo, no consultas ni licencias únicas. La actividad propia incluye administración. Contratistas pertenece a otra base y población; sumarlas sólo permite informar volumen total de registros, no personas únicas. *Identidades deduplicadas por legajo/nombre disponible; no es cobertura certificada de la dotación. El escenario sin duplicados requiere revisión de 7 filas. No se calcula productividad por hora profesional porque no hay horas de dedicación.</t>
  </si>
  <si>
    <t>AUSENTISMO | DIMENSIÓN ORGANIZACIONAL</t>
  </si>
  <si>
    <t>RRHH: seis meses conciliados con los índices mensuales · BP ya integra enfermedad · Tasas semestrales ponderadas por horas.</t>
  </si>
  <si>
    <t>Hs teóricas</t>
  </si>
  <si>
    <t>Enfermedad (h)</t>
  </si>
  <si>
    <t>Accidentes/ART (h)</t>
  </si>
  <si>
    <t>Médicas (h)</t>
  </si>
  <si>
    <t>Compensatorios (h)</t>
  </si>
  <si>
    <t>Otras ausencias (h)</t>
  </si>
  <si>
    <t>Total sin vac. (h)</t>
  </si>
  <si>
    <t>Tasa médica</t>
  </si>
  <si>
    <t>Tasa enfermedad</t>
  </si>
  <si>
    <t>Tasa ART</t>
  </si>
  <si>
    <t>Dotación</t>
  </si>
  <si>
    <t>Vacaciones (h)</t>
  </si>
  <si>
    <t>Tasa total sin vac.</t>
  </si>
  <si>
    <t>Tasa médica 2025</t>
  </si>
  <si>
    <t>El ausentismo mide un resultado de la organización, influido por múltiples causas. No equivale a desempeño del Servicio Médico. Se conservan controles semestrales: 400.632 horas teóricas, 18.895 horas médicas (4,72%). No atribuir causalidad laboral desde estos porcentajes.</t>
  </si>
  <si>
    <t>FOCOS SECTORIALES</t>
  </si>
  <si>
    <t>Volumen y tasa: apoyan la intervención conjunta con RRHH y HyS, sin inferir causalidad laboral.</t>
  </si>
  <si>
    <t>Sector</t>
  </si>
  <si>
    <t>Hs médicas</t>
  </si>
  <si>
    <t>ART (h)</t>
  </si>
  <si>
    <t>Dotación media</t>
  </si>
  <si>
    <t>Nombres fuente</t>
  </si>
  <si>
    <t>Mecanica</t>
  </si>
  <si>
    <t>Depto. Mecánica</t>
  </si>
  <si>
    <t>Casco Y Acero</t>
  </si>
  <si>
    <t>Depto. Casco y Acero</t>
  </si>
  <si>
    <t>Cobreria</t>
  </si>
  <si>
    <t>Depto. Cobrería</t>
  </si>
  <si>
    <t>Carenado</t>
  </si>
  <si>
    <t>Dpto. Carenado</t>
  </si>
  <si>
    <t>Mantenimiento</t>
  </si>
  <si>
    <t>Maniobras Y Transportes</t>
  </si>
  <si>
    <t>Depto. Maniobras y Transportes | Maniobras y Transportes</t>
  </si>
  <si>
    <t>Syncrolift</t>
  </si>
  <si>
    <t>Depto. Syncrolift</t>
  </si>
  <si>
    <t>Control Patrimonial</t>
  </si>
  <si>
    <t>Servicio Comedor</t>
  </si>
  <si>
    <t>Electricidad</t>
  </si>
  <si>
    <t>Depto. Electricidad</t>
  </si>
  <si>
    <t>Mesa De Entrada</t>
  </si>
  <si>
    <t>Mesa de Entrada</t>
  </si>
  <si>
    <t>Habitabilidad</t>
  </si>
  <si>
    <t>Depto. Habitabilidad</t>
  </si>
  <si>
    <t>De Compras Y Contrataciones</t>
  </si>
  <si>
    <t>Gcia de Compras y Contrataciones</t>
  </si>
  <si>
    <t>Intendencia</t>
  </si>
  <si>
    <t>Relaciones Institucionales</t>
  </si>
  <si>
    <t>Depto. Relaciones Institucionales | Relaciones Institucionales</t>
  </si>
  <si>
    <t>Higiene Y Seguridad Industrial</t>
  </si>
  <si>
    <t>Depto. Higiene y Seguridad Industrial | Higiene y Seguridad Industrial</t>
  </si>
  <si>
    <t>Jefatura De Proyectos</t>
  </si>
  <si>
    <t>Jefatura de Proyectos</t>
  </si>
  <si>
    <t>Jefatura De Reparaciones</t>
  </si>
  <si>
    <t>Jefatura de Reparaciones</t>
  </si>
  <si>
    <t>De Produccion</t>
  </si>
  <si>
    <t>Gcia de Producción</t>
  </si>
  <si>
    <t>Capital Humano</t>
  </si>
  <si>
    <t>Depto. Capital Humano</t>
  </si>
  <si>
    <t>Bomberos</t>
  </si>
  <si>
    <t>Depto. Bomberos</t>
  </si>
  <si>
    <t>Administracion Y Finanzas</t>
  </si>
  <si>
    <t>Administración y Finanzas | Gcia. Administración y Finanzas</t>
  </si>
  <si>
    <t>Almacenes</t>
  </si>
  <si>
    <t>Depto. Almacenes</t>
  </si>
  <si>
    <t>Jefatura De Buques</t>
  </si>
  <si>
    <t>Jefatura de Buques</t>
  </si>
  <si>
    <t>Control De Calidad</t>
  </si>
  <si>
    <t>Control de Calidad | Depto. Control de Calidad</t>
  </si>
  <si>
    <t>, Bomberos</t>
  </si>
  <si>
    <t>Depto, Bomberos</t>
  </si>
  <si>
    <t>Comercial</t>
  </si>
  <si>
    <t>Dirección Comercial | Gerencia Comercial</t>
  </si>
  <si>
    <t>Control De Contratistas</t>
  </si>
  <si>
    <t>Control de Contratistas</t>
  </si>
  <si>
    <t>Servicio Medico</t>
  </si>
  <si>
    <t>Servicio Médico</t>
  </si>
  <si>
    <t>Unidad De Auditoria Interna</t>
  </si>
  <si>
    <t>Unidad de Auditoria Interna</t>
  </si>
  <si>
    <t>Directorio</t>
  </si>
  <si>
    <t>Direccion De Administracion</t>
  </si>
  <si>
    <t>Dirección de Administración</t>
  </si>
  <si>
    <t>Asuntos Legales</t>
  </si>
  <si>
    <t>Asuntos legales | Gcia. Asuntos legales</t>
  </si>
  <si>
    <t>Control De Gestion</t>
  </si>
  <si>
    <t>Depto. Control de Gestión</t>
  </si>
  <si>
    <t>Desarrollo Tecnologico</t>
  </si>
  <si>
    <t>Depto. Desarrollo Tecnológico</t>
  </si>
  <si>
    <t>De Ingenieria</t>
  </si>
  <si>
    <t>Gcia de Ingenieria</t>
  </si>
  <si>
    <t>Compras Y Contrataciones</t>
  </si>
  <si>
    <t>Compras y Contrataciones</t>
  </si>
  <si>
    <t>Metalmecanica Y Gestion De Materi</t>
  </si>
  <si>
    <t>Depto. Metalmecánica y Gestión de Materi</t>
  </si>
  <si>
    <t>Gestion De Calidad</t>
  </si>
  <si>
    <t>Gestión de Calidad</t>
  </si>
  <si>
    <t>Direccion De Operaciones</t>
  </si>
  <si>
    <t>Dirección de Operaciones</t>
  </si>
  <si>
    <t>Coordinacion De Operaciones</t>
  </si>
  <si>
    <t>Coordinación de Operaciones</t>
  </si>
  <si>
    <t>Direccion General</t>
  </si>
  <si>
    <t>Dirección General</t>
  </si>
  <si>
    <t>Planificacion Y Mantenimiento</t>
  </si>
  <si>
    <t>Planificación y Mantenimiento</t>
  </si>
  <si>
    <t>BASE SECTORIAL | SEIS ÍNDICES</t>
  </si>
  <si>
    <t>Agregado mensual por régimen y sector. Horas teóricas = dotación × días hábiles RRHH × 8.</t>
  </si>
  <si>
    <t>Régimen</t>
  </si>
  <si>
    <t>Sector fuente</t>
  </si>
  <si>
    <t>Sector consolidado</t>
  </si>
  <si>
    <t>Archivo</t>
  </si>
  <si>
    <t>Referencia</t>
  </si>
  <si>
    <t>Convenio</t>
  </si>
  <si>
    <t>CONTROL PATRIMONIAL</t>
  </si>
  <si>
    <t>Indice Enero 2026.xlsx</t>
  </si>
  <si>
    <t>DISTRIBUCION DE HORAS C!B7:B13</t>
  </si>
  <si>
    <t>CONTROL DE CONTRATISTAS</t>
  </si>
  <si>
    <t>DISTRIBUCION DE HORAS C!C7:C13</t>
  </si>
  <si>
    <t>ALMACENES</t>
  </si>
  <si>
    <t>DISTRIBUCION DE HORAS C!D7:D13</t>
  </si>
  <si>
    <t>, BOMBEROS</t>
  </si>
  <si>
    <t>DISTRIBUCION DE HORAS C!E7:E13</t>
  </si>
  <si>
    <t>CARENADO</t>
  </si>
  <si>
    <t>DISTRIBUCION DE HORAS C!F7:F13</t>
  </si>
  <si>
    <t>CASCO Y ACERO</t>
  </si>
  <si>
    <t>DISTRIBUCION DE HORAS C!G7:G13</t>
  </si>
  <si>
    <t>HABITABILIDAD</t>
  </si>
  <si>
    <t>DISTRIBUCION DE HORAS C!H7:H13</t>
  </si>
  <si>
    <t>COBRERIA</t>
  </si>
  <si>
    <t>DISTRIBUCION DE HORAS C!I7:I13</t>
  </si>
  <si>
    <t>CONTROL DE GESTION</t>
  </si>
  <si>
    <t>DISTRIBUCION DE HORAS C!J7:J13</t>
  </si>
  <si>
    <t>CAPITAL HUMANO</t>
  </si>
  <si>
    <t>DISTRIBUCION DE HORAS C!K7:K13</t>
  </si>
  <si>
    <t>ELECTRICIDAD</t>
  </si>
  <si>
    <t>DISTRIBUCION DE HORAS C!L7:L13</t>
  </si>
  <si>
    <t>Depto. Control de Calidad</t>
  </si>
  <si>
    <t>CONTROL DE CALIDAD</t>
  </si>
  <si>
    <t>DISTRIBUCION DE HORAS C!M7:M13</t>
  </si>
  <si>
    <t>GESTION DE CALIDAD</t>
  </si>
  <si>
    <t>DISTRIBUCION DE HORAS C!N7:N13</t>
  </si>
  <si>
    <t>Depto. Maniobras y Transportes</t>
  </si>
  <si>
    <t>MANIOBRAS Y TRANSPORTES</t>
  </si>
  <si>
    <t>DISTRIBUCION DE HORAS C!O7:O13</t>
  </si>
  <si>
    <t>MECANICA</t>
  </si>
  <si>
    <t>DISTRIBUCION DE HORAS C!P7:P13</t>
  </si>
  <si>
    <t>Depto. Relaciones Institucionales</t>
  </si>
  <si>
    <t>RELACIONES INSTITUCIONALES</t>
  </si>
  <si>
    <t>DISTRIBUCION DE HORAS C!Q7:Q13</t>
  </si>
  <si>
    <t>Depto. Higiene y Seguridad Industrial</t>
  </si>
  <si>
    <t>HIGIENE Y SEGURIDAD INDUSTRIAL</t>
  </si>
  <si>
    <t>DISTRIBUCION DE HORAS C!R7:R13</t>
  </si>
  <si>
    <t>SYNCROLIFT</t>
  </si>
  <si>
    <t>DISTRIBUCION DE HORAS C!S7:S13</t>
  </si>
  <si>
    <t>Dirección Comercial</t>
  </si>
  <si>
    <t>COMERCIAL</t>
  </si>
  <si>
    <t>DISTRIBUCION DE HORAS C!T7:T13</t>
  </si>
  <si>
    <t>DIRECTORIO</t>
  </si>
  <si>
    <t>DISTRIBUCION DE HORAS C!U7:U13</t>
  </si>
  <si>
    <t>DIRECCION DE OPERACIONES</t>
  </si>
  <si>
    <t>DISTRIBUCION DE HORAS C!V7:V13</t>
  </si>
  <si>
    <t>Gcia. Administración y Finanzas</t>
  </si>
  <si>
    <t>ADMINISTRACION Y FINANZAS</t>
  </si>
  <si>
    <t>DISTRIBUCION DE HORAS C!W7:W13</t>
  </si>
  <si>
    <t>Gcia. Asuntos legales</t>
  </si>
  <si>
    <t>ASUNTOS LEGALES</t>
  </si>
  <si>
    <t>DISTRIBUCION DE HORAS C!X7:X13</t>
  </si>
  <si>
    <t>DE COMPRAS Y CONTRATACIONES</t>
  </si>
  <si>
    <t>DISTRIBUCION DE HORAS C!Y7:Y13</t>
  </si>
  <si>
    <t>DE INGENIERIA</t>
  </si>
  <si>
    <t>DISTRIBUCION DE HORAS C!Z7:Z13</t>
  </si>
  <si>
    <t>DE PRODUCCION</t>
  </si>
  <si>
    <t>DISTRIBUCION DE HORAS C!AA7:AA13</t>
  </si>
  <si>
    <t>INTENDENCIA</t>
  </si>
  <si>
    <t>DISTRIBUCION DE HORAS C!AB7:AB13</t>
  </si>
  <si>
    <t>JEFATURA DE PROYECTOS</t>
  </si>
  <si>
    <t>DISTRIBUCION DE HORAS C!AC7:AC13</t>
  </si>
  <si>
    <t>JEFATURA DE REPARACIONES</t>
  </si>
  <si>
    <t>DISTRIBUCION DE HORAS C!AD7:AD13</t>
  </si>
  <si>
    <t>MANTENIMIENTO</t>
  </si>
  <si>
    <t>DISTRIBUCION DE HORAS C!AE7:AE13</t>
  </si>
  <si>
    <t>MESA DE ENTRADA</t>
  </si>
  <si>
    <t>DISTRIBUCION DE HORAS C!AF7:AF13</t>
  </si>
  <si>
    <t>SERVICIO COMEDOR</t>
  </si>
  <si>
    <t>DISTRIBUCION DE HORAS C!AG7:AG13</t>
  </si>
  <si>
    <t>SERVICIO MEDICO</t>
  </si>
  <si>
    <t>DISTRIBUCION DE HORAS C!AH7:AH13</t>
  </si>
  <si>
    <t>Fuera de convenio</t>
  </si>
  <si>
    <t>COORDINACION DE OPERACIONES</t>
  </si>
  <si>
    <t>DISTRIBUCION DE HORAS FC!B7:B13</t>
  </si>
  <si>
    <t>DISTRIBUCION DE HORAS FC!C7:C13</t>
  </si>
  <si>
    <t>DISTRIBUCION DE HORAS FC!D7:D13</t>
  </si>
  <si>
    <t>DISTRIBUCION DE HORAS FC!E7:E13</t>
  </si>
  <si>
    <t>DISTRIBUCION DE HORAS FC!F7:F13</t>
  </si>
  <si>
    <t>DESARROLLO TECNOLOGICO</t>
  </si>
  <si>
    <t>DISTRIBUCION DE HORAS FC!G7:G13</t>
  </si>
  <si>
    <t>DISTRIBUCION DE HORAS FC!H7:H13</t>
  </si>
  <si>
    <t>DISTRIBUCION DE HORAS FC!I7:I13</t>
  </si>
  <si>
    <t>METALMECANICA Y GESTION DE MATERI</t>
  </si>
  <si>
    <t>DISTRIBUCION DE HORAS FC!J7:J13</t>
  </si>
  <si>
    <t>DISTRIBUCION DE HORAS FC!K7:K13</t>
  </si>
  <si>
    <t>DISTRIBUCION DE HORAS FC!L7:L13</t>
  </si>
  <si>
    <t>DISTRIBUCION DE HORAS FC!M7:M13</t>
  </si>
  <si>
    <t>DIRECCION DE ADMINISTRACION</t>
  </si>
  <si>
    <t>DISTRIBUCION DE HORAS FC!N7:N13</t>
  </si>
  <si>
    <t>DISTRIBUCION DE HORAS FC!O7:O13</t>
  </si>
  <si>
    <t>DIRECCION GENERAL</t>
  </si>
  <si>
    <t>DISTRIBUCION DE HORAS FC!P7:P13</t>
  </si>
  <si>
    <t>DISTRIBUCION DE HORAS FC!Q7:Q13</t>
  </si>
  <si>
    <t>DISTRIBUCION DE HORAS FC!R7:R13</t>
  </si>
  <si>
    <t>DISTRIBUCION DE HORAS FC!S7:S13</t>
  </si>
  <si>
    <t>DISTRIBUCION DE HORAS FC!T7:T13</t>
  </si>
  <si>
    <t>DISTRIBUCION DE HORAS FC!U7:U13</t>
  </si>
  <si>
    <t>DISTRIBUCION DE HORAS FC!V7:V13</t>
  </si>
  <si>
    <t>DISTRIBUCION DE HORAS FC!W7:W13</t>
  </si>
  <si>
    <t>PLANIFICACION Y MANTENIMIENTO</t>
  </si>
  <si>
    <t>DISTRIBUCION DE HORAS FC!X7:X13</t>
  </si>
  <si>
    <t>DISTRIBUCION DE HORAS FC!Y7:Y13</t>
  </si>
  <si>
    <t>UNIDAD DE AUDITORIA INTERNA</t>
  </si>
  <si>
    <t>DISTRIBUCION DE HORAS FC!Z7:Z13</t>
  </si>
  <si>
    <t>Indice Febrero 2026.xlsx</t>
  </si>
  <si>
    <t>Administración y Finanzas</t>
  </si>
  <si>
    <t>Indice abril 2026.xlsx</t>
  </si>
  <si>
    <t>Asuntos legales</t>
  </si>
  <si>
    <t>COMPRAS Y CONTRATACIONES</t>
  </si>
  <si>
    <t>Control de Calidad</t>
  </si>
  <si>
    <t>BOMBEROS</t>
  </si>
  <si>
    <t>Higiene y Seguridad Industrial</t>
  </si>
  <si>
    <t>Maniobras y Transportes</t>
  </si>
  <si>
    <t>Indice junio 2026.xlsx</t>
  </si>
  <si>
    <t>Gerencia Comercial</t>
  </si>
  <si>
    <t>JEFATURA DE BUQUES</t>
  </si>
  <si>
    <t>Indice marzo 2026.xlsx</t>
  </si>
  <si>
    <t>Indice mayo 2026.xlsx</t>
  </si>
  <si>
    <t>BP | SEGUIMIENTO Y FLUJO DE CASOS</t>
  </si>
  <si>
    <t>Episodios administrativos por persona e intervalos de fechas · Alto volumen de registros no implica casos clínicos distintos · Estado inferido al 30/06.</t>
  </si>
  <si>
    <t>Activos al inicio</t>
  </si>
  <si>
    <t>Inicios del mes</t>
  </si>
  <si>
    <t>Altas registradas</t>
  </si>
  <si>
    <t>Activos al cierre</t>
  </si>
  <si>
    <t>Personas activas</t>
  </si>
  <si>
    <t>Episodios presentes</t>
  </si>
  <si>
    <t>Control del balance</t>
  </si>
  <si>
    <t>32 personas con presencia en 1S; 8 episodios de arrastre, 30 inicios y 24 altas dentro del semestre. El balance es administrativo. La fecha de alta documenta cierre de ese intervalo; no demuestra retorno al mismo puesto ni efectividad clínica.</t>
  </si>
  <si>
    <t>Documentación</t>
  </si>
  <si>
    <t>Filas</t>
  </si>
  <si>
    <t>Universo</t>
  </si>
  <si>
    <t>Interpretación</t>
  </si>
  <si>
    <t>Con última consulta válida</t>
  </si>
  <si>
    <t>Campo presente; no demuestra cumplimiento de todos los controles.</t>
  </si>
  <si>
    <t>Última consulta consignada dentro de 1S</t>
  </si>
  <si>
    <t>La fuente conserva la última fecha, no una historia completa de seguimientos.</t>
  </si>
  <si>
    <t>Última consulta posterior al cierre</t>
  </si>
  <si>
    <t>Actualizaron casos en 2S; no es una tasa de incumplimiento de 1S.</t>
  </si>
  <si>
    <t>Con próxima consulta válida</t>
  </si>
  <si>
    <t>La agenda programada no equivale a consulta realizada.</t>
  </si>
  <si>
    <t>El tablero anterior consolidaba 34 casos BP. Esta base registra 39 filas, 38 intervalos administrativos y 32 personas: son unidades diferentes. La categorización de diagnósticos y la tasa BP requieren criterio clínico, calendario de trabajo y definición del día de alta. Se conserva el seguimiento agregado sin exponer diagnósticos.</t>
  </si>
  <si>
    <t>ART | SEGUIMIENTO Y FLUJO DE CASOS</t>
  </si>
  <si>
    <t>30 personas con presencia en 1S; 4 episodios de arrastre, 28 inicios y 26 altas dentro del semestre. El balance es administrativo. La fecha de alta documenta cierre de ese intervalo; no demuestra retorno al mismo puesto ni efectividad clínica.</t>
  </si>
  <si>
    <t>Contingencia de fuente</t>
  </si>
  <si>
    <t>Inicios 1S</t>
  </si>
  <si>
    <t>Nota</t>
  </si>
  <si>
    <t>AT</t>
  </si>
  <si>
    <t>AT/AI/EP según planilla; validar clasificación y aceptación.</t>
  </si>
  <si>
    <t>AI</t>
  </si>
  <si>
    <t>EP</t>
  </si>
  <si>
    <t>13 inicios tienen texto de rechazo en observaciones del archivo actual. No se conoce la fecha de decisión ni la resolución formal. Registro Accidentes y ART no tienen idéntica población o criterio; no se suman ni se fuerzan a coincidir.</t>
  </si>
  <si>
    <t>LICENCIAS | DOCUMENTACIÓN Y CALIDAD</t>
  </si>
  <si>
    <t>Son actuaciones con campos de licencia, no licencias únicas · No sustituye las horas de RRHH.</t>
  </si>
  <si>
    <t>Filas con campos licencia</t>
  </si>
  <si>
    <t>Días positivos válidos</t>
  </si>
  <si>
    <t>Inicio y fin completos</t>
  </si>
  <si>
    <t>Documentación presente</t>
  </si>
  <si>
    <t>1694 actuaciones con algún campo de licencia; 614 con intervalo completo. Hay 566 intervalos completos distintos y 48 repeticiones. No se suman días como pérdida laboral: existen actuaciones repetidas, fracciones horarias y campos heterogéneos.</t>
  </si>
  <si>
    <t>ACCIDENTES | ATENCIÓN Y DOCUMENTACIÓN</t>
  </si>
  <si>
    <t>23 eventos fechados en 1S; incluye personal Tandanor y otras empresas · Registro Accidentes no equivale a casos ART.</t>
  </si>
  <si>
    <t>Eventos</t>
  </si>
  <si>
    <t>Tandanor</t>
  </si>
  <si>
    <t>Otros empleadores</t>
  </si>
  <si>
    <t>Derivación ART consignada</t>
  </si>
  <si>
    <t>El registro informa 15 eventos Tandanor y 8 de otros empleadores, y 15 derivaciones ART. Hay 3 eventos con baja consignada y 19 sin dato de baja. No hay una clasificación estructurada laboral / in itinere. Estos datos no permiten calcular frecuencia o gravedad de accidentes con exposición y población homogéneas.</t>
  </si>
  <si>
    <t>Agrupación de tipo registrado</t>
  </si>
  <si>
    <t>Uso</t>
  </si>
  <si>
    <t>Cortes</t>
  </si>
  <si>
    <t>Descripción del registro; no clasificación causal ni validación clínica.</t>
  </si>
  <si>
    <t>Traumatismos/contusiones</t>
  </si>
  <si>
    <t>Distensión/movimiento</t>
  </si>
  <si>
    <t>Cuerpo extraño</t>
  </si>
  <si>
    <t>Quemaduras</t>
  </si>
  <si>
    <t>Caídas</t>
  </si>
  <si>
    <t>Gestión documental: las 23 filas de 1S no consignan acción correctiva en la columna correspondiente. Esto indica falta de registro; no demuestra que no se hayan realizado acciones. Agregar responsable, plazo, evidencia y fecha de cierre para medir tratamiento de hallazgos.</t>
  </si>
  <si>
    <t>VACUNACIÓN | CAMPAÑA Y TRAZABILIDAD</t>
  </si>
  <si>
    <t>Campaña antigripal 2026 · Nómina marcada y aplicaciones fechadas son fuentes complementarias; no se suman entre sí.</t>
  </si>
  <si>
    <t>Indicador</t>
  </si>
  <si>
    <t>Valor</t>
  </si>
  <si>
    <t>Denominador / alcance</t>
  </si>
  <si>
    <t>Nómina marcada SI</t>
  </si>
  <si>
    <t>432 personas; sin fecha individual en padrón.</t>
  </si>
  <si>
    <t>Nómina marcada NO</t>
  </si>
  <si>
    <t>No demuestra rechazo ni ausencia de vacuna externa.</t>
  </si>
  <si>
    <t>Aplicaciones fechadas 1S</t>
  </si>
  <si>
    <t>Registro detallado parcial, no padrón completo.</t>
  </si>
  <si>
    <t>Aplicaciones marzo</t>
  </si>
  <si>
    <t>Fecha de aplicación, no etiqueta manual.</t>
  </si>
  <si>
    <t>Aplicaciones abril</t>
  </si>
  <si>
    <t>Cifra previa sin conciliar</t>
  </si>
  <si>
    <t>Se conserva como referencia pendiente, no resultado certificado.</t>
  </si>
  <si>
    <t>Cruce del registro detallado</t>
  </si>
  <si>
    <t>Aplicaciones</t>
  </si>
  <si>
    <t>Acción</t>
  </si>
  <si>
    <t>Coinciden con SI en nómina</t>
  </si>
  <si>
    <t>No sumar a 193; ya están representadas.</t>
  </si>
  <si>
    <t>Cruzan a NO en nómina</t>
  </si>
  <si>
    <t>Conciliar marcación.</t>
  </si>
  <si>
    <t>Legajo sin coincidencia en nómina</t>
  </si>
  <si>
    <t>Verificar población/identificador.</t>
  </si>
  <si>
    <t>Sin legajo en registro</t>
  </si>
  <si>
    <t>Completar identificación en registro fuente.</t>
  </si>
  <si>
    <t>Cobertura registrada en nómina: 193/432 = 44,68%, en el último estado disponible. No es cobertura semestral final certificada. El PDF tiene 18 páginas escaneadas con firmas y fechas manuscritas: OCR/revisión de estructura realizados; falta conciliación nominal completa de aplicaciones y padrón elegible.</t>
  </si>
  <si>
    <t>EQUIPOS | CAPACIDAD DE RESPUESTA</t>
  </si>
  <si>
    <t>Último estado declarado · No equivale a disponibilidad histórica al 30/06 ni a prueba funcional certificada.</t>
  </si>
  <si>
    <t>Grupo</t>
  </si>
  <si>
    <t>Total</t>
  </si>
  <si>
    <t>Operativos sin obs.</t>
  </si>
  <si>
    <t>Con observaciones</t>
  </si>
  <si>
    <t>No operativos</t>
  </si>
  <si>
    <t>% operativo sin obs.</t>
  </si>
  <si>
    <t>Botiquines</t>
  </si>
  <si>
    <t>DEA</t>
  </si>
  <si>
    <t>Oxígeno</t>
  </si>
  <si>
    <t>Brechas: BOT-05 no localizado; BOT-10 requiere reponer alcohol; DEA EQ-003 retirado para reposición; OX-02 no operativo. Hay 47 activos en estas tres categorías y 3 no operativos. El promedio de disponibilidad no pondera criticidad: evaluar ubicación y cobertura de DEA de forma específica.</t>
  </si>
  <si>
    <t>Unidad de traslado</t>
  </si>
  <si>
    <t>Estado registrado</t>
  </si>
  <si>
    <t>Último service</t>
  </si>
  <si>
    <t>Próximo service</t>
  </si>
  <si>
    <t>AMB-01</t>
  </si>
  <si>
    <t>Operativa</t>
  </si>
  <si>
    <t>2025-07-19</t>
  </si>
  <si>
    <t>2026-08-01</t>
  </si>
  <si>
    <t>Estado registrado; validar operatividad y vigencia.</t>
  </si>
  <si>
    <t>AMB-02</t>
  </si>
  <si>
    <t>Sin dato</t>
  </si>
  <si>
    <t>2025-08-10</t>
  </si>
  <si>
    <t>2026-08-11</t>
  </si>
  <si>
    <t>2 ambulancias y 1 carro de paro registrados. Una ambulancia no tiene estado consignado. No se publica una tasa de disponibilidad de ambulancias ni de completitud del carro: faltan checklist y requisitos. Botiquines: 35/36 tienen última revisión consignada dentro de 1S; una fecha es 07/08. No equivale a cumplimiento de recorridos o controles programados.</t>
  </si>
  <si>
    <t>INVENTARIO AGREGADO POR ACTIVO</t>
  </si>
  <si>
    <t>Identificadores de equipos y ubicaciones; no datos personales · Último control y observaciones tal como constan.</t>
  </si>
  <si>
    <t>ID</t>
  </si>
  <si>
    <t>Ubicación</t>
  </si>
  <si>
    <t>Estado</t>
  </si>
  <si>
    <t>Último control</t>
  </si>
  <si>
    <t>Observación</t>
  </si>
  <si>
    <t>BOTIQUINES</t>
  </si>
  <si>
    <t>BOT-01</t>
  </si>
  <si>
    <t>SEGURIDAD PATRIMONIAL TAND</t>
  </si>
  <si>
    <t>Operativo</t>
  </si>
  <si>
    <t>2026-05-15</t>
  </si>
  <si>
    <t>BOTIQUINES!A2</t>
  </si>
  <si>
    <t>BOT-02</t>
  </si>
  <si>
    <t>BOTIQUINES!A3</t>
  </si>
  <si>
    <t>BOT-03</t>
  </si>
  <si>
    <t>FINANZAS</t>
  </si>
  <si>
    <t>BOTIQUINES!A4</t>
  </si>
  <si>
    <t>BOT-04</t>
  </si>
  <si>
    <t>BOTIQUINES!A5</t>
  </si>
  <si>
    <t>BOT-05</t>
  </si>
  <si>
    <t>No operativo</t>
  </si>
  <si>
    <t>BOTIQUINES!A6</t>
  </si>
  <si>
    <t>BOT-06</t>
  </si>
  <si>
    <t>COMERCIALES</t>
  </si>
  <si>
    <t>BOTIQUINES!A7</t>
  </si>
  <si>
    <t>BOT-07</t>
  </si>
  <si>
    <t>PRESIDENCIA</t>
  </si>
  <si>
    <t>2026-05-27</t>
  </si>
  <si>
    <t>BOTIQUINES!A8</t>
  </si>
  <si>
    <t>BOT-08</t>
  </si>
  <si>
    <t>SEGURIDAD INDUSTRIAL</t>
  </si>
  <si>
    <t>2026-05-30</t>
  </si>
  <si>
    <t>BOTIQUINES!A9</t>
  </si>
  <si>
    <t>BOT-09</t>
  </si>
  <si>
    <t>RECURSOS HUMANOS</t>
  </si>
  <si>
    <t>BOTIQUINES!A10</t>
  </si>
  <si>
    <t>BOT-10</t>
  </si>
  <si>
    <t>LEGALES</t>
  </si>
  <si>
    <t>BOTIQUINES!A11</t>
  </si>
  <si>
    <t>BOT-11</t>
  </si>
  <si>
    <t>BOTIQUINES!A12</t>
  </si>
  <si>
    <t>BOT-12</t>
  </si>
  <si>
    <t>BOTIQUINES!A13</t>
  </si>
  <si>
    <t>BOT-13</t>
  </si>
  <si>
    <t>BOTIQUINES!A14</t>
  </si>
  <si>
    <t>BOT-14</t>
  </si>
  <si>
    <t>COMEDOR</t>
  </si>
  <si>
    <t>2026-04-28</t>
  </si>
  <si>
    <t>BOTIQUINES!A15</t>
  </si>
  <si>
    <t>BOT-15</t>
  </si>
  <si>
    <t>BOMBEROS GUARDIA</t>
  </si>
  <si>
    <t>2026-06-04</t>
  </si>
  <si>
    <t>BOTIQUINES!A16</t>
  </si>
  <si>
    <t>BOT-16</t>
  </si>
  <si>
    <t>BOMBEROS OFICINA</t>
  </si>
  <si>
    <t>2026-06-09</t>
  </si>
  <si>
    <t>BOTIQUINES!A17</t>
  </si>
  <si>
    <t>BOT-17</t>
  </si>
  <si>
    <t>2026-05-29</t>
  </si>
  <si>
    <t>BOTIQUINES!A18</t>
  </si>
  <si>
    <t>BOT-18</t>
  </si>
  <si>
    <t>BOTIQUINES!A19</t>
  </si>
  <si>
    <t>BOT-19</t>
  </si>
  <si>
    <t>2026-06-02</t>
  </si>
  <si>
    <t>BOTIQUINES!A20</t>
  </si>
  <si>
    <t>BOT-20</t>
  </si>
  <si>
    <t>CALDERERIA</t>
  </si>
  <si>
    <t>BOTIQUINES!A21</t>
  </si>
  <si>
    <t>BOT-21</t>
  </si>
  <si>
    <t>BOTIQUINES!A22</t>
  </si>
  <si>
    <t>BOT-22</t>
  </si>
  <si>
    <t>TRANSPORTE</t>
  </si>
  <si>
    <t>BOTIQUINES!A23</t>
  </si>
  <si>
    <t>BOT-23</t>
  </si>
  <si>
    <t>2026-05-20</t>
  </si>
  <si>
    <t>BOTIQUINES!A24</t>
  </si>
  <si>
    <t>BOT-24</t>
  </si>
  <si>
    <t>2026-03-02</t>
  </si>
  <si>
    <t>BOTIQUINES!A25</t>
  </si>
  <si>
    <t>BOT-25</t>
  </si>
  <si>
    <t>MECANICA DICC</t>
  </si>
  <si>
    <t>BOTIQUINES!A26</t>
  </si>
  <si>
    <t>BOT-26</t>
  </si>
  <si>
    <t>MECANICA DICC OFICINA</t>
  </si>
  <si>
    <t>BOTIQUINES!A27</t>
  </si>
  <si>
    <t>BOT-27</t>
  </si>
  <si>
    <t>CALIDAD</t>
  </si>
  <si>
    <t>2026-05-14</t>
  </si>
  <si>
    <t>BOTIQUINES!A28</t>
  </si>
  <si>
    <t>BOT-28</t>
  </si>
  <si>
    <t>GERENCIA DE PRODUCCION</t>
  </si>
  <si>
    <t>2026-05-04</t>
  </si>
  <si>
    <t>BOTIQUINES!A29</t>
  </si>
  <si>
    <t>BOT-29</t>
  </si>
  <si>
    <t>COBRERIA DICC</t>
  </si>
  <si>
    <t>2026-06-10</t>
  </si>
  <si>
    <t>BOTIQUINES!A30</t>
  </si>
  <si>
    <t>BOT-30</t>
  </si>
  <si>
    <t>HABITABILIDAD DICC</t>
  </si>
  <si>
    <t>BOTIQUINES!A31</t>
  </si>
  <si>
    <t>BOT-31</t>
  </si>
  <si>
    <t>ELECTRICIDAD DICC</t>
  </si>
  <si>
    <t>2026-06-06</t>
  </si>
  <si>
    <t>BOTIQUINES!A32</t>
  </si>
  <si>
    <t>BOT-32</t>
  </si>
  <si>
    <t>CASCO Y ACERO CONSTR</t>
  </si>
  <si>
    <t>2026-03-16</t>
  </si>
  <si>
    <t>BOTIQUINES!A33</t>
  </si>
  <si>
    <t>BOT-33</t>
  </si>
  <si>
    <t>HABITABILIDAD DICC OFICINA</t>
  </si>
  <si>
    <t>2026-05-07</t>
  </si>
  <si>
    <t>BOTIQUINES!A34</t>
  </si>
  <si>
    <t>BOT-34</t>
  </si>
  <si>
    <t>MECANICA INTERNA</t>
  </si>
  <si>
    <t>2026-06-08</t>
  </si>
  <si>
    <t>BOTIQUINES!A35</t>
  </si>
  <si>
    <t>BOT-35</t>
  </si>
  <si>
    <t>BOTIQUINES!A36</t>
  </si>
  <si>
    <t>BOT-36</t>
  </si>
  <si>
    <t>CASCO Y ACERO PAÑOL</t>
  </si>
  <si>
    <t>2026-08-07</t>
  </si>
  <si>
    <t>BOTIQUINES!A37</t>
  </si>
  <si>
    <t>Dea</t>
  </si>
  <si>
    <t>EQ-001</t>
  </si>
  <si>
    <t>Oficinas 1</t>
  </si>
  <si>
    <t>2026-03-11</t>
  </si>
  <si>
    <t>Dea!A2</t>
  </si>
  <si>
    <t>EQ-002</t>
  </si>
  <si>
    <t>Ambulancia utim</t>
  </si>
  <si>
    <t>2026-05-01</t>
  </si>
  <si>
    <t>Dea!A3</t>
  </si>
  <si>
    <t>EQ-003</t>
  </si>
  <si>
    <t>Storni</t>
  </si>
  <si>
    <t>2026-03-01</t>
  </si>
  <si>
    <t>Dea!A4</t>
  </si>
  <si>
    <t>EQ-004</t>
  </si>
  <si>
    <t>Dea!A5</t>
  </si>
  <si>
    <t>Oxigeno</t>
  </si>
  <si>
    <t>OX-01</t>
  </si>
  <si>
    <t>SHOCK ROOM</t>
  </si>
  <si>
    <t>Sin fecha</t>
  </si>
  <si>
    <t>Oxigeno!A2</t>
  </si>
  <si>
    <t>OX-02</t>
  </si>
  <si>
    <t>Oxigeno!A3</t>
  </si>
  <si>
    <t>OX-03</t>
  </si>
  <si>
    <t>UNIDA DE TRASL</t>
  </si>
  <si>
    <t>Oxigeno!A4</t>
  </si>
  <si>
    <t>OX-04</t>
  </si>
  <si>
    <t>Oxigeno!A5</t>
  </si>
  <si>
    <t>OX-05</t>
  </si>
  <si>
    <t>AMBULANCIA</t>
  </si>
  <si>
    <t>Oxigeno!A6</t>
  </si>
  <si>
    <t>OX-06</t>
  </si>
  <si>
    <t>Oxigeno!A7</t>
  </si>
  <si>
    <t>OX-07</t>
  </si>
  <si>
    <t>Oxigeno!A8</t>
  </si>
  <si>
    <t>MEDICAMENTOS | STOCK Y VENCIMIENTOS</t>
  </si>
  <si>
    <t>Último stock disponible, sin fecha de corte confirmada · La suficiencia se recalcula contra mínimo; no se confía en la etiqueta OK.</t>
  </si>
  <si>
    <t>Alcance</t>
  </si>
  <si>
    <t>Líneas con stock y mínimo numéricos</t>
  </si>
  <si>
    <t>44 líneas; presentaciones distintas.</t>
  </si>
  <si>
    <t>Líneas bajo mínimo</t>
  </si>
  <si>
    <t>2 discrepancias respecto al estado OK.</t>
  </si>
  <si>
    <t>Líneas que alcanzan mínimo</t>
  </si>
  <si>
    <t>42/44 = 95,45%; inventario actual sin corte.</t>
  </si>
  <si>
    <t>Líneas exactamente en el mínimo</t>
  </si>
  <si>
    <t>6 líneas; vigilar reposición según demanda.</t>
  </si>
  <si>
    <t>Vencimientos anteriores al 30/06 en lista</t>
  </si>
  <si>
    <t>Revisión de fechas del stock actual; no certifica que en 1S no hubiera vencidos.</t>
  </si>
  <si>
    <t>Medicamento</t>
  </si>
  <si>
    <t>Presentación</t>
  </si>
  <si>
    <t>Stock</t>
  </si>
  <si>
    <t>Mínimo</t>
  </si>
  <si>
    <t>Brecha</t>
  </si>
  <si>
    <t>Midazolam</t>
  </si>
  <si>
    <t>comprimidos</t>
  </si>
  <si>
    <t>B17:G17</t>
  </si>
  <si>
    <t>Dexalergin</t>
  </si>
  <si>
    <t>B19:G19</t>
  </si>
  <si>
    <t>Gestionar las 2 líneas bajo mínimo y revisar la correspondencia código–medicamento antes de vincular stock y consumo: los códigos no identifican siempre el mismo fármaco entre hojas. No se suman comprimidos, inyectables, gotas y cajas como si fueran una unidad homogénea; no se calcula costo ni días de cobertura sin demanda y precio comparables.</t>
  </si>
  <si>
    <t>Líneas del inventario</t>
  </si>
  <si>
    <t>inyectable</t>
  </si>
  <si>
    <t>gotas</t>
  </si>
  <si>
    <t>cajas</t>
  </si>
  <si>
    <t>MEDICAMENTOS | CONSUMO DOCUMENTADO</t>
  </si>
  <si>
    <t>Sólo mayo, año no consignado en la hoja · Se informa por presentación; no se extrapola a seis meses.</t>
  </si>
  <si>
    <t>Mes consignado</t>
  </si>
  <si>
    <t>Unidades</t>
  </si>
  <si>
    <t>Condición</t>
  </si>
  <si>
    <t>Confirmar año; registro parcial.</t>
  </si>
  <si>
    <t>Medicamento consignado</t>
  </si>
  <si>
    <t>Paracetamol 1 Gr</t>
  </si>
  <si>
    <t>B2:E2</t>
  </si>
  <si>
    <t>blokium</t>
  </si>
  <si>
    <t>B3:E3</t>
  </si>
  <si>
    <t>Omeprazol 40 mg</t>
  </si>
  <si>
    <t>B4:E4</t>
  </si>
  <si>
    <t>Refrianex</t>
  </si>
  <si>
    <t>B5:E5</t>
  </si>
  <si>
    <t>blokium cox</t>
  </si>
  <si>
    <t>B6:E6</t>
  </si>
  <si>
    <t>ibuprofeno 400</t>
  </si>
  <si>
    <t>B7:E7</t>
  </si>
  <si>
    <t>mylanta</t>
  </si>
  <si>
    <t>B8:E8</t>
  </si>
  <si>
    <t>ibuprofeno 600</t>
  </si>
  <si>
    <t>B9:E9</t>
  </si>
  <si>
    <t>Diclofenaco sodico</t>
  </si>
  <si>
    <t>B10:E10</t>
  </si>
  <si>
    <t>keterolaco sl</t>
  </si>
  <si>
    <t>B11:E11</t>
  </si>
  <si>
    <t>reliveran</t>
  </si>
  <si>
    <t>B12:E12</t>
  </si>
  <si>
    <t>buscapina comp</t>
  </si>
  <si>
    <t>B13:E13</t>
  </si>
  <si>
    <t>loratadina</t>
  </si>
  <si>
    <t>B14:E14</t>
  </si>
  <si>
    <t>dicloflex</t>
  </si>
  <si>
    <t>B15:E15</t>
  </si>
  <si>
    <t>cafiaspirina</t>
  </si>
  <si>
    <t>B16:E16</t>
  </si>
  <si>
    <t>amlodipina</t>
  </si>
  <si>
    <t>B17:E17</t>
  </si>
  <si>
    <t>blokium b12</t>
  </si>
  <si>
    <t>B18:E18</t>
  </si>
  <si>
    <t>acemuck</t>
  </si>
  <si>
    <t>B19:E19</t>
  </si>
  <si>
    <t>Sertal compuesto</t>
  </si>
  <si>
    <t>B20:E20</t>
  </si>
  <si>
    <t>blokium forte</t>
  </si>
  <si>
    <t>B21:E21</t>
  </si>
  <si>
    <t>diclofenac potasico</t>
  </si>
  <si>
    <t>B22:E22</t>
  </si>
  <si>
    <t>losartan</t>
  </si>
  <si>
    <t>B23:E23</t>
  </si>
  <si>
    <t>diclofenaco b12</t>
  </si>
  <si>
    <t>Inyectable</t>
  </si>
  <si>
    <t>B24:E24</t>
  </si>
  <si>
    <t>B25:E25</t>
  </si>
  <si>
    <t>dexametazona</t>
  </si>
  <si>
    <t>B26:E26</t>
  </si>
  <si>
    <t>Mayo registra 258 comprimidos y 15 inyectables. AT. DIARIAS consigna cantidades parciales de comprimidos e inyectables, sin catálogo de medicamentos; no equivale al consumo completo ni permite conciliación directa con stock. Definir un catálogo único y movimientos fechados por lote/presentación para cobertura, vencimientos y costo.</t>
  </si>
  <si>
    <t>CAPACITACIÓN | ACTIVIDAD Y PLAN</t>
  </si>
  <si>
    <t>Una capacitación RCP/RPC fechada en 1S; asistencia sin consignar · No afirmar cumplimiento del plan sin agenda aprobada.</t>
  </si>
  <si>
    <t>Evento</t>
  </si>
  <si>
    <t>Fecha</t>
  </si>
  <si>
    <t>Sectores consignados</t>
  </si>
  <si>
    <t>Convocados</t>
  </si>
  <si>
    <t>Asistentes</t>
  </si>
  <si>
    <t>Estado de fuente</t>
  </si>
  <si>
    <t>RCP/RPC</t>
  </si>
  <si>
    <t>20/05/2026</t>
  </si>
  <si>
    <t>Seguridad industrial y bomberos</t>
  </si>
  <si>
    <t>Aprobado</t>
  </si>
  <si>
    <t>Las restantes filas con nombres de cursos, sin fechas ni resultados, son referencias de planificación incompletas. Una actividad registrada no permite calcular cobertura de capacitación ni tasa de aprobación: faltan asistencia, población objetivo y evaluación. La dotación del equipo tiene capacitación RCP declarada pero sin fechas de emisión/vencimiento.</t>
  </si>
  <si>
    <t>Cursos programados</t>
  </si>
  <si>
    <t>Cursos realizados</t>
  </si>
  <si>
    <t>Asistentes únicos</t>
  </si>
  <si>
    <t>Población objetivo</t>
  </si>
  <si>
    <t>Evidencia</t>
  </si>
  <si>
    <t>Completar plan y registro de asistencia.</t>
  </si>
  <si>
    <t>EQUIPO | CAPACIDAD PROFESIONAL</t>
  </si>
  <si>
    <t>Dotación declarada en la última planilla · No calcula productividad por profesional ni horas de cobertura sin dedicación y agenda.</t>
  </si>
  <si>
    <t>Rol</t>
  </si>
  <si>
    <t>Personas registradas</t>
  </si>
  <si>
    <t>Medicina</t>
  </si>
  <si>
    <t>Psicología</t>
  </si>
  <si>
    <t>Turno consignado</t>
  </si>
  <si>
    <t>manana</t>
  </si>
  <si>
    <t>tarde</t>
  </si>
  <si>
    <t>sadofe</t>
  </si>
  <si>
    <t>6 personas registradas: 2 medicina, 3 enfermería y 1 psicología. RCP declarado vigente en 5 registros; no hay fechas para auditar vigencia temporal. La ausencia de marcación en un rol no permite inferir obligación incumplida. Para capacidad y productividad se requieren horas efectivas, dedicación y volumen por profesional.</t>
  </si>
  <si>
    <t>RECORRIDOS | INSPECCIÓN Y CIERRE DE HALLAZGOS</t>
  </si>
  <si>
    <t>Dimensión priorizada por la responsable · No se aportó registro de recorridos. Los controles de botiquín no se convierten en visitas de planta.</t>
  </si>
  <si>
    <t>Indicadores a incorporar: cumplimiento de recorridos, sectores alcanzados, hallazgos detectados y hallazgos cerrados en plazo. Todos quedan PENDIENTES DE REGISTRO, no en cero. Se necesita fecha, sector, objetivo, hallazgo, responsable, vencimiento, cierre y evidencia.</t>
  </si>
  <si>
    <t>Recorridos programados</t>
  </si>
  <si>
    <t>Recorridos realizados</t>
  </si>
  <si>
    <t>Sectores visitados</t>
  </si>
  <si>
    <t>Hallazgos detectados</t>
  </si>
  <si>
    <t>Hallazgos cerrados en plazo</t>
  </si>
  <si>
    <t>Fuente</t>
  </si>
  <si>
    <t>Pendiente de registro de recorridos.</t>
  </si>
  <si>
    <t>MEJORA IMPLEMENTADA EN 2S | APTITUDES CRÍTICAS</t>
  </si>
  <si>
    <t>La responsable confirmó que los exámenes para tareas críticas se incorporaron en el segundo semestre. No se computan como producción del 1S.</t>
  </si>
  <si>
    <t>Indicador de seguimiento 2S</t>
  </si>
  <si>
    <t>Personas en la base ESTOC</t>
  </si>
  <si>
    <t>Población de la base; no confirma padrón completo de tareas críticas.</t>
  </si>
  <si>
    <t>Estado APTO cargado</t>
  </si>
  <si>
    <t>Estado registrado; falta fecha efectiva, vencimiento y acreditación.</t>
  </si>
  <si>
    <t>Estado PENDIENTE cargado</t>
  </si>
  <si>
    <t>Pendiente según la última planilla.</t>
  </si>
  <si>
    <t>Restricciones registradas posteriores al 1S</t>
  </si>
  <si>
    <t>No constituyen resultado de 1S ni demuestran ausencia histórica.</t>
  </si>
  <si>
    <t>Mes de agenda 2S</t>
  </si>
  <si>
    <t>Turnos programados</t>
  </si>
  <si>
    <t>2026-07</t>
  </si>
  <si>
    <t>Programación; no equivale a examen realizado.</t>
  </si>
  <si>
    <t>2026-08</t>
  </si>
  <si>
    <t>2026-09</t>
  </si>
  <si>
    <t>2026-10</t>
  </si>
  <si>
    <t>2026-11</t>
  </si>
  <si>
    <t>Avance de estados cargados: 25/104 = 24,04%. Esto no es cobertura de estudios realizados ni porcentaje de aptitudes vigentes al 30/06. La hoja FECHA ESTUDIOS reproduce casi toda la agenda: verificar fecha de realización y vigencia. Para medir el nuevo programa, registrar tarea crítica, padrón elegible, estudio realizado, dictamen y vencimiento.</t>
  </si>
  <si>
    <t>Mes FECHA</t>
  </si>
  <si>
    <t>Comprimidos consignados</t>
  </si>
  <si>
    <t>Inyectables consignados</t>
  </si>
  <si>
    <t>Filas con comprimidos positivos</t>
  </si>
  <si>
    <t>Filas con inyectables positivos</t>
  </si>
  <si>
    <t>No registrado</t>
  </si>
  <si>
    <t>Fuente AT. DIARIAS: 952 unidades de comprimidos y 59 inyectables consignadas en registros con cantidades positivas válidas. Campos vacíos no se consideran cero ni permiten afirmar ausencia de administración. Hay un dato inválido de cada tipo; estos registros incluyen posibles duplicados. Mayo de esta fuente: 207 y 18, frente a 258 y 15 de la hoja de consumo; bases no conciliadas.</t>
  </si>
  <si>
    <t>ENERO 2026 | RESUMEN MENSUAL</t>
  </si>
  <si>
    <t>Ausentismo, demanda del servicio y flujo de casos. Las fuentes completas de cada dimensión están en sus hojas de gestión.</t>
  </si>
  <si>
    <t>Indicador mensual</t>
  </si>
  <si>
    <t>Unidad / criterio</t>
  </si>
  <si>
    <t>Actuaciones clínicas y administrativas.</t>
  </si>
  <si>
    <t>Registros de tipo enfermería.</t>
  </si>
  <si>
    <t>Registros de tipo médica.</t>
  </si>
  <si>
    <t>Gestiones administrativas.</t>
  </si>
  <si>
    <t>Contratistas</t>
  </si>
  <si>
    <t>Registros de otra base/población.</t>
  </si>
  <si>
    <t>BP: activos al cierre</t>
  </si>
  <si>
    <t>Episodios administrativos.</t>
  </si>
  <si>
    <t>BP: altas registradas</t>
  </si>
  <si>
    <t>ART: activos al cierre</t>
  </si>
  <si>
    <t>ART: inicios del mes</t>
  </si>
  <si>
    <t>Contingencias de fuente.</t>
  </si>
  <si>
    <t>Horas médicas</t>
  </si>
  <si>
    <t>Enfermedad + accidentes/ART.</t>
  </si>
  <si>
    <t>Horas teóricas</t>
  </si>
  <si>
    <t>Denominador RRHH.</t>
  </si>
  <si>
    <t>Horas médicas / horas teóricas.</t>
  </si>
  <si>
    <t>FEBRERO 2026 | RESUMEN MENSUAL</t>
  </si>
  <si>
    <t>MARZO 2026 | RESUMEN MENSUAL</t>
  </si>
  <si>
    <t>ABRIL 2026 | RESUMEN MENSUAL</t>
  </si>
  <si>
    <t>MAYO 2026 | RESUMEN MENSUAL</t>
  </si>
  <si>
    <t>JUNIO 2026 | RESUMEN MENSUAL</t>
  </si>
  <si>
    <t>CATÁLOGO KPI | GESTIÓN INTEGRAL</t>
  </si>
  <si>
    <t>Definiciones, numeradores y denominadores · Los indicadores pendientes muestran texto, no cero · Cada resultado tiene alcance y fuente.</t>
  </si>
  <si>
    <t>Código</t>
  </si>
  <si>
    <t>Dimensión</t>
  </si>
  <si>
    <t>Numerador / valor base</t>
  </si>
  <si>
    <t>Denominador</t>
  </si>
  <si>
    <t>Resultado</t>
  </si>
  <si>
    <t>Unidad</t>
  </si>
  <si>
    <t>Período / corte</t>
  </si>
  <si>
    <t>Estado del dato</t>
  </si>
  <si>
    <t>Lectura correcta</t>
  </si>
  <si>
    <t>Acción propuesta</t>
  </si>
  <si>
    <t>ACT01</t>
  </si>
  <si>
    <t>Actividad</t>
  </si>
  <si>
    <t>Registros propios del servicio</t>
  </si>
  <si>
    <t>registros</t>
  </si>
  <si>
    <t>Enero–junio 2026</t>
  </si>
  <si>
    <t>Calculado desde fuente</t>
  </si>
  <si>
    <t>Planilla Tandanor (1).xlsx | AT. DIARIAS / CONTRATISTAS</t>
  </si>
  <si>
    <t>Volumen registrado por fecha; no mide calidad ni eficacia por sí solo.</t>
  </si>
  <si>
    <t>Dimensionar demanda y registrar tiempo profesional.</t>
  </si>
  <si>
    <t>ACT02</t>
  </si>
  <si>
    <t>Registros de enfermería</t>
  </si>
  <si>
    <t>ACT03</t>
  </si>
  <si>
    <t>Registros médicos</t>
  </si>
  <si>
    <t>ACT04</t>
  </si>
  <si>
    <t>Gestiones administrativas</t>
  </si>
  <si>
    <t>ACT05</t>
  </si>
  <si>
    <t>Registros clínicos propios</t>
  </si>
  <si>
    <t>ACT07</t>
  </si>
  <si>
    <t>Registros de contratistas</t>
  </si>
  <si>
    <t>ACT06</t>
  </si>
  <si>
    <t>Participación clínica en actividad propia</t>
  </si>
  <si>
    <t>%</t>
  </si>
  <si>
    <t>AT. DIARIAS | ATENCION</t>
  </si>
  <si>
    <t>Enfermería + médica / registros propios; administración está en el denominador.</t>
  </si>
  <si>
    <t>ACT08</t>
  </si>
  <si>
    <t>Identidades atendidas estimadas</t>
  </si>
  <si>
    <t>identidades</t>
  </si>
  <si>
    <t>Identificación con calidad pendiente</t>
  </si>
  <si>
    <t>AT. DIARIAS | LEGAJO/NOMBRE</t>
  </si>
  <si>
    <t>Deduplicación semestral; no usar para afirmar cobertura poblacional.</t>
  </si>
  <si>
    <t>CAL01</t>
  </si>
  <si>
    <t>Calidad</t>
  </si>
  <si>
    <t>Duplicados exactos en actividad</t>
  </si>
  <si>
    <t>AT. DIARIAS | A:S</t>
  </si>
  <si>
    <t>Repetición exacta de filas; se conservan hasta revisión.</t>
  </si>
  <si>
    <t>CAL02</t>
  </si>
  <si>
    <t>Actividad con tipo consignado</t>
  </si>
  <si>
    <t>Completitud de clasificación; no es calidad clínica.</t>
  </si>
  <si>
    <t>AUS01</t>
  </si>
  <si>
    <t>Ausentismo</t>
  </si>
  <si>
    <t>Ausentismo médico</t>
  </si>
  <si>
    <t>Indicador Ausentismo junio.xlsx | RRHH</t>
  </si>
  <si>
    <t>Enfermedad + accidentes/ART / horas normales teóricas.</t>
  </si>
  <si>
    <t>Evaluar focos y seguimiento de casos.</t>
  </si>
  <si>
    <t>AUS02</t>
  </si>
  <si>
    <t>Horas médicas perdidas</t>
  </si>
  <si>
    <t>horas</t>
  </si>
  <si>
    <t>RRHH enero–junio</t>
  </si>
  <si>
    <t>BP ya está dentro de enfermedad.</t>
  </si>
  <si>
    <t>AUS03</t>
  </si>
  <si>
    <t>Ausentismo por accidentes/ART</t>
  </si>
  <si>
    <t>BP01</t>
  </si>
  <si>
    <t>Seguimiento BP</t>
  </si>
  <si>
    <t>Personas con casos en el semestre</t>
  </si>
  <si>
    <t>personas</t>
  </si>
  <si>
    <t>Planilla Tandanor (1).xlsx | BP</t>
  </si>
  <si>
    <t>Identidades únicas por legajo; incluye arrastre.</t>
  </si>
  <si>
    <t>BP02</t>
  </si>
  <si>
    <t>Episodios iniciados en 1S</t>
  </si>
  <si>
    <t>episodios administrativos</t>
  </si>
  <si>
    <t>Criterio administrativo explícito</t>
  </si>
  <si>
    <t>Unión de intervalos superpuestos/contiguos por persona; no confirma continuidad clínica.</t>
  </si>
  <si>
    <t>BP03</t>
  </si>
  <si>
    <t>Altas registradas en 1S</t>
  </si>
  <si>
    <t>Planilla Tandanor (1).xlsx | BP | ALTA</t>
  </si>
  <si>
    <t>Cierre de intervalo registrado; no tasa de éxito terapéutico.</t>
  </si>
  <si>
    <t>BP04</t>
  </si>
  <si>
    <t>Activos inferidos al 30/06</t>
  </si>
  <si>
    <t>Inicio al corte y alta ausente/posterior; no confundir con situación actual.</t>
  </si>
  <si>
    <t>BP05</t>
  </si>
  <si>
    <t>Completitud de última consulta</t>
  </si>
  <si>
    <t>Último registro de casos presentes en 1S</t>
  </si>
  <si>
    <t>Completitud de registro; no adherencia</t>
  </si>
  <si>
    <t>BP | ULT.CONS</t>
  </si>
  <si>
    <t>Campos válidos sobre filas; no evalúa consultas realizadas según agenda.</t>
  </si>
  <si>
    <t>BP06</t>
  </si>
  <si>
    <t>Cumplimiento de seguimiento programado</t>
  </si>
  <si>
    <t>Pendiente de historia de controles</t>
  </si>
  <si>
    <t>BP</t>
  </si>
  <si>
    <t>Controles realizados dentro de plazo / controles programados.</t>
  </si>
  <si>
    <t>Registrar cada control, fecha prevista y fecha real.</t>
  </si>
  <si>
    <t>Pendiente de datos</t>
  </si>
  <si>
    <t>ART01</t>
  </si>
  <si>
    <t>Gestión ART</t>
  </si>
  <si>
    <t>Planilla Tandanor (1).xlsx | ART</t>
  </si>
  <si>
    <t>ART02</t>
  </si>
  <si>
    <t>Casos deduplicados por persona, inicio, contingencia y texto diagnóstico; no se unen intervalos ART.</t>
  </si>
  <si>
    <t>ART03</t>
  </si>
  <si>
    <t>Planilla Tandanor (1).xlsx | ART | ALTA</t>
  </si>
  <si>
    <t>ART04</t>
  </si>
  <si>
    <t>ART05</t>
  </si>
  <si>
    <t>ART | ULT.CONS</t>
  </si>
  <si>
    <t>ART06</t>
  </si>
  <si>
    <t>ART</t>
  </si>
  <si>
    <t>LIC01</t>
  </si>
  <si>
    <t>Licencias</t>
  </si>
  <si>
    <t>Actuaciones con campos de licencia</t>
  </si>
  <si>
    <t>AT. DIARIAS | LICENCIAS / DIAS</t>
  </si>
  <si>
    <t>No equivale a licencias únicas.</t>
  </si>
  <si>
    <t>LIC02</t>
  </si>
  <si>
    <t>Completitud de intervalo inicio/fin</t>
  </si>
  <si>
    <t>AT. DIARIAS | LICENCIAS / FIN DE LICENCIA</t>
  </si>
  <si>
    <t>Porcentaje de actuaciones con ambas fechas interpretables.</t>
  </si>
  <si>
    <t>Homogeneizar inicio, fin, tipo y unidad de duración.</t>
  </si>
  <si>
    <t>LIC03</t>
  </si>
  <si>
    <t>Completitud de campo documentación</t>
  </si>
  <si>
    <t>AT. DIARIAS | DOCUMENTACION</t>
  </si>
  <si>
    <t>Campo presente; no demuestra aprobación ni validez de certificado.</t>
  </si>
  <si>
    <t>ACC01</t>
  </si>
  <si>
    <t>Accidentalidad</t>
  </si>
  <si>
    <t>Eventos registrados en 1S</t>
  </si>
  <si>
    <t>eventos</t>
  </si>
  <si>
    <t>Control Completo | Registro Accidentes | FECHA</t>
  </si>
  <si>
    <t>Incluye Tandanor y otros empleadores.</t>
  </si>
  <si>
    <t>ACC02</t>
  </si>
  <si>
    <t>Registro Accidentes | ART</t>
  </si>
  <si>
    <t>Registro de derivación; no acredita aceptación ART.</t>
  </si>
  <si>
    <t>ACC03</t>
  </si>
  <si>
    <t>Acciones correctivas documentadas</t>
  </si>
  <si>
    <t>Registro Accidentes | ACCION CORRECTIVA</t>
  </si>
  <si>
    <t>Completitud documental; no ausencia demostrada de acciones.</t>
  </si>
  <si>
    <t>Crear seguimiento de acción, responsable y evidencia de cierre.</t>
  </si>
  <si>
    <t>VAC01</t>
  </si>
  <si>
    <t>Vacunación</t>
  </si>
  <si>
    <t>Marcación SI en nómina antigripal</t>
  </si>
  <si>
    <t>Campaña 2026 | último padrón sin fechas</t>
  </si>
  <si>
    <t>Cobertura registrada; cierre pendiente</t>
  </si>
  <si>
    <t>Control Completo | Antigripal 2026</t>
  </si>
  <si>
    <t>Porcentaje de SI en nómina; no cobertura histórica final.</t>
  </si>
  <si>
    <t>Conciliar fecha, aplicación y padrón elegible.</t>
  </si>
  <si>
    <t>VAC02</t>
  </si>
  <si>
    <t>Aplicaciones fechadas del registro parcial</t>
  </si>
  <si>
    <t>aplicaciones</t>
  </si>
  <si>
    <t>Control Completo | vacunacion</t>
  </si>
  <si>
    <t>No sumar a los SI de nómina; registro parcial.</t>
  </si>
  <si>
    <t>VAC03</t>
  </si>
  <si>
    <t>Cobertura antigripal final al 30/06</t>
  </si>
  <si>
    <t>Pendiente de conciliación</t>
  </si>
  <si>
    <t>Nómina + registro + PDF</t>
  </si>
  <si>
    <t>Personas únicas vacunadas en 1S / población elegible al corte.</t>
  </si>
  <si>
    <t>Depurar duplicados y documentar fecha/corte.</t>
  </si>
  <si>
    <t>EQ01</t>
  </si>
  <si>
    <t>Equipos emergencia</t>
  </si>
  <si>
    <t>Botiquines plenamente operativos declarados</t>
  </si>
  <si>
    <t>Último estado del inventario</t>
  </si>
  <si>
    <t>Declarado; corte heterogéneo</t>
  </si>
  <si>
    <t>Control Completo | inventarios</t>
  </si>
  <si>
    <t>Operativo según estado; requiere prueba funcional y fecha.</t>
  </si>
  <si>
    <t>Cerrar brechas por criticidad y ubicación.</t>
  </si>
  <si>
    <t>EQ02</t>
  </si>
  <si>
    <t>DEA operativos declarados</t>
  </si>
  <si>
    <t>EQ03</t>
  </si>
  <si>
    <t>Oxígeno operativo declarado</t>
  </si>
  <si>
    <t>EQ04</t>
  </si>
  <si>
    <t>Activos no operativos registrados</t>
  </si>
  <si>
    <t>activos</t>
  </si>
  <si>
    <t>Botiquines + DEA + Oxigeno</t>
  </si>
  <si>
    <t>EQ05</t>
  </si>
  <si>
    <t>Botiquines con última revisión fechada en 1S</t>
  </si>
  <si>
    <t>Evidencia de última fecha; no cumplimiento</t>
  </si>
  <si>
    <t>BOTIQUINES | Fecha ul Revicion</t>
  </si>
  <si>
    <t>No cuenta recorridos ni todas las revisiones realizadas.</t>
  </si>
  <si>
    <t>EQ06</t>
  </si>
  <si>
    <t>Cumplimiento del plan de control de equipos</t>
  </si>
  <si>
    <t>Pendiente de agenda e historial</t>
  </si>
  <si>
    <t>Plan de controles no aportado</t>
  </si>
  <si>
    <t>Controles realizados en plazo / controles programados.</t>
  </si>
  <si>
    <t>Registrar fecha prevista/real, checklist y responsable.</t>
  </si>
  <si>
    <t>MED01</t>
  </si>
  <si>
    <t>Medicamentos</t>
  </si>
  <si>
    <t>Líneas de stock bajo mínimo</t>
  </si>
  <si>
    <t>líneas</t>
  </si>
  <si>
    <t>Stock sin fecha de corte</t>
  </si>
  <si>
    <t>Recalculado desde cantidades</t>
  </si>
  <si>
    <t>Medicaciones en stock | D:E</t>
  </si>
  <si>
    <t>Reposición y revisión de umbrales por medicamento.</t>
  </si>
  <si>
    <t>MED02</t>
  </si>
  <si>
    <t>Líneas que cumplen stock mínimo</t>
  </si>
  <si>
    <t>No mide disponibilidad de medicamentos críticos por puesto ni histórica.</t>
  </si>
  <si>
    <t>MED03</t>
  </si>
  <si>
    <t>Consumo mensual con unidad y año confirmados</t>
  </si>
  <si>
    <t>Año de mayo y cinco meses pendientes</t>
  </si>
  <si>
    <t>Medicacion Usadas Mens</t>
  </si>
  <si>
    <t>Meses con consumo completo y comparable / seis meses.</t>
  </si>
  <si>
    <t>Confirmar año de mayo y cargar movimientos enero–junio.</t>
  </si>
  <si>
    <t>CAP01</t>
  </si>
  <si>
    <t>Capacitación</t>
  </si>
  <si>
    <t>Actividades fechadas registradas</t>
  </si>
  <si>
    <t>actividades</t>
  </si>
  <si>
    <t>Control Completo | Capacitaciones</t>
  </si>
  <si>
    <t>Fecha de 1S presente; asistencia no documentada.</t>
  </si>
  <si>
    <t>CAP02</t>
  </si>
  <si>
    <t>Cumplimiento del plan de capacitación</t>
  </si>
  <si>
    <t>Pendiente de plan y resultados</t>
  </si>
  <si>
    <t>Capacitaciones | plan incompleto</t>
  </si>
  <si>
    <t>Cursos realizados / cursos programados para 1S.</t>
  </si>
  <si>
    <t>Acordar plan, fechas y evidencia.</t>
  </si>
  <si>
    <t>CAP03</t>
  </si>
  <si>
    <t>Cobertura de capacitación por población objetivo</t>
  </si>
  <si>
    <t>Pendiente de asistencia y padrón</t>
  </si>
  <si>
    <t>Capacitaciones | asistencia vacía</t>
  </si>
  <si>
    <t>Personas únicas capacitadas / población objetivo por tema.</t>
  </si>
  <si>
    <t>EQU01</t>
  </si>
  <si>
    <t>Equipo profesional</t>
  </si>
  <si>
    <t>Integrantes del servicio registrados</t>
  </si>
  <si>
    <t>Última dotación sin corte</t>
  </si>
  <si>
    <t>Registro de capacidad</t>
  </si>
  <si>
    <t>Control Completo | Personal</t>
  </si>
  <si>
    <t>EQU02</t>
  </si>
  <si>
    <t>Vigencia temporal de formación RCP</t>
  </si>
  <si>
    <t>Fechas y población elegible pendientes</t>
  </si>
  <si>
    <t>Personal | Capacitación RCP</t>
  </si>
  <si>
    <t>Personas con certificado vigente al corte / personal obligado a capacitarse.</t>
  </si>
  <si>
    <t>REC01</t>
  </si>
  <si>
    <t>Recorridos de planta</t>
  </si>
  <si>
    <t>Cumplimiento del plan de recorridos</t>
  </si>
  <si>
    <t>Pendiente de registro</t>
  </si>
  <si>
    <t>Recorridos realizados / recorridos programados.</t>
  </si>
  <si>
    <t>Cargar agenda y fechas reales por sector.</t>
  </si>
  <si>
    <t>REC02</t>
  </si>
  <si>
    <t>Cierre de hallazgos dentro del plazo</t>
  </si>
  <si>
    <t>Hallazgos cerrados en plazo / hallazgos con vencimiento dentro del período.</t>
  </si>
  <si>
    <t>Asignar responsable, plazo y evidencia.</t>
  </si>
  <si>
    <t>APT01</t>
  </si>
  <si>
    <t>Mejora 2S: aptitudes</t>
  </si>
  <si>
    <t>Personas en base de tareas críticas</t>
  </si>
  <si>
    <t>Segundo semestre | última base ESTOC</t>
  </si>
  <si>
    <t>Base del nuevo programa</t>
  </si>
  <si>
    <t>Seguimiento ESTOC</t>
  </si>
  <si>
    <t>Población de esta base, no cobertura certificada.</t>
  </si>
  <si>
    <t>Confirmar padrón elegible y fechas reales.</t>
  </si>
  <si>
    <t>APT02</t>
  </si>
  <si>
    <t>Proporción de estados APTO cargados</t>
  </si>
  <si>
    <t>Estado registrado; no ejecución certificada</t>
  </si>
  <si>
    <t>Seguimiento ESTOC | APTITUD</t>
  </si>
  <si>
    <t>No mide estudios realizados ni aptitud vigente.</t>
  </si>
  <si>
    <t>APT03</t>
  </si>
  <si>
    <t>Cobertura de aptitudes vigentes en tareas críticas</t>
  </si>
  <si>
    <t>Segundo semestre | programa implementado</t>
  </si>
  <si>
    <t>Pendiente de vigencia y padrón elegible</t>
  </si>
  <si>
    <t>Seguimiento ESTOC + fuente efectiva</t>
  </si>
  <si>
    <t>Trabajadores con aptitud vigente por tarea / trabajadores que requieren esa aptitud.</t>
  </si>
  <si>
    <t>MED04</t>
  </si>
  <si>
    <t>Comprimidos consignados en actividad</t>
  </si>
  <si>
    <t>unidades consignadas</t>
  </si>
  <si>
    <t>Registro parcial; no consumo total</t>
  </si>
  <si>
    <t>AT. DIARIAS | COMPRIMIDOS</t>
  </si>
  <si>
    <t>Suma de cantidades positivas numéricas; vacíos no equivalen a cero.</t>
  </si>
  <si>
    <t>MED05</t>
  </si>
  <si>
    <t>Inyectables consignados en actividad</t>
  </si>
  <si>
    <t>AT. DIARIAS | INYECTABLES</t>
  </si>
  <si>
    <t>ACT09</t>
  </si>
  <si>
    <t>Acción documentada en registros de contratistas</t>
  </si>
  <si>
    <t>CONTRATISTAS | ACCION</t>
  </si>
  <si>
    <t>Completitud documental; no efectividad terapéutica ni cobertura poblacional.</t>
  </si>
  <si>
    <t>METAS Y ACCIONES | PARA ACORDAR CON DIRECCIÓN</t>
  </si>
  <si>
    <t>Las celdas amarillas son editables. No se inventan metas ni se aplican semáforos hasta que Dirección apruebe criterios.</t>
  </si>
  <si>
    <t>Objetivo propuesto</t>
  </si>
  <si>
    <t>Responsable propuesto</t>
  </si>
  <si>
    <t>Cadencia propuesta</t>
  </si>
  <si>
    <t>Dimensionar demanda y separar clínica/administración</t>
  </si>
  <si>
    <t>Registrar tiempos y demanda por tipo</t>
  </si>
  <si>
    <t>Mensual</t>
  </si>
  <si>
    <t>BP y ART</t>
  </si>
  <si>
    <t>Demostrar seguimiento, cierres y continuidad</t>
  </si>
  <si>
    <t>Definir episodios e historia de controles</t>
  </si>
  <si>
    <t>Servicio Médico + ART + RRHH</t>
  </si>
  <si>
    <t>Cerrar padrón y cobertura verificable</t>
  </si>
  <si>
    <t>Conciliar nómina, registros y PDF</t>
  </si>
  <si>
    <t>Enfermería + RRHH</t>
  </si>
  <si>
    <t>Cierre de campaña</t>
  </si>
  <si>
    <t>Acordar y cumplir un plan de formación</t>
  </si>
  <si>
    <t>Agenda, asistencia y evaluación por tema</t>
  </si>
  <si>
    <t>Servicio Médico + HyS</t>
  </si>
  <si>
    <t>Según plan</t>
  </si>
  <si>
    <t>Recorridos</t>
  </si>
  <si>
    <t>Documentar presencia en planta y cierres</t>
  </si>
  <si>
    <t>Agenda por sector + acciones y evidencia</t>
  </si>
  <si>
    <t>Equipos</t>
  </si>
  <si>
    <t>Resolver brechas por criticidad y ubicación</t>
  </si>
  <si>
    <t>Reposición DEA EQ-003 / BOT-05 / OX-02 / BOT-10</t>
  </si>
  <si>
    <t>Enfermería + Mantenimiento</t>
  </si>
  <si>
    <t>Prioridad a confirmar</t>
  </si>
  <si>
    <t>Reponer bajo mínimo y conciliar movimientos</t>
  </si>
  <si>
    <t>Catálogo único, stock mínimo y lotes</t>
  </si>
  <si>
    <t>Aptitudes críticas 2S</t>
  </si>
  <si>
    <t>Consolidar la mejora implementada</t>
  </si>
  <si>
    <t>Fecha real, dictamen, tarea y vigencia</t>
  </si>
  <si>
    <t>Servicio Médico + RRHH</t>
  </si>
  <si>
    <t>Segundo semestre</t>
  </si>
  <si>
    <t>Código KPI</t>
  </si>
  <si>
    <t>Resultado actual</t>
  </si>
  <si>
    <t>Meta propuesta</t>
  </si>
  <si>
    <t>Meta aprobada</t>
  </si>
  <si>
    <t>Responsable acordado</t>
  </si>
  <si>
    <t>Plazo acordado</t>
  </si>
  <si>
    <t>Evidencia / seguimiento</t>
  </si>
  <si>
    <t>CALIDAD | ALCANCE Y PRÓXIMOS DATOS</t>
  </si>
  <si>
    <t>La ausencia de registro no se presenta como ausencia de actividad. Separar 1S, último estado disponible y mejora implementada en 2S.</t>
  </si>
  <si>
    <t>Tema</t>
  </si>
  <si>
    <t>Hallazgo</t>
  </si>
  <si>
    <t>Tratamiento</t>
  </si>
  <si>
    <t>Ausentismo RRHH</t>
  </si>
  <si>
    <t>2025-01: tasa total publicada no coincide con componentes (6.1258% frente a 11.2975%).</t>
  </si>
  <si>
    <t>Se recalcula desde horas; no afecta la tasa médica.</t>
  </si>
  <si>
    <t>5 registros asistenciales tienen fecha no interpretable; 19 tienen etiqueta MES distinta a la fecha.</t>
  </si>
  <si>
    <t>Se agrupa por FECHA válida; no se imputan fechas ni se suman licencias como días perdidos.</t>
  </si>
  <si>
    <t>Duplicados asistenciales</t>
  </si>
  <si>
    <t>7 filas exactamente repetidas en el semestre.</t>
  </si>
  <si>
    <t>Se conservan como registros, sin afirmar consultas únicas; se informa escenario sin duplicados.</t>
  </si>
  <si>
    <t>39 filas intersectan el semestre; 38 episodios administrativos tras unir intervalos por persona, 1 con textos diagnósticos distintos.</t>
  </si>
  <si>
    <t>No se validan categorías clínicas ni horas BP sin criterio de continuidad, calendario y definición de alta; se muestran casos con metodología explícita.</t>
  </si>
  <si>
    <t>Rechazos se identifican por texto RECHAZ en observaciones; la planilla mezcla altas y casos previos.</t>
  </si>
  <si>
    <t>Se distingue inicio semestral de arrastre y estado inferido al 30/06; aceptación ART pendiente de validación documental.</t>
  </si>
  <si>
    <t>Corte de inventario</t>
  </si>
  <si>
    <t>1 control(es) posterior(es) al 30/06; oxígeno no incluye fecha de control.</t>
  </si>
  <si>
    <t>Inventario se presenta como último estado disponible, no como cierre semestral certificado.</t>
  </si>
  <si>
    <t>193 SI de 432 personas en nómina; 46 aplicaciones en registro detallado.</t>
  </si>
  <si>
    <t>La cifra previa de 200 requiere conciliación con PDF y depuración de duplicados; no se afirma cobertura final del semestre.</t>
  </si>
  <si>
    <t>La matriz actual y nómina antigripal tienen 432 personas, pero RRHH varía entre 418 y 427 por mes. XLS incluye personal, nómina y bajas sin corte certificado.</t>
  </si>
  <si>
    <t>Tasas médicas usan horas teóricas mensuales RRHH; no se aplica 432 a todos los meses.</t>
  </si>
  <si>
    <t>PDF vacunación</t>
  </si>
  <si>
    <t>Se revisaron las 18 páginas y se ejecutó OCR. Incluye portada, listados con anotaciones manuscritas y hojas en blanco; OCR no interpreta con fiabilidad todas las fechas y firmas.</t>
  </si>
  <si>
    <t>Se conserva como respaldo pendiente de conciliación nominal. No se convierte cada fila impresa en una aplicación.</t>
  </si>
  <si>
    <t>Tableros anteriores</t>
  </si>
  <si>
    <t>Tablero v4 registra junio con 274 atenciones; fuente actual tiene 485. KPI integral propone 34 BP y 200 vacunaciones sin reconciliación reproducible confirmada. Dashboard_Gestion es una plantilla sin registros cargados.</t>
  </si>
  <si>
    <t>Se recalcula actividad y ausentismo desde las fuentes primarias; se omiten semáforos con metas no aprobadas.</t>
  </si>
  <si>
    <t>Stock y respuesta</t>
  </si>
  <si>
    <t>El stock actual tiene mínimos cargados y permite calcular 2 líneas bajo mínimo. Ambulancias/carro no tienen un checklist de requisitos completo.</t>
  </si>
  <si>
    <t>Las brechas de stock se recalculan; disponibilidad histórica y suficiencia clínica requieren evidencia adicional.</t>
  </si>
  <si>
    <t>Aptitudes de tareas críticas</t>
  </si>
  <si>
    <t>Implementadas en 2S, según confirmación expresa de la responsable.</t>
  </si>
  <si>
    <t>Se presentan como mejora de 2S; no se evalúan como producción del 1S.</t>
  </si>
  <si>
    <t>Medicamentos en actividad</t>
  </si>
  <si>
    <t>Cantidades parciales consignadas: 952 comprimidos y 59 inyectables; vacíos y dos datos inválidos.</t>
  </si>
  <si>
    <t>Mostrar unidades registradas por mes, no consumo completo ni administración certificada.</t>
  </si>
  <si>
    <t>Código–medicamento</t>
  </si>
  <si>
    <t>Sólo un código coincide en nombre entre stock y consumo, según cruce de fuentes.</t>
  </si>
  <si>
    <t>No unir tablas automáticamente por código; estandarizar catálogo.</t>
  </si>
  <si>
    <t>Acciones correctivas</t>
  </si>
  <si>
    <t>23 eventos 1S sin acción correctiva consignada.</t>
  </si>
  <si>
    <t>Medir documentación, no inferir ausencia de acciones reales.</t>
  </si>
  <si>
    <t>No se aportó un registro de visitas, agenda ni hallazgos cerrados.</t>
  </si>
  <si>
    <t>Se crea dimensión y métricas pendientes; no deducir recorridos de controles de botiquín.</t>
  </si>
  <si>
    <t>Resumen antiguo de equipamiento</t>
  </si>
  <si>
    <t>Cantidades utilizadas como porcentajes y estados de stock OK pese a bajo mínimo.</t>
  </si>
  <si>
    <t>Recalcular desde inventarios y cantidades; no copiar semáforos previos.</t>
  </si>
  <si>
    <t>FUENTES | TODOS LOS DOCUMENTOS CARGADOS</t>
  </si>
  <si>
    <t>20 fuentes originales revisadas · Se excluyen los entregables creados aquí de la población de fuentes · Archivos originales preservados.</t>
  </si>
  <si>
    <t>Documento original</t>
  </si>
  <si>
    <t>Uso en este tablero</t>
  </si>
  <si>
    <t>Bytes</t>
  </si>
  <si>
    <t>SHA-256</t>
  </si>
  <si>
    <t>Copia de Control_Completo_Servicio_Medico_Astillero2.xlsx</t>
  </si>
  <si>
    <t>Inventarios, nómina antigripal, capacitación y dotación del servicio; último estado registrado.</t>
  </si>
  <si>
    <t>a021569f6058c9aefdc28b505d0deaafed0a0cd8dad42a56c57f0cdb72a4b0e4</t>
  </si>
  <si>
    <t>Dashboard_Gestion_Servicio_Medico_Tandanor_2026.xlsx</t>
  </si>
  <si>
    <t>Antecedente de tablero; auditado, no se usa como fuente independiente para sumar resultados.</t>
  </si>
  <si>
    <t>c999e4c5757968bb5b92532c8912cb848f99e6af77f777fa9ed98864649083b5</t>
  </si>
  <si>
    <t>Indicador Ausentismo ENERO (1).xlsx</t>
  </si>
  <si>
    <t>Fuente primaria RRHH: cierre de junio y control de versiones mensuales.</t>
  </si>
  <si>
    <t>d4d7a78a011c0ad4060ae53b01bb069898d99b7ee097e3e424db87155f1b5142</t>
  </si>
  <si>
    <t>Indicador Ausentismo abril.xlsx</t>
  </si>
  <si>
    <t>efc4fd0b3f21a36eea8cf8e9a8b309f15e00008ec25e29846e8fec457c87e10d</t>
  </si>
  <si>
    <t>Indicador Ausentismo febrero.xlsx</t>
  </si>
  <si>
    <t>7cddf9eada9e7ccb01a4ed01460c58a50e43234551723b9b76fb2ec5468cc6cd</t>
  </si>
  <si>
    <t>Indicador Ausentismo junio.xlsx</t>
  </si>
  <si>
    <t>cd8189842754e594be021c4e5efa715d53607da789f63205a1ea3add5c1975c7</t>
  </si>
  <si>
    <t>Indicador Ausentismo marzo.xlsx</t>
  </si>
  <si>
    <t>8da7782658d64e64f818bb53796f79ac22f387e07e7f281d044ee2c11723a0e9</t>
  </si>
  <si>
    <t>Indicador Ausentismo mayo.xlsx</t>
  </si>
  <si>
    <t>fe5243655741b8a913c90ca841e86ecafc1ae718bb8e383588f62cf7b55e362e</t>
  </si>
  <si>
    <t>Fuente primaria sectorial y conciliación de horas, dotación y vacaciones.</t>
  </si>
  <si>
    <t>d06747e5ce3177e3535bb03b3fbbb21e3a66c20057213e212817411fa355d878</t>
  </si>
  <si>
    <t>0a00c5fea3f9bc0d12733f46f5334e63d2df61a97409d6ce0642f2c89233b6f8</t>
  </si>
  <si>
    <t>d0183ac436fd99e577b1e1682c91301b4d56701290ba999530a7ea874f617a8b</t>
  </si>
  <si>
    <t>8458ce1b6e3307adaa71bccd9f7a54b488c148855b59e0fa845589373e0da6b2</t>
  </si>
  <si>
    <t>2cb3515cf0ba021e36384f1cf4f47f4a196c59ef8e13073a1a4814bce3f3b3a1</t>
  </si>
  <si>
    <t>f4d2f6b6583ac11ca7f32e39017e1d25fb3b88f2ac84af0c708c49d385d38db1</t>
  </si>
  <si>
    <t>KPI´s Servicio Medico - Tandanor 1er Semestre 2026.xlsx</t>
  </si>
  <si>
    <t>4b6a1d37e4cc5847c1bb829d6a22034a640721cf328eeb44ce8848ba57231921</t>
  </si>
  <si>
    <t>Listado de vacunación 2026.pdf</t>
  </si>
  <si>
    <t>Respaldo escaneado de vacunación; revisión y OCR realizados, conciliación manual pendiente.</t>
  </si>
  <si>
    <t>fa60eabd8061686e37e4a6272f3471e79ddc0cdcac2dda07fce16b5296131451</t>
  </si>
  <si>
    <t>Nomina Tandanor.. - copia.xls</t>
  </si>
  <si>
    <t>Referencia de población: personal, nómina y bajas sin corte temporal certificado.</t>
  </si>
  <si>
    <t>67ac2a8d02af298e86bd470ecfebbd3c9ef3a05a5d71f14f42c819a5e6ab6503</t>
  </si>
  <si>
    <t>Planilla Tandanor (1).xlsx</t>
  </si>
  <si>
    <t>Fuente primaria de actividad, BP, ART y contratistas; matriz y restricciones con corte distinto.</t>
  </si>
  <si>
    <t>c4aa670a84556468e4f1a986765dc0104328366a9da1fe22f87e5feb7879d3b4</t>
  </si>
  <si>
    <t>Seguimiento_Aptitudes_Medicas_ESTOC_AJUSTADO_VACACIONES.xlsx</t>
  </si>
  <si>
    <t>Mejora implementada en 2S: base ESTOC y agenda; no producción 1S.</t>
  </si>
  <si>
    <t>e7ed70656f177e80cd2d483799c27b8cb72edb49c889973aa47222a13c933615</t>
  </si>
  <si>
    <t>Tablero_Medicina_Laboral_Tandanor_2026_v4.xlsx</t>
  </si>
  <si>
    <t>19f7b19ad09c8ae598090f8d546132e86b795575d29bcb5d06cfc22943ba7929</t>
  </si>
  <si>
    <t>Hoja</t>
  </si>
  <si>
    <t>Rango</t>
  </si>
  <si>
    <t>AT. DIARIAS</t>
  </si>
  <si>
    <t>A1:S3022</t>
  </si>
  <si>
    <t>Fecha real de actuación; campo ATENCION; identificación y licencia; comprobación duplicados.</t>
  </si>
  <si>
    <t>CONTRATISTAS</t>
  </si>
  <si>
    <t>A1:F1002</t>
  </si>
  <si>
    <t>Registros externos, identidad incompleta, acción documentada.</t>
  </si>
  <si>
    <t>A1:N999</t>
  </si>
  <si>
    <t>BAJA, última/próxima consulta, ALTA; stock y episodio administrativo.</t>
  </si>
  <si>
    <t>A1:M997</t>
  </si>
  <si>
    <t>BAJA, ALTA, contingencia, última/próxima consulta; texto de rechazo.</t>
  </si>
  <si>
    <t>RESTRICCIONES</t>
  </si>
  <si>
    <t>A1:H12</t>
  </si>
  <si>
    <t>Fechas inicio posterior al cierre; no producción semestral.</t>
  </si>
  <si>
    <t>Seguimiento ESTOC; Cronograma</t>
  </si>
  <si>
    <t>A1:L105; A1:H105</t>
  </si>
  <si>
    <t>Contraste de fechas en ambas hojas y agenda julio-noviembre.</t>
  </si>
  <si>
    <t>PERSONAL; NOMINA; BAJAS</t>
  </si>
  <si>
    <t>Inventario de filas/población sin corte certificado; no denominador semestral.</t>
  </si>
  <si>
    <t>A2:A37</t>
  </si>
  <si>
    <t>Botiquines registrados</t>
  </si>
  <si>
    <t>A2:A37,G2:G37</t>
  </si>
  <si>
    <t>Botiquines operativos sin observaciones</t>
  </si>
  <si>
    <t>G2:G37</t>
  </si>
  <si>
    <t>Botiquines operativos incluyendo observaciones</t>
  </si>
  <si>
    <t>F2:F37</t>
  </si>
  <si>
    <t>Botiquines con última revisión registrada en enero-junio</t>
  </si>
  <si>
    <t>A2:A5,I2:I5</t>
  </si>
  <si>
    <t>DEA operativos</t>
  </si>
  <si>
    <t>A2:A8,H2:H8</t>
  </si>
  <si>
    <t>Oxígeno operativos</t>
  </si>
  <si>
    <t>F2:F8</t>
  </si>
  <si>
    <t>Cilindros sin fecha de vencimiento documentada</t>
  </si>
  <si>
    <t>Medicaciones en stock</t>
  </si>
  <si>
    <t>B2:G45</t>
  </si>
  <si>
    <t>Medicamentos/presentaciones con stock informado</t>
  </si>
  <si>
    <t>D2:E45</t>
  </si>
  <si>
    <t>Líneas por debajo del stock mínimo</t>
  </si>
  <si>
    <t>Líneas que alcanzan el stock mínimo</t>
  </si>
  <si>
    <t>F2:F45</t>
  </si>
  <si>
    <t>Líneas con vencimiento anterior al 30/06 según inventario registrado</t>
  </si>
  <si>
    <t>B2:F26,D27:D28</t>
  </si>
  <si>
    <t>Consumo registrado de comprimidos en mayo</t>
  </si>
  <si>
    <t>Consumo registrado de inyectable en mayo</t>
  </si>
  <si>
    <t>Ambulancias c-Paro stock</t>
  </si>
  <si>
    <t>A2:H2,A20:H20</t>
  </si>
  <si>
    <t>Ambulancias registradas</t>
  </si>
  <si>
    <t>A39:D60</t>
  </si>
  <si>
    <t>Carros de paro con inventario registrado</t>
  </si>
  <si>
    <t>D5,D23,D42</t>
  </si>
  <si>
    <t>Posiciones de medicación en ambulancias/carro con fecha 01/07/2026</t>
  </si>
  <si>
    <t>Personal</t>
  </si>
  <si>
    <t>C2:D7</t>
  </si>
  <si>
    <t>Integrantes del equipo registrados</t>
  </si>
  <si>
    <t>F2:F7</t>
  </si>
  <si>
    <t>Integrantes con RCP declarado vigente</t>
  </si>
  <si>
    <t>Capacitaciones</t>
  </si>
  <si>
    <t>A2:I8</t>
  </si>
  <si>
    <t>Capacitaciones con fecha registrada en el semestre</t>
  </si>
  <si>
    <t>B2,E2,G2,H2</t>
  </si>
  <si>
    <t>Convocados a actividad fechada20/05</t>
  </si>
  <si>
    <t>Registro Accidentes</t>
  </si>
  <si>
    <t>A2:B26</t>
  </si>
  <si>
    <t>Accidentes registrados enero-junio</t>
  </si>
  <si>
    <t>B2:B26,L2:L26</t>
  </si>
  <si>
    <t>Accidentes con derivación ART registrada</t>
  </si>
  <si>
    <t>N2:N26</t>
  </si>
  <si>
    <t>Eventos con baja explícita</t>
  </si>
  <si>
    <t>K2:K26,O2:O26</t>
  </si>
  <si>
    <t>Eventos con mención explícita in itinere</t>
  </si>
  <si>
    <t>M2:M26</t>
  </si>
  <si>
    <t>Accidentes con acción correctiva documentada</t>
  </si>
  <si>
    <t>Antigripal 2026</t>
  </si>
  <si>
    <t>A2:D433</t>
  </si>
  <si>
    <t>Cobertura antigripal declarada en padrón</t>
  </si>
  <si>
    <t>vacunacion</t>
  </si>
  <si>
    <t>C2:D47</t>
  </si>
  <si>
    <t>Aplicaciones antigripales con fecha en1S</t>
  </si>
  <si>
    <t>ACTIVIDAD CLÍNICA PROPIA</t>
  </si>
  <si>
    <t>947 enfermería + 348 médica</t>
  </si>
  <si>
    <t>GESTIONES ADMINISTRATIVAS</t>
  </si>
  <si>
    <t>Registros del servicio, no consultas</t>
  </si>
  <si>
    <t>INICIOS ART DEL SEMESTRE</t>
  </si>
  <si>
    <t>19 AT · 8 AI · 1 EP según fuente</t>
  </si>
  <si>
    <t>SI EN NÓMINA ANTIGRIPAL</t>
  </si>
  <si>
    <t>193/432 · último padrón, cierre pendiente</t>
  </si>
  <si>
    <t>PERSONAS CON BP EN 1S</t>
  </si>
  <si>
    <t>38 intervalos administrativos; 14 activos al corte</t>
  </si>
  <si>
    <t>CAPACITACIÓN FECHADA 1S</t>
  </si>
  <si>
    <t>RCP/RPC · falta registro de asistentes</t>
  </si>
  <si>
    <t>DEA OPERATIVOS DECLARADOS</t>
  </si>
  <si>
    <t>3/4 · fecha de corte a validar</t>
  </si>
  <si>
    <t>MEDICAMENTOS BAJO MÍNIMO</t>
  </si>
  <si>
    <t>2 líneas · requiere reposición según stock</t>
  </si>
  <si>
    <t>GESTIÓN Y DECISIONES PARA DIRECCIÓN</t>
  </si>
  <si>
    <t>Actividad y capacidad</t>
  </si>
  <si>
    <t>2.542 registros propios + 80 de contratistas; equipo registrado de 6 integrantes.</t>
  </si>
  <si>
    <t>Ver detalle</t>
  </si>
  <si>
    <t>Seguimiento BP / ART</t>
  </si>
  <si>
    <t>BP: 24 altas y 14 activos; ART: 26 altas y 6 activos al 30/06.</t>
  </si>
  <si>
    <t>Prevención y respuesta</t>
  </si>
  <si>
    <t>Botiquines 34/36; DEA 3/4; oxígeno 6/7. Cerrar brechas por criticidad.</t>
  </si>
  <si>
    <t>Vacunación y formación</t>
  </si>
  <si>
    <t>46 aplicaciones fechadas; cobertura final y asistencia de capacitación por conciliar.</t>
  </si>
  <si>
    <t>2 líneas bajo mínimo; consumo de mayo y actividad no conciliados.</t>
  </si>
  <si>
    <t>Crear registro de visitas y cierre de hallazgos. Sin información aportada todavía.</t>
  </si>
  <si>
    <t>Ausentismo organizacional</t>
  </si>
  <si>
    <t>4,72% y 18.895 h; una dimensión del tablero integral, con focos sectoriales.</t>
  </si>
  <si>
    <t>Mejora implementada 2S</t>
  </si>
  <si>
    <t>Aptitudes críticas: 104 en base, 25 APTO, 79 pendientes; verificar fecha real y vigencia.</t>
  </si>
  <si>
    <t>ALCANCE: el volumen asistencial, el flujo administrativo de casos y los accidentes están fechados en 1S. Vacunación, stock y equipamiento incluyen estados sin corte certificado. Aptitudes para tareas críticas corresponden a la mejora implementada en 2S. Indicadores pendientes se muestran como texto; no se reemplazan por cero. Valores agregados, sin personas, diagnósticos individuales ni firmas.</t>
  </si>
  <si>
    <t>Ver definiciones KPI</t>
  </si>
  <si>
    <t>Acordar metas y acciones</t>
  </si>
  <si>
    <t>Revisar pendientes</t>
  </si>
  <si>
    <t>Ver fuentes</t>
  </si>
  <si>
    <t>GUÍA DEL TABLERO INTEGRAL</t>
  </si>
  <si>
    <t>Abrir primero Resumen ejecutivo; consultar cada dimensión y sus pendientes. Los datos se presentan agregados.</t>
  </si>
  <si>
    <t>Focos sectoriales</t>
  </si>
  <si>
    <t>Base sectorial</t>
  </si>
  <si>
    <t>Licencias y calidad</t>
  </si>
  <si>
    <t>Detalle activos</t>
  </si>
  <si>
    <t>Consumo</t>
  </si>
  <si>
    <t>Equipo del servicio</t>
  </si>
  <si>
    <t>Mejoras 2S - Aptitudes</t>
  </si>
  <si>
    <t>Catálogo de indicadores</t>
  </si>
  <si>
    <t>Metas y acciones</t>
  </si>
  <si>
    <t>Calidad y pendientes</t>
  </si>
  <si>
    <t>Fuentes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</si>
</sst>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%"/>
    <numFmt numFmtId="166" formatCode="#,##0.##"/>
    <numFmt numFmtId="167" formatCode="0.00%"/>
    <numFmt numFmtId="168" formatCode="0.00"/>
  </numFmts>
  <fonts count="12">
    <font>
      <sz val="11"/>
      <color theme="1"/>
      <name val="Calibri"/>
      <family val="2"/>
      <scheme val="minor"/>
    </font>
    <font>
      <b/>
      <sz val="22"/>
      <color rgb="FFFFFFFF"/>
      <name val="Calibri"/>
      <family val="2"/>
      <scheme val="minor"/>
    </font>
    <font>
      <sz val="10"/>
      <color rgb="FF596B78"/>
      <name val="Calibri"/>
      <family val="2"/>
      <scheme val="minor"/>
    </font>
    <font>
      <b/>
      <sz val="10"/>
      <color rgb="FF007E80"/>
      <name val="Calibri"/>
      <family val="2"/>
      <scheme val="minor"/>
    </font>
    <font>
      <b/>
      <sz val="26"/>
      <color rgb="FF17354D"/>
      <name val="Calibri"/>
      <family val="2"/>
      <scheme val="minor"/>
    </font>
    <font>
      <sz val="9"/>
      <color rgb="FF596B78"/>
      <name val="Calibri"/>
      <family val="2"/>
      <scheme val="minor"/>
    </font>
    <font>
      <b/>
      <sz val="12"/>
      <color rgb="FF007E80"/>
      <name val="Calibri"/>
      <family val="2"/>
      <scheme val="minor"/>
    </font>
    <font>
      <sz val="10"/>
      <color rgb="FF17354D"/>
      <name val="Calibri"/>
      <family val="2"/>
      <scheme val="minor"/>
    </font>
    <font>
      <u/>
      <sz val="11"/>
      <color rgb="FF007E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7354D"/>
      <name val="Calibri"/>
      <family val="2"/>
      <scheme val="minor"/>
    </font>
    <font>
      <sz val="8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17354D"/>
        <bgColor indexed="64"/>
      </patternFill>
    </fill>
    <fill>
      <patternFill patternType="solid">
        <fgColor rgb="FFEDF6F5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FF7D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2" fillId="0" borderId="0" xfId="0" applyFont="1" applyAlignment="1">
      <alignment vertical="top" wrapText="1"/>
    </xf>
    <xf numFmtId="0" fontId="3" fillId="3" borderId="0" xfId="0" applyFont="1" applyFill="1" applyAlignment="1">
      <alignment wrapText="1"/>
    </xf>
    <xf numFmtId="164" fontId="4" fillId="3" borderId="0" xfId="0" applyNumberFormat="1" applyFont="1" applyFill="1"/>
    <xf numFmtId="165" fontId="4" fillId="3" borderId="0" xfId="0" applyNumberFormat="1" applyFont="1" applyFill="1"/>
    <xf numFmtId="0" fontId="5" fillId="3" borderId="0" xfId="0" applyFont="1" applyFill="1" applyAlignment="1">
      <alignment wrapText="1"/>
    </xf>
    <xf numFmtId="0" fontId="6" fillId="3" borderId="0" xfId="0" applyFont="1" applyFill="1" applyAlignment="1">
      <alignment wrapText="1"/>
    </xf>
    <xf numFmtId="0" fontId="7" fillId="0" borderId="0" xfId="0" applyFont="1" applyAlignment="1">
      <alignment vertical="top" wrapText="1"/>
    </xf>
    <xf numFmtId="0" fontId="8" fillId="0" borderId="0" xfId="0" applyFont="1"/>
    <xf numFmtId="0" fontId="7" fillId="4" borderId="0" xfId="0" applyFont="1" applyFill="1" applyAlignment="1">
      <alignment vertical="center" wrapText="1"/>
    </xf>
    <xf numFmtId="0" fontId="9" fillId="2" borderId="0" xfId="0" applyFont="1" applyFill="1" applyAlignment="1">
      <alignment vertical="center" wrapText="1"/>
    </xf>
    <xf numFmtId="166" fontId="7" fillId="0" borderId="0" xfId="0" applyNumberFormat="1" applyFont="1"/>
    <xf numFmtId="167" fontId="7" fillId="0" borderId="0" xfId="0" applyNumberFormat="1" applyFont="1"/>
    <xf numFmtId="168" fontId="10" fillId="5" borderId="0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theme" Target="theme/theme1.xml"/><Relationship Id="rId31" Type="http://schemas.openxmlformats.org/officeDocument/2006/relationships/styles" Target="styles.xml"/><Relationship Id="rId3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Demanda propia: clínica y administración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v>Enfermería</c:v>
          </c:tx>
          <c:spPr>
            <a:solidFill>
              <a:srgbClr val="007E80"/>
            </a:solidFill>
            <a:ln>
              <a:noFill/>
            </a:ln>
          </c:spPr>
          <c:cat>
            <c:strRef>
              <c:f>Actividad!$A$7:$A$12</c:f>
              <c:strCache>
                <c:ptCount val="6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</c:strCache>
            </c:strRef>
          </c:cat>
          <c:val>
            <c:numRef>
              <c:f>Actividad!$C$7:$C$12</c:f>
              <c:numCache>
                <c:formatCode>General</c:formatCode>
                <c:ptCount val="6"/>
                <c:pt idx="0">
                  <c:v>181</c:v>
                </c:pt>
                <c:pt idx="1">
                  <c:v>103</c:v>
                </c:pt>
                <c:pt idx="2">
                  <c:v>148</c:v>
                </c:pt>
                <c:pt idx="3">
                  <c:v>156</c:v>
                </c:pt>
                <c:pt idx="4">
                  <c:v>161</c:v>
                </c:pt>
                <c:pt idx="5">
                  <c:v>198</c:v>
                </c:pt>
              </c:numCache>
            </c:numRef>
          </c:val>
        </c:ser>
        <c:ser>
          <c:idx val="1"/>
          <c:order val="1"/>
          <c:tx>
            <c:v>Médica</c:v>
          </c:tx>
          <c:spPr>
            <a:solidFill>
              <a:srgbClr val="5B7FA3"/>
            </a:solidFill>
            <a:ln>
              <a:noFill/>
            </a:ln>
          </c:spPr>
          <c:cat>
            <c:strRef>
              <c:f>Actividad!$A$7:$A$12</c:f>
              <c:strCache>
                <c:ptCount val="6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</c:strCache>
            </c:strRef>
          </c:cat>
          <c:val>
            <c:numRef>
              <c:f>Actividad!$D$7:$D$12</c:f>
              <c:numCache>
                <c:formatCode>General</c:formatCode>
                <c:ptCount val="6"/>
                <c:pt idx="0">
                  <c:v>41</c:v>
                </c:pt>
                <c:pt idx="1">
                  <c:v>60</c:v>
                </c:pt>
                <c:pt idx="2">
                  <c:v>75</c:v>
                </c:pt>
                <c:pt idx="3">
                  <c:v>64</c:v>
                </c:pt>
                <c:pt idx="4">
                  <c:v>65</c:v>
                </c:pt>
                <c:pt idx="5">
                  <c:v>43</c:v>
                </c:pt>
              </c:numCache>
            </c:numRef>
          </c:val>
        </c:ser>
        <c:ser>
          <c:idx val="2"/>
          <c:order val="2"/>
          <c:tx>
            <c:v>Administrativa</c:v>
          </c:tx>
          <c:spPr>
            <a:solidFill>
              <a:srgbClr val="BECED9"/>
            </a:solidFill>
            <a:ln>
              <a:noFill/>
            </a:ln>
          </c:spPr>
          <c:cat>
            <c:strRef>
              <c:f>Actividad!$A$7:$A$12</c:f>
              <c:strCache>
                <c:ptCount val="6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</c:strCache>
            </c:strRef>
          </c:cat>
          <c:val>
            <c:numRef>
              <c:f>Actividad!$E$7:$E$12</c:f>
              <c:numCache>
                <c:formatCode>General</c:formatCode>
                <c:ptCount val="6"/>
                <c:pt idx="0">
                  <c:v>139</c:v>
                </c:pt>
                <c:pt idx="1">
                  <c:v>108</c:v>
                </c:pt>
                <c:pt idx="2">
                  <c:v>265</c:v>
                </c:pt>
                <c:pt idx="3">
                  <c:v>248</c:v>
                </c:pt>
                <c:pt idx="4">
                  <c:v>237</c:v>
                </c:pt>
                <c:pt idx="5">
                  <c:v>241</c:v>
                </c:pt>
              </c:numCache>
            </c:numRef>
          </c:val>
        </c:ser>
        <c:ser>
          <c:idx val="3"/>
          <c:order val="3"/>
          <c:tx>
            <c:v>Sin clasificar</c:v>
          </c:tx>
          <c:spPr>
            <a:solidFill>
              <a:srgbClr val="D97A55"/>
            </a:solidFill>
            <a:ln>
              <a:noFill/>
            </a:ln>
          </c:spPr>
          <c:cat>
            <c:strRef>
              <c:f>Actividad!$A$7:$A$12</c:f>
              <c:strCache>
                <c:ptCount val="6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</c:strCache>
            </c:strRef>
          </c:cat>
          <c:val>
            <c:numRef>
              <c:f>Actividad!$F$7:$F$12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/>
          </a:pPr>
          <a:endParaRPr lang="en-US"/>
        </a:p>
      </c:txPr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Seguimiento: activos al cierre mensual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BP</c:v>
          </c:tx>
          <c:spPr>
            <a:ln w="31750">
              <a:solidFill>
                <a:srgbClr val="007E80"/>
              </a:solidFill>
            </a:ln>
          </c:spPr>
          <c:marker>
            <c:symbol val="circle"/>
            <c:size val="5"/>
          </c:marker>
          <c:cat>
            <c:strRef>
              <c:f>'Seguimiento BP'!$A$7:$A$12</c:f>
              <c:strCache>
                <c:ptCount val="6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</c:strCache>
            </c:strRef>
          </c:cat>
          <c:val>
            <c:numRef>
              <c:f>'Seguimiento BP'!$E$7:$E$12</c:f>
              <c:numCache>
                <c:formatCode>General</c:formatCode>
                <c:ptCount val="6"/>
                <c:pt idx="0">
                  <c:v>9</c:v>
                </c:pt>
                <c:pt idx="1">
                  <c:v>9</c:v>
                </c:pt>
                <c:pt idx="2">
                  <c:v>4</c:v>
                </c:pt>
                <c:pt idx="3">
                  <c:v>8</c:v>
                </c:pt>
                <c:pt idx="4">
                  <c:v>11</c:v>
                </c:pt>
                <c:pt idx="5">
                  <c:v>14</c:v>
                </c:pt>
              </c:numCache>
            </c:numRef>
          </c:val>
        </c:ser>
        <c:ser>
          <c:idx val="1"/>
          <c:order val="1"/>
          <c:tx>
            <c:v>ART</c:v>
          </c:tx>
          <c:spPr>
            <a:ln w="31750">
              <a:solidFill>
                <a:srgbClr val="5B7FA3"/>
              </a:solidFill>
            </a:ln>
          </c:spPr>
          <c:marker>
            <c:symbol val="circle"/>
            <c:size val="5"/>
          </c:marker>
          <c:cat>
            <c:strRef>
              <c:f>'Gestión ART'!$A$7:$A$12</c:f>
              <c:strCache>
                <c:ptCount val="6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</c:strCache>
            </c:strRef>
          </c:cat>
          <c:val>
            <c:numRef>
              <c:f>'Gestión ART'!$E$7:$E$12</c:f>
              <c:numCache>
                <c:formatCode>General</c:formatCode>
                <c:ptCount val="6"/>
                <c:pt idx="0">
                  <c:v>5</c:v>
                </c:pt>
                <c:pt idx="1">
                  <c:v>5</c:v>
                </c:pt>
                <c:pt idx="2">
                  <c:v>3</c:v>
                </c:pt>
                <c:pt idx="3">
                  <c:v>5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in val="0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  <c:majorUnit val="5"/>
      </c:valAx>
    </c:plotArea>
    <c:legend>
      <c:legendPos val="b"/>
      <c:layout/>
    </c:legend>
    <c:plotVisOnly val="1"/>
  </c:chart>
  <c:spPr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17</xdr:row>
      <xdr:rowOff>0</xdr:rowOff>
    </xdr:from>
    <xdr:to>
      <xdr:col>7</xdr:col>
      <xdr:colOff>333375</xdr:colOff>
      <xdr:row>31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17</xdr:row>
      <xdr:rowOff>0</xdr:rowOff>
    </xdr:from>
    <xdr:to>
      <xdr:col>15</xdr:col>
      <xdr:colOff>333375</xdr:colOff>
      <xdr:row>31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2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Relationship Id="rId2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P50"/>
  <sheetViews>
    <sheetView showGridLines="0" tabSelected="1" zoomScale="85" zoomScaleNormal="85" workbookViewId="0">
      <pane ySplit="5" topLeftCell="A6" activePane="bottomLeft" state="frozen"/>
      <selection pane="bottomLeft"/>
    </sheetView>
  </sheetViews>
  <sheetFormatPr defaultRowHeight="15"/>
  <cols>
    <col min="1" max="16" width="10.7109375" customWidth="1"/>
  </cols>
  <sheetData>
    <row r="1" spans="1:16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</row>
    <row r="2" spans="1:16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</row>
    <row r="3" spans="1:16" ht="24" customHeight="1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6" spans="1:16" ht="24" customHeight="1">
      <c r="A6" s="3" t="s">
        <v>1193</v>
      </c>
      <c r="B6" s="3"/>
      <c r="C6" s="3"/>
      <c r="D6" s="3"/>
      <c r="E6" s="3" t="s">
        <v>1195</v>
      </c>
      <c r="F6" s="3"/>
      <c r="G6" s="3"/>
      <c r="H6" s="3"/>
      <c r="I6" s="3" t="s">
        <v>1197</v>
      </c>
      <c r="J6" s="3"/>
      <c r="K6" s="3"/>
      <c r="L6" s="3"/>
      <c r="M6" s="3" t="s">
        <v>1199</v>
      </c>
      <c r="N6" s="3"/>
      <c r="O6" s="3"/>
      <c r="P6" s="3"/>
    </row>
    <row r="7" spans="1:16" ht="26" customHeight="1">
      <c r="A7" s="4">
        <f>'Catálogo de indicadores'!F11</f>
        <v>1295</v>
      </c>
      <c r="B7" s="4"/>
      <c r="C7" s="4"/>
      <c r="D7" s="4"/>
      <c r="E7" s="4">
        <f>'Catálogo de indicadores'!F10</f>
        <v>1238</v>
      </c>
      <c r="F7" s="4"/>
      <c r="G7" s="4"/>
      <c r="H7" s="4"/>
      <c r="I7" s="4">
        <f>'Catálogo de indicadores'!F27</f>
        <v>28</v>
      </c>
      <c r="J7" s="4"/>
      <c r="K7" s="4"/>
      <c r="L7" s="4"/>
      <c r="M7" s="5">
        <f>'Catálogo de indicadores'!F38</f>
        <v>0.44675925925925924</v>
      </c>
      <c r="N7" s="5"/>
      <c r="O7" s="5"/>
      <c r="P7" s="5"/>
    </row>
    <row r="8" spans="1:16" ht="26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5"/>
      <c r="N8" s="5"/>
      <c r="O8" s="5"/>
      <c r="P8" s="5"/>
    </row>
    <row r="9" spans="1:16" ht="24" customHeight="1">
      <c r="A9" s="6" t="s">
        <v>1194</v>
      </c>
      <c r="B9" s="6"/>
      <c r="C9" s="6"/>
      <c r="D9" s="6"/>
      <c r="E9" s="6" t="s">
        <v>1196</v>
      </c>
      <c r="F9" s="6"/>
      <c r="G9" s="6"/>
      <c r="H9" s="6"/>
      <c r="I9" s="6" t="s">
        <v>1198</v>
      </c>
      <c r="J9" s="6"/>
      <c r="K9" s="6"/>
      <c r="L9" s="6"/>
      <c r="M9" s="6" t="s">
        <v>1200</v>
      </c>
      <c r="N9" s="6"/>
      <c r="O9" s="6"/>
      <c r="P9" s="6"/>
    </row>
    <row r="10" spans="1:16" ht="24" customHeight="1">
      <c r="A10" s="6"/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2" spans="1:16" ht="24" customHeight="1">
      <c r="A12" s="3" t="s">
        <v>1201</v>
      </c>
      <c r="B12" s="3"/>
      <c r="C12" s="3"/>
      <c r="D12" s="3"/>
      <c r="E12" s="3" t="s">
        <v>1203</v>
      </c>
      <c r="F12" s="3"/>
      <c r="G12" s="3"/>
      <c r="H12" s="3"/>
      <c r="I12" s="3" t="s">
        <v>1205</v>
      </c>
      <c r="J12" s="3"/>
      <c r="K12" s="3"/>
      <c r="L12" s="3"/>
      <c r="M12" s="3" t="s">
        <v>1207</v>
      </c>
      <c r="N12" s="3"/>
      <c r="O12" s="3"/>
      <c r="P12" s="3"/>
    </row>
    <row r="13" spans="1:16" ht="26" customHeight="1">
      <c r="A13" s="4">
        <f>'Catálogo de indicadores'!F20</f>
        <v>32</v>
      </c>
      <c r="B13" s="4"/>
      <c r="C13" s="4"/>
      <c r="D13" s="4"/>
      <c r="E13" s="4">
        <f>'Catálogo de indicadores'!F50</f>
        <v>1</v>
      </c>
      <c r="F13" s="4"/>
      <c r="G13" s="4"/>
      <c r="H13" s="4"/>
      <c r="I13" s="5">
        <f>'Catálogo de indicadores'!F42</f>
        <v>0.75</v>
      </c>
      <c r="J13" s="5"/>
      <c r="K13" s="5"/>
      <c r="L13" s="5"/>
      <c r="M13" s="4">
        <f>'Catálogo de indicadores'!F47</f>
        <v>2</v>
      </c>
      <c r="N13" s="4"/>
      <c r="O13" s="4"/>
      <c r="P13" s="4"/>
    </row>
    <row r="14" spans="1:16" ht="26" customHeight="1">
      <c r="A14" s="4"/>
      <c r="B14" s="4"/>
      <c r="C14" s="4"/>
      <c r="D14" s="4"/>
      <c r="E14" s="4"/>
      <c r="F14" s="4"/>
      <c r="G14" s="4"/>
      <c r="H14" s="4"/>
      <c r="I14" s="5"/>
      <c r="J14" s="5"/>
      <c r="K14" s="5"/>
      <c r="L14" s="5"/>
      <c r="M14" s="4"/>
      <c r="N14" s="4"/>
      <c r="O14" s="4"/>
      <c r="P14" s="4"/>
    </row>
    <row r="15" spans="1:16" ht="24" customHeight="1">
      <c r="A15" s="6" t="s">
        <v>1202</v>
      </c>
      <c r="B15" s="6"/>
      <c r="C15" s="6"/>
      <c r="D15" s="6"/>
      <c r="E15" s="6" t="s">
        <v>1204</v>
      </c>
      <c r="F15" s="6"/>
      <c r="G15" s="6"/>
      <c r="H15" s="6"/>
      <c r="I15" s="6" t="s">
        <v>1206</v>
      </c>
      <c r="J15" s="6"/>
      <c r="K15" s="6"/>
      <c r="L15" s="6"/>
      <c r="M15" s="6" t="s">
        <v>1208</v>
      </c>
      <c r="N15" s="6"/>
      <c r="O15" s="6"/>
      <c r="P15" s="6"/>
    </row>
    <row r="16" spans="1:16" ht="24" customHeight="1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</row>
    <row r="34" spans="1:16">
      <c r="A34" s="7" t="s">
        <v>1209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</row>
    <row r="36" spans="1:16" ht="36" customHeight="1">
      <c r="A36" s="3" t="s">
        <v>1210</v>
      </c>
      <c r="B36" s="3"/>
      <c r="C36" s="3"/>
      <c r="D36" s="3"/>
      <c r="E36" s="8" t="s">
        <v>1211</v>
      </c>
      <c r="F36" s="8"/>
      <c r="G36" s="8"/>
      <c r="H36" s="8"/>
      <c r="I36" s="8"/>
      <c r="J36" s="8"/>
      <c r="K36" s="8"/>
      <c r="L36" s="8"/>
      <c r="M36" s="8"/>
      <c r="N36" s="8"/>
      <c r="O36" s="9" t="s">
        <v>1212</v>
      </c>
      <c r="P36" s="9"/>
    </row>
    <row r="37" spans="1:16" ht="36" customHeight="1">
      <c r="A37" s="3" t="s">
        <v>1213</v>
      </c>
      <c r="B37" s="3"/>
      <c r="C37" s="3"/>
      <c r="D37" s="3"/>
      <c r="E37" s="8" t="s">
        <v>1214</v>
      </c>
      <c r="F37" s="8"/>
      <c r="G37" s="8"/>
      <c r="H37" s="8"/>
      <c r="I37" s="8"/>
      <c r="J37" s="8"/>
      <c r="K37" s="8"/>
      <c r="L37" s="8"/>
      <c r="M37" s="8"/>
      <c r="N37" s="8"/>
      <c r="O37" s="9" t="s">
        <v>1212</v>
      </c>
      <c r="P37" s="9"/>
    </row>
    <row r="38" spans="1:16" ht="36" customHeight="1">
      <c r="A38" s="3" t="s">
        <v>1215</v>
      </c>
      <c r="B38" s="3"/>
      <c r="C38" s="3"/>
      <c r="D38" s="3"/>
      <c r="E38" s="8" t="s">
        <v>1216</v>
      </c>
      <c r="F38" s="8"/>
      <c r="G38" s="8"/>
      <c r="H38" s="8"/>
      <c r="I38" s="8"/>
      <c r="J38" s="8"/>
      <c r="K38" s="8"/>
      <c r="L38" s="8"/>
      <c r="M38" s="8"/>
      <c r="N38" s="8"/>
      <c r="O38" s="9" t="s">
        <v>1212</v>
      </c>
      <c r="P38" s="9"/>
    </row>
    <row r="39" spans="1:16" ht="36" customHeight="1">
      <c r="A39" s="3" t="s">
        <v>1217</v>
      </c>
      <c r="B39" s="3"/>
      <c r="C39" s="3"/>
      <c r="D39" s="3"/>
      <c r="E39" s="8" t="s">
        <v>1218</v>
      </c>
      <c r="F39" s="8"/>
      <c r="G39" s="8"/>
      <c r="H39" s="8"/>
      <c r="I39" s="8"/>
      <c r="J39" s="8"/>
      <c r="K39" s="8"/>
      <c r="L39" s="8"/>
      <c r="M39" s="8"/>
      <c r="N39" s="8"/>
      <c r="O39" s="9" t="s">
        <v>1212</v>
      </c>
      <c r="P39" s="9"/>
    </row>
    <row r="40" spans="1:16" ht="36" customHeight="1">
      <c r="A40" s="3" t="s">
        <v>888</v>
      </c>
      <c r="B40" s="3"/>
      <c r="C40" s="3"/>
      <c r="D40" s="3"/>
      <c r="E40" s="8" t="s">
        <v>1219</v>
      </c>
      <c r="F40" s="8"/>
      <c r="G40" s="8"/>
      <c r="H40" s="8"/>
      <c r="I40" s="8"/>
      <c r="J40" s="8"/>
      <c r="K40" s="8"/>
      <c r="L40" s="8"/>
      <c r="M40" s="8"/>
      <c r="N40" s="8"/>
      <c r="O40" s="9" t="s">
        <v>1212</v>
      </c>
      <c r="P40" s="9"/>
    </row>
    <row r="41" spans="1:16" ht="36" customHeight="1">
      <c r="A41" s="3" t="s">
        <v>933</v>
      </c>
      <c r="B41" s="3"/>
      <c r="C41" s="3"/>
      <c r="D41" s="3"/>
      <c r="E41" s="8" t="s">
        <v>1220</v>
      </c>
      <c r="F41" s="8"/>
      <c r="G41" s="8"/>
      <c r="H41" s="8"/>
      <c r="I41" s="8"/>
      <c r="J41" s="8"/>
      <c r="K41" s="8"/>
      <c r="L41" s="8"/>
      <c r="M41" s="8"/>
      <c r="N41" s="8"/>
      <c r="O41" s="9" t="s">
        <v>1212</v>
      </c>
      <c r="P41" s="9"/>
    </row>
    <row r="42" spans="1:16" ht="36" customHeight="1">
      <c r="A42" s="3" t="s">
        <v>1221</v>
      </c>
      <c r="B42" s="3"/>
      <c r="C42" s="3"/>
      <c r="D42" s="3"/>
      <c r="E42" s="8" t="s">
        <v>1222</v>
      </c>
      <c r="F42" s="8"/>
      <c r="G42" s="8"/>
      <c r="H42" s="8"/>
      <c r="I42" s="8"/>
      <c r="J42" s="8"/>
      <c r="K42" s="8"/>
      <c r="L42" s="8"/>
      <c r="M42" s="8"/>
      <c r="N42" s="8"/>
      <c r="O42" s="9" t="s">
        <v>1212</v>
      </c>
      <c r="P42" s="9"/>
    </row>
    <row r="43" spans="1:16" ht="36" customHeight="1">
      <c r="A43" s="3" t="s">
        <v>1223</v>
      </c>
      <c r="B43" s="3"/>
      <c r="C43" s="3"/>
      <c r="D43" s="3"/>
      <c r="E43" s="8" t="s">
        <v>1224</v>
      </c>
      <c r="F43" s="8"/>
      <c r="G43" s="8"/>
      <c r="H43" s="8"/>
      <c r="I43" s="8"/>
      <c r="J43" s="8"/>
      <c r="K43" s="8"/>
      <c r="L43" s="8"/>
      <c r="M43" s="8"/>
      <c r="N43" s="8"/>
      <c r="O43" s="9" t="s">
        <v>1212</v>
      </c>
      <c r="P43" s="9"/>
    </row>
    <row r="45" spans="1:16">
      <c r="A45" s="10" t="s">
        <v>1225</v>
      </c>
      <c r="B45" s="10"/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</row>
    <row r="46" spans="1:16">
      <c r="A46" s="10"/>
      <c r="B46" s="10"/>
      <c r="C46" s="10"/>
      <c r="D46" s="10"/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</row>
    <row r="47" spans="1:16">
      <c r="A47" s="10"/>
      <c r="B47" s="10"/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</row>
    <row r="48" spans="1:16">
      <c r="A48" s="10"/>
      <c r="B48" s="10"/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</row>
    <row r="50" spans="1:13">
      <c r="A50" s="9" t="s">
        <v>1226</v>
      </c>
      <c r="E50" s="9" t="s">
        <v>1227</v>
      </c>
      <c r="I50" s="9" t="s">
        <v>1228</v>
      </c>
      <c r="M50" s="9" t="s">
        <v>1229</v>
      </c>
    </row>
  </sheetData>
  <mergeCells count="52">
    <mergeCell ref="A1:P2"/>
    <mergeCell ref="A3:P4"/>
    <mergeCell ref="A6:D6"/>
    <mergeCell ref="A7:D8"/>
    <mergeCell ref="A9:D10"/>
    <mergeCell ref="E6:H6"/>
    <mergeCell ref="E7:H8"/>
    <mergeCell ref="E9:H10"/>
    <mergeCell ref="I6:L6"/>
    <mergeCell ref="I7:L8"/>
    <mergeCell ref="I9:L10"/>
    <mergeCell ref="M6:P6"/>
    <mergeCell ref="M7:P8"/>
    <mergeCell ref="M9:P10"/>
    <mergeCell ref="A12:D12"/>
    <mergeCell ref="A13:D14"/>
    <mergeCell ref="A15:D16"/>
    <mergeCell ref="E12:H12"/>
    <mergeCell ref="E13:H14"/>
    <mergeCell ref="E15:H16"/>
    <mergeCell ref="I12:L12"/>
    <mergeCell ref="I13:L14"/>
    <mergeCell ref="I15:L16"/>
    <mergeCell ref="M12:P12"/>
    <mergeCell ref="M13:P14"/>
    <mergeCell ref="M15:P16"/>
    <mergeCell ref="A34:P34"/>
    <mergeCell ref="A36:D36"/>
    <mergeCell ref="E36:N36"/>
    <mergeCell ref="O36:P36"/>
    <mergeCell ref="A37:D37"/>
    <mergeCell ref="E37:N37"/>
    <mergeCell ref="O37:P37"/>
    <mergeCell ref="A38:D38"/>
    <mergeCell ref="E38:N38"/>
    <mergeCell ref="O38:P38"/>
    <mergeCell ref="A39:D39"/>
    <mergeCell ref="E39:N39"/>
    <mergeCell ref="O39:P39"/>
    <mergeCell ref="A40:D40"/>
    <mergeCell ref="E40:N40"/>
    <mergeCell ref="O40:P40"/>
    <mergeCell ref="A41:D41"/>
    <mergeCell ref="E41:N41"/>
    <mergeCell ref="O41:P41"/>
    <mergeCell ref="A42:D42"/>
    <mergeCell ref="E42:N42"/>
    <mergeCell ref="O42:P42"/>
    <mergeCell ref="A43:D43"/>
    <mergeCell ref="E43:N43"/>
    <mergeCell ref="O43:P43"/>
    <mergeCell ref="A45:P48"/>
  </mergeCells>
  <hyperlinks>
    <hyperlink ref="O36" location="'Actividad'!A1" display="Ver detalle"/>
    <hyperlink ref="O37" location="'Seguimiento BP'!A1" display="Ver detalle"/>
    <hyperlink ref="O38" location="'Equipos emergencia'!A1" display="Ver detalle"/>
    <hyperlink ref="O39" location="'Vacunación'!A1" display="Ver detalle"/>
    <hyperlink ref="O40" location="'Medicamentos'!A1" display="Ver detalle"/>
    <hyperlink ref="O41" location="'Recorridos de planta'!A1" display="Ver detalle"/>
    <hyperlink ref="O42" location="'Ausentismo'!A1" display="Ver detalle"/>
    <hyperlink ref="O43" location="'Mejoras 2S - Aptitudes'!A1" display="Ver detalle"/>
    <hyperlink ref="A50" location="'Catálogo de indicadores'!A1" display="Ver definiciones KPI"/>
    <hyperlink ref="E50" location="'Metas y acciones'!A1" display="Acordar metas y acciones"/>
    <hyperlink ref="I50" location="'Calidad y pendientes'!A1" display="Revisar pendientes"/>
    <hyperlink ref="M50" location="'Fuentes'!A1" display="Ver fuentes"/>
  </hyperlinks>
  <pageMargins left="0.3" right="0.3" top="0.4" bottom="0.4" header="0.3" footer="0.3"/>
  <pageSetup paperSize="9" fitToHeight="2" orientation="landscape"/>
  <headerFooter>
    <oddFooter>&amp;LServicio Médico | Gestión integral&amp;C1S2026 + mejoras 2S&amp;R&amp;P / &amp;N</oddFooter>
  </headerFooter>
  <rowBreaks count="1" manualBreakCount="1">
    <brk id="33" max="16383" man="1"/>
  </rowBreaks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M19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3" width="15.7109375" customWidth="1"/>
  </cols>
  <sheetData>
    <row r="1" spans="1:13" ht="25" customHeight="1">
      <c r="A1" s="1" t="s">
        <v>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24" customHeight="1">
      <c r="A3" s="2" t="s">
        <v>3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>
      <c r="A5" s="9" t="s">
        <v>4</v>
      </c>
    </row>
    <row r="6" spans="1:13" ht="48" customHeight="1">
      <c r="A6" s="11" t="s">
        <v>5</v>
      </c>
      <c r="B6" s="11" t="s">
        <v>6</v>
      </c>
      <c r="C6" s="11" t="s">
        <v>7</v>
      </c>
      <c r="D6" s="11" t="s">
        <v>8</v>
      </c>
      <c r="E6" s="11" t="s">
        <v>9</v>
      </c>
      <c r="F6" s="11" t="s">
        <v>10</v>
      </c>
      <c r="G6" s="11" t="s">
        <v>11</v>
      </c>
      <c r="H6" s="11" t="s">
        <v>12</v>
      </c>
      <c r="I6" s="11" t="s">
        <v>13</v>
      </c>
      <c r="J6" s="11" t="s">
        <v>14</v>
      </c>
      <c r="K6" s="11" t="s">
        <v>15</v>
      </c>
      <c r="L6" s="11" t="s">
        <v>16</v>
      </c>
      <c r="M6" s="11" t="s">
        <v>17</v>
      </c>
    </row>
    <row r="7" spans="1:13" ht="27" customHeight="1">
      <c r="A7" s="8" t="s">
        <v>18</v>
      </c>
      <c r="B7" s="12">
        <v>362</v>
      </c>
      <c r="C7" s="12">
        <v>181</v>
      </c>
      <c r="D7" s="12">
        <v>41</v>
      </c>
      <c r="E7" s="12">
        <v>139</v>
      </c>
      <c r="F7" s="12">
        <v>1</v>
      </c>
      <c r="G7" s="12">
        <f>C7+D7</f>
        <v>222</v>
      </c>
      <c r="H7" s="12">
        <v>0</v>
      </c>
      <c r="I7" s="12">
        <f>B7-H7</f>
        <v>362</v>
      </c>
      <c r="J7" s="12">
        <v>175</v>
      </c>
      <c r="K7" s="12">
        <v>11</v>
      </c>
      <c r="L7" s="12">
        <f>B7+K7</f>
        <v>373</v>
      </c>
      <c r="M7" s="12">
        <v>8</v>
      </c>
    </row>
    <row r="8" spans="1:13" ht="27" customHeight="1">
      <c r="A8" s="8" t="s">
        <v>19</v>
      </c>
      <c r="B8" s="12">
        <v>273</v>
      </c>
      <c r="C8" s="12">
        <v>103</v>
      </c>
      <c r="D8" s="12">
        <v>60</v>
      </c>
      <c r="E8" s="12">
        <v>108</v>
      </c>
      <c r="F8" s="12">
        <v>2</v>
      </c>
      <c r="G8" s="12">
        <f>C8+D8</f>
        <v>163</v>
      </c>
      <c r="H8" s="12">
        <v>0</v>
      </c>
      <c r="I8" s="12">
        <f>B8-H8</f>
        <v>273</v>
      </c>
      <c r="J8" s="12">
        <v>142</v>
      </c>
      <c r="K8" s="12">
        <v>17</v>
      </c>
      <c r="L8" s="12">
        <f>B8+K8</f>
        <v>290</v>
      </c>
      <c r="M8" s="12">
        <v>1</v>
      </c>
    </row>
    <row r="9" spans="1:13" ht="27" customHeight="1">
      <c r="A9" s="8" t="s">
        <v>20</v>
      </c>
      <c r="B9" s="12">
        <v>488</v>
      </c>
      <c r="C9" s="12">
        <v>148</v>
      </c>
      <c r="D9" s="12">
        <v>75</v>
      </c>
      <c r="E9" s="12">
        <v>265</v>
      </c>
      <c r="F9" s="12">
        <v>0</v>
      </c>
      <c r="G9" s="12">
        <f>C9+D9</f>
        <v>223</v>
      </c>
      <c r="H9" s="12">
        <v>0</v>
      </c>
      <c r="I9" s="12">
        <f>B9-H9</f>
        <v>488</v>
      </c>
      <c r="J9" s="12">
        <v>178</v>
      </c>
      <c r="K9" s="12">
        <v>10</v>
      </c>
      <c r="L9" s="12">
        <f>B9+K9</f>
        <v>498</v>
      </c>
      <c r="M9" s="12">
        <v>0</v>
      </c>
    </row>
    <row r="10" spans="1:13" ht="27" customHeight="1">
      <c r="A10" s="8" t="s">
        <v>21</v>
      </c>
      <c r="B10" s="12">
        <v>470</v>
      </c>
      <c r="C10" s="12">
        <v>156</v>
      </c>
      <c r="D10" s="12">
        <v>64</v>
      </c>
      <c r="E10" s="12">
        <v>248</v>
      </c>
      <c r="F10" s="12">
        <v>2</v>
      </c>
      <c r="G10" s="12">
        <f>C10+D10</f>
        <v>220</v>
      </c>
      <c r="H10" s="12">
        <v>0</v>
      </c>
      <c r="I10" s="12">
        <f>B10-H10</f>
        <v>470</v>
      </c>
      <c r="J10" s="12">
        <v>183</v>
      </c>
      <c r="K10" s="12">
        <v>23</v>
      </c>
      <c r="L10" s="12">
        <f>B10+K10</f>
        <v>493</v>
      </c>
      <c r="M10" s="12">
        <v>3</v>
      </c>
    </row>
    <row r="11" spans="1:13" ht="27" customHeight="1">
      <c r="A11" s="8" t="s">
        <v>22</v>
      </c>
      <c r="B11" s="12">
        <v>464</v>
      </c>
      <c r="C11" s="12">
        <v>161</v>
      </c>
      <c r="D11" s="12">
        <v>65</v>
      </c>
      <c r="E11" s="12">
        <v>237</v>
      </c>
      <c r="F11" s="12">
        <v>1</v>
      </c>
      <c r="G11" s="12">
        <f>C11+D11</f>
        <v>226</v>
      </c>
      <c r="H11" s="12">
        <v>2</v>
      </c>
      <c r="I11" s="12">
        <f>B11-H11</f>
        <v>462</v>
      </c>
      <c r="J11" s="12">
        <v>196</v>
      </c>
      <c r="K11" s="12">
        <v>1</v>
      </c>
      <c r="L11" s="12">
        <f>B11+K11</f>
        <v>465</v>
      </c>
      <c r="M11" s="12">
        <v>4</v>
      </c>
    </row>
    <row r="12" spans="1:13" ht="27" customHeight="1">
      <c r="A12" s="8" t="s">
        <v>23</v>
      </c>
      <c r="B12" s="12">
        <v>485</v>
      </c>
      <c r="C12" s="12">
        <v>198</v>
      </c>
      <c r="D12" s="12">
        <v>43</v>
      </c>
      <c r="E12" s="12">
        <v>241</v>
      </c>
      <c r="F12" s="12">
        <v>3</v>
      </c>
      <c r="G12" s="12">
        <f>C12+D12</f>
        <v>241</v>
      </c>
      <c r="H12" s="12">
        <v>5</v>
      </c>
      <c r="I12" s="12">
        <f>B12-H12</f>
        <v>480</v>
      </c>
      <c r="J12" s="12">
        <v>195</v>
      </c>
      <c r="K12" s="12">
        <v>18</v>
      </c>
      <c r="L12" s="12">
        <f>B12+K12</f>
        <v>503</v>
      </c>
      <c r="M12" s="12">
        <v>3</v>
      </c>
    </row>
    <row r="13" spans="1:13">
      <c r="A13" s="11" t="s">
        <v>24</v>
      </c>
      <c r="B13" s="12">
        <f>SUM(B7:B12)</f>
        <v>2542</v>
      </c>
      <c r="C13" s="12">
        <f>SUM(C7:C12)</f>
        <v>947</v>
      </c>
      <c r="D13" s="12">
        <f>SUM(D7:D12)</f>
        <v>348</v>
      </c>
      <c r="E13" s="12">
        <f>SUM(E7:E12)</f>
        <v>1238</v>
      </c>
      <c r="F13" s="12">
        <f>SUM(F7:F12)</f>
        <v>9</v>
      </c>
      <c r="G13" s="12">
        <f>SUM(G7:G12)</f>
        <v>1295</v>
      </c>
      <c r="H13" s="12">
        <f>SUM(H7:H12)</f>
        <v>7</v>
      </c>
      <c r="I13" s="12">
        <f>SUM(I7:I12)</f>
        <v>2535</v>
      </c>
      <c r="J13" s="12">
        <v>351</v>
      </c>
      <c r="K13" s="12">
        <f>SUM(K7:K12)</f>
        <v>80</v>
      </c>
      <c r="L13" s="12">
        <f>SUM(L7:L12)</f>
        <v>2622</v>
      </c>
      <c r="M13" s="12">
        <f>SUM(M7:M12)</f>
        <v>19</v>
      </c>
    </row>
    <row r="16" spans="1:13">
      <c r="A16" s="10" t="s">
        <v>25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</row>
    <row r="17" spans="1:13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</row>
    <row r="18" spans="1:13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</row>
    <row r="19" spans="1:13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</row>
  </sheetData>
  <mergeCells count="3">
    <mergeCell ref="A1:M2"/>
    <mergeCell ref="A3:M4"/>
    <mergeCell ref="A16:M19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O18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5" width="15.7109375" customWidth="1"/>
  </cols>
  <sheetData>
    <row r="1" spans="1:15" ht="25" customHeight="1">
      <c r="A1" s="1" t="s">
        <v>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4" customHeight="1">
      <c r="A3" s="2" t="s">
        <v>27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4" spans="1:1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</row>
    <row r="5" spans="1:15">
      <c r="A5" s="9" t="s">
        <v>4</v>
      </c>
    </row>
    <row r="6" spans="1:15" ht="50" customHeight="1">
      <c r="A6" s="11" t="s">
        <v>5</v>
      </c>
      <c r="B6" s="11" t="s">
        <v>28</v>
      </c>
      <c r="C6" s="11" t="s">
        <v>29</v>
      </c>
      <c r="D6" s="11" t="s">
        <v>30</v>
      </c>
      <c r="E6" s="11" t="s">
        <v>31</v>
      </c>
      <c r="F6" s="11" t="s">
        <v>32</v>
      </c>
      <c r="G6" s="11" t="s">
        <v>33</v>
      </c>
      <c r="H6" s="11" t="s">
        <v>34</v>
      </c>
      <c r="I6" s="11" t="s">
        <v>35</v>
      </c>
      <c r="J6" s="11" t="s">
        <v>36</v>
      </c>
      <c r="K6" s="11" t="s">
        <v>37</v>
      </c>
      <c r="L6" s="11" t="s">
        <v>38</v>
      </c>
      <c r="M6" s="11" t="s">
        <v>39</v>
      </c>
      <c r="N6" s="11" t="s">
        <v>40</v>
      </c>
      <c r="O6" s="11" t="s">
        <v>41</v>
      </c>
    </row>
    <row r="7" spans="1:15">
      <c r="A7" s="8" t="s">
        <v>18</v>
      </c>
      <c r="B7" s="12">
        <v>71736</v>
      </c>
      <c r="C7" s="12">
        <v>2208</v>
      </c>
      <c r="D7" s="12">
        <v>920</v>
      </c>
      <c r="E7" s="12">
        <f>C7+D7</f>
        <v>3128</v>
      </c>
      <c r="F7" s="12">
        <v>3952</v>
      </c>
      <c r="G7" s="12">
        <v>2287</v>
      </c>
      <c r="H7" s="12">
        <f>E7+F7+G7</f>
        <v>9367</v>
      </c>
      <c r="I7" s="13">
        <f>E7/B7</f>
        <v>0.043604326976692316</v>
      </c>
      <c r="J7" s="13">
        <f>C7/B7</f>
        <v>0.030779524924723987</v>
      </c>
      <c r="K7" s="13">
        <f>D7/B7</f>
        <v>0.012824802051968329</v>
      </c>
      <c r="L7" s="12">
        <v>427</v>
      </c>
      <c r="M7" s="12">
        <v>15480</v>
      </c>
      <c r="N7" s="13">
        <f>H7/B7</f>
        <v>0.13057600089216015</v>
      </c>
      <c r="O7" s="13">
        <v>0.03046048369682574</v>
      </c>
    </row>
    <row r="8" spans="1:15">
      <c r="A8" s="8" t="s">
        <v>19</v>
      </c>
      <c r="B8" s="12">
        <v>60912</v>
      </c>
      <c r="C8" s="12">
        <v>1881</v>
      </c>
      <c r="D8" s="12">
        <v>768</v>
      </c>
      <c r="E8" s="12">
        <f>C8+D8</f>
        <v>2649</v>
      </c>
      <c r="F8" s="12">
        <v>5021</v>
      </c>
      <c r="G8" s="12">
        <v>2201</v>
      </c>
      <c r="H8" s="12">
        <f>E8+F8+G8</f>
        <v>9871</v>
      </c>
      <c r="I8" s="13">
        <f>E8/B8</f>
        <v>0.04348896769109535</v>
      </c>
      <c r="J8" s="13">
        <f>C8/B8</f>
        <v>0.0308806146572104</v>
      </c>
      <c r="K8" s="13">
        <f>D8/B8</f>
        <v>0.01260835303388495</v>
      </c>
      <c r="L8" s="12">
        <v>423</v>
      </c>
      <c r="M8" s="12">
        <v>12240</v>
      </c>
      <c r="N8" s="13">
        <f>H8/B8</f>
        <v>0.16205345416338324</v>
      </c>
      <c r="O8" s="13">
        <v>0.0389618138424821</v>
      </c>
    </row>
    <row r="9" spans="1:15">
      <c r="A9" s="8" t="s">
        <v>20</v>
      </c>
      <c r="B9" s="12">
        <v>67040</v>
      </c>
      <c r="C9" s="12">
        <v>2095</v>
      </c>
      <c r="D9" s="12">
        <v>880</v>
      </c>
      <c r="E9" s="12">
        <f>C9+D9</f>
        <v>2975</v>
      </c>
      <c r="F9" s="12">
        <v>4398</v>
      </c>
      <c r="G9" s="12">
        <v>3105</v>
      </c>
      <c r="H9" s="12">
        <f>E9+F9+G9</f>
        <v>10478</v>
      </c>
      <c r="I9" s="13">
        <f>E9/B9</f>
        <v>0.044376491646778045</v>
      </c>
      <c r="J9" s="13">
        <f>C9/B9</f>
        <v>0.03125</v>
      </c>
      <c r="K9" s="13">
        <f>D9/B9</f>
        <v>0.013126491646778043</v>
      </c>
      <c r="L9" s="12">
        <v>419</v>
      </c>
      <c r="M9" s="12">
        <v>5848</v>
      </c>
      <c r="N9" s="13">
        <f>H9/B9</f>
        <v>0.1562947494033413</v>
      </c>
      <c r="O9" s="13">
        <v>0.04117063492063492</v>
      </c>
    </row>
    <row r="10" spans="1:15">
      <c r="A10" s="8" t="s">
        <v>21</v>
      </c>
      <c r="B10" s="12">
        <v>66880</v>
      </c>
      <c r="C10" s="12">
        <v>2467</v>
      </c>
      <c r="D10" s="12">
        <v>344</v>
      </c>
      <c r="E10" s="12">
        <f>C10+D10</f>
        <v>2811</v>
      </c>
      <c r="F10" s="12">
        <v>4182</v>
      </c>
      <c r="G10" s="12">
        <v>3219</v>
      </c>
      <c r="H10" s="12">
        <f>E10+F10+G10</f>
        <v>10212</v>
      </c>
      <c r="I10" s="13">
        <f>E10/B10</f>
        <v>0.042030502392344495</v>
      </c>
      <c r="J10" s="13">
        <f>C10/B10</f>
        <v>0.03688696172248804</v>
      </c>
      <c r="K10" s="13">
        <f>D10/B10</f>
        <v>0.00514354066985646</v>
      </c>
      <c r="L10" s="12">
        <v>418</v>
      </c>
      <c r="M10" s="12">
        <v>2776</v>
      </c>
      <c r="N10" s="13">
        <f>H10/B10</f>
        <v>0.1526913875598086</v>
      </c>
      <c r="O10" s="13">
        <v>0.04003258293838863</v>
      </c>
    </row>
    <row r="11" spans="1:15">
      <c r="A11" s="8" t="s">
        <v>22</v>
      </c>
      <c r="B11" s="12">
        <v>63840</v>
      </c>
      <c r="C11" s="12">
        <v>2871</v>
      </c>
      <c r="D11" s="12">
        <v>409</v>
      </c>
      <c r="E11" s="12">
        <f>C11+D11</f>
        <v>3280</v>
      </c>
      <c r="F11" s="12">
        <v>2825</v>
      </c>
      <c r="G11" s="12">
        <v>2166</v>
      </c>
      <c r="H11" s="12">
        <f>E11+F11+G11</f>
        <v>8271</v>
      </c>
      <c r="I11" s="13">
        <f>E11/B11</f>
        <v>0.05137844611528822</v>
      </c>
      <c r="J11" s="13">
        <f>C11/B11</f>
        <v>0.0449718045112782</v>
      </c>
      <c r="K11" s="13">
        <f>D11/B11</f>
        <v>0.006406641604010025</v>
      </c>
      <c r="L11" s="12">
        <v>420</v>
      </c>
      <c r="M11" s="12">
        <v>1800</v>
      </c>
      <c r="N11" s="13">
        <f>H11/B11</f>
        <v>0.12955827067669173</v>
      </c>
      <c r="O11" s="13">
        <v>0.03835697399527187</v>
      </c>
    </row>
    <row r="12" spans="1:15">
      <c r="A12" s="8" t="s">
        <v>23</v>
      </c>
      <c r="B12" s="12">
        <v>70224</v>
      </c>
      <c r="C12" s="12">
        <v>3358</v>
      </c>
      <c r="D12" s="12">
        <v>694</v>
      </c>
      <c r="E12" s="12">
        <f>C12+D12</f>
        <v>4052</v>
      </c>
      <c r="F12" s="12">
        <v>2778</v>
      </c>
      <c r="G12" s="12">
        <v>3985</v>
      </c>
      <c r="H12" s="12">
        <f>E12+F12+G12</f>
        <v>10815</v>
      </c>
      <c r="I12" s="13">
        <f>E12/B12</f>
        <v>0.05770107085896559</v>
      </c>
      <c r="J12" s="13">
        <f>C12/B12</f>
        <v>0.04781840966051493</v>
      </c>
      <c r="K12" s="13">
        <f>D12/B12</f>
        <v>0.009882661198450672</v>
      </c>
      <c r="L12" s="12">
        <v>418</v>
      </c>
      <c r="M12" s="12">
        <v>1144</v>
      </c>
      <c r="N12" s="13">
        <f>H12/B12</f>
        <v>0.15400717703349281</v>
      </c>
      <c r="O12" s="13">
        <v>0.04776346895607814</v>
      </c>
    </row>
    <row r="13" spans="1:15">
      <c r="A13" s="11" t="s">
        <v>24</v>
      </c>
      <c r="B13" s="12">
        <f>SUM(B7:B12)</f>
        <v>400632</v>
      </c>
      <c r="C13" s="12">
        <f>SUM(C7:C12)</f>
        <v>14880</v>
      </c>
      <c r="D13" s="12">
        <f>SUM(D7:D12)</f>
        <v>4015</v>
      </c>
      <c r="E13" s="12">
        <f>SUM(E7:E12)</f>
        <v>18895</v>
      </c>
      <c r="F13" s="12">
        <f>SUM(F7:F12)</f>
        <v>23156</v>
      </c>
      <c r="G13" s="12">
        <f>SUM(G7:G12)</f>
        <v>16963</v>
      </c>
      <c r="H13" s="12">
        <f>SUM(H7:H12)</f>
        <v>59014</v>
      </c>
      <c r="I13" s="13">
        <f>E13/B13</f>
        <v>0.04716298248766948</v>
      </c>
      <c r="J13" s="13">
        <f>C13/B13</f>
        <v>0.03714131671958306</v>
      </c>
      <c r="K13" s="13">
        <f>D13/B13</f>
        <v>0.010021665768086423</v>
      </c>
      <c r="L13" s="12">
        <v>420.8333333333333</v>
      </c>
      <c r="M13" s="12">
        <v>39288</v>
      </c>
      <c r="N13" s="13">
        <f>H13/B13</f>
        <v>0.14730226242536792</v>
      </c>
      <c r="O13" s="13">
        <v>0.03921348650750912</v>
      </c>
    </row>
    <row r="16" spans="1:15">
      <c r="A16" s="10" t="s">
        <v>42</v>
      </c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</row>
    <row r="17" spans="1:15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</row>
    <row r="18" spans="1:15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</row>
  </sheetData>
  <mergeCells count="3">
    <mergeCell ref="A1:O2"/>
    <mergeCell ref="A3:O4"/>
    <mergeCell ref="A16:O18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J49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35.7109375" customWidth="1"/>
    <col min="2" max="2" width="15.7109375" customWidth="1"/>
    <col min="3" max="3" width="18.7109375" customWidth="1"/>
    <col min="4" max="4" width="15.7109375" customWidth="1"/>
    <col min="5" max="5" width="18.7109375" customWidth="1"/>
    <col min="6" max="6" width="15.7109375" customWidth="1"/>
    <col min="7" max="7" width="18.7109375" customWidth="1"/>
    <col min="8" max="8" width="70.7109375" customWidth="1"/>
    <col min="9" max="10" width="15.7109375" customWidth="1"/>
  </cols>
  <sheetData>
    <row r="1" spans="1:10" ht="25" customHeight="1">
      <c r="A1" s="1" t="s">
        <v>43</v>
      </c>
      <c r="B1" s="1"/>
      <c r="C1" s="1"/>
      <c r="D1" s="1"/>
      <c r="E1" s="1"/>
      <c r="F1" s="1"/>
      <c r="G1" s="1"/>
      <c r="H1" s="1"/>
      <c r="I1" s="1"/>
      <c r="J1" s="1"/>
    </row>
    <row r="2" spans="1:10" ht="18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4" customHeight="1">
      <c r="A3" s="2" t="s">
        <v>44</v>
      </c>
      <c r="B3" s="2"/>
      <c r="C3" s="2"/>
      <c r="D3" s="2"/>
      <c r="E3" s="2"/>
      <c r="F3" s="2"/>
      <c r="G3" s="2"/>
      <c r="H3" s="2"/>
      <c r="I3" s="2"/>
      <c r="J3" s="2"/>
    </row>
    <row r="4" spans="1:10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>
      <c r="A5" s="9" t="s">
        <v>4</v>
      </c>
    </row>
    <row r="6" spans="1:10" ht="42" customHeight="1">
      <c r="A6" s="11" t="s">
        <v>45</v>
      </c>
      <c r="B6" s="11" t="s">
        <v>46</v>
      </c>
      <c r="C6" s="11" t="s">
        <v>29</v>
      </c>
      <c r="D6" s="11" t="s">
        <v>47</v>
      </c>
      <c r="E6" s="11" t="s">
        <v>28</v>
      </c>
      <c r="F6" s="11" t="s">
        <v>35</v>
      </c>
      <c r="G6" s="11" t="s">
        <v>48</v>
      </c>
      <c r="H6" s="11" t="s">
        <v>49</v>
      </c>
    </row>
    <row r="7" spans="1:10" ht="30" customHeight="1">
      <c r="A7" s="8" t="s">
        <v>50</v>
      </c>
      <c r="B7" s="12">
        <v>4311</v>
      </c>
      <c r="C7" s="12">
        <v>2698</v>
      </c>
      <c r="D7" s="12">
        <v>1613</v>
      </c>
      <c r="E7" s="12">
        <v>53616</v>
      </c>
      <c r="F7" s="13">
        <v>0.08040510295434199</v>
      </c>
      <c r="G7" s="12">
        <v>56.33333333333334</v>
      </c>
      <c r="H7" s="8" t="s">
        <v>51</v>
      </c>
    </row>
    <row r="8" spans="1:10" ht="30" customHeight="1">
      <c r="A8" s="8" t="s">
        <v>52</v>
      </c>
      <c r="B8" s="12">
        <v>3766</v>
      </c>
      <c r="C8" s="12">
        <v>3006</v>
      </c>
      <c r="D8" s="12">
        <v>760</v>
      </c>
      <c r="E8" s="12">
        <v>62832</v>
      </c>
      <c r="F8" s="13">
        <v>0.05993761140819964</v>
      </c>
      <c r="G8" s="12">
        <v>66</v>
      </c>
      <c r="H8" s="8" t="s">
        <v>53</v>
      </c>
    </row>
    <row r="9" spans="1:10" ht="30" customHeight="1">
      <c r="A9" s="8" t="s">
        <v>54</v>
      </c>
      <c r="B9" s="12">
        <v>2056</v>
      </c>
      <c r="C9" s="12">
        <v>1712</v>
      </c>
      <c r="D9" s="12">
        <v>344</v>
      </c>
      <c r="E9" s="12">
        <v>30608</v>
      </c>
      <c r="F9" s="13">
        <v>0.06717198118139049</v>
      </c>
      <c r="G9" s="12">
        <v>32.16666666666666</v>
      </c>
      <c r="H9" s="8" t="s">
        <v>55</v>
      </c>
    </row>
    <row r="10" spans="1:10" ht="30" customHeight="1">
      <c r="A10" s="8" t="s">
        <v>56</v>
      </c>
      <c r="B10" s="12">
        <v>1817</v>
      </c>
      <c r="C10" s="12">
        <v>1817</v>
      </c>
      <c r="D10" s="12">
        <v>0</v>
      </c>
      <c r="E10" s="12">
        <v>28560</v>
      </c>
      <c r="F10" s="13">
        <v>0.0636204481792717</v>
      </c>
      <c r="G10" s="12">
        <v>30</v>
      </c>
      <c r="H10" s="8" t="s">
        <v>57</v>
      </c>
    </row>
    <row r="11" spans="1:10" ht="30" customHeight="1">
      <c r="A11" s="8" t="s">
        <v>58</v>
      </c>
      <c r="B11" s="12">
        <v>1669</v>
      </c>
      <c r="C11" s="12">
        <v>1512</v>
      </c>
      <c r="D11" s="12">
        <v>157</v>
      </c>
      <c r="E11" s="12">
        <v>19680</v>
      </c>
      <c r="F11" s="13">
        <v>0.08480691056910569</v>
      </c>
      <c r="G11" s="12">
        <v>20.66666666666667</v>
      </c>
      <c r="H11" s="8" t="s">
        <v>58</v>
      </c>
    </row>
    <row r="12" spans="1:10" ht="30" customHeight="1">
      <c r="A12" s="8" t="s">
        <v>59</v>
      </c>
      <c r="B12" s="12">
        <v>1160</v>
      </c>
      <c r="C12" s="12">
        <v>523</v>
      </c>
      <c r="D12" s="12">
        <v>637</v>
      </c>
      <c r="E12" s="12">
        <v>20944</v>
      </c>
      <c r="F12" s="13">
        <v>0.05538579067990833</v>
      </c>
      <c r="G12" s="12">
        <v>22</v>
      </c>
      <c r="H12" s="8" t="s">
        <v>60</v>
      </c>
    </row>
    <row r="13" spans="1:10" ht="30" customHeight="1">
      <c r="A13" s="8" t="s">
        <v>61</v>
      </c>
      <c r="B13" s="12">
        <v>969</v>
      </c>
      <c r="C13" s="12">
        <v>561</v>
      </c>
      <c r="D13" s="12">
        <v>408</v>
      </c>
      <c r="E13" s="12">
        <v>18864</v>
      </c>
      <c r="F13" s="13">
        <v>0.0513676844783715</v>
      </c>
      <c r="G13" s="12">
        <v>19.83333333333333</v>
      </c>
      <c r="H13" s="8" t="s">
        <v>62</v>
      </c>
    </row>
    <row r="14" spans="1:10" ht="30" customHeight="1">
      <c r="A14" s="8" t="s">
        <v>63</v>
      </c>
      <c r="B14" s="12">
        <v>697</v>
      </c>
      <c r="C14" s="12">
        <v>697</v>
      </c>
      <c r="D14" s="12">
        <v>0</v>
      </c>
      <c r="E14" s="12">
        <v>8256</v>
      </c>
      <c r="F14" s="13">
        <v>0.0844234496124031</v>
      </c>
      <c r="G14" s="12">
        <v>8.666666666666666</v>
      </c>
      <c r="H14" s="8" t="s">
        <v>63</v>
      </c>
    </row>
    <row r="15" spans="1:10" ht="30" customHeight="1">
      <c r="A15" s="8" t="s">
        <v>64</v>
      </c>
      <c r="B15" s="12">
        <v>317</v>
      </c>
      <c r="C15" s="12">
        <v>221</v>
      </c>
      <c r="D15" s="12">
        <v>96</v>
      </c>
      <c r="E15" s="12">
        <v>6664</v>
      </c>
      <c r="F15" s="13">
        <v>0.04756902761104442</v>
      </c>
      <c r="G15" s="12">
        <v>7</v>
      </c>
      <c r="H15" s="8" t="s">
        <v>64</v>
      </c>
    </row>
    <row r="16" spans="1:10" ht="30" customHeight="1">
      <c r="A16" s="8" t="s">
        <v>65</v>
      </c>
      <c r="B16" s="12">
        <v>314</v>
      </c>
      <c r="C16" s="12">
        <v>314</v>
      </c>
      <c r="D16" s="12">
        <v>0</v>
      </c>
      <c r="E16" s="12">
        <v>20944</v>
      </c>
      <c r="F16" s="13">
        <v>0.01499236058059587</v>
      </c>
      <c r="G16" s="12">
        <v>22</v>
      </c>
      <c r="H16" s="8" t="s">
        <v>66</v>
      </c>
    </row>
    <row r="17" spans="1:8" ht="30" customHeight="1">
      <c r="A17" s="8" t="s">
        <v>67</v>
      </c>
      <c r="B17" s="12">
        <v>264</v>
      </c>
      <c r="C17" s="12">
        <v>264</v>
      </c>
      <c r="D17" s="12">
        <v>0</v>
      </c>
      <c r="E17" s="12">
        <v>1272</v>
      </c>
      <c r="F17" s="13">
        <v>0.2075471698113208</v>
      </c>
      <c r="G17" s="12">
        <v>1.333333333333333</v>
      </c>
      <c r="H17" s="8" t="s">
        <v>68</v>
      </c>
    </row>
    <row r="18" spans="1:8" ht="30" customHeight="1">
      <c r="A18" s="8" t="s">
        <v>69</v>
      </c>
      <c r="B18" s="12">
        <v>206</v>
      </c>
      <c r="C18" s="12">
        <v>206</v>
      </c>
      <c r="D18" s="12">
        <v>0</v>
      </c>
      <c r="E18" s="12">
        <v>9208</v>
      </c>
      <c r="F18" s="13">
        <v>0.02237185056472632</v>
      </c>
      <c r="G18" s="12">
        <v>9.666666666666666</v>
      </c>
      <c r="H18" s="8" t="s">
        <v>70</v>
      </c>
    </row>
    <row r="19" spans="1:8" ht="30" customHeight="1">
      <c r="A19" s="8" t="s">
        <v>71</v>
      </c>
      <c r="B19" s="12">
        <v>167</v>
      </c>
      <c r="C19" s="12">
        <v>167</v>
      </c>
      <c r="D19" s="12">
        <v>0</v>
      </c>
      <c r="E19" s="12">
        <v>3632</v>
      </c>
      <c r="F19" s="13">
        <v>0.04598017621145375</v>
      </c>
      <c r="G19" s="12">
        <v>3.833333333333333</v>
      </c>
      <c r="H19" s="8" t="s">
        <v>72</v>
      </c>
    </row>
    <row r="20" spans="1:8" ht="30" customHeight="1">
      <c r="A20" s="8" t="s">
        <v>73</v>
      </c>
      <c r="B20" s="12">
        <v>154</v>
      </c>
      <c r="C20" s="12">
        <v>154</v>
      </c>
      <c r="D20" s="12">
        <v>0</v>
      </c>
      <c r="E20" s="12">
        <v>6664</v>
      </c>
      <c r="F20" s="13">
        <v>0.02310924369747899</v>
      </c>
      <c r="G20" s="12">
        <v>7</v>
      </c>
      <c r="H20" s="8" t="s">
        <v>73</v>
      </c>
    </row>
    <row r="21" spans="1:8" ht="30" customHeight="1">
      <c r="A21" s="8" t="s">
        <v>74</v>
      </c>
      <c r="B21" s="12">
        <v>138</v>
      </c>
      <c r="C21" s="12">
        <v>138</v>
      </c>
      <c r="D21" s="12">
        <v>0</v>
      </c>
      <c r="E21" s="12">
        <v>2856</v>
      </c>
      <c r="F21" s="13">
        <v>0.04831932773109244</v>
      </c>
      <c r="G21" s="12">
        <v>3</v>
      </c>
      <c r="H21" s="8" t="s">
        <v>75</v>
      </c>
    </row>
    <row r="22" spans="1:8" ht="30" customHeight="1">
      <c r="A22" s="8" t="s">
        <v>76</v>
      </c>
      <c r="B22" s="12">
        <v>118</v>
      </c>
      <c r="C22" s="12">
        <v>118</v>
      </c>
      <c r="D22" s="12">
        <v>0</v>
      </c>
      <c r="E22" s="12">
        <v>10472</v>
      </c>
      <c r="F22" s="13">
        <v>0.0112681436210848</v>
      </c>
      <c r="G22" s="12">
        <v>11</v>
      </c>
      <c r="H22" s="8" t="s">
        <v>77</v>
      </c>
    </row>
    <row r="23" spans="1:8" ht="30" customHeight="1">
      <c r="A23" s="8" t="s">
        <v>78</v>
      </c>
      <c r="B23" s="12">
        <v>105</v>
      </c>
      <c r="C23" s="12">
        <v>105</v>
      </c>
      <c r="D23" s="12">
        <v>0</v>
      </c>
      <c r="E23" s="12">
        <v>6032</v>
      </c>
      <c r="F23" s="13">
        <v>0.01740716180371353</v>
      </c>
      <c r="G23" s="12">
        <v>6.333333333333333</v>
      </c>
      <c r="H23" s="8" t="s">
        <v>79</v>
      </c>
    </row>
    <row r="24" spans="1:8" ht="30" customHeight="1">
      <c r="A24" s="8" t="s">
        <v>80</v>
      </c>
      <c r="B24" s="12">
        <v>92</v>
      </c>
      <c r="C24" s="12">
        <v>92</v>
      </c>
      <c r="D24" s="12">
        <v>0</v>
      </c>
      <c r="E24" s="12">
        <v>5840</v>
      </c>
      <c r="F24" s="13">
        <v>0.01575342465753425</v>
      </c>
      <c r="G24" s="12">
        <v>6.166666666666667</v>
      </c>
      <c r="H24" s="8" t="s">
        <v>81</v>
      </c>
    </row>
    <row r="25" spans="1:8" ht="30" customHeight="1">
      <c r="A25" s="8" t="s">
        <v>82</v>
      </c>
      <c r="B25" s="12">
        <v>84</v>
      </c>
      <c r="C25" s="12">
        <v>84</v>
      </c>
      <c r="D25" s="12">
        <v>0</v>
      </c>
      <c r="E25" s="12">
        <v>5224</v>
      </c>
      <c r="F25" s="13">
        <v>0.01607963246554365</v>
      </c>
      <c r="G25" s="12">
        <v>5.5</v>
      </c>
      <c r="H25" s="8" t="s">
        <v>83</v>
      </c>
    </row>
    <row r="26" spans="1:8" ht="30" customHeight="1">
      <c r="A26" s="8" t="s">
        <v>84</v>
      </c>
      <c r="B26" s="12">
        <v>69</v>
      </c>
      <c r="C26" s="12">
        <v>69</v>
      </c>
      <c r="D26" s="12">
        <v>0</v>
      </c>
      <c r="E26" s="12">
        <v>6024</v>
      </c>
      <c r="F26" s="13">
        <v>0.01145418326693227</v>
      </c>
      <c r="G26" s="12">
        <v>6.333333333333333</v>
      </c>
      <c r="H26" s="8" t="s">
        <v>85</v>
      </c>
    </row>
    <row r="27" spans="1:8" ht="30" customHeight="1">
      <c r="A27" s="8" t="s">
        <v>86</v>
      </c>
      <c r="B27" s="12">
        <v>67</v>
      </c>
      <c r="C27" s="12">
        <v>67</v>
      </c>
      <c r="D27" s="12">
        <v>0</v>
      </c>
      <c r="E27" s="12">
        <v>8960</v>
      </c>
      <c r="F27" s="13">
        <v>0.007477678571428572</v>
      </c>
      <c r="G27" s="12">
        <v>9.333333333333334</v>
      </c>
      <c r="H27" s="8" t="s">
        <v>87</v>
      </c>
    </row>
    <row r="28" spans="1:8" ht="30" customHeight="1">
      <c r="A28" s="8" t="s">
        <v>88</v>
      </c>
      <c r="B28" s="12">
        <v>66</v>
      </c>
      <c r="C28" s="12">
        <v>66</v>
      </c>
      <c r="D28" s="12">
        <v>0</v>
      </c>
      <c r="E28" s="12">
        <v>6216</v>
      </c>
      <c r="F28" s="13">
        <v>0.01061776061776062</v>
      </c>
      <c r="G28" s="12">
        <v>6.5</v>
      </c>
      <c r="H28" s="8" t="s">
        <v>89</v>
      </c>
    </row>
    <row r="29" spans="1:8" ht="30" customHeight="1">
      <c r="A29" s="8" t="s">
        <v>90</v>
      </c>
      <c r="B29" s="12">
        <v>62</v>
      </c>
      <c r="C29" s="12">
        <v>62</v>
      </c>
      <c r="D29" s="12">
        <v>0</v>
      </c>
      <c r="E29" s="12">
        <v>6992</v>
      </c>
      <c r="F29" s="13">
        <v>0.008867276887871853</v>
      </c>
      <c r="G29" s="12">
        <v>7.333333333333333</v>
      </c>
      <c r="H29" s="8" t="s">
        <v>91</v>
      </c>
    </row>
    <row r="30" spans="1:8" ht="30" customHeight="1">
      <c r="A30" s="8" t="s">
        <v>92</v>
      </c>
      <c r="B30" s="12">
        <v>49</v>
      </c>
      <c r="C30" s="12">
        <v>49</v>
      </c>
      <c r="D30" s="12">
        <v>0</v>
      </c>
      <c r="E30" s="12">
        <v>2728</v>
      </c>
      <c r="F30" s="13">
        <v>0.01796187683284458</v>
      </c>
      <c r="G30" s="12">
        <v>2.833333333333333</v>
      </c>
      <c r="H30" s="8" t="s">
        <v>93</v>
      </c>
    </row>
    <row r="31" spans="1:8" ht="30" customHeight="1">
      <c r="A31" s="8" t="s">
        <v>94</v>
      </c>
      <c r="B31" s="12">
        <v>48</v>
      </c>
      <c r="C31" s="12">
        <v>48</v>
      </c>
      <c r="D31" s="12">
        <v>0</v>
      </c>
      <c r="E31" s="12">
        <v>7928</v>
      </c>
      <c r="F31" s="13">
        <v>0.006054490413723511</v>
      </c>
      <c r="G31" s="12">
        <v>8.333333333333334</v>
      </c>
      <c r="H31" s="8" t="s">
        <v>95</v>
      </c>
    </row>
    <row r="32" spans="1:8" ht="30" customHeight="1">
      <c r="A32" s="8" t="s">
        <v>96</v>
      </c>
      <c r="B32" s="12">
        <v>24</v>
      </c>
      <c r="C32" s="12">
        <v>24</v>
      </c>
      <c r="D32" s="12">
        <v>0</v>
      </c>
      <c r="E32" s="12">
        <v>4680</v>
      </c>
      <c r="F32" s="13">
        <v>0.005128205128205128</v>
      </c>
      <c r="G32" s="12">
        <v>5</v>
      </c>
      <c r="H32" s="8" t="s">
        <v>97</v>
      </c>
    </row>
    <row r="33" spans="1:8" ht="30" customHeight="1">
      <c r="A33" s="8" t="s">
        <v>98</v>
      </c>
      <c r="B33" s="12">
        <v>18</v>
      </c>
      <c r="C33" s="12">
        <v>18</v>
      </c>
      <c r="D33" s="12">
        <v>0</v>
      </c>
      <c r="E33" s="12">
        <v>5712</v>
      </c>
      <c r="F33" s="13">
        <v>0.003151260504201681</v>
      </c>
      <c r="G33" s="12">
        <v>6</v>
      </c>
      <c r="H33" s="8" t="s">
        <v>99</v>
      </c>
    </row>
    <row r="34" spans="1:8" ht="30" customHeight="1">
      <c r="A34" s="8" t="s">
        <v>100</v>
      </c>
      <c r="B34" s="12">
        <v>17</v>
      </c>
      <c r="C34" s="12">
        <v>17</v>
      </c>
      <c r="D34" s="12">
        <v>0</v>
      </c>
      <c r="E34" s="12">
        <v>1904</v>
      </c>
      <c r="F34" s="13">
        <v>0.008928571428571428</v>
      </c>
      <c r="G34" s="12">
        <v>2</v>
      </c>
      <c r="H34" s="8" t="s">
        <v>101</v>
      </c>
    </row>
    <row r="35" spans="1:8" ht="30" customHeight="1">
      <c r="A35" s="8" t="s">
        <v>102</v>
      </c>
      <c r="B35" s="12">
        <v>16</v>
      </c>
      <c r="C35" s="12">
        <v>16</v>
      </c>
      <c r="D35" s="12">
        <v>0</v>
      </c>
      <c r="E35" s="12">
        <v>4128</v>
      </c>
      <c r="F35" s="13">
        <v>0.003875968992248062</v>
      </c>
      <c r="G35" s="12">
        <v>4.333333333333333</v>
      </c>
      <c r="H35" s="8" t="s">
        <v>103</v>
      </c>
    </row>
    <row r="36" spans="1:8" ht="30" customHeight="1">
      <c r="A36" s="8" t="s">
        <v>104</v>
      </c>
      <c r="B36" s="12">
        <v>16</v>
      </c>
      <c r="C36" s="12">
        <v>16</v>
      </c>
      <c r="D36" s="12">
        <v>0</v>
      </c>
      <c r="E36" s="12">
        <v>952</v>
      </c>
      <c r="F36" s="13">
        <v>0.01680672268907563</v>
      </c>
      <c r="G36" s="12">
        <v>1</v>
      </c>
      <c r="H36" s="8" t="s">
        <v>105</v>
      </c>
    </row>
    <row r="37" spans="1:8" ht="30" customHeight="1">
      <c r="A37" s="8" t="s">
        <v>106</v>
      </c>
      <c r="B37" s="12">
        <v>10</v>
      </c>
      <c r="C37" s="12">
        <v>10</v>
      </c>
      <c r="D37" s="12">
        <v>0</v>
      </c>
      <c r="E37" s="12">
        <v>952</v>
      </c>
      <c r="F37" s="13">
        <v>0.01050420168067227</v>
      </c>
      <c r="G37" s="12">
        <v>1</v>
      </c>
      <c r="H37" s="8" t="s">
        <v>106</v>
      </c>
    </row>
    <row r="38" spans="1:8" ht="30" customHeight="1">
      <c r="A38" s="8" t="s">
        <v>107</v>
      </c>
      <c r="B38" s="12">
        <v>8</v>
      </c>
      <c r="C38" s="12">
        <v>8</v>
      </c>
      <c r="D38" s="12">
        <v>0</v>
      </c>
      <c r="E38" s="12">
        <v>952</v>
      </c>
      <c r="F38" s="13">
        <v>0.008403361344537815</v>
      </c>
      <c r="G38" s="12">
        <v>1</v>
      </c>
      <c r="H38" s="8" t="s">
        <v>108</v>
      </c>
    </row>
    <row r="39" spans="1:8" ht="30" customHeight="1">
      <c r="A39" s="8" t="s">
        <v>109</v>
      </c>
      <c r="B39" s="12">
        <v>6</v>
      </c>
      <c r="C39" s="12">
        <v>6</v>
      </c>
      <c r="D39" s="12">
        <v>0</v>
      </c>
      <c r="E39" s="12">
        <v>2856</v>
      </c>
      <c r="F39" s="13">
        <v>0.002100840336134454</v>
      </c>
      <c r="G39" s="12">
        <v>3</v>
      </c>
      <c r="H39" s="8" t="s">
        <v>110</v>
      </c>
    </row>
    <row r="40" spans="1:8" ht="30" customHeight="1">
      <c r="A40" s="8" t="s">
        <v>111</v>
      </c>
      <c r="B40" s="12">
        <v>5</v>
      </c>
      <c r="C40" s="12">
        <v>5</v>
      </c>
      <c r="D40" s="12">
        <v>0</v>
      </c>
      <c r="E40" s="12">
        <v>1904</v>
      </c>
      <c r="F40" s="13">
        <v>0.002626050420168067</v>
      </c>
      <c r="G40" s="12">
        <v>2</v>
      </c>
      <c r="H40" s="8" t="s">
        <v>112</v>
      </c>
    </row>
    <row r="41" spans="1:8" ht="30" customHeight="1">
      <c r="A41" s="8" t="s">
        <v>113</v>
      </c>
      <c r="B41" s="12">
        <v>4</v>
      </c>
      <c r="C41" s="12">
        <v>4</v>
      </c>
      <c r="D41" s="12">
        <v>0</v>
      </c>
      <c r="E41" s="12">
        <v>2856</v>
      </c>
      <c r="F41" s="13">
        <v>0.001400560224089636</v>
      </c>
      <c r="G41" s="12">
        <v>3</v>
      </c>
      <c r="H41" s="8" t="s">
        <v>114</v>
      </c>
    </row>
    <row r="42" spans="1:8" ht="30" customHeight="1">
      <c r="A42" s="8" t="s">
        <v>115</v>
      </c>
      <c r="B42" s="12">
        <v>3</v>
      </c>
      <c r="C42" s="12">
        <v>3</v>
      </c>
      <c r="D42" s="12">
        <v>0</v>
      </c>
      <c r="E42" s="12">
        <v>2688</v>
      </c>
      <c r="F42" s="13">
        <v>0.001116071428571429</v>
      </c>
      <c r="G42" s="12">
        <v>2.833333333333333</v>
      </c>
      <c r="H42" s="8" t="s">
        <v>116</v>
      </c>
    </row>
    <row r="43" spans="1:8" ht="30" customHeight="1">
      <c r="A43" s="8" t="s">
        <v>117</v>
      </c>
      <c r="B43" s="12">
        <v>2</v>
      </c>
      <c r="C43" s="12">
        <v>2</v>
      </c>
      <c r="D43" s="12">
        <v>0</v>
      </c>
      <c r="E43" s="12">
        <v>3200</v>
      </c>
      <c r="F43" s="13">
        <v>0.000625</v>
      </c>
      <c r="G43" s="12">
        <v>3.333333333333333</v>
      </c>
      <c r="H43" s="8" t="s">
        <v>118</v>
      </c>
    </row>
    <row r="44" spans="1:8" ht="30" customHeight="1">
      <c r="A44" s="8" t="s">
        <v>119</v>
      </c>
      <c r="B44" s="12">
        <v>1</v>
      </c>
      <c r="C44" s="12">
        <v>1</v>
      </c>
      <c r="D44" s="12">
        <v>0</v>
      </c>
      <c r="E44" s="12">
        <v>952</v>
      </c>
      <c r="F44" s="13">
        <v>0.001050420168067227</v>
      </c>
      <c r="G44" s="12">
        <v>1</v>
      </c>
      <c r="H44" s="8" t="s">
        <v>120</v>
      </c>
    </row>
    <row r="45" spans="1:8" ht="30" customHeight="1">
      <c r="A45" s="8" t="s">
        <v>121</v>
      </c>
      <c r="B45" s="12">
        <v>0</v>
      </c>
      <c r="C45" s="12">
        <v>0</v>
      </c>
      <c r="D45" s="12">
        <v>0</v>
      </c>
      <c r="E45" s="12">
        <v>952</v>
      </c>
      <c r="F45" s="13">
        <v>0</v>
      </c>
      <c r="G45" s="12">
        <v>1</v>
      </c>
      <c r="H45" s="8" t="s">
        <v>122</v>
      </c>
    </row>
    <row r="46" spans="1:8" ht="30" customHeight="1">
      <c r="A46" s="8" t="s">
        <v>123</v>
      </c>
      <c r="B46" s="12">
        <v>0</v>
      </c>
      <c r="C46" s="12">
        <v>0</v>
      </c>
      <c r="D46" s="12">
        <v>0</v>
      </c>
      <c r="E46" s="12">
        <v>1904</v>
      </c>
      <c r="F46" s="13">
        <v>0</v>
      </c>
      <c r="G46" s="12">
        <v>2</v>
      </c>
      <c r="H46" s="8" t="s">
        <v>124</v>
      </c>
    </row>
    <row r="47" spans="1:8" ht="30" customHeight="1">
      <c r="A47" s="8" t="s">
        <v>125</v>
      </c>
      <c r="B47" s="12">
        <v>0</v>
      </c>
      <c r="C47" s="12">
        <v>0</v>
      </c>
      <c r="D47" s="12">
        <v>0</v>
      </c>
      <c r="E47" s="12">
        <v>168</v>
      </c>
      <c r="F47" s="13">
        <v>0</v>
      </c>
      <c r="G47" s="12">
        <v>0.1666666666666667</v>
      </c>
      <c r="H47" s="8" t="s">
        <v>126</v>
      </c>
    </row>
    <row r="48" spans="1:8" ht="30" customHeight="1">
      <c r="A48" s="8" t="s">
        <v>127</v>
      </c>
      <c r="B48" s="12">
        <v>0</v>
      </c>
      <c r="C48" s="12">
        <v>0</v>
      </c>
      <c r="D48" s="12">
        <v>0</v>
      </c>
      <c r="E48" s="12">
        <v>1904</v>
      </c>
      <c r="F48" s="13">
        <v>0</v>
      </c>
      <c r="G48" s="12">
        <v>2</v>
      </c>
      <c r="H48" s="8" t="s">
        <v>128</v>
      </c>
    </row>
    <row r="49" spans="1:8" ht="30" customHeight="1">
      <c r="A49" s="8" t="s">
        <v>129</v>
      </c>
      <c r="B49" s="12">
        <v>0</v>
      </c>
      <c r="C49" s="12">
        <v>0</v>
      </c>
      <c r="D49" s="12">
        <v>0</v>
      </c>
      <c r="E49" s="12">
        <v>952</v>
      </c>
      <c r="F49" s="13">
        <v>0</v>
      </c>
      <c r="G49" s="12">
        <v>1</v>
      </c>
      <c r="H49" s="8" t="s">
        <v>130</v>
      </c>
    </row>
  </sheetData>
  <autoFilter ref="A6:H49"/>
  <mergeCells count="2">
    <mergeCell ref="A1:J2"/>
    <mergeCell ref="A3:J4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K35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15.7109375" customWidth="1"/>
    <col min="2" max="2" width="25.7109375" customWidth="1"/>
    <col min="3" max="3" width="44.7109375" customWidth="1"/>
    <col min="4" max="4" width="40.7109375" customWidth="1"/>
    <col min="5" max="5" width="18.7109375" customWidth="1"/>
    <col min="6" max="6" width="15.7109375" customWidth="1"/>
    <col min="7" max="7" width="18.7109375" customWidth="1"/>
    <col min="8" max="8" width="15.7109375" customWidth="1"/>
    <col min="9" max="9" width="19.7109375" customWidth="1"/>
    <col min="10" max="10" width="36.7109375" customWidth="1"/>
    <col min="11" max="11" width="43.7109375" customWidth="1"/>
  </cols>
  <sheetData>
    <row r="1" spans="1:11" ht="25" customHeight="1">
      <c r="A1" s="1" t="s">
        <v>131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24" customHeight="1">
      <c r="A3" s="2" t="s">
        <v>132</v>
      </c>
      <c r="B3" s="2"/>
      <c r="C3" s="2"/>
      <c r="D3" s="2"/>
      <c r="E3" s="2"/>
      <c r="F3" s="2"/>
      <c r="G3" s="2"/>
      <c r="H3" s="2"/>
      <c r="I3" s="2"/>
      <c r="J3" s="2"/>
      <c r="K3" s="2"/>
    </row>
    <row r="4" spans="1:11">
      <c r="A4" s="2"/>
      <c r="B4" s="2"/>
      <c r="C4" s="2"/>
      <c r="D4" s="2"/>
      <c r="E4" s="2"/>
      <c r="F4" s="2"/>
      <c r="G4" s="2"/>
      <c r="H4" s="2"/>
      <c r="I4" s="2"/>
      <c r="J4" s="2"/>
      <c r="K4" s="2"/>
    </row>
    <row r="5" spans="1:11">
      <c r="A5" s="9" t="s">
        <v>4</v>
      </c>
    </row>
    <row r="6" spans="1:11" ht="42" customHeight="1">
      <c r="A6" s="11" t="s">
        <v>5</v>
      </c>
      <c r="B6" s="11" t="s">
        <v>133</v>
      </c>
      <c r="C6" s="11" t="s">
        <v>134</v>
      </c>
      <c r="D6" s="11" t="s">
        <v>135</v>
      </c>
      <c r="E6" s="11" t="s">
        <v>29</v>
      </c>
      <c r="F6" s="11" t="s">
        <v>47</v>
      </c>
      <c r="G6" s="11" t="s">
        <v>31</v>
      </c>
      <c r="H6" s="11" t="s">
        <v>38</v>
      </c>
      <c r="I6" s="11" t="s">
        <v>28</v>
      </c>
      <c r="J6" s="11" t="s">
        <v>136</v>
      </c>
      <c r="K6" s="11" t="s">
        <v>137</v>
      </c>
    </row>
    <row r="7" spans="1:11" ht="30" customHeight="1">
      <c r="A7" s="8" t="s">
        <v>18</v>
      </c>
      <c r="B7" s="8" t="s">
        <v>138</v>
      </c>
      <c r="C7" s="8" t="s">
        <v>63</v>
      </c>
      <c r="D7" s="8" t="s">
        <v>139</v>
      </c>
      <c r="E7" s="12">
        <v>112</v>
      </c>
      <c r="F7" s="12">
        <v>0</v>
      </c>
      <c r="G7" s="12">
        <v>112</v>
      </c>
      <c r="H7" s="12">
        <v>8</v>
      </c>
      <c r="I7" s="12">
        <v>1344</v>
      </c>
      <c r="J7" s="8" t="s">
        <v>140</v>
      </c>
      <c r="K7" s="8" t="s">
        <v>141</v>
      </c>
    </row>
    <row r="8" spans="1:11" ht="30" customHeight="1">
      <c r="A8" s="8" t="s">
        <v>18</v>
      </c>
      <c r="B8" s="8" t="s">
        <v>138</v>
      </c>
      <c r="C8" s="8" t="s">
        <v>101</v>
      </c>
      <c r="D8" s="8" t="s">
        <v>142</v>
      </c>
      <c r="E8" s="12">
        <v>3</v>
      </c>
      <c r="F8" s="12">
        <v>0</v>
      </c>
      <c r="G8" s="12">
        <v>3</v>
      </c>
      <c r="H8" s="12">
        <v>2</v>
      </c>
      <c r="I8" s="12">
        <v>336</v>
      </c>
      <c r="J8" s="8" t="s">
        <v>140</v>
      </c>
      <c r="K8" s="8" t="s">
        <v>143</v>
      </c>
    </row>
    <row r="9" spans="1:11" ht="30" customHeight="1">
      <c r="A9" s="8" t="s">
        <v>18</v>
      </c>
      <c r="B9" s="8" t="s">
        <v>138</v>
      </c>
      <c r="C9" s="8" t="s">
        <v>91</v>
      </c>
      <c r="D9" s="8" t="s">
        <v>144</v>
      </c>
      <c r="E9" s="12">
        <v>2</v>
      </c>
      <c r="F9" s="12">
        <v>0</v>
      </c>
      <c r="G9" s="12">
        <v>2</v>
      </c>
      <c r="H9" s="12">
        <v>6</v>
      </c>
      <c r="I9" s="12">
        <v>1008</v>
      </c>
      <c r="J9" s="8" t="s">
        <v>140</v>
      </c>
      <c r="K9" s="8" t="s">
        <v>145</v>
      </c>
    </row>
    <row r="10" spans="1:11" ht="30" customHeight="1">
      <c r="A10" s="8" t="s">
        <v>18</v>
      </c>
      <c r="B10" s="8" t="s">
        <v>138</v>
      </c>
      <c r="C10" s="8" t="s">
        <v>97</v>
      </c>
      <c r="D10" s="8" t="s">
        <v>146</v>
      </c>
      <c r="E10" s="12">
        <v>8</v>
      </c>
      <c r="F10" s="12">
        <v>0</v>
      </c>
      <c r="G10" s="12">
        <v>8</v>
      </c>
      <c r="H10" s="12">
        <v>15</v>
      </c>
      <c r="I10" s="12">
        <v>2520</v>
      </c>
      <c r="J10" s="8" t="s">
        <v>140</v>
      </c>
      <c r="K10" s="8" t="s">
        <v>147</v>
      </c>
    </row>
    <row r="11" spans="1:11" ht="30" customHeight="1">
      <c r="A11" s="8" t="s">
        <v>18</v>
      </c>
      <c r="B11" s="8" t="s">
        <v>138</v>
      </c>
      <c r="C11" s="8" t="s">
        <v>57</v>
      </c>
      <c r="D11" s="8" t="s">
        <v>148</v>
      </c>
      <c r="E11" s="12">
        <v>254</v>
      </c>
      <c r="F11" s="12">
        <v>0</v>
      </c>
      <c r="G11" s="12">
        <v>254</v>
      </c>
      <c r="H11" s="12">
        <v>29</v>
      </c>
      <c r="I11" s="12">
        <v>4872</v>
      </c>
      <c r="J11" s="8" t="s">
        <v>140</v>
      </c>
      <c r="K11" s="8" t="s">
        <v>149</v>
      </c>
    </row>
    <row r="12" spans="1:11" ht="30" customHeight="1">
      <c r="A12" s="8" t="s">
        <v>18</v>
      </c>
      <c r="B12" s="8" t="s">
        <v>138</v>
      </c>
      <c r="C12" s="8" t="s">
        <v>53</v>
      </c>
      <c r="D12" s="8" t="s">
        <v>150</v>
      </c>
      <c r="E12" s="12">
        <v>626</v>
      </c>
      <c r="F12" s="12">
        <v>232</v>
      </c>
      <c r="G12" s="12">
        <v>858</v>
      </c>
      <c r="H12" s="12">
        <v>65</v>
      </c>
      <c r="I12" s="12">
        <v>10920</v>
      </c>
      <c r="J12" s="8" t="s">
        <v>140</v>
      </c>
      <c r="K12" s="8" t="s">
        <v>151</v>
      </c>
    </row>
    <row r="13" spans="1:11" ht="30" customHeight="1">
      <c r="A13" s="8" t="s">
        <v>18</v>
      </c>
      <c r="B13" s="8" t="s">
        <v>138</v>
      </c>
      <c r="C13" s="8" t="s">
        <v>70</v>
      </c>
      <c r="D13" s="8" t="s">
        <v>152</v>
      </c>
      <c r="E13" s="12">
        <v>18</v>
      </c>
      <c r="F13" s="12">
        <v>0</v>
      </c>
      <c r="G13" s="12">
        <v>18</v>
      </c>
      <c r="H13" s="12">
        <v>9</v>
      </c>
      <c r="I13" s="12">
        <v>1512</v>
      </c>
      <c r="J13" s="8" t="s">
        <v>140</v>
      </c>
      <c r="K13" s="8" t="s">
        <v>153</v>
      </c>
    </row>
    <row r="14" spans="1:11" ht="30" customHeight="1">
      <c r="A14" s="8" t="s">
        <v>18</v>
      </c>
      <c r="B14" s="8" t="s">
        <v>138</v>
      </c>
      <c r="C14" s="8" t="s">
        <v>55</v>
      </c>
      <c r="D14" s="8" t="s">
        <v>154</v>
      </c>
      <c r="E14" s="12">
        <v>381</v>
      </c>
      <c r="F14" s="12">
        <v>224</v>
      </c>
      <c r="G14" s="12">
        <v>605</v>
      </c>
      <c r="H14" s="12">
        <v>31</v>
      </c>
      <c r="I14" s="12">
        <v>5208</v>
      </c>
      <c r="J14" s="8" t="s">
        <v>140</v>
      </c>
      <c r="K14" s="8" t="s">
        <v>155</v>
      </c>
    </row>
    <row r="15" spans="1:11" ht="30" customHeight="1">
      <c r="A15" s="8" t="s">
        <v>18</v>
      </c>
      <c r="B15" s="8" t="s">
        <v>138</v>
      </c>
      <c r="C15" s="8" t="s">
        <v>112</v>
      </c>
      <c r="D15" s="8" t="s">
        <v>156</v>
      </c>
      <c r="E15" s="12">
        <v>0</v>
      </c>
      <c r="F15" s="12">
        <v>0</v>
      </c>
      <c r="G15" s="12">
        <v>0</v>
      </c>
      <c r="H15" s="12">
        <v>1</v>
      </c>
      <c r="I15" s="12">
        <v>168</v>
      </c>
      <c r="J15" s="8" t="s">
        <v>140</v>
      </c>
      <c r="K15" s="8" t="s">
        <v>157</v>
      </c>
    </row>
    <row r="16" spans="1:11" ht="30" customHeight="1">
      <c r="A16" s="8" t="s">
        <v>18</v>
      </c>
      <c r="B16" s="8" t="s">
        <v>138</v>
      </c>
      <c r="C16" s="8" t="s">
        <v>85</v>
      </c>
      <c r="D16" s="8" t="s">
        <v>158</v>
      </c>
      <c r="E16" s="12">
        <v>5</v>
      </c>
      <c r="F16" s="12">
        <v>0</v>
      </c>
      <c r="G16" s="12">
        <v>5</v>
      </c>
      <c r="H16" s="12">
        <v>7</v>
      </c>
      <c r="I16" s="12">
        <v>1176</v>
      </c>
      <c r="J16" s="8" t="s">
        <v>140</v>
      </c>
      <c r="K16" s="8" t="s">
        <v>159</v>
      </c>
    </row>
    <row r="17" spans="1:11" ht="30" customHeight="1">
      <c r="A17" s="8" t="s">
        <v>18</v>
      </c>
      <c r="B17" s="8" t="s">
        <v>138</v>
      </c>
      <c r="C17" s="8" t="s">
        <v>66</v>
      </c>
      <c r="D17" s="8" t="s">
        <v>160</v>
      </c>
      <c r="E17" s="12">
        <v>29</v>
      </c>
      <c r="F17" s="12">
        <v>0</v>
      </c>
      <c r="G17" s="12">
        <v>29</v>
      </c>
      <c r="H17" s="12">
        <v>22</v>
      </c>
      <c r="I17" s="12">
        <v>3696</v>
      </c>
      <c r="J17" s="8" t="s">
        <v>140</v>
      </c>
      <c r="K17" s="8" t="s">
        <v>161</v>
      </c>
    </row>
    <row r="18" spans="1:11" ht="30" customHeight="1">
      <c r="A18" s="8" t="s">
        <v>18</v>
      </c>
      <c r="B18" s="8" t="s">
        <v>138</v>
      </c>
      <c r="C18" s="8" t="s">
        <v>162</v>
      </c>
      <c r="D18" s="8" t="s">
        <v>163</v>
      </c>
      <c r="E18" s="12">
        <v>2</v>
      </c>
      <c r="F18" s="12">
        <v>0</v>
      </c>
      <c r="G18" s="12">
        <v>2</v>
      </c>
      <c r="H18" s="12">
        <v>8</v>
      </c>
      <c r="I18" s="12">
        <v>1344</v>
      </c>
      <c r="J18" s="8" t="s">
        <v>140</v>
      </c>
      <c r="K18" s="8" t="s">
        <v>164</v>
      </c>
    </row>
    <row r="19" spans="1:11" ht="30" customHeight="1">
      <c r="A19" s="8" t="s">
        <v>18</v>
      </c>
      <c r="B19" s="8" t="s">
        <v>138</v>
      </c>
      <c r="C19" s="8" t="s">
        <v>122</v>
      </c>
      <c r="D19" s="8" t="s">
        <v>165</v>
      </c>
      <c r="E19" s="12">
        <v>0</v>
      </c>
      <c r="F19" s="12">
        <v>0</v>
      </c>
      <c r="G19" s="12">
        <v>0</v>
      </c>
      <c r="H19" s="12">
        <v>1</v>
      </c>
      <c r="I19" s="12">
        <v>168</v>
      </c>
      <c r="J19" s="8" t="s">
        <v>140</v>
      </c>
      <c r="K19" s="8" t="s">
        <v>166</v>
      </c>
    </row>
    <row r="20" spans="1:11" ht="30" customHeight="1">
      <c r="A20" s="8" t="s">
        <v>18</v>
      </c>
      <c r="B20" s="8" t="s">
        <v>138</v>
      </c>
      <c r="C20" s="8" t="s">
        <v>167</v>
      </c>
      <c r="D20" s="8" t="s">
        <v>168</v>
      </c>
      <c r="E20" s="12">
        <v>26</v>
      </c>
      <c r="F20" s="12">
        <v>56</v>
      </c>
      <c r="G20" s="12">
        <v>82</v>
      </c>
      <c r="H20" s="12">
        <v>21</v>
      </c>
      <c r="I20" s="12">
        <v>3528</v>
      </c>
      <c r="J20" s="8" t="s">
        <v>140</v>
      </c>
      <c r="K20" s="8" t="s">
        <v>169</v>
      </c>
    </row>
    <row r="21" spans="1:11" ht="30" customHeight="1">
      <c r="A21" s="8" t="s">
        <v>18</v>
      </c>
      <c r="B21" s="8" t="s">
        <v>138</v>
      </c>
      <c r="C21" s="8" t="s">
        <v>51</v>
      </c>
      <c r="D21" s="8" t="s">
        <v>170</v>
      </c>
      <c r="E21" s="12">
        <v>375</v>
      </c>
      <c r="F21" s="12">
        <v>240</v>
      </c>
      <c r="G21" s="12">
        <v>615</v>
      </c>
      <c r="H21" s="12">
        <v>56</v>
      </c>
      <c r="I21" s="12">
        <v>9408</v>
      </c>
      <c r="J21" s="8" t="s">
        <v>140</v>
      </c>
      <c r="K21" s="8" t="s">
        <v>171</v>
      </c>
    </row>
    <row r="22" spans="1:11" ht="30" customHeight="1">
      <c r="A22" s="8" t="s">
        <v>18</v>
      </c>
      <c r="B22" s="8" t="s">
        <v>138</v>
      </c>
      <c r="C22" s="8" t="s">
        <v>172</v>
      </c>
      <c r="D22" s="8" t="s">
        <v>173</v>
      </c>
      <c r="E22" s="12">
        <v>35</v>
      </c>
      <c r="F22" s="12">
        <v>0</v>
      </c>
      <c r="G22" s="12">
        <v>35</v>
      </c>
      <c r="H22" s="12">
        <v>3</v>
      </c>
      <c r="I22" s="12">
        <v>504</v>
      </c>
      <c r="J22" s="8" t="s">
        <v>140</v>
      </c>
      <c r="K22" s="8" t="s">
        <v>174</v>
      </c>
    </row>
    <row r="23" spans="1:11" ht="30" customHeight="1">
      <c r="A23" s="8" t="s">
        <v>18</v>
      </c>
      <c r="B23" s="8" t="s">
        <v>138</v>
      </c>
      <c r="C23" s="8" t="s">
        <v>175</v>
      </c>
      <c r="D23" s="8" t="s">
        <v>176</v>
      </c>
      <c r="E23" s="12">
        <v>11</v>
      </c>
      <c r="F23" s="12">
        <v>0</v>
      </c>
      <c r="G23" s="12">
        <v>11</v>
      </c>
      <c r="H23" s="12">
        <v>10</v>
      </c>
      <c r="I23" s="12">
        <v>1680</v>
      </c>
      <c r="J23" s="8" t="s">
        <v>140</v>
      </c>
      <c r="K23" s="8" t="s">
        <v>177</v>
      </c>
    </row>
    <row r="24" spans="1:11" ht="30" customHeight="1">
      <c r="A24" s="8" t="s">
        <v>18</v>
      </c>
      <c r="B24" s="8" t="s">
        <v>138</v>
      </c>
      <c r="C24" s="8" t="s">
        <v>62</v>
      </c>
      <c r="D24" s="8" t="s">
        <v>178</v>
      </c>
      <c r="E24" s="12">
        <v>64</v>
      </c>
      <c r="F24" s="12">
        <v>168</v>
      </c>
      <c r="G24" s="12">
        <v>232</v>
      </c>
      <c r="H24" s="12">
        <v>20</v>
      </c>
      <c r="I24" s="12">
        <v>3360</v>
      </c>
      <c r="J24" s="8" t="s">
        <v>140</v>
      </c>
      <c r="K24" s="8" t="s">
        <v>179</v>
      </c>
    </row>
    <row r="25" spans="1:11" ht="30" customHeight="1">
      <c r="A25" s="8" t="s">
        <v>18</v>
      </c>
      <c r="B25" s="8" t="s">
        <v>138</v>
      </c>
      <c r="C25" s="8" t="s">
        <v>180</v>
      </c>
      <c r="D25" s="8" t="s">
        <v>181</v>
      </c>
      <c r="E25" s="12">
        <v>0</v>
      </c>
      <c r="F25" s="12">
        <v>0</v>
      </c>
      <c r="G25" s="12">
        <v>0</v>
      </c>
      <c r="H25" s="12">
        <v>2</v>
      </c>
      <c r="I25" s="12">
        <v>336</v>
      </c>
      <c r="J25" s="8" t="s">
        <v>140</v>
      </c>
      <c r="K25" s="8" t="s">
        <v>182</v>
      </c>
    </row>
    <row r="26" spans="1:11" ht="30" customHeight="1">
      <c r="A26" s="8" t="s">
        <v>18</v>
      </c>
      <c r="B26" s="8" t="s">
        <v>138</v>
      </c>
      <c r="C26" s="8" t="s">
        <v>106</v>
      </c>
      <c r="D26" s="8" t="s">
        <v>183</v>
      </c>
      <c r="E26" s="12">
        <v>2</v>
      </c>
      <c r="F26" s="12">
        <v>0</v>
      </c>
      <c r="G26" s="12">
        <v>2</v>
      </c>
      <c r="H26" s="12">
        <v>1</v>
      </c>
      <c r="I26" s="12">
        <v>168</v>
      </c>
      <c r="J26" s="8" t="s">
        <v>140</v>
      </c>
      <c r="K26" s="8" t="s">
        <v>184</v>
      </c>
    </row>
    <row r="27" spans="1:11" ht="30" customHeight="1">
      <c r="A27" s="8" t="s">
        <v>18</v>
      </c>
      <c r="B27" s="8" t="s">
        <v>138</v>
      </c>
      <c r="C27" s="8" t="s">
        <v>124</v>
      </c>
      <c r="D27" s="8" t="s">
        <v>185</v>
      </c>
      <c r="E27" s="12">
        <v>0</v>
      </c>
      <c r="F27" s="12">
        <v>0</v>
      </c>
      <c r="G27" s="12">
        <v>0</v>
      </c>
      <c r="H27" s="12">
        <v>1</v>
      </c>
      <c r="I27" s="12">
        <v>168</v>
      </c>
      <c r="J27" s="8" t="s">
        <v>140</v>
      </c>
      <c r="K27" s="8" t="s">
        <v>186</v>
      </c>
    </row>
    <row r="28" spans="1:11" ht="30" customHeight="1">
      <c r="A28" s="8" t="s">
        <v>18</v>
      </c>
      <c r="B28" s="8" t="s">
        <v>138</v>
      </c>
      <c r="C28" s="8" t="s">
        <v>187</v>
      </c>
      <c r="D28" s="8" t="s">
        <v>188</v>
      </c>
      <c r="E28" s="12">
        <v>7</v>
      </c>
      <c r="F28" s="12">
        <v>0</v>
      </c>
      <c r="G28" s="12">
        <v>7</v>
      </c>
      <c r="H28" s="12">
        <v>7</v>
      </c>
      <c r="I28" s="12">
        <v>1176</v>
      </c>
      <c r="J28" s="8" t="s">
        <v>140</v>
      </c>
      <c r="K28" s="8" t="s">
        <v>189</v>
      </c>
    </row>
    <row r="29" spans="1:11" ht="30" customHeight="1">
      <c r="A29" s="8" t="s">
        <v>18</v>
      </c>
      <c r="B29" s="8" t="s">
        <v>138</v>
      </c>
      <c r="C29" s="8" t="s">
        <v>190</v>
      </c>
      <c r="D29" s="8" t="s">
        <v>191</v>
      </c>
      <c r="E29" s="12">
        <v>0</v>
      </c>
      <c r="F29" s="12">
        <v>0</v>
      </c>
      <c r="G29" s="12">
        <v>0</v>
      </c>
      <c r="H29" s="12">
        <v>1</v>
      </c>
      <c r="I29" s="12">
        <v>168</v>
      </c>
      <c r="J29" s="8" t="s">
        <v>140</v>
      </c>
      <c r="K29" s="8" t="s">
        <v>192</v>
      </c>
    </row>
    <row r="30" spans="1:11" ht="30" customHeight="1">
      <c r="A30" s="8" t="s">
        <v>18</v>
      </c>
      <c r="B30" s="8" t="s">
        <v>138</v>
      </c>
      <c r="C30" s="8" t="s">
        <v>72</v>
      </c>
      <c r="D30" s="8" t="s">
        <v>193</v>
      </c>
      <c r="E30" s="12">
        <v>120</v>
      </c>
      <c r="F30" s="12">
        <v>0</v>
      </c>
      <c r="G30" s="12">
        <v>120</v>
      </c>
      <c r="H30" s="12">
        <v>6</v>
      </c>
      <c r="I30" s="12">
        <v>1008</v>
      </c>
      <c r="J30" s="8" t="s">
        <v>140</v>
      </c>
      <c r="K30" s="8" t="s">
        <v>194</v>
      </c>
    </row>
    <row r="31" spans="1:11" ht="30" customHeight="1">
      <c r="A31" s="8" t="s">
        <v>18</v>
      </c>
      <c r="B31" s="8" t="s">
        <v>138</v>
      </c>
      <c r="C31" s="8" t="s">
        <v>116</v>
      </c>
      <c r="D31" s="8" t="s">
        <v>195</v>
      </c>
      <c r="E31" s="12">
        <v>0</v>
      </c>
      <c r="F31" s="12">
        <v>0</v>
      </c>
      <c r="G31" s="12">
        <v>0</v>
      </c>
      <c r="H31" s="12">
        <v>1</v>
      </c>
      <c r="I31" s="12">
        <v>168</v>
      </c>
      <c r="J31" s="8" t="s">
        <v>140</v>
      </c>
      <c r="K31" s="8" t="s">
        <v>196</v>
      </c>
    </row>
    <row r="32" spans="1:11" ht="30" customHeight="1">
      <c r="A32" s="8" t="s">
        <v>18</v>
      </c>
      <c r="B32" s="8" t="s">
        <v>138</v>
      </c>
      <c r="C32" s="8" t="s">
        <v>83</v>
      </c>
      <c r="D32" s="8" t="s">
        <v>197</v>
      </c>
      <c r="E32" s="12">
        <v>16</v>
      </c>
      <c r="F32" s="12">
        <v>0</v>
      </c>
      <c r="G32" s="12">
        <v>16</v>
      </c>
      <c r="H32" s="12">
        <v>6</v>
      </c>
      <c r="I32" s="12">
        <v>1008</v>
      </c>
      <c r="J32" s="8" t="s">
        <v>140</v>
      </c>
      <c r="K32" s="8" t="s">
        <v>198</v>
      </c>
    </row>
    <row r="33" spans="1:11" ht="30" customHeight="1">
      <c r="A33" s="8" t="s">
        <v>18</v>
      </c>
      <c r="B33" s="8" t="s">
        <v>138</v>
      </c>
      <c r="C33" s="8" t="s">
        <v>73</v>
      </c>
      <c r="D33" s="8" t="s">
        <v>199</v>
      </c>
      <c r="E33" s="12">
        <v>0</v>
      </c>
      <c r="F33" s="12">
        <v>0</v>
      </c>
      <c r="G33" s="12">
        <v>0</v>
      </c>
      <c r="H33" s="12">
        <v>7</v>
      </c>
      <c r="I33" s="12">
        <v>1176</v>
      </c>
      <c r="J33" s="8" t="s">
        <v>140</v>
      </c>
      <c r="K33" s="8" t="s">
        <v>200</v>
      </c>
    </row>
    <row r="34" spans="1:11" ht="30" customHeight="1">
      <c r="A34" s="8" t="s">
        <v>18</v>
      </c>
      <c r="B34" s="8" t="s">
        <v>138</v>
      </c>
      <c r="C34" s="8" t="s">
        <v>79</v>
      </c>
      <c r="D34" s="8" t="s">
        <v>201</v>
      </c>
      <c r="E34" s="12">
        <v>0</v>
      </c>
      <c r="F34" s="12">
        <v>0</v>
      </c>
      <c r="G34" s="12">
        <v>0</v>
      </c>
      <c r="H34" s="12">
        <v>2</v>
      </c>
      <c r="I34" s="12">
        <v>336</v>
      </c>
      <c r="J34" s="8" t="s">
        <v>140</v>
      </c>
      <c r="K34" s="8" t="s">
        <v>202</v>
      </c>
    </row>
    <row r="35" spans="1:11" ht="30" customHeight="1">
      <c r="A35" s="8" t="s">
        <v>18</v>
      </c>
      <c r="B35" s="8" t="s">
        <v>138</v>
      </c>
      <c r="C35" s="8" t="s">
        <v>81</v>
      </c>
      <c r="D35" s="8" t="s">
        <v>203</v>
      </c>
      <c r="E35" s="12">
        <v>0</v>
      </c>
      <c r="F35" s="12">
        <v>0</v>
      </c>
      <c r="G35" s="12">
        <v>0</v>
      </c>
      <c r="H35" s="12">
        <v>8</v>
      </c>
      <c r="I35" s="12">
        <v>1344</v>
      </c>
      <c r="J35" s="8" t="s">
        <v>140</v>
      </c>
      <c r="K35" s="8" t="s">
        <v>204</v>
      </c>
    </row>
    <row r="36" spans="1:11" ht="30" customHeight="1">
      <c r="A36" s="8" t="s">
        <v>18</v>
      </c>
      <c r="B36" s="8" t="s">
        <v>138</v>
      </c>
      <c r="C36" s="8" t="s">
        <v>58</v>
      </c>
      <c r="D36" s="8" t="s">
        <v>205</v>
      </c>
      <c r="E36" s="12">
        <v>33</v>
      </c>
      <c r="F36" s="12">
        <v>0</v>
      </c>
      <c r="G36" s="12">
        <v>33</v>
      </c>
      <c r="H36" s="12">
        <v>20</v>
      </c>
      <c r="I36" s="12">
        <v>3360</v>
      </c>
      <c r="J36" s="8" t="s">
        <v>140</v>
      </c>
      <c r="K36" s="8" t="s">
        <v>206</v>
      </c>
    </row>
    <row r="37" spans="1:11" ht="30" customHeight="1">
      <c r="A37" s="8" t="s">
        <v>18</v>
      </c>
      <c r="B37" s="8" t="s">
        <v>138</v>
      </c>
      <c r="C37" s="8" t="s">
        <v>68</v>
      </c>
      <c r="D37" s="8" t="s">
        <v>207</v>
      </c>
      <c r="E37" s="12">
        <v>8</v>
      </c>
      <c r="F37" s="12">
        <v>0</v>
      </c>
      <c r="G37" s="12">
        <v>8</v>
      </c>
      <c r="H37" s="12">
        <v>1</v>
      </c>
      <c r="I37" s="12">
        <v>168</v>
      </c>
      <c r="J37" s="8" t="s">
        <v>140</v>
      </c>
      <c r="K37" s="8" t="s">
        <v>208</v>
      </c>
    </row>
    <row r="38" spans="1:11" ht="30" customHeight="1">
      <c r="A38" s="8" t="s">
        <v>18</v>
      </c>
      <c r="B38" s="8" t="s">
        <v>138</v>
      </c>
      <c r="C38" s="8" t="s">
        <v>64</v>
      </c>
      <c r="D38" s="8" t="s">
        <v>209</v>
      </c>
      <c r="E38" s="12">
        <v>24</v>
      </c>
      <c r="F38" s="12">
        <v>0</v>
      </c>
      <c r="G38" s="12">
        <v>24</v>
      </c>
      <c r="H38" s="12">
        <v>7</v>
      </c>
      <c r="I38" s="12">
        <v>1176</v>
      </c>
      <c r="J38" s="8" t="s">
        <v>140</v>
      </c>
      <c r="K38" s="8" t="s">
        <v>210</v>
      </c>
    </row>
    <row r="39" spans="1:11" ht="30" customHeight="1">
      <c r="A39" s="8" t="s">
        <v>18</v>
      </c>
      <c r="B39" s="8" t="s">
        <v>138</v>
      </c>
      <c r="C39" s="8" t="s">
        <v>103</v>
      </c>
      <c r="D39" s="8" t="s">
        <v>211</v>
      </c>
      <c r="E39" s="12">
        <v>0</v>
      </c>
      <c r="F39" s="12">
        <v>0</v>
      </c>
      <c r="G39" s="12">
        <v>0</v>
      </c>
      <c r="H39" s="12">
        <v>3</v>
      </c>
      <c r="I39" s="12">
        <v>504</v>
      </c>
      <c r="J39" s="8" t="s">
        <v>140</v>
      </c>
      <c r="K39" s="8" t="s">
        <v>212</v>
      </c>
    </row>
    <row r="40" spans="1:11" ht="30" customHeight="1">
      <c r="A40" s="8" t="s">
        <v>18</v>
      </c>
      <c r="B40" s="8" t="s">
        <v>213</v>
      </c>
      <c r="C40" s="8" t="s">
        <v>126</v>
      </c>
      <c r="D40" s="8" t="s">
        <v>214</v>
      </c>
      <c r="E40" s="12">
        <v>0</v>
      </c>
      <c r="F40" s="12">
        <v>0</v>
      </c>
      <c r="G40" s="12">
        <v>0</v>
      </c>
      <c r="H40" s="12">
        <v>1</v>
      </c>
      <c r="I40" s="12">
        <v>168</v>
      </c>
      <c r="J40" s="8" t="s">
        <v>140</v>
      </c>
      <c r="K40" s="8" t="s">
        <v>215</v>
      </c>
    </row>
    <row r="41" spans="1:11" ht="30" customHeight="1">
      <c r="A41" s="8" t="s">
        <v>18</v>
      </c>
      <c r="B41" s="8" t="s">
        <v>213</v>
      </c>
      <c r="C41" s="8" t="s">
        <v>57</v>
      </c>
      <c r="D41" s="8" t="s">
        <v>148</v>
      </c>
      <c r="E41" s="12">
        <v>0</v>
      </c>
      <c r="F41" s="12">
        <v>0</v>
      </c>
      <c r="G41" s="12">
        <v>0</v>
      </c>
      <c r="H41" s="12">
        <v>1</v>
      </c>
      <c r="I41" s="12">
        <v>168</v>
      </c>
      <c r="J41" s="8" t="s">
        <v>140</v>
      </c>
      <c r="K41" s="8" t="s">
        <v>216</v>
      </c>
    </row>
    <row r="42" spans="1:11" ht="30" customHeight="1">
      <c r="A42" s="8" t="s">
        <v>18</v>
      </c>
      <c r="B42" s="8" t="s">
        <v>213</v>
      </c>
      <c r="C42" s="8" t="s">
        <v>53</v>
      </c>
      <c r="D42" s="8" t="s">
        <v>150</v>
      </c>
      <c r="E42" s="12">
        <v>0</v>
      </c>
      <c r="F42" s="12">
        <v>0</v>
      </c>
      <c r="G42" s="12">
        <v>0</v>
      </c>
      <c r="H42" s="12">
        <v>1</v>
      </c>
      <c r="I42" s="12">
        <v>168</v>
      </c>
      <c r="J42" s="8" t="s">
        <v>140</v>
      </c>
      <c r="K42" s="8" t="s">
        <v>217</v>
      </c>
    </row>
    <row r="43" spans="1:11" ht="30" customHeight="1">
      <c r="A43" s="8" t="s">
        <v>18</v>
      </c>
      <c r="B43" s="8" t="s">
        <v>213</v>
      </c>
      <c r="C43" s="8" t="s">
        <v>55</v>
      </c>
      <c r="D43" s="8" t="s">
        <v>154</v>
      </c>
      <c r="E43" s="12">
        <v>0</v>
      </c>
      <c r="F43" s="12">
        <v>0</v>
      </c>
      <c r="G43" s="12">
        <v>0</v>
      </c>
      <c r="H43" s="12">
        <v>1</v>
      </c>
      <c r="I43" s="12">
        <v>168</v>
      </c>
      <c r="J43" s="8" t="s">
        <v>140</v>
      </c>
      <c r="K43" s="8" t="s">
        <v>218</v>
      </c>
    </row>
    <row r="44" spans="1:11" ht="30" customHeight="1">
      <c r="A44" s="8" t="s">
        <v>18</v>
      </c>
      <c r="B44" s="8" t="s">
        <v>213</v>
      </c>
      <c r="C44" s="8" t="s">
        <v>112</v>
      </c>
      <c r="D44" s="8" t="s">
        <v>156</v>
      </c>
      <c r="E44" s="12">
        <v>0</v>
      </c>
      <c r="F44" s="12">
        <v>0</v>
      </c>
      <c r="G44" s="12">
        <v>0</v>
      </c>
      <c r="H44" s="12">
        <v>1</v>
      </c>
      <c r="I44" s="12">
        <v>168</v>
      </c>
      <c r="J44" s="8" t="s">
        <v>140</v>
      </c>
      <c r="K44" s="8" t="s">
        <v>219</v>
      </c>
    </row>
    <row r="45" spans="1:11" ht="30" customHeight="1">
      <c r="A45" s="8" t="s">
        <v>18</v>
      </c>
      <c r="B45" s="8" t="s">
        <v>213</v>
      </c>
      <c r="C45" s="8" t="s">
        <v>114</v>
      </c>
      <c r="D45" s="8" t="s">
        <v>220</v>
      </c>
      <c r="E45" s="12">
        <v>4</v>
      </c>
      <c r="F45" s="12">
        <v>0</v>
      </c>
      <c r="G45" s="12">
        <v>4</v>
      </c>
      <c r="H45" s="12">
        <v>3</v>
      </c>
      <c r="I45" s="12">
        <v>504</v>
      </c>
      <c r="J45" s="8" t="s">
        <v>140</v>
      </c>
      <c r="K45" s="8" t="s">
        <v>221</v>
      </c>
    </row>
    <row r="46" spans="1:11" ht="30" customHeight="1">
      <c r="A46" s="8" t="s">
        <v>18</v>
      </c>
      <c r="B46" s="8" t="s">
        <v>213</v>
      </c>
      <c r="C46" s="8" t="s">
        <v>162</v>
      </c>
      <c r="D46" s="8" t="s">
        <v>163</v>
      </c>
      <c r="E46" s="12">
        <v>6</v>
      </c>
      <c r="F46" s="12">
        <v>0</v>
      </c>
      <c r="G46" s="12">
        <v>6</v>
      </c>
      <c r="H46" s="12">
        <v>1</v>
      </c>
      <c r="I46" s="12">
        <v>168</v>
      </c>
      <c r="J46" s="8" t="s">
        <v>140</v>
      </c>
      <c r="K46" s="8" t="s">
        <v>222</v>
      </c>
    </row>
    <row r="47" spans="1:11" ht="30" customHeight="1">
      <c r="A47" s="8" t="s">
        <v>18</v>
      </c>
      <c r="B47" s="8" t="s">
        <v>213</v>
      </c>
      <c r="C47" s="8" t="s">
        <v>167</v>
      </c>
      <c r="D47" s="8" t="s">
        <v>168</v>
      </c>
      <c r="E47" s="12">
        <v>0</v>
      </c>
      <c r="F47" s="12">
        <v>0</v>
      </c>
      <c r="G47" s="12">
        <v>0</v>
      </c>
      <c r="H47" s="12">
        <v>1</v>
      </c>
      <c r="I47" s="12">
        <v>168</v>
      </c>
      <c r="J47" s="8" t="s">
        <v>140</v>
      </c>
      <c r="K47" s="8" t="s">
        <v>223</v>
      </c>
    </row>
    <row r="48" spans="1:11" ht="30" customHeight="1">
      <c r="A48" s="8" t="s">
        <v>18</v>
      </c>
      <c r="B48" s="8" t="s">
        <v>213</v>
      </c>
      <c r="C48" s="8" t="s">
        <v>120</v>
      </c>
      <c r="D48" s="8" t="s">
        <v>224</v>
      </c>
      <c r="E48" s="12">
        <v>0</v>
      </c>
      <c r="F48" s="12">
        <v>0</v>
      </c>
      <c r="G48" s="12">
        <v>0</v>
      </c>
      <c r="H48" s="12">
        <v>1</v>
      </c>
      <c r="I48" s="12">
        <v>168</v>
      </c>
      <c r="J48" s="8" t="s">
        <v>140</v>
      </c>
      <c r="K48" s="8" t="s">
        <v>225</v>
      </c>
    </row>
    <row r="49" spans="1:11" ht="30" customHeight="1">
      <c r="A49" s="8" t="s">
        <v>18</v>
      </c>
      <c r="B49" s="8" t="s">
        <v>213</v>
      </c>
      <c r="C49" s="8" t="s">
        <v>175</v>
      </c>
      <c r="D49" s="8" t="s">
        <v>176</v>
      </c>
      <c r="E49" s="12">
        <v>6</v>
      </c>
      <c r="F49" s="12">
        <v>0</v>
      </c>
      <c r="G49" s="12">
        <v>6</v>
      </c>
      <c r="H49" s="12">
        <v>1</v>
      </c>
      <c r="I49" s="12">
        <v>168</v>
      </c>
      <c r="J49" s="8" t="s">
        <v>140</v>
      </c>
      <c r="K49" s="8" t="s">
        <v>226</v>
      </c>
    </row>
    <row r="50" spans="1:11" ht="30" customHeight="1">
      <c r="A50" s="8" t="s">
        <v>18</v>
      </c>
      <c r="B50" s="8" t="s">
        <v>213</v>
      </c>
      <c r="C50" s="8" t="s">
        <v>62</v>
      </c>
      <c r="D50" s="8" t="s">
        <v>178</v>
      </c>
      <c r="E50" s="12">
        <v>0</v>
      </c>
      <c r="F50" s="12">
        <v>0</v>
      </c>
      <c r="G50" s="12">
        <v>0</v>
      </c>
      <c r="H50" s="12">
        <v>1</v>
      </c>
      <c r="I50" s="12">
        <v>168</v>
      </c>
      <c r="J50" s="8" t="s">
        <v>140</v>
      </c>
      <c r="K50" s="8" t="s">
        <v>227</v>
      </c>
    </row>
    <row r="51" spans="1:11" ht="30" customHeight="1">
      <c r="A51" s="8" t="s">
        <v>18</v>
      </c>
      <c r="B51" s="8" t="s">
        <v>213</v>
      </c>
      <c r="C51" s="8" t="s">
        <v>180</v>
      </c>
      <c r="D51" s="8" t="s">
        <v>181</v>
      </c>
      <c r="E51" s="12">
        <v>0</v>
      </c>
      <c r="F51" s="12">
        <v>0</v>
      </c>
      <c r="G51" s="12">
        <v>0</v>
      </c>
      <c r="H51" s="12">
        <v>4</v>
      </c>
      <c r="I51" s="12">
        <v>672</v>
      </c>
      <c r="J51" s="8" t="s">
        <v>140</v>
      </c>
      <c r="K51" s="8" t="s">
        <v>228</v>
      </c>
    </row>
    <row r="52" spans="1:11" ht="30" customHeight="1">
      <c r="A52" s="8" t="s">
        <v>18</v>
      </c>
      <c r="B52" s="8" t="s">
        <v>213</v>
      </c>
      <c r="C52" s="8" t="s">
        <v>108</v>
      </c>
      <c r="D52" s="8" t="s">
        <v>229</v>
      </c>
      <c r="E52" s="12">
        <v>0</v>
      </c>
      <c r="F52" s="12">
        <v>0</v>
      </c>
      <c r="G52" s="12">
        <v>0</v>
      </c>
      <c r="H52" s="12">
        <v>1</v>
      </c>
      <c r="I52" s="12">
        <v>168</v>
      </c>
      <c r="J52" s="8" t="s">
        <v>140</v>
      </c>
      <c r="K52" s="8" t="s">
        <v>230</v>
      </c>
    </row>
    <row r="53" spans="1:11" ht="30" customHeight="1">
      <c r="A53" s="8" t="s">
        <v>18</v>
      </c>
      <c r="B53" s="8" t="s">
        <v>213</v>
      </c>
      <c r="C53" s="8" t="s">
        <v>124</v>
      </c>
      <c r="D53" s="8" t="s">
        <v>185</v>
      </c>
      <c r="E53" s="12">
        <v>0</v>
      </c>
      <c r="F53" s="12">
        <v>0</v>
      </c>
      <c r="G53" s="12">
        <v>0</v>
      </c>
      <c r="H53" s="12">
        <v>1</v>
      </c>
      <c r="I53" s="12">
        <v>168</v>
      </c>
      <c r="J53" s="8" t="s">
        <v>140</v>
      </c>
      <c r="K53" s="8" t="s">
        <v>231</v>
      </c>
    </row>
    <row r="54" spans="1:11" ht="30" customHeight="1">
      <c r="A54" s="8" t="s">
        <v>18</v>
      </c>
      <c r="B54" s="8" t="s">
        <v>213</v>
      </c>
      <c r="C54" s="8" t="s">
        <v>128</v>
      </c>
      <c r="D54" s="8" t="s">
        <v>232</v>
      </c>
      <c r="E54" s="12">
        <v>0</v>
      </c>
      <c r="F54" s="12">
        <v>0</v>
      </c>
      <c r="G54" s="12">
        <v>0</v>
      </c>
      <c r="H54" s="12">
        <v>2</v>
      </c>
      <c r="I54" s="12">
        <v>336</v>
      </c>
      <c r="J54" s="8" t="s">
        <v>140</v>
      </c>
      <c r="K54" s="8" t="s">
        <v>233</v>
      </c>
    </row>
    <row r="55" spans="1:11" ht="30" customHeight="1">
      <c r="A55" s="8" t="s">
        <v>18</v>
      </c>
      <c r="B55" s="8" t="s">
        <v>213</v>
      </c>
      <c r="C55" s="8" t="s">
        <v>187</v>
      </c>
      <c r="D55" s="8" t="s">
        <v>188</v>
      </c>
      <c r="E55" s="12">
        <v>28</v>
      </c>
      <c r="F55" s="12">
        <v>0</v>
      </c>
      <c r="G55" s="12">
        <v>28</v>
      </c>
      <c r="H55" s="12">
        <v>2</v>
      </c>
      <c r="I55" s="12">
        <v>336</v>
      </c>
      <c r="J55" s="8" t="s">
        <v>140</v>
      </c>
      <c r="K55" s="8" t="s">
        <v>234</v>
      </c>
    </row>
    <row r="56" spans="1:11" ht="30" customHeight="1">
      <c r="A56" s="8" t="s">
        <v>18</v>
      </c>
      <c r="B56" s="8" t="s">
        <v>213</v>
      </c>
      <c r="C56" s="8" t="s">
        <v>190</v>
      </c>
      <c r="D56" s="8" t="s">
        <v>191</v>
      </c>
      <c r="E56" s="12">
        <v>0</v>
      </c>
      <c r="F56" s="12">
        <v>0</v>
      </c>
      <c r="G56" s="12">
        <v>0</v>
      </c>
      <c r="H56" s="12">
        <v>2</v>
      </c>
      <c r="I56" s="12">
        <v>336</v>
      </c>
      <c r="J56" s="8" t="s">
        <v>140</v>
      </c>
      <c r="K56" s="8" t="s">
        <v>235</v>
      </c>
    </row>
    <row r="57" spans="1:11" ht="30" customHeight="1">
      <c r="A57" s="8" t="s">
        <v>18</v>
      </c>
      <c r="B57" s="8" t="s">
        <v>213</v>
      </c>
      <c r="C57" s="8" t="s">
        <v>72</v>
      </c>
      <c r="D57" s="8" t="s">
        <v>193</v>
      </c>
      <c r="E57" s="12">
        <v>0</v>
      </c>
      <c r="F57" s="12">
        <v>0</v>
      </c>
      <c r="G57" s="12">
        <v>0</v>
      </c>
      <c r="H57" s="12">
        <v>2</v>
      </c>
      <c r="I57" s="12">
        <v>336</v>
      </c>
      <c r="J57" s="8" t="s">
        <v>140</v>
      </c>
      <c r="K57" s="8" t="s">
        <v>236</v>
      </c>
    </row>
    <row r="58" spans="1:11" ht="30" customHeight="1">
      <c r="A58" s="8" t="s">
        <v>18</v>
      </c>
      <c r="B58" s="8" t="s">
        <v>213</v>
      </c>
      <c r="C58" s="8" t="s">
        <v>116</v>
      </c>
      <c r="D58" s="8" t="s">
        <v>195</v>
      </c>
      <c r="E58" s="12">
        <v>0</v>
      </c>
      <c r="F58" s="12">
        <v>0</v>
      </c>
      <c r="G58" s="12">
        <v>0</v>
      </c>
      <c r="H58" s="12">
        <v>2</v>
      </c>
      <c r="I58" s="12">
        <v>336</v>
      </c>
      <c r="J58" s="8" t="s">
        <v>140</v>
      </c>
      <c r="K58" s="8" t="s">
        <v>237</v>
      </c>
    </row>
    <row r="59" spans="1:11" ht="30" customHeight="1">
      <c r="A59" s="8" t="s">
        <v>18</v>
      </c>
      <c r="B59" s="8" t="s">
        <v>213</v>
      </c>
      <c r="C59" s="8" t="s">
        <v>83</v>
      </c>
      <c r="D59" s="8" t="s">
        <v>197</v>
      </c>
      <c r="E59" s="12">
        <v>3</v>
      </c>
      <c r="F59" s="12">
        <v>0</v>
      </c>
      <c r="G59" s="12">
        <v>3</v>
      </c>
      <c r="H59" s="12">
        <v>3</v>
      </c>
      <c r="I59" s="12">
        <v>504</v>
      </c>
      <c r="J59" s="8" t="s">
        <v>140</v>
      </c>
      <c r="K59" s="8" t="s">
        <v>238</v>
      </c>
    </row>
    <row r="60" spans="1:11" ht="30" customHeight="1">
      <c r="A60" s="8" t="s">
        <v>18</v>
      </c>
      <c r="B60" s="8" t="s">
        <v>213</v>
      </c>
      <c r="C60" s="8" t="s">
        <v>79</v>
      </c>
      <c r="D60" s="8" t="s">
        <v>201</v>
      </c>
      <c r="E60" s="12">
        <v>0</v>
      </c>
      <c r="F60" s="12">
        <v>0</v>
      </c>
      <c r="G60" s="12">
        <v>0</v>
      </c>
      <c r="H60" s="12">
        <v>4</v>
      </c>
      <c r="I60" s="12">
        <v>672</v>
      </c>
      <c r="J60" s="8" t="s">
        <v>140</v>
      </c>
      <c r="K60" s="8" t="s">
        <v>239</v>
      </c>
    </row>
    <row r="61" spans="1:11" ht="30" customHeight="1">
      <c r="A61" s="8" t="s">
        <v>18</v>
      </c>
      <c r="B61" s="8" t="s">
        <v>213</v>
      </c>
      <c r="C61" s="8" t="s">
        <v>81</v>
      </c>
      <c r="D61" s="8" t="s">
        <v>203</v>
      </c>
      <c r="E61" s="12">
        <v>0</v>
      </c>
      <c r="F61" s="12">
        <v>0</v>
      </c>
      <c r="G61" s="12">
        <v>0</v>
      </c>
      <c r="H61" s="12">
        <v>1</v>
      </c>
      <c r="I61" s="12">
        <v>168</v>
      </c>
      <c r="J61" s="8" t="s">
        <v>140</v>
      </c>
      <c r="K61" s="8" t="s">
        <v>240</v>
      </c>
    </row>
    <row r="62" spans="1:11" ht="30" customHeight="1">
      <c r="A62" s="8" t="s">
        <v>18</v>
      </c>
      <c r="B62" s="8" t="s">
        <v>213</v>
      </c>
      <c r="C62" s="8" t="s">
        <v>130</v>
      </c>
      <c r="D62" s="8" t="s">
        <v>241</v>
      </c>
      <c r="E62" s="12">
        <v>0</v>
      </c>
      <c r="F62" s="12">
        <v>0</v>
      </c>
      <c r="G62" s="12">
        <v>0</v>
      </c>
      <c r="H62" s="12">
        <v>1</v>
      </c>
      <c r="I62" s="12">
        <v>168</v>
      </c>
      <c r="J62" s="8" t="s">
        <v>140</v>
      </c>
      <c r="K62" s="8" t="s">
        <v>242</v>
      </c>
    </row>
    <row r="63" spans="1:11" ht="30" customHeight="1">
      <c r="A63" s="8" t="s">
        <v>18</v>
      </c>
      <c r="B63" s="8" t="s">
        <v>213</v>
      </c>
      <c r="C63" s="8" t="s">
        <v>103</v>
      </c>
      <c r="D63" s="8" t="s">
        <v>211</v>
      </c>
      <c r="E63" s="12">
        <v>0</v>
      </c>
      <c r="F63" s="12">
        <v>0</v>
      </c>
      <c r="G63" s="12">
        <v>0</v>
      </c>
      <c r="H63" s="12">
        <v>1</v>
      </c>
      <c r="I63" s="12">
        <v>168</v>
      </c>
      <c r="J63" s="8" t="s">
        <v>140</v>
      </c>
      <c r="K63" s="8" t="s">
        <v>243</v>
      </c>
    </row>
    <row r="64" spans="1:11" ht="30" customHeight="1">
      <c r="A64" s="8" t="s">
        <v>18</v>
      </c>
      <c r="B64" s="8" t="s">
        <v>213</v>
      </c>
      <c r="C64" s="8" t="s">
        <v>105</v>
      </c>
      <c r="D64" s="8" t="s">
        <v>244</v>
      </c>
      <c r="E64" s="12">
        <v>0</v>
      </c>
      <c r="F64" s="12">
        <v>0</v>
      </c>
      <c r="G64" s="12">
        <v>0</v>
      </c>
      <c r="H64" s="12">
        <v>1</v>
      </c>
      <c r="I64" s="12">
        <v>168</v>
      </c>
      <c r="J64" s="8" t="s">
        <v>140</v>
      </c>
      <c r="K64" s="8" t="s">
        <v>245</v>
      </c>
    </row>
    <row r="65" spans="1:11" ht="30" customHeight="1">
      <c r="A65" s="8" t="s">
        <v>19</v>
      </c>
      <c r="B65" s="8" t="s">
        <v>138</v>
      </c>
      <c r="C65" s="8" t="s">
        <v>63</v>
      </c>
      <c r="D65" s="8" t="s">
        <v>139</v>
      </c>
      <c r="E65" s="12">
        <v>26</v>
      </c>
      <c r="F65" s="12">
        <v>0</v>
      </c>
      <c r="G65" s="12">
        <v>26</v>
      </c>
      <c r="H65" s="12">
        <v>8</v>
      </c>
      <c r="I65" s="12">
        <v>1152</v>
      </c>
      <c r="J65" s="8" t="s">
        <v>246</v>
      </c>
      <c r="K65" s="8" t="s">
        <v>141</v>
      </c>
    </row>
    <row r="66" spans="1:11" ht="30" customHeight="1">
      <c r="A66" s="8" t="s">
        <v>19</v>
      </c>
      <c r="B66" s="8" t="s">
        <v>138</v>
      </c>
      <c r="C66" s="8" t="s">
        <v>101</v>
      </c>
      <c r="D66" s="8" t="s">
        <v>142</v>
      </c>
      <c r="E66" s="12">
        <v>0</v>
      </c>
      <c r="F66" s="12">
        <v>0</v>
      </c>
      <c r="G66" s="12">
        <v>0</v>
      </c>
      <c r="H66" s="12">
        <v>2</v>
      </c>
      <c r="I66" s="12">
        <v>288</v>
      </c>
      <c r="J66" s="8" t="s">
        <v>246</v>
      </c>
      <c r="K66" s="8" t="s">
        <v>143</v>
      </c>
    </row>
    <row r="67" spans="1:11" ht="30" customHeight="1">
      <c r="A67" s="8" t="s">
        <v>19</v>
      </c>
      <c r="B67" s="8" t="s">
        <v>138</v>
      </c>
      <c r="C67" s="8" t="s">
        <v>91</v>
      </c>
      <c r="D67" s="8" t="s">
        <v>144</v>
      </c>
      <c r="E67" s="12">
        <v>0</v>
      </c>
      <c r="F67" s="12">
        <v>0</v>
      </c>
      <c r="G67" s="12">
        <v>0</v>
      </c>
      <c r="H67" s="12">
        <v>6</v>
      </c>
      <c r="I67" s="12">
        <v>864</v>
      </c>
      <c r="J67" s="8" t="s">
        <v>246</v>
      </c>
      <c r="K67" s="8" t="s">
        <v>145</v>
      </c>
    </row>
    <row r="68" spans="1:11" ht="30" customHeight="1">
      <c r="A68" s="8" t="s">
        <v>19</v>
      </c>
      <c r="B68" s="8" t="s">
        <v>138</v>
      </c>
      <c r="C68" s="8" t="s">
        <v>97</v>
      </c>
      <c r="D68" s="8" t="s">
        <v>146</v>
      </c>
      <c r="E68" s="12">
        <v>16</v>
      </c>
      <c r="F68" s="12">
        <v>0</v>
      </c>
      <c r="G68" s="12">
        <v>16</v>
      </c>
      <c r="H68" s="12">
        <v>15</v>
      </c>
      <c r="I68" s="12">
        <v>2160</v>
      </c>
      <c r="J68" s="8" t="s">
        <v>246</v>
      </c>
      <c r="K68" s="8" t="s">
        <v>147</v>
      </c>
    </row>
    <row r="69" spans="1:11" ht="30" customHeight="1">
      <c r="A69" s="8" t="s">
        <v>19</v>
      </c>
      <c r="B69" s="8" t="s">
        <v>138</v>
      </c>
      <c r="C69" s="8" t="s">
        <v>57</v>
      </c>
      <c r="D69" s="8" t="s">
        <v>148</v>
      </c>
      <c r="E69" s="12">
        <v>347</v>
      </c>
      <c r="F69" s="12">
        <v>0</v>
      </c>
      <c r="G69" s="12">
        <v>347</v>
      </c>
      <c r="H69" s="12">
        <v>29</v>
      </c>
      <c r="I69" s="12">
        <v>4176</v>
      </c>
      <c r="J69" s="8" t="s">
        <v>246</v>
      </c>
      <c r="K69" s="8" t="s">
        <v>149</v>
      </c>
    </row>
    <row r="70" spans="1:11" ht="30" customHeight="1">
      <c r="A70" s="8" t="s">
        <v>19</v>
      </c>
      <c r="B70" s="8" t="s">
        <v>138</v>
      </c>
      <c r="C70" s="8" t="s">
        <v>53</v>
      </c>
      <c r="D70" s="8" t="s">
        <v>150</v>
      </c>
      <c r="E70" s="12">
        <v>425</v>
      </c>
      <c r="F70" s="12">
        <v>144</v>
      </c>
      <c r="G70" s="12">
        <v>569</v>
      </c>
      <c r="H70" s="12">
        <v>65</v>
      </c>
      <c r="I70" s="12">
        <v>9360</v>
      </c>
      <c r="J70" s="8" t="s">
        <v>246</v>
      </c>
      <c r="K70" s="8" t="s">
        <v>151</v>
      </c>
    </row>
    <row r="71" spans="1:11" ht="30" customHeight="1">
      <c r="A71" s="8" t="s">
        <v>19</v>
      </c>
      <c r="B71" s="8" t="s">
        <v>138</v>
      </c>
      <c r="C71" s="8" t="s">
        <v>70</v>
      </c>
      <c r="D71" s="8" t="s">
        <v>152</v>
      </c>
      <c r="E71" s="12">
        <v>12</v>
      </c>
      <c r="F71" s="12">
        <v>0</v>
      </c>
      <c r="G71" s="12">
        <v>12</v>
      </c>
      <c r="H71" s="12">
        <v>9</v>
      </c>
      <c r="I71" s="12">
        <v>1296</v>
      </c>
      <c r="J71" s="8" t="s">
        <v>246</v>
      </c>
      <c r="K71" s="8" t="s">
        <v>153</v>
      </c>
    </row>
    <row r="72" spans="1:11" ht="30" customHeight="1">
      <c r="A72" s="8" t="s">
        <v>19</v>
      </c>
      <c r="B72" s="8" t="s">
        <v>138</v>
      </c>
      <c r="C72" s="8" t="s">
        <v>55</v>
      </c>
      <c r="D72" s="8" t="s">
        <v>154</v>
      </c>
      <c r="E72" s="12">
        <v>313</v>
      </c>
      <c r="F72" s="12">
        <v>88</v>
      </c>
      <c r="G72" s="12">
        <v>401</v>
      </c>
      <c r="H72" s="12">
        <v>32</v>
      </c>
      <c r="I72" s="12">
        <v>4608</v>
      </c>
      <c r="J72" s="8" t="s">
        <v>246</v>
      </c>
      <c r="K72" s="8" t="s">
        <v>155</v>
      </c>
    </row>
    <row r="73" spans="1:11" ht="30" customHeight="1">
      <c r="A73" s="8" t="s">
        <v>19</v>
      </c>
      <c r="B73" s="8" t="s">
        <v>138</v>
      </c>
      <c r="C73" s="8" t="s">
        <v>112</v>
      </c>
      <c r="D73" s="8" t="s">
        <v>156</v>
      </c>
      <c r="E73" s="12">
        <v>0</v>
      </c>
      <c r="F73" s="12">
        <v>0</v>
      </c>
      <c r="G73" s="12">
        <v>0</v>
      </c>
      <c r="H73" s="12">
        <v>1</v>
      </c>
      <c r="I73" s="12">
        <v>144</v>
      </c>
      <c r="J73" s="8" t="s">
        <v>246</v>
      </c>
      <c r="K73" s="8" t="s">
        <v>157</v>
      </c>
    </row>
    <row r="74" spans="1:11" ht="30" customHeight="1">
      <c r="A74" s="8" t="s">
        <v>19</v>
      </c>
      <c r="B74" s="8" t="s">
        <v>138</v>
      </c>
      <c r="C74" s="8" t="s">
        <v>85</v>
      </c>
      <c r="D74" s="8" t="s">
        <v>158</v>
      </c>
      <c r="E74" s="12">
        <v>19</v>
      </c>
      <c r="F74" s="12">
        <v>0</v>
      </c>
      <c r="G74" s="12">
        <v>19</v>
      </c>
      <c r="H74" s="12">
        <v>7</v>
      </c>
      <c r="I74" s="12">
        <v>1008</v>
      </c>
      <c r="J74" s="8" t="s">
        <v>246</v>
      </c>
      <c r="K74" s="8" t="s">
        <v>159</v>
      </c>
    </row>
    <row r="75" spans="1:11" ht="30" customHeight="1">
      <c r="A75" s="8" t="s">
        <v>19</v>
      </c>
      <c r="B75" s="8" t="s">
        <v>138</v>
      </c>
      <c r="C75" s="8" t="s">
        <v>66</v>
      </c>
      <c r="D75" s="8" t="s">
        <v>160</v>
      </c>
      <c r="E75" s="12">
        <v>14</v>
      </c>
      <c r="F75" s="12">
        <v>0</v>
      </c>
      <c r="G75" s="12">
        <v>14</v>
      </c>
      <c r="H75" s="12">
        <v>22</v>
      </c>
      <c r="I75" s="12">
        <v>3168</v>
      </c>
      <c r="J75" s="8" t="s">
        <v>246</v>
      </c>
      <c r="K75" s="8" t="s">
        <v>161</v>
      </c>
    </row>
    <row r="76" spans="1:11" ht="30" customHeight="1">
      <c r="A76" s="8" t="s">
        <v>19</v>
      </c>
      <c r="B76" s="8" t="s">
        <v>138</v>
      </c>
      <c r="C76" s="8" t="s">
        <v>162</v>
      </c>
      <c r="D76" s="8" t="s">
        <v>163</v>
      </c>
      <c r="E76" s="12">
        <v>4</v>
      </c>
      <c r="F76" s="12">
        <v>0</v>
      </c>
      <c r="G76" s="12">
        <v>4</v>
      </c>
      <c r="H76" s="12">
        <v>8</v>
      </c>
      <c r="I76" s="12">
        <v>1152</v>
      </c>
      <c r="J76" s="8" t="s">
        <v>246</v>
      </c>
      <c r="K76" s="8" t="s">
        <v>164</v>
      </c>
    </row>
    <row r="77" spans="1:11" ht="30" customHeight="1">
      <c r="A77" s="8" t="s">
        <v>19</v>
      </c>
      <c r="B77" s="8" t="s">
        <v>138</v>
      </c>
      <c r="C77" s="8" t="s">
        <v>122</v>
      </c>
      <c r="D77" s="8" t="s">
        <v>165</v>
      </c>
      <c r="E77" s="12">
        <v>0</v>
      </c>
      <c r="F77" s="12">
        <v>0</v>
      </c>
      <c r="G77" s="12">
        <v>0</v>
      </c>
      <c r="H77" s="12">
        <v>1</v>
      </c>
      <c r="I77" s="12">
        <v>144</v>
      </c>
      <c r="J77" s="8" t="s">
        <v>246</v>
      </c>
      <c r="K77" s="8" t="s">
        <v>166</v>
      </c>
    </row>
    <row r="78" spans="1:11" ht="30" customHeight="1">
      <c r="A78" s="8" t="s">
        <v>19</v>
      </c>
      <c r="B78" s="8" t="s">
        <v>138</v>
      </c>
      <c r="C78" s="8" t="s">
        <v>167</v>
      </c>
      <c r="D78" s="8" t="s">
        <v>168</v>
      </c>
      <c r="E78" s="12">
        <v>95</v>
      </c>
      <c r="F78" s="12">
        <v>144</v>
      </c>
      <c r="G78" s="12">
        <v>239</v>
      </c>
      <c r="H78" s="12">
        <v>21</v>
      </c>
      <c r="I78" s="12">
        <v>3024</v>
      </c>
      <c r="J78" s="8" t="s">
        <v>246</v>
      </c>
      <c r="K78" s="8" t="s">
        <v>169</v>
      </c>
    </row>
    <row r="79" spans="1:11" ht="30" customHeight="1">
      <c r="A79" s="8" t="s">
        <v>19</v>
      </c>
      <c r="B79" s="8" t="s">
        <v>138</v>
      </c>
      <c r="C79" s="8" t="s">
        <v>51</v>
      </c>
      <c r="D79" s="8" t="s">
        <v>170</v>
      </c>
      <c r="E79" s="12">
        <v>393</v>
      </c>
      <c r="F79" s="12">
        <v>248</v>
      </c>
      <c r="G79" s="12">
        <v>641</v>
      </c>
      <c r="H79" s="12">
        <v>57</v>
      </c>
      <c r="I79" s="12">
        <v>8208</v>
      </c>
      <c r="J79" s="8" t="s">
        <v>246</v>
      </c>
      <c r="K79" s="8" t="s">
        <v>171</v>
      </c>
    </row>
    <row r="80" spans="1:11" ht="30" customHeight="1">
      <c r="A80" s="8" t="s">
        <v>19</v>
      </c>
      <c r="B80" s="8" t="s">
        <v>138</v>
      </c>
      <c r="C80" s="8" t="s">
        <v>172</v>
      </c>
      <c r="D80" s="8" t="s">
        <v>173</v>
      </c>
      <c r="E80" s="12">
        <v>16</v>
      </c>
      <c r="F80" s="12">
        <v>0</v>
      </c>
      <c r="G80" s="12">
        <v>16</v>
      </c>
      <c r="H80" s="12">
        <v>3</v>
      </c>
      <c r="I80" s="12">
        <v>432</v>
      </c>
      <c r="J80" s="8" t="s">
        <v>246</v>
      </c>
      <c r="K80" s="8" t="s">
        <v>174</v>
      </c>
    </row>
    <row r="81" spans="1:11" ht="30" customHeight="1">
      <c r="A81" s="8" t="s">
        <v>19</v>
      </c>
      <c r="B81" s="8" t="s">
        <v>138</v>
      </c>
      <c r="C81" s="8" t="s">
        <v>175</v>
      </c>
      <c r="D81" s="8" t="s">
        <v>176</v>
      </c>
      <c r="E81" s="12">
        <v>9</v>
      </c>
      <c r="F81" s="12">
        <v>0</v>
      </c>
      <c r="G81" s="12">
        <v>9</v>
      </c>
      <c r="H81" s="12">
        <v>10</v>
      </c>
      <c r="I81" s="12">
        <v>1440</v>
      </c>
      <c r="J81" s="8" t="s">
        <v>246</v>
      </c>
      <c r="K81" s="8" t="s">
        <v>177</v>
      </c>
    </row>
    <row r="82" spans="1:11" ht="30" customHeight="1">
      <c r="A82" s="8" t="s">
        <v>19</v>
      </c>
      <c r="B82" s="8" t="s">
        <v>138</v>
      </c>
      <c r="C82" s="8" t="s">
        <v>62</v>
      </c>
      <c r="D82" s="8" t="s">
        <v>178</v>
      </c>
      <c r="E82" s="12">
        <v>72</v>
      </c>
      <c r="F82" s="12">
        <v>144</v>
      </c>
      <c r="G82" s="12">
        <v>216</v>
      </c>
      <c r="H82" s="12">
        <v>20</v>
      </c>
      <c r="I82" s="12">
        <v>2880</v>
      </c>
      <c r="J82" s="8" t="s">
        <v>246</v>
      </c>
      <c r="K82" s="8" t="s">
        <v>179</v>
      </c>
    </row>
    <row r="83" spans="1:11" ht="30" customHeight="1">
      <c r="A83" s="8" t="s">
        <v>19</v>
      </c>
      <c r="B83" s="8" t="s">
        <v>138</v>
      </c>
      <c r="C83" s="8" t="s">
        <v>180</v>
      </c>
      <c r="D83" s="8" t="s">
        <v>181</v>
      </c>
      <c r="E83" s="12">
        <v>0</v>
      </c>
      <c r="F83" s="12">
        <v>0</v>
      </c>
      <c r="G83" s="12">
        <v>0</v>
      </c>
      <c r="H83" s="12">
        <v>2</v>
      </c>
      <c r="I83" s="12">
        <v>288</v>
      </c>
      <c r="J83" s="8" t="s">
        <v>246</v>
      </c>
      <c r="K83" s="8" t="s">
        <v>182</v>
      </c>
    </row>
    <row r="84" spans="1:11" ht="30" customHeight="1">
      <c r="A84" s="8" t="s">
        <v>19</v>
      </c>
      <c r="B84" s="8" t="s">
        <v>138</v>
      </c>
      <c r="C84" s="8" t="s">
        <v>106</v>
      </c>
      <c r="D84" s="8" t="s">
        <v>183</v>
      </c>
      <c r="E84" s="12">
        <v>0</v>
      </c>
      <c r="F84" s="12">
        <v>0</v>
      </c>
      <c r="G84" s="12">
        <v>0</v>
      </c>
      <c r="H84" s="12">
        <v>1</v>
      </c>
      <c r="I84" s="12">
        <v>144</v>
      </c>
      <c r="J84" s="8" t="s">
        <v>246</v>
      </c>
      <c r="K84" s="8" t="s">
        <v>184</v>
      </c>
    </row>
    <row r="85" spans="1:11" ht="30" customHeight="1">
      <c r="A85" s="8" t="s">
        <v>19</v>
      </c>
      <c r="B85" s="8" t="s">
        <v>138</v>
      </c>
      <c r="C85" s="8" t="s">
        <v>124</v>
      </c>
      <c r="D85" s="8" t="s">
        <v>185</v>
      </c>
      <c r="E85" s="12">
        <v>0</v>
      </c>
      <c r="F85" s="12">
        <v>0</v>
      </c>
      <c r="G85" s="12">
        <v>0</v>
      </c>
      <c r="H85" s="12">
        <v>1</v>
      </c>
      <c r="I85" s="12">
        <v>144</v>
      </c>
      <c r="J85" s="8" t="s">
        <v>246</v>
      </c>
      <c r="K85" s="8" t="s">
        <v>186</v>
      </c>
    </row>
    <row r="86" spans="1:11" ht="30" customHeight="1">
      <c r="A86" s="8" t="s">
        <v>19</v>
      </c>
      <c r="B86" s="8" t="s">
        <v>138</v>
      </c>
      <c r="C86" s="8" t="s">
        <v>187</v>
      </c>
      <c r="D86" s="8" t="s">
        <v>188</v>
      </c>
      <c r="E86" s="12">
        <v>0</v>
      </c>
      <c r="F86" s="12">
        <v>0</v>
      </c>
      <c r="G86" s="12">
        <v>0</v>
      </c>
      <c r="H86" s="12">
        <v>3</v>
      </c>
      <c r="I86" s="12">
        <v>432</v>
      </c>
      <c r="J86" s="8" t="s">
        <v>246</v>
      </c>
      <c r="K86" s="8" t="s">
        <v>189</v>
      </c>
    </row>
    <row r="87" spans="1:11" ht="30" customHeight="1">
      <c r="A87" s="8" t="s">
        <v>19</v>
      </c>
      <c r="B87" s="8" t="s">
        <v>138</v>
      </c>
      <c r="C87" s="8" t="s">
        <v>190</v>
      </c>
      <c r="D87" s="8" t="s">
        <v>191</v>
      </c>
      <c r="E87" s="12">
        <v>1</v>
      </c>
      <c r="F87" s="12">
        <v>0</v>
      </c>
      <c r="G87" s="12">
        <v>1</v>
      </c>
      <c r="H87" s="12">
        <v>1</v>
      </c>
      <c r="I87" s="12">
        <v>144</v>
      </c>
      <c r="J87" s="8" t="s">
        <v>246</v>
      </c>
      <c r="K87" s="8" t="s">
        <v>192</v>
      </c>
    </row>
    <row r="88" spans="1:11" ht="30" customHeight="1">
      <c r="A88" s="8" t="s">
        <v>19</v>
      </c>
      <c r="B88" s="8" t="s">
        <v>138</v>
      </c>
      <c r="C88" s="8" t="s">
        <v>72</v>
      </c>
      <c r="D88" s="8" t="s">
        <v>193</v>
      </c>
      <c r="E88" s="12">
        <v>2</v>
      </c>
      <c r="F88" s="12">
        <v>0</v>
      </c>
      <c r="G88" s="12">
        <v>2</v>
      </c>
      <c r="H88" s="12">
        <v>5</v>
      </c>
      <c r="I88" s="12">
        <v>720</v>
      </c>
      <c r="J88" s="8" t="s">
        <v>246</v>
      </c>
      <c r="K88" s="8" t="s">
        <v>194</v>
      </c>
    </row>
    <row r="89" spans="1:11" ht="30" customHeight="1">
      <c r="A89" s="8" t="s">
        <v>19</v>
      </c>
      <c r="B89" s="8" t="s">
        <v>138</v>
      </c>
      <c r="C89" s="8" t="s">
        <v>116</v>
      </c>
      <c r="D89" s="8" t="s">
        <v>195</v>
      </c>
      <c r="E89" s="12">
        <v>0</v>
      </c>
      <c r="F89" s="12">
        <v>0</v>
      </c>
      <c r="G89" s="12">
        <v>0</v>
      </c>
      <c r="H89" s="12">
        <v>1</v>
      </c>
      <c r="I89" s="12">
        <v>144</v>
      </c>
      <c r="J89" s="8" t="s">
        <v>246</v>
      </c>
      <c r="K89" s="8" t="s">
        <v>196</v>
      </c>
    </row>
    <row r="90" spans="1:11" ht="30" customHeight="1">
      <c r="A90" s="8" t="s">
        <v>19</v>
      </c>
      <c r="B90" s="8" t="s">
        <v>138</v>
      </c>
      <c r="C90" s="8" t="s">
        <v>83</v>
      </c>
      <c r="D90" s="8" t="s">
        <v>197</v>
      </c>
      <c r="E90" s="12">
        <v>19</v>
      </c>
      <c r="F90" s="12">
        <v>0</v>
      </c>
      <c r="G90" s="12">
        <v>19</v>
      </c>
      <c r="H90" s="12">
        <v>5</v>
      </c>
      <c r="I90" s="12">
        <v>720</v>
      </c>
      <c r="J90" s="8" t="s">
        <v>246</v>
      </c>
      <c r="K90" s="8" t="s">
        <v>198</v>
      </c>
    </row>
    <row r="91" spans="1:11" ht="30" customHeight="1">
      <c r="A91" s="8" t="s">
        <v>19</v>
      </c>
      <c r="B91" s="8" t="s">
        <v>138</v>
      </c>
      <c r="C91" s="8" t="s">
        <v>73</v>
      </c>
      <c r="D91" s="8" t="s">
        <v>199</v>
      </c>
      <c r="E91" s="12">
        <v>21</v>
      </c>
      <c r="F91" s="12">
        <v>0</v>
      </c>
      <c r="G91" s="12">
        <v>21</v>
      </c>
      <c r="H91" s="12">
        <v>7</v>
      </c>
      <c r="I91" s="12">
        <v>1008</v>
      </c>
      <c r="J91" s="8" t="s">
        <v>246</v>
      </c>
      <c r="K91" s="8" t="s">
        <v>200</v>
      </c>
    </row>
    <row r="92" spans="1:11" ht="30" customHeight="1">
      <c r="A92" s="8" t="s">
        <v>19</v>
      </c>
      <c r="B92" s="8" t="s">
        <v>138</v>
      </c>
      <c r="C92" s="8" t="s">
        <v>79</v>
      </c>
      <c r="D92" s="8" t="s">
        <v>201</v>
      </c>
      <c r="E92" s="12">
        <v>0</v>
      </c>
      <c r="F92" s="12">
        <v>0</v>
      </c>
      <c r="G92" s="12">
        <v>0</v>
      </c>
      <c r="H92" s="12">
        <v>2</v>
      </c>
      <c r="I92" s="12">
        <v>288</v>
      </c>
      <c r="J92" s="8" t="s">
        <v>246</v>
      </c>
      <c r="K92" s="8" t="s">
        <v>202</v>
      </c>
    </row>
    <row r="93" spans="1:11" ht="30" customHeight="1">
      <c r="A93" s="8" t="s">
        <v>19</v>
      </c>
      <c r="B93" s="8" t="s">
        <v>138</v>
      </c>
      <c r="C93" s="8" t="s">
        <v>81</v>
      </c>
      <c r="D93" s="8" t="s">
        <v>203</v>
      </c>
      <c r="E93" s="12">
        <v>0</v>
      </c>
      <c r="F93" s="12">
        <v>0</v>
      </c>
      <c r="G93" s="12">
        <v>0</v>
      </c>
      <c r="H93" s="12">
        <v>8</v>
      </c>
      <c r="I93" s="12">
        <v>1152</v>
      </c>
      <c r="J93" s="8" t="s">
        <v>246</v>
      </c>
      <c r="K93" s="8" t="s">
        <v>204</v>
      </c>
    </row>
    <row r="94" spans="1:11" ht="30" customHeight="1">
      <c r="A94" s="8" t="s">
        <v>19</v>
      </c>
      <c r="B94" s="8" t="s">
        <v>138</v>
      </c>
      <c r="C94" s="8" t="s">
        <v>58</v>
      </c>
      <c r="D94" s="8" t="s">
        <v>205</v>
      </c>
      <c r="E94" s="12">
        <v>43</v>
      </c>
      <c r="F94" s="12">
        <v>0</v>
      </c>
      <c r="G94" s="12">
        <v>43</v>
      </c>
      <c r="H94" s="12">
        <v>20</v>
      </c>
      <c r="I94" s="12">
        <v>2880</v>
      </c>
      <c r="J94" s="8" t="s">
        <v>246</v>
      </c>
      <c r="K94" s="8" t="s">
        <v>206</v>
      </c>
    </row>
    <row r="95" spans="1:11" ht="30" customHeight="1">
      <c r="A95" s="8" t="s">
        <v>19</v>
      </c>
      <c r="B95" s="8" t="s">
        <v>138</v>
      </c>
      <c r="C95" s="8" t="s">
        <v>68</v>
      </c>
      <c r="D95" s="8" t="s">
        <v>207</v>
      </c>
      <c r="E95" s="12">
        <v>9</v>
      </c>
      <c r="F95" s="12">
        <v>0</v>
      </c>
      <c r="G95" s="12">
        <v>9</v>
      </c>
      <c r="H95" s="12">
        <v>1</v>
      </c>
      <c r="I95" s="12">
        <v>144</v>
      </c>
      <c r="J95" s="8" t="s">
        <v>246</v>
      </c>
      <c r="K95" s="8" t="s">
        <v>208</v>
      </c>
    </row>
    <row r="96" spans="1:11" ht="30" customHeight="1">
      <c r="A96" s="8" t="s">
        <v>19</v>
      </c>
      <c r="B96" s="8" t="s">
        <v>138</v>
      </c>
      <c r="C96" s="8" t="s">
        <v>64</v>
      </c>
      <c r="D96" s="8" t="s">
        <v>209</v>
      </c>
      <c r="E96" s="12">
        <v>15</v>
      </c>
      <c r="F96" s="12">
        <v>0</v>
      </c>
      <c r="G96" s="12">
        <v>15</v>
      </c>
      <c r="H96" s="12">
        <v>7</v>
      </c>
      <c r="I96" s="12">
        <v>1008</v>
      </c>
      <c r="J96" s="8" t="s">
        <v>246</v>
      </c>
      <c r="K96" s="8" t="s">
        <v>210</v>
      </c>
    </row>
    <row r="97" spans="1:11" ht="30" customHeight="1">
      <c r="A97" s="8" t="s">
        <v>19</v>
      </c>
      <c r="B97" s="8" t="s">
        <v>138</v>
      </c>
      <c r="C97" s="8" t="s">
        <v>103</v>
      </c>
      <c r="D97" s="8" t="s">
        <v>211</v>
      </c>
      <c r="E97" s="12">
        <v>0</v>
      </c>
      <c r="F97" s="12">
        <v>0</v>
      </c>
      <c r="G97" s="12">
        <v>0</v>
      </c>
      <c r="H97" s="12">
        <v>3</v>
      </c>
      <c r="I97" s="12">
        <v>432</v>
      </c>
      <c r="J97" s="8" t="s">
        <v>246</v>
      </c>
      <c r="K97" s="8" t="s">
        <v>212</v>
      </c>
    </row>
    <row r="98" spans="1:11" ht="30" customHeight="1">
      <c r="A98" s="8" t="s">
        <v>19</v>
      </c>
      <c r="B98" s="8" t="s">
        <v>213</v>
      </c>
      <c r="C98" s="8" t="s">
        <v>57</v>
      </c>
      <c r="D98" s="8" t="s">
        <v>148</v>
      </c>
      <c r="E98" s="12">
        <v>0</v>
      </c>
      <c r="F98" s="12">
        <v>0</v>
      </c>
      <c r="G98" s="12">
        <v>0</v>
      </c>
      <c r="H98" s="12">
        <v>1</v>
      </c>
      <c r="I98" s="12">
        <v>144</v>
      </c>
      <c r="J98" s="8" t="s">
        <v>246</v>
      </c>
      <c r="K98" s="8" t="s">
        <v>215</v>
      </c>
    </row>
    <row r="99" spans="1:11" ht="30" customHeight="1">
      <c r="A99" s="8" t="s">
        <v>19</v>
      </c>
      <c r="B99" s="8" t="s">
        <v>213</v>
      </c>
      <c r="C99" s="8" t="s">
        <v>53</v>
      </c>
      <c r="D99" s="8" t="s">
        <v>150</v>
      </c>
      <c r="E99" s="12">
        <v>0</v>
      </c>
      <c r="F99" s="12">
        <v>0</v>
      </c>
      <c r="G99" s="12">
        <v>0</v>
      </c>
      <c r="H99" s="12">
        <v>1</v>
      </c>
      <c r="I99" s="12">
        <v>144</v>
      </c>
      <c r="J99" s="8" t="s">
        <v>246</v>
      </c>
      <c r="K99" s="8" t="s">
        <v>216</v>
      </c>
    </row>
    <row r="100" spans="1:11" ht="30" customHeight="1">
      <c r="A100" s="8" t="s">
        <v>19</v>
      </c>
      <c r="B100" s="8" t="s">
        <v>213</v>
      </c>
      <c r="C100" s="8" t="s">
        <v>55</v>
      </c>
      <c r="D100" s="8" t="s">
        <v>154</v>
      </c>
      <c r="E100" s="12">
        <v>0</v>
      </c>
      <c r="F100" s="12">
        <v>0</v>
      </c>
      <c r="G100" s="12">
        <v>0</v>
      </c>
      <c r="H100" s="12">
        <v>1</v>
      </c>
      <c r="I100" s="12">
        <v>144</v>
      </c>
      <c r="J100" s="8" t="s">
        <v>246</v>
      </c>
      <c r="K100" s="8" t="s">
        <v>217</v>
      </c>
    </row>
    <row r="101" spans="1:11" ht="30" customHeight="1">
      <c r="A101" s="8" t="s">
        <v>19</v>
      </c>
      <c r="B101" s="8" t="s">
        <v>213</v>
      </c>
      <c r="C101" s="8" t="s">
        <v>112</v>
      </c>
      <c r="D101" s="8" t="s">
        <v>156</v>
      </c>
      <c r="E101" s="12">
        <v>0</v>
      </c>
      <c r="F101" s="12">
        <v>0</v>
      </c>
      <c r="G101" s="12">
        <v>0</v>
      </c>
      <c r="H101" s="12">
        <v>1</v>
      </c>
      <c r="I101" s="12">
        <v>144</v>
      </c>
      <c r="J101" s="8" t="s">
        <v>246</v>
      </c>
      <c r="K101" s="8" t="s">
        <v>218</v>
      </c>
    </row>
    <row r="102" spans="1:11" ht="30" customHeight="1">
      <c r="A102" s="8" t="s">
        <v>19</v>
      </c>
      <c r="B102" s="8" t="s">
        <v>213</v>
      </c>
      <c r="C102" s="8" t="s">
        <v>114</v>
      </c>
      <c r="D102" s="8" t="s">
        <v>220</v>
      </c>
      <c r="E102" s="12">
        <v>0</v>
      </c>
      <c r="F102" s="12">
        <v>0</v>
      </c>
      <c r="G102" s="12">
        <v>0</v>
      </c>
      <c r="H102" s="12">
        <v>3</v>
      </c>
      <c r="I102" s="12">
        <v>432</v>
      </c>
      <c r="J102" s="8" t="s">
        <v>246</v>
      </c>
      <c r="K102" s="8" t="s">
        <v>219</v>
      </c>
    </row>
    <row r="103" spans="1:11" ht="30" customHeight="1">
      <c r="A103" s="8" t="s">
        <v>19</v>
      </c>
      <c r="B103" s="8" t="s">
        <v>213</v>
      </c>
      <c r="C103" s="8" t="s">
        <v>162</v>
      </c>
      <c r="D103" s="8" t="s">
        <v>163</v>
      </c>
      <c r="E103" s="12">
        <v>0</v>
      </c>
      <c r="F103" s="12">
        <v>0</v>
      </c>
      <c r="G103" s="12">
        <v>0</v>
      </c>
      <c r="H103" s="12">
        <v>1</v>
      </c>
      <c r="I103" s="12">
        <v>144</v>
      </c>
      <c r="J103" s="8" t="s">
        <v>246</v>
      </c>
      <c r="K103" s="8" t="s">
        <v>221</v>
      </c>
    </row>
    <row r="104" spans="1:11" ht="30" customHeight="1">
      <c r="A104" s="8" t="s">
        <v>19</v>
      </c>
      <c r="B104" s="8" t="s">
        <v>213</v>
      </c>
      <c r="C104" s="8" t="s">
        <v>167</v>
      </c>
      <c r="D104" s="8" t="s">
        <v>168</v>
      </c>
      <c r="E104" s="12">
        <v>0</v>
      </c>
      <c r="F104" s="12">
        <v>0</v>
      </c>
      <c r="G104" s="12">
        <v>0</v>
      </c>
      <c r="H104" s="12">
        <v>1</v>
      </c>
      <c r="I104" s="12">
        <v>144</v>
      </c>
      <c r="J104" s="8" t="s">
        <v>246</v>
      </c>
      <c r="K104" s="8" t="s">
        <v>222</v>
      </c>
    </row>
    <row r="105" spans="1:11" ht="30" customHeight="1">
      <c r="A105" s="8" t="s">
        <v>19</v>
      </c>
      <c r="B105" s="8" t="s">
        <v>213</v>
      </c>
      <c r="C105" s="8" t="s">
        <v>120</v>
      </c>
      <c r="D105" s="8" t="s">
        <v>224</v>
      </c>
      <c r="E105" s="12">
        <v>1</v>
      </c>
      <c r="F105" s="12">
        <v>0</v>
      </c>
      <c r="G105" s="12">
        <v>1</v>
      </c>
      <c r="H105" s="12">
        <v>1</v>
      </c>
      <c r="I105" s="12">
        <v>144</v>
      </c>
      <c r="J105" s="8" t="s">
        <v>246</v>
      </c>
      <c r="K105" s="8" t="s">
        <v>223</v>
      </c>
    </row>
    <row r="106" spans="1:11" ht="30" customHeight="1">
      <c r="A106" s="8" t="s">
        <v>19</v>
      </c>
      <c r="B106" s="8" t="s">
        <v>213</v>
      </c>
      <c r="C106" s="8" t="s">
        <v>175</v>
      </c>
      <c r="D106" s="8" t="s">
        <v>176</v>
      </c>
      <c r="E106" s="12">
        <v>0</v>
      </c>
      <c r="F106" s="12">
        <v>0</v>
      </c>
      <c r="G106" s="12">
        <v>0</v>
      </c>
      <c r="H106" s="12">
        <v>1</v>
      </c>
      <c r="I106" s="12">
        <v>144</v>
      </c>
      <c r="J106" s="8" t="s">
        <v>246</v>
      </c>
      <c r="K106" s="8" t="s">
        <v>225</v>
      </c>
    </row>
    <row r="107" spans="1:11" ht="30" customHeight="1">
      <c r="A107" s="8" t="s">
        <v>19</v>
      </c>
      <c r="B107" s="8" t="s">
        <v>213</v>
      </c>
      <c r="C107" s="8" t="s">
        <v>62</v>
      </c>
      <c r="D107" s="8" t="s">
        <v>178</v>
      </c>
      <c r="E107" s="12">
        <v>0</v>
      </c>
      <c r="F107" s="12">
        <v>0</v>
      </c>
      <c r="G107" s="12">
        <v>0</v>
      </c>
      <c r="H107" s="12">
        <v>1</v>
      </c>
      <c r="I107" s="12">
        <v>144</v>
      </c>
      <c r="J107" s="8" t="s">
        <v>246</v>
      </c>
      <c r="K107" s="8" t="s">
        <v>226</v>
      </c>
    </row>
    <row r="108" spans="1:11" ht="30" customHeight="1">
      <c r="A108" s="8" t="s">
        <v>19</v>
      </c>
      <c r="B108" s="8" t="s">
        <v>213</v>
      </c>
      <c r="C108" s="8" t="s">
        <v>180</v>
      </c>
      <c r="D108" s="8" t="s">
        <v>181</v>
      </c>
      <c r="E108" s="12">
        <v>0</v>
      </c>
      <c r="F108" s="12">
        <v>0</v>
      </c>
      <c r="G108" s="12">
        <v>0</v>
      </c>
      <c r="H108" s="12">
        <v>4</v>
      </c>
      <c r="I108" s="12">
        <v>576</v>
      </c>
      <c r="J108" s="8" t="s">
        <v>246</v>
      </c>
      <c r="K108" s="8" t="s">
        <v>227</v>
      </c>
    </row>
    <row r="109" spans="1:11" ht="30" customHeight="1">
      <c r="A109" s="8" t="s">
        <v>19</v>
      </c>
      <c r="B109" s="8" t="s">
        <v>213</v>
      </c>
      <c r="C109" s="8" t="s">
        <v>108</v>
      </c>
      <c r="D109" s="8" t="s">
        <v>229</v>
      </c>
      <c r="E109" s="12">
        <v>0</v>
      </c>
      <c r="F109" s="12">
        <v>0</v>
      </c>
      <c r="G109" s="12">
        <v>0</v>
      </c>
      <c r="H109" s="12">
        <v>1</v>
      </c>
      <c r="I109" s="12">
        <v>144</v>
      </c>
      <c r="J109" s="8" t="s">
        <v>246</v>
      </c>
      <c r="K109" s="8" t="s">
        <v>228</v>
      </c>
    </row>
    <row r="110" spans="1:11" ht="30" customHeight="1">
      <c r="A110" s="8" t="s">
        <v>19</v>
      </c>
      <c r="B110" s="8" t="s">
        <v>213</v>
      </c>
      <c r="C110" s="8" t="s">
        <v>124</v>
      </c>
      <c r="D110" s="8" t="s">
        <v>185</v>
      </c>
      <c r="E110" s="12">
        <v>0</v>
      </c>
      <c r="F110" s="12">
        <v>0</v>
      </c>
      <c r="G110" s="12">
        <v>0</v>
      </c>
      <c r="H110" s="12">
        <v>1</v>
      </c>
      <c r="I110" s="12">
        <v>144</v>
      </c>
      <c r="J110" s="8" t="s">
        <v>246</v>
      </c>
      <c r="K110" s="8" t="s">
        <v>230</v>
      </c>
    </row>
    <row r="111" spans="1:11" ht="30" customHeight="1">
      <c r="A111" s="8" t="s">
        <v>19</v>
      </c>
      <c r="B111" s="8" t="s">
        <v>213</v>
      </c>
      <c r="C111" s="8" t="s">
        <v>128</v>
      </c>
      <c r="D111" s="8" t="s">
        <v>232</v>
      </c>
      <c r="E111" s="12">
        <v>0</v>
      </c>
      <c r="F111" s="12">
        <v>0</v>
      </c>
      <c r="G111" s="12">
        <v>0</v>
      </c>
      <c r="H111" s="12">
        <v>2</v>
      </c>
      <c r="I111" s="12">
        <v>288</v>
      </c>
      <c r="J111" s="8" t="s">
        <v>246</v>
      </c>
      <c r="K111" s="8" t="s">
        <v>231</v>
      </c>
    </row>
    <row r="112" spans="1:11" ht="30" customHeight="1">
      <c r="A112" s="8" t="s">
        <v>19</v>
      </c>
      <c r="B112" s="8" t="s">
        <v>213</v>
      </c>
      <c r="C112" s="8" t="s">
        <v>187</v>
      </c>
      <c r="D112" s="8" t="s">
        <v>188</v>
      </c>
      <c r="E112" s="12">
        <v>0</v>
      </c>
      <c r="F112" s="12">
        <v>0</v>
      </c>
      <c r="G112" s="12">
        <v>0</v>
      </c>
      <c r="H112" s="12">
        <v>3</v>
      </c>
      <c r="I112" s="12">
        <v>432</v>
      </c>
      <c r="J112" s="8" t="s">
        <v>246</v>
      </c>
      <c r="K112" s="8" t="s">
        <v>233</v>
      </c>
    </row>
    <row r="113" spans="1:11" ht="30" customHeight="1">
      <c r="A113" s="8" t="s">
        <v>19</v>
      </c>
      <c r="B113" s="8" t="s">
        <v>213</v>
      </c>
      <c r="C113" s="8" t="s">
        <v>190</v>
      </c>
      <c r="D113" s="8" t="s">
        <v>191</v>
      </c>
      <c r="E113" s="12">
        <v>0</v>
      </c>
      <c r="F113" s="12">
        <v>0</v>
      </c>
      <c r="G113" s="12">
        <v>0</v>
      </c>
      <c r="H113" s="12">
        <v>2</v>
      </c>
      <c r="I113" s="12">
        <v>288</v>
      </c>
      <c r="J113" s="8" t="s">
        <v>246</v>
      </c>
      <c r="K113" s="8" t="s">
        <v>234</v>
      </c>
    </row>
    <row r="114" spans="1:11" ht="30" customHeight="1">
      <c r="A114" s="8" t="s">
        <v>19</v>
      </c>
      <c r="B114" s="8" t="s">
        <v>213</v>
      </c>
      <c r="C114" s="8" t="s">
        <v>72</v>
      </c>
      <c r="D114" s="8" t="s">
        <v>193</v>
      </c>
      <c r="E114" s="12">
        <v>0</v>
      </c>
      <c r="F114" s="12">
        <v>0</v>
      </c>
      <c r="G114" s="12">
        <v>0</v>
      </c>
      <c r="H114" s="12">
        <v>2</v>
      </c>
      <c r="I114" s="12">
        <v>288</v>
      </c>
      <c r="J114" s="8" t="s">
        <v>246</v>
      </c>
      <c r="K114" s="8" t="s">
        <v>235</v>
      </c>
    </row>
    <row r="115" spans="1:11" ht="30" customHeight="1">
      <c r="A115" s="8" t="s">
        <v>19</v>
      </c>
      <c r="B115" s="8" t="s">
        <v>213</v>
      </c>
      <c r="C115" s="8" t="s">
        <v>116</v>
      </c>
      <c r="D115" s="8" t="s">
        <v>195</v>
      </c>
      <c r="E115" s="12">
        <v>3</v>
      </c>
      <c r="F115" s="12">
        <v>0</v>
      </c>
      <c r="G115" s="12">
        <v>3</v>
      </c>
      <c r="H115" s="12">
        <v>2</v>
      </c>
      <c r="I115" s="12">
        <v>288</v>
      </c>
      <c r="J115" s="8" t="s">
        <v>246</v>
      </c>
      <c r="K115" s="8" t="s">
        <v>236</v>
      </c>
    </row>
    <row r="116" spans="1:11" ht="30" customHeight="1">
      <c r="A116" s="8" t="s">
        <v>19</v>
      </c>
      <c r="B116" s="8" t="s">
        <v>213</v>
      </c>
      <c r="C116" s="8" t="s">
        <v>83</v>
      </c>
      <c r="D116" s="8" t="s">
        <v>197</v>
      </c>
      <c r="E116" s="12">
        <v>5</v>
      </c>
      <c r="F116" s="12">
        <v>0</v>
      </c>
      <c r="G116" s="12">
        <v>5</v>
      </c>
      <c r="H116" s="12">
        <v>3</v>
      </c>
      <c r="I116" s="12">
        <v>432</v>
      </c>
      <c r="J116" s="8" t="s">
        <v>246</v>
      </c>
      <c r="K116" s="8" t="s">
        <v>237</v>
      </c>
    </row>
    <row r="117" spans="1:11" ht="30" customHeight="1">
      <c r="A117" s="8" t="s">
        <v>19</v>
      </c>
      <c r="B117" s="8" t="s">
        <v>213</v>
      </c>
      <c r="C117" s="8" t="s">
        <v>79</v>
      </c>
      <c r="D117" s="8" t="s">
        <v>201</v>
      </c>
      <c r="E117" s="12">
        <v>0</v>
      </c>
      <c r="F117" s="12">
        <v>0</v>
      </c>
      <c r="G117" s="12">
        <v>0</v>
      </c>
      <c r="H117" s="12">
        <v>4</v>
      </c>
      <c r="I117" s="12">
        <v>576</v>
      </c>
      <c r="J117" s="8" t="s">
        <v>246</v>
      </c>
      <c r="K117" s="8" t="s">
        <v>238</v>
      </c>
    </row>
    <row r="118" spans="1:11" ht="30" customHeight="1">
      <c r="A118" s="8" t="s">
        <v>19</v>
      </c>
      <c r="B118" s="8" t="s">
        <v>213</v>
      </c>
      <c r="C118" s="8" t="s">
        <v>81</v>
      </c>
      <c r="D118" s="8" t="s">
        <v>203</v>
      </c>
      <c r="E118" s="12">
        <v>1</v>
      </c>
      <c r="F118" s="12">
        <v>0</v>
      </c>
      <c r="G118" s="12">
        <v>1</v>
      </c>
      <c r="H118" s="12">
        <v>1</v>
      </c>
      <c r="I118" s="12">
        <v>144</v>
      </c>
      <c r="J118" s="8" t="s">
        <v>246</v>
      </c>
      <c r="K118" s="8" t="s">
        <v>239</v>
      </c>
    </row>
    <row r="119" spans="1:11" ht="30" customHeight="1">
      <c r="A119" s="8" t="s">
        <v>19</v>
      </c>
      <c r="B119" s="8" t="s">
        <v>213</v>
      </c>
      <c r="C119" s="8" t="s">
        <v>130</v>
      </c>
      <c r="D119" s="8" t="s">
        <v>241</v>
      </c>
      <c r="E119" s="12">
        <v>0</v>
      </c>
      <c r="F119" s="12">
        <v>0</v>
      </c>
      <c r="G119" s="12">
        <v>0</v>
      </c>
      <c r="H119" s="12">
        <v>1</v>
      </c>
      <c r="I119" s="12">
        <v>144</v>
      </c>
      <c r="J119" s="8" t="s">
        <v>246</v>
      </c>
      <c r="K119" s="8" t="s">
        <v>240</v>
      </c>
    </row>
    <row r="120" spans="1:11" ht="30" customHeight="1">
      <c r="A120" s="8" t="s">
        <v>19</v>
      </c>
      <c r="B120" s="8" t="s">
        <v>213</v>
      </c>
      <c r="C120" s="8" t="s">
        <v>103</v>
      </c>
      <c r="D120" s="8" t="s">
        <v>211</v>
      </c>
      <c r="E120" s="12">
        <v>0</v>
      </c>
      <c r="F120" s="12">
        <v>0</v>
      </c>
      <c r="G120" s="12">
        <v>0</v>
      </c>
      <c r="H120" s="12">
        <v>1</v>
      </c>
      <c r="I120" s="12">
        <v>144</v>
      </c>
      <c r="J120" s="8" t="s">
        <v>246</v>
      </c>
      <c r="K120" s="8" t="s">
        <v>242</v>
      </c>
    </row>
    <row r="121" spans="1:11" ht="30" customHeight="1">
      <c r="A121" s="8" t="s">
        <v>19</v>
      </c>
      <c r="B121" s="8" t="s">
        <v>213</v>
      </c>
      <c r="C121" s="8" t="s">
        <v>105</v>
      </c>
      <c r="D121" s="8" t="s">
        <v>244</v>
      </c>
      <c r="E121" s="12">
        <v>0</v>
      </c>
      <c r="F121" s="12">
        <v>0</v>
      </c>
      <c r="G121" s="12">
        <v>0</v>
      </c>
      <c r="H121" s="12">
        <v>1</v>
      </c>
      <c r="I121" s="12">
        <v>144</v>
      </c>
      <c r="J121" s="8" t="s">
        <v>246</v>
      </c>
      <c r="K121" s="8" t="s">
        <v>243</v>
      </c>
    </row>
    <row r="122" spans="1:11" ht="30" customHeight="1">
      <c r="A122" s="8" t="s">
        <v>21</v>
      </c>
      <c r="B122" s="8" t="s">
        <v>138</v>
      </c>
      <c r="C122" s="8" t="s">
        <v>247</v>
      </c>
      <c r="D122" s="8" t="s">
        <v>188</v>
      </c>
      <c r="E122" s="12">
        <v>10</v>
      </c>
      <c r="F122" s="12">
        <v>0</v>
      </c>
      <c r="G122" s="12">
        <v>10</v>
      </c>
      <c r="H122" s="12">
        <v>3</v>
      </c>
      <c r="I122" s="12">
        <v>480</v>
      </c>
      <c r="J122" s="8" t="s">
        <v>248</v>
      </c>
      <c r="K122" s="8" t="s">
        <v>141</v>
      </c>
    </row>
    <row r="123" spans="1:11" ht="30" customHeight="1">
      <c r="A123" s="8" t="s">
        <v>21</v>
      </c>
      <c r="B123" s="8" t="s">
        <v>138</v>
      </c>
      <c r="C123" s="8" t="s">
        <v>249</v>
      </c>
      <c r="D123" s="8" t="s">
        <v>191</v>
      </c>
      <c r="E123" s="12">
        <v>0</v>
      </c>
      <c r="F123" s="12">
        <v>0</v>
      </c>
      <c r="G123" s="12">
        <v>0</v>
      </c>
      <c r="H123" s="12">
        <v>1</v>
      </c>
      <c r="I123" s="12">
        <v>160</v>
      </c>
      <c r="J123" s="8" t="s">
        <v>248</v>
      </c>
      <c r="K123" s="8" t="s">
        <v>143</v>
      </c>
    </row>
    <row r="124" spans="1:11" ht="30" customHeight="1">
      <c r="A124" s="8" t="s">
        <v>21</v>
      </c>
      <c r="B124" s="8" t="s">
        <v>138</v>
      </c>
      <c r="C124" s="8" t="s">
        <v>118</v>
      </c>
      <c r="D124" s="8" t="s">
        <v>250</v>
      </c>
      <c r="E124" s="12">
        <v>0</v>
      </c>
      <c r="F124" s="12">
        <v>0</v>
      </c>
      <c r="G124" s="12">
        <v>0</v>
      </c>
      <c r="H124" s="12">
        <v>5</v>
      </c>
      <c r="I124" s="12">
        <v>800</v>
      </c>
      <c r="J124" s="8" t="s">
        <v>248</v>
      </c>
      <c r="K124" s="8" t="s">
        <v>145</v>
      </c>
    </row>
    <row r="125" spans="1:11" ht="30" customHeight="1">
      <c r="A125" s="8" t="s">
        <v>21</v>
      </c>
      <c r="B125" s="8" t="s">
        <v>138</v>
      </c>
      <c r="C125" s="8" t="s">
        <v>251</v>
      </c>
      <c r="D125" s="8" t="s">
        <v>163</v>
      </c>
      <c r="E125" s="12">
        <v>3</v>
      </c>
      <c r="F125" s="12">
        <v>0</v>
      </c>
      <c r="G125" s="12">
        <v>3</v>
      </c>
      <c r="H125" s="12">
        <v>7</v>
      </c>
      <c r="I125" s="12">
        <v>1120</v>
      </c>
      <c r="J125" s="8" t="s">
        <v>248</v>
      </c>
      <c r="K125" s="8" t="s">
        <v>147</v>
      </c>
    </row>
    <row r="126" spans="1:11" ht="30" customHeight="1">
      <c r="A126" s="8" t="s">
        <v>21</v>
      </c>
      <c r="B126" s="8" t="s">
        <v>138</v>
      </c>
      <c r="C126" s="8" t="s">
        <v>101</v>
      </c>
      <c r="D126" s="8" t="s">
        <v>142</v>
      </c>
      <c r="E126" s="12">
        <v>0</v>
      </c>
      <c r="F126" s="12">
        <v>0</v>
      </c>
      <c r="G126" s="12">
        <v>0</v>
      </c>
      <c r="H126" s="12">
        <v>2</v>
      </c>
      <c r="I126" s="12">
        <v>320</v>
      </c>
      <c r="J126" s="8" t="s">
        <v>248</v>
      </c>
      <c r="K126" s="8" t="s">
        <v>149</v>
      </c>
    </row>
    <row r="127" spans="1:11" ht="30" customHeight="1">
      <c r="A127" s="8" t="s">
        <v>21</v>
      </c>
      <c r="B127" s="8" t="s">
        <v>138</v>
      </c>
      <c r="C127" s="8" t="s">
        <v>63</v>
      </c>
      <c r="D127" s="8" t="s">
        <v>139</v>
      </c>
      <c r="E127" s="12">
        <v>136</v>
      </c>
      <c r="F127" s="12">
        <v>0</v>
      </c>
      <c r="G127" s="12">
        <v>136</v>
      </c>
      <c r="H127" s="12">
        <v>9</v>
      </c>
      <c r="I127" s="12">
        <v>1440</v>
      </c>
      <c r="J127" s="8" t="s">
        <v>248</v>
      </c>
      <c r="K127" s="8" t="s">
        <v>151</v>
      </c>
    </row>
    <row r="128" spans="1:11" ht="30" customHeight="1">
      <c r="A128" s="8" t="s">
        <v>21</v>
      </c>
      <c r="B128" s="8" t="s">
        <v>138</v>
      </c>
      <c r="C128" s="8" t="s">
        <v>91</v>
      </c>
      <c r="D128" s="8" t="s">
        <v>144</v>
      </c>
      <c r="E128" s="12">
        <v>12</v>
      </c>
      <c r="F128" s="12">
        <v>0</v>
      </c>
      <c r="G128" s="12">
        <v>12</v>
      </c>
      <c r="H128" s="12">
        <v>8</v>
      </c>
      <c r="I128" s="12">
        <v>1280</v>
      </c>
      <c r="J128" s="8" t="s">
        <v>248</v>
      </c>
      <c r="K128" s="8" t="s">
        <v>153</v>
      </c>
    </row>
    <row r="129" spans="1:11" ht="30" customHeight="1">
      <c r="A129" s="8" t="s">
        <v>21</v>
      </c>
      <c r="B129" s="8" t="s">
        <v>138</v>
      </c>
      <c r="C129" s="8" t="s">
        <v>87</v>
      </c>
      <c r="D129" s="8" t="s">
        <v>252</v>
      </c>
      <c r="E129" s="12">
        <v>8</v>
      </c>
      <c r="F129" s="12">
        <v>0</v>
      </c>
      <c r="G129" s="12">
        <v>8</v>
      </c>
      <c r="H129" s="12">
        <v>14</v>
      </c>
      <c r="I129" s="12">
        <v>2240</v>
      </c>
      <c r="J129" s="8" t="s">
        <v>248</v>
      </c>
      <c r="K129" s="8" t="s">
        <v>155</v>
      </c>
    </row>
    <row r="130" spans="1:11" ht="30" customHeight="1">
      <c r="A130" s="8" t="s">
        <v>21</v>
      </c>
      <c r="B130" s="8" t="s">
        <v>138</v>
      </c>
      <c r="C130" s="8" t="s">
        <v>57</v>
      </c>
      <c r="D130" s="8" t="s">
        <v>148</v>
      </c>
      <c r="E130" s="12">
        <v>199</v>
      </c>
      <c r="F130" s="12">
        <v>0</v>
      </c>
      <c r="G130" s="12">
        <v>199</v>
      </c>
      <c r="H130" s="12">
        <v>29</v>
      </c>
      <c r="I130" s="12">
        <v>4640</v>
      </c>
      <c r="J130" s="8" t="s">
        <v>248</v>
      </c>
      <c r="K130" s="8" t="s">
        <v>157</v>
      </c>
    </row>
    <row r="131" spans="1:11" ht="30" customHeight="1">
      <c r="A131" s="8" t="s">
        <v>21</v>
      </c>
      <c r="B131" s="8" t="s">
        <v>138</v>
      </c>
      <c r="C131" s="8" t="s">
        <v>53</v>
      </c>
      <c r="D131" s="8" t="s">
        <v>150</v>
      </c>
      <c r="E131" s="12">
        <v>527</v>
      </c>
      <c r="F131" s="12">
        <v>64</v>
      </c>
      <c r="G131" s="12">
        <v>591</v>
      </c>
      <c r="H131" s="12">
        <v>65</v>
      </c>
      <c r="I131" s="12">
        <v>10400</v>
      </c>
      <c r="J131" s="8" t="s">
        <v>248</v>
      </c>
      <c r="K131" s="8" t="s">
        <v>159</v>
      </c>
    </row>
    <row r="132" spans="1:11" ht="30" customHeight="1">
      <c r="A132" s="8" t="s">
        <v>21</v>
      </c>
      <c r="B132" s="8" t="s">
        <v>138</v>
      </c>
      <c r="C132" s="8" t="s">
        <v>55</v>
      </c>
      <c r="D132" s="8" t="s">
        <v>154</v>
      </c>
      <c r="E132" s="12">
        <v>283</v>
      </c>
      <c r="F132" s="12">
        <v>0</v>
      </c>
      <c r="G132" s="12">
        <v>283</v>
      </c>
      <c r="H132" s="12">
        <v>31</v>
      </c>
      <c r="I132" s="12">
        <v>4960</v>
      </c>
      <c r="J132" s="8" t="s">
        <v>248</v>
      </c>
      <c r="K132" s="8" t="s">
        <v>161</v>
      </c>
    </row>
    <row r="133" spans="1:11" ht="30" customHeight="1">
      <c r="A133" s="8" t="s">
        <v>21</v>
      </c>
      <c r="B133" s="8" t="s">
        <v>138</v>
      </c>
      <c r="C133" s="8" t="s">
        <v>112</v>
      </c>
      <c r="D133" s="8" t="s">
        <v>156</v>
      </c>
      <c r="E133" s="12">
        <v>0</v>
      </c>
      <c r="F133" s="12">
        <v>0</v>
      </c>
      <c r="G133" s="12">
        <v>0</v>
      </c>
      <c r="H133" s="12">
        <v>1</v>
      </c>
      <c r="I133" s="12">
        <v>160</v>
      </c>
      <c r="J133" s="8" t="s">
        <v>248</v>
      </c>
      <c r="K133" s="8" t="s">
        <v>164</v>
      </c>
    </row>
    <row r="134" spans="1:11" ht="30" customHeight="1">
      <c r="A134" s="8" t="s">
        <v>21</v>
      </c>
      <c r="B134" s="8" t="s">
        <v>138</v>
      </c>
      <c r="C134" s="8" t="s">
        <v>85</v>
      </c>
      <c r="D134" s="8" t="s">
        <v>158</v>
      </c>
      <c r="E134" s="12">
        <v>2</v>
      </c>
      <c r="F134" s="12">
        <v>0</v>
      </c>
      <c r="G134" s="12">
        <v>2</v>
      </c>
      <c r="H134" s="12">
        <v>6</v>
      </c>
      <c r="I134" s="12">
        <v>960</v>
      </c>
      <c r="J134" s="8" t="s">
        <v>248</v>
      </c>
      <c r="K134" s="8" t="s">
        <v>166</v>
      </c>
    </row>
    <row r="135" spans="1:11" ht="30" customHeight="1">
      <c r="A135" s="8" t="s">
        <v>21</v>
      </c>
      <c r="B135" s="8" t="s">
        <v>138</v>
      </c>
      <c r="C135" s="8" t="s">
        <v>66</v>
      </c>
      <c r="D135" s="8" t="s">
        <v>160</v>
      </c>
      <c r="E135" s="12">
        <v>62</v>
      </c>
      <c r="F135" s="12">
        <v>0</v>
      </c>
      <c r="G135" s="12">
        <v>62</v>
      </c>
      <c r="H135" s="12">
        <v>22</v>
      </c>
      <c r="I135" s="12">
        <v>3520</v>
      </c>
      <c r="J135" s="8" t="s">
        <v>248</v>
      </c>
      <c r="K135" s="8" t="s">
        <v>169</v>
      </c>
    </row>
    <row r="136" spans="1:11" ht="30" customHeight="1">
      <c r="A136" s="8" t="s">
        <v>21</v>
      </c>
      <c r="B136" s="8" t="s">
        <v>138</v>
      </c>
      <c r="C136" s="8" t="s">
        <v>70</v>
      </c>
      <c r="D136" s="8" t="s">
        <v>152</v>
      </c>
      <c r="E136" s="12">
        <v>29</v>
      </c>
      <c r="F136" s="12">
        <v>0</v>
      </c>
      <c r="G136" s="12">
        <v>29</v>
      </c>
      <c r="H136" s="12">
        <v>10</v>
      </c>
      <c r="I136" s="12">
        <v>1600</v>
      </c>
      <c r="J136" s="8" t="s">
        <v>248</v>
      </c>
      <c r="K136" s="8" t="s">
        <v>171</v>
      </c>
    </row>
    <row r="137" spans="1:11" ht="30" customHeight="1">
      <c r="A137" s="8" t="s">
        <v>21</v>
      </c>
      <c r="B137" s="8" t="s">
        <v>138</v>
      </c>
      <c r="C137" s="8" t="s">
        <v>51</v>
      </c>
      <c r="D137" s="8" t="s">
        <v>170</v>
      </c>
      <c r="E137" s="12">
        <v>306</v>
      </c>
      <c r="F137" s="12">
        <v>256</v>
      </c>
      <c r="G137" s="12">
        <v>562</v>
      </c>
      <c r="H137" s="12">
        <v>56</v>
      </c>
      <c r="I137" s="12">
        <v>8960</v>
      </c>
      <c r="J137" s="8" t="s">
        <v>248</v>
      </c>
      <c r="K137" s="8" t="s">
        <v>174</v>
      </c>
    </row>
    <row r="138" spans="1:11" ht="30" customHeight="1">
      <c r="A138" s="8" t="s">
        <v>21</v>
      </c>
      <c r="B138" s="8" t="s">
        <v>138</v>
      </c>
      <c r="C138" s="8" t="s">
        <v>62</v>
      </c>
      <c r="D138" s="8" t="s">
        <v>178</v>
      </c>
      <c r="E138" s="12">
        <v>121</v>
      </c>
      <c r="F138" s="12">
        <v>0</v>
      </c>
      <c r="G138" s="12">
        <v>121</v>
      </c>
      <c r="H138" s="12">
        <v>19</v>
      </c>
      <c r="I138" s="12">
        <v>3040</v>
      </c>
      <c r="J138" s="8" t="s">
        <v>248</v>
      </c>
      <c r="K138" s="8" t="s">
        <v>177</v>
      </c>
    </row>
    <row r="139" spans="1:11" ht="30" customHeight="1">
      <c r="A139" s="8" t="s">
        <v>21</v>
      </c>
      <c r="B139" s="8" t="s">
        <v>138</v>
      </c>
      <c r="C139" s="8" t="s">
        <v>106</v>
      </c>
      <c r="D139" s="8" t="s">
        <v>183</v>
      </c>
      <c r="E139" s="12">
        <v>0</v>
      </c>
      <c r="F139" s="12">
        <v>0</v>
      </c>
      <c r="G139" s="12">
        <v>0</v>
      </c>
      <c r="H139" s="12">
        <v>1</v>
      </c>
      <c r="I139" s="12">
        <v>160</v>
      </c>
      <c r="J139" s="8" t="s">
        <v>248</v>
      </c>
      <c r="K139" s="8" t="s">
        <v>179</v>
      </c>
    </row>
    <row r="140" spans="1:11" ht="30" customHeight="1">
      <c r="A140" s="8" t="s">
        <v>21</v>
      </c>
      <c r="B140" s="8" t="s">
        <v>138</v>
      </c>
      <c r="C140" s="8" t="s">
        <v>180</v>
      </c>
      <c r="D140" s="8" t="s">
        <v>181</v>
      </c>
      <c r="E140" s="12">
        <v>0</v>
      </c>
      <c r="F140" s="12">
        <v>0</v>
      </c>
      <c r="G140" s="12">
        <v>0</v>
      </c>
      <c r="H140" s="12">
        <v>2</v>
      </c>
      <c r="I140" s="12">
        <v>320</v>
      </c>
      <c r="J140" s="8" t="s">
        <v>248</v>
      </c>
      <c r="K140" s="8" t="s">
        <v>182</v>
      </c>
    </row>
    <row r="141" spans="1:11" ht="30" customHeight="1">
      <c r="A141" s="8" t="s">
        <v>21</v>
      </c>
      <c r="B141" s="8" t="s">
        <v>138</v>
      </c>
      <c r="C141" s="8" t="s">
        <v>124</v>
      </c>
      <c r="D141" s="8" t="s">
        <v>185</v>
      </c>
      <c r="E141" s="12">
        <v>0</v>
      </c>
      <c r="F141" s="12">
        <v>0</v>
      </c>
      <c r="G141" s="12">
        <v>0</v>
      </c>
      <c r="H141" s="12">
        <v>1</v>
      </c>
      <c r="I141" s="12">
        <v>160</v>
      </c>
      <c r="J141" s="8" t="s">
        <v>248</v>
      </c>
      <c r="K141" s="8" t="s">
        <v>184</v>
      </c>
    </row>
    <row r="142" spans="1:11" ht="30" customHeight="1">
      <c r="A142" s="8" t="s">
        <v>21</v>
      </c>
      <c r="B142" s="8" t="s">
        <v>138</v>
      </c>
      <c r="C142" s="8" t="s">
        <v>122</v>
      </c>
      <c r="D142" s="8" t="s">
        <v>165</v>
      </c>
      <c r="E142" s="12">
        <v>0</v>
      </c>
      <c r="F142" s="12">
        <v>0</v>
      </c>
      <c r="G142" s="12">
        <v>0</v>
      </c>
      <c r="H142" s="12">
        <v>1</v>
      </c>
      <c r="I142" s="12">
        <v>160</v>
      </c>
      <c r="J142" s="8" t="s">
        <v>248</v>
      </c>
      <c r="K142" s="8" t="s">
        <v>186</v>
      </c>
    </row>
    <row r="143" spans="1:11" ht="30" customHeight="1">
      <c r="A143" s="8" t="s">
        <v>21</v>
      </c>
      <c r="B143" s="8" t="s">
        <v>138</v>
      </c>
      <c r="C143" s="8" t="s">
        <v>116</v>
      </c>
      <c r="D143" s="8" t="s">
        <v>195</v>
      </c>
      <c r="E143" s="12">
        <v>0</v>
      </c>
      <c r="F143" s="12">
        <v>0</v>
      </c>
      <c r="G143" s="12">
        <v>0</v>
      </c>
      <c r="H143" s="12">
        <v>1</v>
      </c>
      <c r="I143" s="12">
        <v>160</v>
      </c>
      <c r="J143" s="8" t="s">
        <v>248</v>
      </c>
      <c r="K143" s="8" t="s">
        <v>189</v>
      </c>
    </row>
    <row r="144" spans="1:11" ht="30" customHeight="1">
      <c r="A144" s="8" t="s">
        <v>21</v>
      </c>
      <c r="B144" s="8" t="s">
        <v>138</v>
      </c>
      <c r="C144" s="8" t="s">
        <v>83</v>
      </c>
      <c r="D144" s="8" t="s">
        <v>197</v>
      </c>
      <c r="E144" s="12">
        <v>7</v>
      </c>
      <c r="F144" s="12">
        <v>0</v>
      </c>
      <c r="G144" s="12">
        <v>7</v>
      </c>
      <c r="H144" s="12">
        <v>1</v>
      </c>
      <c r="I144" s="12">
        <v>160</v>
      </c>
      <c r="J144" s="8" t="s">
        <v>248</v>
      </c>
      <c r="K144" s="8" t="s">
        <v>192</v>
      </c>
    </row>
    <row r="145" spans="1:11" ht="30" customHeight="1">
      <c r="A145" s="8" t="s">
        <v>21</v>
      </c>
      <c r="B145" s="8" t="s">
        <v>138</v>
      </c>
      <c r="C145" s="8" t="s">
        <v>253</v>
      </c>
      <c r="D145" s="8" t="s">
        <v>176</v>
      </c>
      <c r="E145" s="12">
        <v>16</v>
      </c>
      <c r="F145" s="12">
        <v>0</v>
      </c>
      <c r="G145" s="12">
        <v>16</v>
      </c>
      <c r="H145" s="12">
        <v>10</v>
      </c>
      <c r="I145" s="12">
        <v>1600</v>
      </c>
      <c r="J145" s="8" t="s">
        <v>248</v>
      </c>
      <c r="K145" s="8" t="s">
        <v>194</v>
      </c>
    </row>
    <row r="146" spans="1:11" ht="30" customHeight="1">
      <c r="A146" s="8" t="s">
        <v>21</v>
      </c>
      <c r="B146" s="8" t="s">
        <v>138</v>
      </c>
      <c r="C146" s="8" t="s">
        <v>73</v>
      </c>
      <c r="D146" s="8" t="s">
        <v>199</v>
      </c>
      <c r="E146" s="12">
        <v>7</v>
      </c>
      <c r="F146" s="12">
        <v>0</v>
      </c>
      <c r="G146" s="12">
        <v>7</v>
      </c>
      <c r="H146" s="12">
        <v>7</v>
      </c>
      <c r="I146" s="12">
        <v>1120</v>
      </c>
      <c r="J146" s="8" t="s">
        <v>248</v>
      </c>
      <c r="K146" s="8" t="s">
        <v>196</v>
      </c>
    </row>
    <row r="147" spans="1:11" ht="30" customHeight="1">
      <c r="A147" s="8" t="s">
        <v>21</v>
      </c>
      <c r="B147" s="8" t="s">
        <v>138</v>
      </c>
      <c r="C147" s="8" t="s">
        <v>79</v>
      </c>
      <c r="D147" s="8" t="s">
        <v>201</v>
      </c>
      <c r="E147" s="12">
        <v>2</v>
      </c>
      <c r="F147" s="12">
        <v>0</v>
      </c>
      <c r="G147" s="12">
        <v>2</v>
      </c>
      <c r="H147" s="12">
        <v>2</v>
      </c>
      <c r="I147" s="12">
        <v>320</v>
      </c>
      <c r="J147" s="8" t="s">
        <v>248</v>
      </c>
      <c r="K147" s="8" t="s">
        <v>198</v>
      </c>
    </row>
    <row r="148" spans="1:11" ht="30" customHeight="1">
      <c r="A148" s="8" t="s">
        <v>21</v>
      </c>
      <c r="B148" s="8" t="s">
        <v>138</v>
      </c>
      <c r="C148" s="8" t="s">
        <v>81</v>
      </c>
      <c r="D148" s="8" t="s">
        <v>203</v>
      </c>
      <c r="E148" s="12">
        <v>11</v>
      </c>
      <c r="F148" s="12">
        <v>0</v>
      </c>
      <c r="G148" s="12">
        <v>11</v>
      </c>
      <c r="H148" s="12">
        <v>8</v>
      </c>
      <c r="I148" s="12">
        <v>1280</v>
      </c>
      <c r="J148" s="8" t="s">
        <v>248</v>
      </c>
      <c r="K148" s="8" t="s">
        <v>200</v>
      </c>
    </row>
    <row r="149" spans="1:11" ht="30" customHeight="1">
      <c r="A149" s="8" t="s">
        <v>21</v>
      </c>
      <c r="B149" s="8" t="s">
        <v>138</v>
      </c>
      <c r="C149" s="8" t="s">
        <v>254</v>
      </c>
      <c r="D149" s="8" t="s">
        <v>168</v>
      </c>
      <c r="E149" s="12">
        <v>213</v>
      </c>
      <c r="F149" s="12">
        <v>8</v>
      </c>
      <c r="G149" s="12">
        <v>221</v>
      </c>
      <c r="H149" s="12">
        <v>21</v>
      </c>
      <c r="I149" s="12">
        <v>3360</v>
      </c>
      <c r="J149" s="8" t="s">
        <v>248</v>
      </c>
      <c r="K149" s="8" t="s">
        <v>202</v>
      </c>
    </row>
    <row r="150" spans="1:11" ht="30" customHeight="1">
      <c r="A150" s="8" t="s">
        <v>21</v>
      </c>
      <c r="B150" s="8" t="s">
        <v>138</v>
      </c>
      <c r="C150" s="8" t="s">
        <v>58</v>
      </c>
      <c r="D150" s="8" t="s">
        <v>205</v>
      </c>
      <c r="E150" s="12">
        <v>285</v>
      </c>
      <c r="F150" s="12">
        <v>0</v>
      </c>
      <c r="G150" s="12">
        <v>285</v>
      </c>
      <c r="H150" s="12">
        <v>20</v>
      </c>
      <c r="I150" s="12">
        <v>3200</v>
      </c>
      <c r="J150" s="8" t="s">
        <v>248</v>
      </c>
      <c r="K150" s="8" t="s">
        <v>204</v>
      </c>
    </row>
    <row r="151" spans="1:11" ht="30" customHeight="1">
      <c r="A151" s="8" t="s">
        <v>21</v>
      </c>
      <c r="B151" s="8" t="s">
        <v>138</v>
      </c>
      <c r="C151" s="8" t="s">
        <v>68</v>
      </c>
      <c r="D151" s="8" t="s">
        <v>207</v>
      </c>
      <c r="E151" s="12">
        <v>40</v>
      </c>
      <c r="F151" s="12">
        <v>0</v>
      </c>
      <c r="G151" s="12">
        <v>40</v>
      </c>
      <c r="H151" s="12">
        <v>1</v>
      </c>
      <c r="I151" s="12">
        <v>160</v>
      </c>
      <c r="J151" s="8" t="s">
        <v>248</v>
      </c>
      <c r="K151" s="8" t="s">
        <v>206</v>
      </c>
    </row>
    <row r="152" spans="1:11" ht="30" customHeight="1">
      <c r="A152" s="8" t="s">
        <v>21</v>
      </c>
      <c r="B152" s="8" t="s">
        <v>138</v>
      </c>
      <c r="C152" s="8" t="s">
        <v>74</v>
      </c>
      <c r="D152" s="8" t="s">
        <v>173</v>
      </c>
      <c r="E152" s="12">
        <v>29</v>
      </c>
      <c r="F152" s="12">
        <v>0</v>
      </c>
      <c r="G152" s="12">
        <v>29</v>
      </c>
      <c r="H152" s="12">
        <v>3</v>
      </c>
      <c r="I152" s="12">
        <v>480</v>
      </c>
      <c r="J152" s="8" t="s">
        <v>248</v>
      </c>
      <c r="K152" s="8" t="s">
        <v>208</v>
      </c>
    </row>
    <row r="153" spans="1:11" ht="30" customHeight="1">
      <c r="A153" s="8" t="s">
        <v>21</v>
      </c>
      <c r="B153" s="8" t="s">
        <v>138</v>
      </c>
      <c r="C153" s="8" t="s">
        <v>64</v>
      </c>
      <c r="D153" s="8" t="s">
        <v>209</v>
      </c>
      <c r="E153" s="12">
        <v>56</v>
      </c>
      <c r="F153" s="12">
        <v>16</v>
      </c>
      <c r="G153" s="12">
        <v>72</v>
      </c>
      <c r="H153" s="12">
        <v>7</v>
      </c>
      <c r="I153" s="12">
        <v>1120</v>
      </c>
      <c r="J153" s="8" t="s">
        <v>248</v>
      </c>
      <c r="K153" s="8" t="s">
        <v>210</v>
      </c>
    </row>
    <row r="154" spans="1:11" ht="30" customHeight="1">
      <c r="A154" s="8" t="s">
        <v>21</v>
      </c>
      <c r="B154" s="8" t="s">
        <v>138</v>
      </c>
      <c r="C154" s="8" t="s">
        <v>103</v>
      </c>
      <c r="D154" s="8" t="s">
        <v>211</v>
      </c>
      <c r="E154" s="12">
        <v>16</v>
      </c>
      <c r="F154" s="12">
        <v>0</v>
      </c>
      <c r="G154" s="12">
        <v>16</v>
      </c>
      <c r="H154" s="12">
        <v>3</v>
      </c>
      <c r="I154" s="12">
        <v>480</v>
      </c>
      <c r="J154" s="8" t="s">
        <v>248</v>
      </c>
      <c r="K154" s="8" t="s">
        <v>212</v>
      </c>
    </row>
    <row r="155" spans="1:11" ht="30" customHeight="1">
      <c r="A155" s="8" t="s">
        <v>21</v>
      </c>
      <c r="B155" s="8" t="s">
        <v>213</v>
      </c>
      <c r="C155" s="8" t="s">
        <v>57</v>
      </c>
      <c r="D155" s="8" t="s">
        <v>148</v>
      </c>
      <c r="E155" s="12">
        <v>5</v>
      </c>
      <c r="F155" s="12">
        <v>0</v>
      </c>
      <c r="G155" s="12">
        <v>5</v>
      </c>
      <c r="H155" s="12">
        <v>1</v>
      </c>
      <c r="I155" s="12">
        <v>160</v>
      </c>
      <c r="J155" s="8" t="s">
        <v>248</v>
      </c>
      <c r="K155" s="8" t="s">
        <v>215</v>
      </c>
    </row>
    <row r="156" spans="1:11" ht="30" customHeight="1">
      <c r="A156" s="8" t="s">
        <v>21</v>
      </c>
      <c r="B156" s="8" t="s">
        <v>213</v>
      </c>
      <c r="C156" s="8" t="s">
        <v>53</v>
      </c>
      <c r="D156" s="8" t="s">
        <v>150</v>
      </c>
      <c r="E156" s="12">
        <v>0</v>
      </c>
      <c r="F156" s="12">
        <v>0</v>
      </c>
      <c r="G156" s="12">
        <v>0</v>
      </c>
      <c r="H156" s="12">
        <v>1</v>
      </c>
      <c r="I156" s="12">
        <v>160</v>
      </c>
      <c r="J156" s="8" t="s">
        <v>248</v>
      </c>
      <c r="K156" s="8" t="s">
        <v>216</v>
      </c>
    </row>
    <row r="157" spans="1:11" ht="30" customHeight="1">
      <c r="A157" s="8" t="s">
        <v>21</v>
      </c>
      <c r="B157" s="8" t="s">
        <v>213</v>
      </c>
      <c r="C157" s="8" t="s">
        <v>55</v>
      </c>
      <c r="D157" s="8" t="s">
        <v>154</v>
      </c>
      <c r="E157" s="12">
        <v>0</v>
      </c>
      <c r="F157" s="12">
        <v>0</v>
      </c>
      <c r="G157" s="12">
        <v>0</v>
      </c>
      <c r="H157" s="12">
        <v>1</v>
      </c>
      <c r="I157" s="12">
        <v>160</v>
      </c>
      <c r="J157" s="8" t="s">
        <v>248</v>
      </c>
      <c r="K157" s="8" t="s">
        <v>217</v>
      </c>
    </row>
    <row r="158" spans="1:11" ht="30" customHeight="1">
      <c r="A158" s="8" t="s">
        <v>21</v>
      </c>
      <c r="B158" s="8" t="s">
        <v>213</v>
      </c>
      <c r="C158" s="8" t="s">
        <v>112</v>
      </c>
      <c r="D158" s="8" t="s">
        <v>156</v>
      </c>
      <c r="E158" s="12">
        <v>3</v>
      </c>
      <c r="F158" s="12">
        <v>0</v>
      </c>
      <c r="G158" s="12">
        <v>3</v>
      </c>
      <c r="H158" s="12">
        <v>1</v>
      </c>
      <c r="I158" s="12">
        <v>160</v>
      </c>
      <c r="J158" s="8" t="s">
        <v>248</v>
      </c>
      <c r="K158" s="8" t="s">
        <v>218</v>
      </c>
    </row>
    <row r="159" spans="1:11" ht="30" customHeight="1">
      <c r="A159" s="8" t="s">
        <v>21</v>
      </c>
      <c r="B159" s="8" t="s">
        <v>213</v>
      </c>
      <c r="C159" s="8" t="s">
        <v>114</v>
      </c>
      <c r="D159" s="8" t="s">
        <v>220</v>
      </c>
      <c r="E159" s="12">
        <v>0</v>
      </c>
      <c r="F159" s="12">
        <v>0</v>
      </c>
      <c r="G159" s="12">
        <v>0</v>
      </c>
      <c r="H159" s="12">
        <v>3</v>
      </c>
      <c r="I159" s="12">
        <v>480</v>
      </c>
      <c r="J159" s="8" t="s">
        <v>248</v>
      </c>
      <c r="K159" s="8" t="s">
        <v>219</v>
      </c>
    </row>
    <row r="160" spans="1:11" ht="30" customHeight="1">
      <c r="A160" s="8" t="s">
        <v>21</v>
      </c>
      <c r="B160" s="8" t="s">
        <v>213</v>
      </c>
      <c r="C160" s="8" t="s">
        <v>162</v>
      </c>
      <c r="D160" s="8" t="s">
        <v>163</v>
      </c>
      <c r="E160" s="12">
        <v>11</v>
      </c>
      <c r="F160" s="12">
        <v>0</v>
      </c>
      <c r="G160" s="12">
        <v>11</v>
      </c>
      <c r="H160" s="12">
        <v>1</v>
      </c>
      <c r="I160" s="12">
        <v>160</v>
      </c>
      <c r="J160" s="8" t="s">
        <v>248</v>
      </c>
      <c r="K160" s="8" t="s">
        <v>221</v>
      </c>
    </row>
    <row r="161" spans="1:11" ht="30" customHeight="1">
      <c r="A161" s="8" t="s">
        <v>21</v>
      </c>
      <c r="B161" s="8" t="s">
        <v>213</v>
      </c>
      <c r="C161" s="8" t="s">
        <v>167</v>
      </c>
      <c r="D161" s="8" t="s">
        <v>168</v>
      </c>
      <c r="E161" s="12">
        <v>0</v>
      </c>
      <c r="F161" s="12">
        <v>0</v>
      </c>
      <c r="G161" s="12">
        <v>0</v>
      </c>
      <c r="H161" s="12">
        <v>1</v>
      </c>
      <c r="I161" s="12">
        <v>160</v>
      </c>
      <c r="J161" s="8" t="s">
        <v>248</v>
      </c>
      <c r="K161" s="8" t="s">
        <v>222</v>
      </c>
    </row>
    <row r="162" spans="1:11" ht="30" customHeight="1">
      <c r="A162" s="8" t="s">
        <v>21</v>
      </c>
      <c r="B162" s="8" t="s">
        <v>213</v>
      </c>
      <c r="C162" s="8" t="s">
        <v>120</v>
      </c>
      <c r="D162" s="8" t="s">
        <v>224</v>
      </c>
      <c r="E162" s="12">
        <v>0</v>
      </c>
      <c r="F162" s="12">
        <v>0</v>
      </c>
      <c r="G162" s="12">
        <v>0</v>
      </c>
      <c r="H162" s="12">
        <v>1</v>
      </c>
      <c r="I162" s="12">
        <v>160</v>
      </c>
      <c r="J162" s="8" t="s">
        <v>248</v>
      </c>
      <c r="K162" s="8" t="s">
        <v>223</v>
      </c>
    </row>
    <row r="163" spans="1:11" ht="30" customHeight="1">
      <c r="A163" s="8" t="s">
        <v>21</v>
      </c>
      <c r="B163" s="8" t="s">
        <v>213</v>
      </c>
      <c r="C163" s="8" t="s">
        <v>175</v>
      </c>
      <c r="D163" s="8" t="s">
        <v>176</v>
      </c>
      <c r="E163" s="12">
        <v>0</v>
      </c>
      <c r="F163" s="12">
        <v>0</v>
      </c>
      <c r="G163" s="12">
        <v>0</v>
      </c>
      <c r="H163" s="12">
        <v>1</v>
      </c>
      <c r="I163" s="12">
        <v>160</v>
      </c>
      <c r="J163" s="8" t="s">
        <v>248</v>
      </c>
      <c r="K163" s="8" t="s">
        <v>225</v>
      </c>
    </row>
    <row r="164" spans="1:11" ht="30" customHeight="1">
      <c r="A164" s="8" t="s">
        <v>21</v>
      </c>
      <c r="B164" s="8" t="s">
        <v>213</v>
      </c>
      <c r="C164" s="8" t="s">
        <v>62</v>
      </c>
      <c r="D164" s="8" t="s">
        <v>178</v>
      </c>
      <c r="E164" s="12">
        <v>0</v>
      </c>
      <c r="F164" s="12">
        <v>0</v>
      </c>
      <c r="G164" s="12">
        <v>0</v>
      </c>
      <c r="H164" s="12">
        <v>1</v>
      </c>
      <c r="I164" s="12">
        <v>160</v>
      </c>
      <c r="J164" s="8" t="s">
        <v>248</v>
      </c>
      <c r="K164" s="8" t="s">
        <v>226</v>
      </c>
    </row>
    <row r="165" spans="1:11" ht="30" customHeight="1">
      <c r="A165" s="8" t="s">
        <v>21</v>
      </c>
      <c r="B165" s="8" t="s">
        <v>213</v>
      </c>
      <c r="C165" s="8" t="s">
        <v>180</v>
      </c>
      <c r="D165" s="8" t="s">
        <v>181</v>
      </c>
      <c r="E165" s="12">
        <v>0</v>
      </c>
      <c r="F165" s="12">
        <v>0</v>
      </c>
      <c r="G165" s="12">
        <v>0</v>
      </c>
      <c r="H165" s="12">
        <v>4</v>
      </c>
      <c r="I165" s="12">
        <v>640</v>
      </c>
      <c r="J165" s="8" t="s">
        <v>248</v>
      </c>
      <c r="K165" s="8" t="s">
        <v>227</v>
      </c>
    </row>
    <row r="166" spans="1:11" ht="30" customHeight="1">
      <c r="A166" s="8" t="s">
        <v>21</v>
      </c>
      <c r="B166" s="8" t="s">
        <v>213</v>
      </c>
      <c r="C166" s="8" t="s">
        <v>108</v>
      </c>
      <c r="D166" s="8" t="s">
        <v>229</v>
      </c>
      <c r="E166" s="12">
        <v>8</v>
      </c>
      <c r="F166" s="12">
        <v>0</v>
      </c>
      <c r="G166" s="12">
        <v>8</v>
      </c>
      <c r="H166" s="12">
        <v>1</v>
      </c>
      <c r="I166" s="12">
        <v>160</v>
      </c>
      <c r="J166" s="8" t="s">
        <v>248</v>
      </c>
      <c r="K166" s="8" t="s">
        <v>228</v>
      </c>
    </row>
    <row r="167" spans="1:11" ht="30" customHeight="1">
      <c r="A167" s="8" t="s">
        <v>21</v>
      </c>
      <c r="B167" s="8" t="s">
        <v>213</v>
      </c>
      <c r="C167" s="8" t="s">
        <v>124</v>
      </c>
      <c r="D167" s="8" t="s">
        <v>185</v>
      </c>
      <c r="E167" s="12">
        <v>0</v>
      </c>
      <c r="F167" s="12">
        <v>0</v>
      </c>
      <c r="G167" s="12">
        <v>0</v>
      </c>
      <c r="H167" s="12">
        <v>1</v>
      </c>
      <c r="I167" s="12">
        <v>160</v>
      </c>
      <c r="J167" s="8" t="s">
        <v>248</v>
      </c>
      <c r="K167" s="8" t="s">
        <v>230</v>
      </c>
    </row>
    <row r="168" spans="1:11" ht="30" customHeight="1">
      <c r="A168" s="8" t="s">
        <v>21</v>
      </c>
      <c r="B168" s="8" t="s">
        <v>213</v>
      </c>
      <c r="C168" s="8" t="s">
        <v>128</v>
      </c>
      <c r="D168" s="8" t="s">
        <v>232</v>
      </c>
      <c r="E168" s="12">
        <v>0</v>
      </c>
      <c r="F168" s="12">
        <v>0</v>
      </c>
      <c r="G168" s="12">
        <v>0</v>
      </c>
      <c r="H168" s="12">
        <v>2</v>
      </c>
      <c r="I168" s="12">
        <v>320</v>
      </c>
      <c r="J168" s="8" t="s">
        <v>248</v>
      </c>
      <c r="K168" s="8" t="s">
        <v>231</v>
      </c>
    </row>
    <row r="169" spans="1:11" ht="30" customHeight="1">
      <c r="A169" s="8" t="s">
        <v>21</v>
      </c>
      <c r="B169" s="8" t="s">
        <v>213</v>
      </c>
      <c r="C169" s="8" t="s">
        <v>187</v>
      </c>
      <c r="D169" s="8" t="s">
        <v>188</v>
      </c>
      <c r="E169" s="12">
        <v>3</v>
      </c>
      <c r="F169" s="12">
        <v>0</v>
      </c>
      <c r="G169" s="12">
        <v>3</v>
      </c>
      <c r="H169" s="12">
        <v>3</v>
      </c>
      <c r="I169" s="12">
        <v>480</v>
      </c>
      <c r="J169" s="8" t="s">
        <v>248</v>
      </c>
      <c r="K169" s="8" t="s">
        <v>233</v>
      </c>
    </row>
    <row r="170" spans="1:11" ht="30" customHeight="1">
      <c r="A170" s="8" t="s">
        <v>21</v>
      </c>
      <c r="B170" s="8" t="s">
        <v>213</v>
      </c>
      <c r="C170" s="8" t="s">
        <v>190</v>
      </c>
      <c r="D170" s="8" t="s">
        <v>191</v>
      </c>
      <c r="E170" s="12">
        <v>0</v>
      </c>
      <c r="F170" s="12">
        <v>0</v>
      </c>
      <c r="G170" s="12">
        <v>0</v>
      </c>
      <c r="H170" s="12">
        <v>2</v>
      </c>
      <c r="I170" s="12">
        <v>320</v>
      </c>
      <c r="J170" s="8" t="s">
        <v>248</v>
      </c>
      <c r="K170" s="8" t="s">
        <v>234</v>
      </c>
    </row>
    <row r="171" spans="1:11" ht="30" customHeight="1">
      <c r="A171" s="8" t="s">
        <v>21</v>
      </c>
      <c r="B171" s="8" t="s">
        <v>213</v>
      </c>
      <c r="C171" s="8" t="s">
        <v>72</v>
      </c>
      <c r="D171" s="8" t="s">
        <v>193</v>
      </c>
      <c r="E171" s="12">
        <v>0</v>
      </c>
      <c r="F171" s="12">
        <v>0</v>
      </c>
      <c r="G171" s="12">
        <v>0</v>
      </c>
      <c r="H171" s="12">
        <v>2</v>
      </c>
      <c r="I171" s="12">
        <v>320</v>
      </c>
      <c r="J171" s="8" t="s">
        <v>248</v>
      </c>
      <c r="K171" s="8" t="s">
        <v>235</v>
      </c>
    </row>
    <row r="172" spans="1:11" ht="30" customHeight="1">
      <c r="A172" s="8" t="s">
        <v>21</v>
      </c>
      <c r="B172" s="8" t="s">
        <v>213</v>
      </c>
      <c r="C172" s="8" t="s">
        <v>116</v>
      </c>
      <c r="D172" s="8" t="s">
        <v>195</v>
      </c>
      <c r="E172" s="12">
        <v>0</v>
      </c>
      <c r="F172" s="12">
        <v>0</v>
      </c>
      <c r="G172" s="12">
        <v>0</v>
      </c>
      <c r="H172" s="12">
        <v>2</v>
      </c>
      <c r="I172" s="12">
        <v>320</v>
      </c>
      <c r="J172" s="8" t="s">
        <v>248</v>
      </c>
      <c r="K172" s="8" t="s">
        <v>236</v>
      </c>
    </row>
    <row r="173" spans="1:11" ht="30" customHeight="1">
      <c r="A173" s="8" t="s">
        <v>21</v>
      </c>
      <c r="B173" s="8" t="s">
        <v>213</v>
      </c>
      <c r="C173" s="8" t="s">
        <v>83</v>
      </c>
      <c r="D173" s="8" t="s">
        <v>197</v>
      </c>
      <c r="E173" s="12">
        <v>1</v>
      </c>
      <c r="F173" s="12">
        <v>0</v>
      </c>
      <c r="G173" s="12">
        <v>1</v>
      </c>
      <c r="H173" s="12">
        <v>3</v>
      </c>
      <c r="I173" s="12">
        <v>480</v>
      </c>
      <c r="J173" s="8" t="s">
        <v>248</v>
      </c>
      <c r="K173" s="8" t="s">
        <v>237</v>
      </c>
    </row>
    <row r="174" spans="1:11" ht="30" customHeight="1">
      <c r="A174" s="8" t="s">
        <v>21</v>
      </c>
      <c r="B174" s="8" t="s">
        <v>213</v>
      </c>
      <c r="C174" s="8" t="s">
        <v>79</v>
      </c>
      <c r="D174" s="8" t="s">
        <v>201</v>
      </c>
      <c r="E174" s="12">
        <v>8</v>
      </c>
      <c r="F174" s="12">
        <v>0</v>
      </c>
      <c r="G174" s="12">
        <v>8</v>
      </c>
      <c r="H174" s="12">
        <v>4</v>
      </c>
      <c r="I174" s="12">
        <v>640</v>
      </c>
      <c r="J174" s="8" t="s">
        <v>248</v>
      </c>
      <c r="K174" s="8" t="s">
        <v>238</v>
      </c>
    </row>
    <row r="175" spans="1:11" ht="30" customHeight="1">
      <c r="A175" s="8" t="s">
        <v>21</v>
      </c>
      <c r="B175" s="8" t="s">
        <v>213</v>
      </c>
      <c r="C175" s="8" t="s">
        <v>81</v>
      </c>
      <c r="D175" s="8" t="s">
        <v>203</v>
      </c>
      <c r="E175" s="12">
        <v>40</v>
      </c>
      <c r="F175" s="12">
        <v>0</v>
      </c>
      <c r="G175" s="12">
        <v>40</v>
      </c>
      <c r="H175" s="12">
        <v>1</v>
      </c>
      <c r="I175" s="12">
        <v>160</v>
      </c>
      <c r="J175" s="8" t="s">
        <v>248</v>
      </c>
      <c r="K175" s="8" t="s">
        <v>239</v>
      </c>
    </row>
    <row r="176" spans="1:11" ht="30" customHeight="1">
      <c r="A176" s="8" t="s">
        <v>21</v>
      </c>
      <c r="B176" s="8" t="s">
        <v>213</v>
      </c>
      <c r="C176" s="8" t="s">
        <v>58</v>
      </c>
      <c r="D176" s="8" t="s">
        <v>205</v>
      </c>
      <c r="E176" s="12">
        <v>8</v>
      </c>
      <c r="F176" s="12">
        <v>0</v>
      </c>
      <c r="G176" s="12">
        <v>8</v>
      </c>
      <c r="H176" s="12">
        <v>1</v>
      </c>
      <c r="I176" s="12">
        <v>160</v>
      </c>
      <c r="J176" s="8" t="s">
        <v>248</v>
      </c>
      <c r="K176" s="8" t="s">
        <v>240</v>
      </c>
    </row>
    <row r="177" spans="1:11" ht="30" customHeight="1">
      <c r="A177" s="8" t="s">
        <v>21</v>
      </c>
      <c r="B177" s="8" t="s">
        <v>213</v>
      </c>
      <c r="C177" s="8" t="s">
        <v>130</v>
      </c>
      <c r="D177" s="8" t="s">
        <v>241</v>
      </c>
      <c r="E177" s="12">
        <v>0</v>
      </c>
      <c r="F177" s="12">
        <v>0</v>
      </c>
      <c r="G177" s="12">
        <v>0</v>
      </c>
      <c r="H177" s="12">
        <v>1</v>
      </c>
      <c r="I177" s="12">
        <v>160</v>
      </c>
      <c r="J177" s="8" t="s">
        <v>248</v>
      </c>
      <c r="K177" s="8" t="s">
        <v>242</v>
      </c>
    </row>
    <row r="178" spans="1:11" ht="30" customHeight="1">
      <c r="A178" s="8" t="s">
        <v>21</v>
      </c>
      <c r="B178" s="8" t="s">
        <v>213</v>
      </c>
      <c r="C178" s="8" t="s">
        <v>103</v>
      </c>
      <c r="D178" s="8" t="s">
        <v>211</v>
      </c>
      <c r="E178" s="12">
        <v>0</v>
      </c>
      <c r="F178" s="12">
        <v>0</v>
      </c>
      <c r="G178" s="12">
        <v>0</v>
      </c>
      <c r="H178" s="12">
        <v>1</v>
      </c>
      <c r="I178" s="12">
        <v>160</v>
      </c>
      <c r="J178" s="8" t="s">
        <v>248</v>
      </c>
      <c r="K178" s="8" t="s">
        <v>243</v>
      </c>
    </row>
    <row r="179" spans="1:11" ht="30" customHeight="1">
      <c r="A179" s="8" t="s">
        <v>21</v>
      </c>
      <c r="B179" s="8" t="s">
        <v>213</v>
      </c>
      <c r="C179" s="8" t="s">
        <v>105</v>
      </c>
      <c r="D179" s="8" t="s">
        <v>244</v>
      </c>
      <c r="E179" s="12">
        <v>0</v>
      </c>
      <c r="F179" s="12">
        <v>0</v>
      </c>
      <c r="G179" s="12">
        <v>0</v>
      </c>
      <c r="H179" s="12">
        <v>1</v>
      </c>
      <c r="I179" s="12">
        <v>160</v>
      </c>
      <c r="J179" s="8" t="s">
        <v>248</v>
      </c>
      <c r="K179" s="8" t="s">
        <v>245</v>
      </c>
    </row>
    <row r="180" spans="1:11" ht="30" customHeight="1">
      <c r="A180" s="8" t="s">
        <v>23</v>
      </c>
      <c r="B180" s="8" t="s">
        <v>138</v>
      </c>
      <c r="C180" s="8" t="s">
        <v>247</v>
      </c>
      <c r="D180" s="8" t="s">
        <v>188</v>
      </c>
      <c r="E180" s="12">
        <v>2</v>
      </c>
      <c r="F180" s="12">
        <v>0</v>
      </c>
      <c r="G180" s="12">
        <v>2</v>
      </c>
      <c r="H180" s="12">
        <v>3</v>
      </c>
      <c r="I180" s="12">
        <v>504</v>
      </c>
      <c r="J180" s="8" t="s">
        <v>255</v>
      </c>
      <c r="K180" s="8" t="s">
        <v>141</v>
      </c>
    </row>
    <row r="181" spans="1:11" ht="30" customHeight="1">
      <c r="A181" s="8" t="s">
        <v>23</v>
      </c>
      <c r="B181" s="8" t="s">
        <v>138</v>
      </c>
      <c r="C181" s="8" t="s">
        <v>249</v>
      </c>
      <c r="D181" s="8" t="s">
        <v>191</v>
      </c>
      <c r="E181" s="12">
        <v>3</v>
      </c>
      <c r="F181" s="12">
        <v>0</v>
      </c>
      <c r="G181" s="12">
        <v>3</v>
      </c>
      <c r="H181" s="12">
        <v>1</v>
      </c>
      <c r="I181" s="12">
        <v>168</v>
      </c>
      <c r="J181" s="8" t="s">
        <v>255</v>
      </c>
      <c r="K181" s="8" t="s">
        <v>143</v>
      </c>
    </row>
    <row r="182" spans="1:11" ht="30" customHeight="1">
      <c r="A182" s="8" t="s">
        <v>23</v>
      </c>
      <c r="B182" s="8" t="s">
        <v>138</v>
      </c>
      <c r="C182" s="8" t="s">
        <v>118</v>
      </c>
      <c r="D182" s="8" t="s">
        <v>250</v>
      </c>
      <c r="E182" s="12">
        <v>0</v>
      </c>
      <c r="F182" s="12">
        <v>0</v>
      </c>
      <c r="G182" s="12">
        <v>0</v>
      </c>
      <c r="H182" s="12">
        <v>5</v>
      </c>
      <c r="I182" s="12">
        <v>840</v>
      </c>
      <c r="J182" s="8" t="s">
        <v>255</v>
      </c>
      <c r="K182" s="8" t="s">
        <v>145</v>
      </c>
    </row>
    <row r="183" spans="1:11" ht="30" customHeight="1">
      <c r="A183" s="8" t="s">
        <v>23</v>
      </c>
      <c r="B183" s="8" t="s">
        <v>138</v>
      </c>
      <c r="C183" s="8" t="s">
        <v>251</v>
      </c>
      <c r="D183" s="8" t="s">
        <v>163</v>
      </c>
      <c r="E183" s="12">
        <v>3</v>
      </c>
      <c r="F183" s="12">
        <v>0</v>
      </c>
      <c r="G183" s="12">
        <v>3</v>
      </c>
      <c r="H183" s="12">
        <v>7</v>
      </c>
      <c r="I183" s="12">
        <v>1176</v>
      </c>
      <c r="J183" s="8" t="s">
        <v>255</v>
      </c>
      <c r="K183" s="8" t="s">
        <v>147</v>
      </c>
    </row>
    <row r="184" spans="1:11" ht="30" customHeight="1">
      <c r="A184" s="8" t="s">
        <v>23</v>
      </c>
      <c r="B184" s="8" t="s">
        <v>138</v>
      </c>
      <c r="C184" s="8" t="s">
        <v>101</v>
      </c>
      <c r="D184" s="8" t="s">
        <v>142</v>
      </c>
      <c r="E184" s="12">
        <v>0</v>
      </c>
      <c r="F184" s="12">
        <v>0</v>
      </c>
      <c r="G184" s="12">
        <v>0</v>
      </c>
      <c r="H184" s="12">
        <v>2</v>
      </c>
      <c r="I184" s="12">
        <v>336</v>
      </c>
      <c r="J184" s="8" t="s">
        <v>255</v>
      </c>
      <c r="K184" s="8" t="s">
        <v>149</v>
      </c>
    </row>
    <row r="185" spans="1:11" ht="30" customHeight="1">
      <c r="A185" s="8" t="s">
        <v>23</v>
      </c>
      <c r="B185" s="8" t="s">
        <v>138</v>
      </c>
      <c r="C185" s="8" t="s">
        <v>63</v>
      </c>
      <c r="D185" s="8" t="s">
        <v>139</v>
      </c>
      <c r="E185" s="12">
        <v>189</v>
      </c>
      <c r="F185" s="12">
        <v>0</v>
      </c>
      <c r="G185" s="12">
        <v>189</v>
      </c>
      <c r="H185" s="12">
        <v>9</v>
      </c>
      <c r="I185" s="12">
        <v>1512</v>
      </c>
      <c r="J185" s="8" t="s">
        <v>255</v>
      </c>
      <c r="K185" s="8" t="s">
        <v>151</v>
      </c>
    </row>
    <row r="186" spans="1:11" ht="30" customHeight="1">
      <c r="A186" s="8" t="s">
        <v>23</v>
      </c>
      <c r="B186" s="8" t="s">
        <v>138</v>
      </c>
      <c r="C186" s="8" t="s">
        <v>91</v>
      </c>
      <c r="D186" s="8" t="s">
        <v>144</v>
      </c>
      <c r="E186" s="12">
        <v>10</v>
      </c>
      <c r="F186" s="12">
        <v>0</v>
      </c>
      <c r="G186" s="12">
        <v>10</v>
      </c>
      <c r="H186" s="12">
        <v>8</v>
      </c>
      <c r="I186" s="12">
        <v>1344</v>
      </c>
      <c r="J186" s="8" t="s">
        <v>255</v>
      </c>
      <c r="K186" s="8" t="s">
        <v>153</v>
      </c>
    </row>
    <row r="187" spans="1:11" ht="30" customHeight="1">
      <c r="A187" s="8" t="s">
        <v>23</v>
      </c>
      <c r="B187" s="8" t="s">
        <v>138</v>
      </c>
      <c r="C187" s="8" t="s">
        <v>87</v>
      </c>
      <c r="D187" s="8" t="s">
        <v>252</v>
      </c>
      <c r="E187" s="12">
        <v>24</v>
      </c>
      <c r="F187" s="12">
        <v>0</v>
      </c>
      <c r="G187" s="12">
        <v>24</v>
      </c>
      <c r="H187" s="12">
        <v>14</v>
      </c>
      <c r="I187" s="12">
        <v>2352</v>
      </c>
      <c r="J187" s="8" t="s">
        <v>255</v>
      </c>
      <c r="K187" s="8" t="s">
        <v>155</v>
      </c>
    </row>
    <row r="188" spans="1:11" ht="30" customHeight="1">
      <c r="A188" s="8" t="s">
        <v>23</v>
      </c>
      <c r="B188" s="8" t="s">
        <v>138</v>
      </c>
      <c r="C188" s="8" t="s">
        <v>57</v>
      </c>
      <c r="D188" s="8" t="s">
        <v>148</v>
      </c>
      <c r="E188" s="12">
        <v>325</v>
      </c>
      <c r="F188" s="12">
        <v>0</v>
      </c>
      <c r="G188" s="12">
        <v>325</v>
      </c>
      <c r="H188" s="12">
        <v>29</v>
      </c>
      <c r="I188" s="12">
        <v>4872</v>
      </c>
      <c r="J188" s="8" t="s">
        <v>255</v>
      </c>
      <c r="K188" s="8" t="s">
        <v>157</v>
      </c>
    </row>
    <row r="189" spans="1:11" ht="30" customHeight="1">
      <c r="A189" s="8" t="s">
        <v>23</v>
      </c>
      <c r="B189" s="8" t="s">
        <v>138</v>
      </c>
      <c r="C189" s="8" t="s">
        <v>53</v>
      </c>
      <c r="D189" s="8" t="s">
        <v>150</v>
      </c>
      <c r="E189" s="12">
        <v>531</v>
      </c>
      <c r="F189" s="12">
        <v>89</v>
      </c>
      <c r="G189" s="12">
        <v>620</v>
      </c>
      <c r="H189" s="12">
        <v>65</v>
      </c>
      <c r="I189" s="12">
        <v>10920</v>
      </c>
      <c r="J189" s="8" t="s">
        <v>255</v>
      </c>
      <c r="K189" s="8" t="s">
        <v>159</v>
      </c>
    </row>
    <row r="190" spans="1:11" ht="30" customHeight="1">
      <c r="A190" s="8" t="s">
        <v>23</v>
      </c>
      <c r="B190" s="8" t="s">
        <v>138</v>
      </c>
      <c r="C190" s="8" t="s">
        <v>55</v>
      </c>
      <c r="D190" s="8" t="s">
        <v>154</v>
      </c>
      <c r="E190" s="12">
        <v>168</v>
      </c>
      <c r="F190" s="12">
        <v>0</v>
      </c>
      <c r="G190" s="12">
        <v>168</v>
      </c>
      <c r="H190" s="12">
        <v>31</v>
      </c>
      <c r="I190" s="12">
        <v>5208</v>
      </c>
      <c r="J190" s="8" t="s">
        <v>255</v>
      </c>
      <c r="K190" s="8" t="s">
        <v>161</v>
      </c>
    </row>
    <row r="191" spans="1:11" ht="30" customHeight="1">
      <c r="A191" s="8" t="s">
        <v>23</v>
      </c>
      <c r="B191" s="8" t="s">
        <v>138</v>
      </c>
      <c r="C191" s="8" t="s">
        <v>112</v>
      </c>
      <c r="D191" s="8" t="s">
        <v>156</v>
      </c>
      <c r="E191" s="12">
        <v>0</v>
      </c>
      <c r="F191" s="12">
        <v>0</v>
      </c>
      <c r="G191" s="12">
        <v>0</v>
      </c>
      <c r="H191" s="12">
        <v>1</v>
      </c>
      <c r="I191" s="12">
        <v>168</v>
      </c>
      <c r="J191" s="8" t="s">
        <v>255</v>
      </c>
      <c r="K191" s="8" t="s">
        <v>164</v>
      </c>
    </row>
    <row r="192" spans="1:11" ht="30" customHeight="1">
      <c r="A192" s="8" t="s">
        <v>23</v>
      </c>
      <c r="B192" s="8" t="s">
        <v>138</v>
      </c>
      <c r="C192" s="8" t="s">
        <v>85</v>
      </c>
      <c r="D192" s="8" t="s">
        <v>158</v>
      </c>
      <c r="E192" s="12">
        <v>5</v>
      </c>
      <c r="F192" s="12">
        <v>0</v>
      </c>
      <c r="G192" s="12">
        <v>5</v>
      </c>
      <c r="H192" s="12">
        <v>6</v>
      </c>
      <c r="I192" s="12">
        <v>1008</v>
      </c>
      <c r="J192" s="8" t="s">
        <v>255</v>
      </c>
      <c r="K192" s="8" t="s">
        <v>166</v>
      </c>
    </row>
    <row r="193" spans="1:11" ht="30" customHeight="1">
      <c r="A193" s="8" t="s">
        <v>23</v>
      </c>
      <c r="B193" s="8" t="s">
        <v>138</v>
      </c>
      <c r="C193" s="8" t="s">
        <v>66</v>
      </c>
      <c r="D193" s="8" t="s">
        <v>160</v>
      </c>
      <c r="E193" s="12">
        <v>66</v>
      </c>
      <c r="F193" s="12">
        <v>0</v>
      </c>
      <c r="G193" s="12">
        <v>66</v>
      </c>
      <c r="H193" s="12">
        <v>22</v>
      </c>
      <c r="I193" s="12">
        <v>3696</v>
      </c>
      <c r="J193" s="8" t="s">
        <v>255</v>
      </c>
      <c r="K193" s="8" t="s">
        <v>169</v>
      </c>
    </row>
    <row r="194" spans="1:11" ht="30" customHeight="1">
      <c r="A194" s="8" t="s">
        <v>23</v>
      </c>
      <c r="B194" s="8" t="s">
        <v>138</v>
      </c>
      <c r="C194" s="8" t="s">
        <v>70</v>
      </c>
      <c r="D194" s="8" t="s">
        <v>152</v>
      </c>
      <c r="E194" s="12">
        <v>42</v>
      </c>
      <c r="F194" s="12">
        <v>0</v>
      </c>
      <c r="G194" s="12">
        <v>42</v>
      </c>
      <c r="H194" s="12">
        <v>10</v>
      </c>
      <c r="I194" s="12">
        <v>1680</v>
      </c>
      <c r="J194" s="8" t="s">
        <v>255</v>
      </c>
      <c r="K194" s="8" t="s">
        <v>171</v>
      </c>
    </row>
    <row r="195" spans="1:11" ht="30" customHeight="1">
      <c r="A195" s="8" t="s">
        <v>23</v>
      </c>
      <c r="B195" s="8" t="s">
        <v>138</v>
      </c>
      <c r="C195" s="8" t="s">
        <v>51</v>
      </c>
      <c r="D195" s="8" t="s">
        <v>170</v>
      </c>
      <c r="E195" s="12">
        <v>846</v>
      </c>
      <c r="F195" s="12">
        <v>280</v>
      </c>
      <c r="G195" s="12">
        <v>1126</v>
      </c>
      <c r="H195" s="12">
        <v>56</v>
      </c>
      <c r="I195" s="12">
        <v>9408</v>
      </c>
      <c r="J195" s="8" t="s">
        <v>255</v>
      </c>
      <c r="K195" s="8" t="s">
        <v>174</v>
      </c>
    </row>
    <row r="196" spans="1:11" ht="30" customHeight="1">
      <c r="A196" s="8" t="s">
        <v>23</v>
      </c>
      <c r="B196" s="8" t="s">
        <v>138</v>
      </c>
      <c r="C196" s="8" t="s">
        <v>62</v>
      </c>
      <c r="D196" s="8" t="s">
        <v>178</v>
      </c>
      <c r="E196" s="12">
        <v>88</v>
      </c>
      <c r="F196" s="12">
        <v>0</v>
      </c>
      <c r="G196" s="12">
        <v>88</v>
      </c>
      <c r="H196" s="12">
        <v>18</v>
      </c>
      <c r="I196" s="12">
        <v>3024</v>
      </c>
      <c r="J196" s="8" t="s">
        <v>255</v>
      </c>
      <c r="K196" s="8" t="s">
        <v>177</v>
      </c>
    </row>
    <row r="197" spans="1:11" ht="30" customHeight="1">
      <c r="A197" s="8" t="s">
        <v>23</v>
      </c>
      <c r="B197" s="8" t="s">
        <v>138</v>
      </c>
      <c r="C197" s="8" t="s">
        <v>106</v>
      </c>
      <c r="D197" s="8" t="s">
        <v>183</v>
      </c>
      <c r="E197" s="12">
        <v>0</v>
      </c>
      <c r="F197" s="12">
        <v>0</v>
      </c>
      <c r="G197" s="12">
        <v>0</v>
      </c>
      <c r="H197" s="12">
        <v>1</v>
      </c>
      <c r="I197" s="12">
        <v>168</v>
      </c>
      <c r="J197" s="8" t="s">
        <v>255</v>
      </c>
      <c r="K197" s="8" t="s">
        <v>179</v>
      </c>
    </row>
    <row r="198" spans="1:11" ht="30" customHeight="1">
      <c r="A198" s="8" t="s">
        <v>23</v>
      </c>
      <c r="B198" s="8" t="s">
        <v>138</v>
      </c>
      <c r="C198" s="8" t="s">
        <v>256</v>
      </c>
      <c r="D198" s="8" t="s">
        <v>181</v>
      </c>
      <c r="E198" s="12">
        <v>1</v>
      </c>
      <c r="F198" s="12">
        <v>0</v>
      </c>
      <c r="G198" s="12">
        <v>1</v>
      </c>
      <c r="H198" s="12">
        <v>2</v>
      </c>
      <c r="I198" s="12">
        <v>336</v>
      </c>
      <c r="J198" s="8" t="s">
        <v>255</v>
      </c>
      <c r="K198" s="8" t="s">
        <v>182</v>
      </c>
    </row>
    <row r="199" spans="1:11" ht="30" customHeight="1">
      <c r="A199" s="8" t="s">
        <v>23</v>
      </c>
      <c r="B199" s="8" t="s">
        <v>138</v>
      </c>
      <c r="C199" s="8" t="s">
        <v>124</v>
      </c>
      <c r="D199" s="8" t="s">
        <v>185</v>
      </c>
      <c r="E199" s="12">
        <v>0</v>
      </c>
      <c r="F199" s="12">
        <v>0</v>
      </c>
      <c r="G199" s="12">
        <v>0</v>
      </c>
      <c r="H199" s="12">
        <v>1</v>
      </c>
      <c r="I199" s="12">
        <v>168</v>
      </c>
      <c r="J199" s="8" t="s">
        <v>255</v>
      </c>
      <c r="K199" s="8" t="s">
        <v>184</v>
      </c>
    </row>
    <row r="200" spans="1:11" ht="30" customHeight="1">
      <c r="A200" s="8" t="s">
        <v>23</v>
      </c>
      <c r="B200" s="8" t="s">
        <v>138</v>
      </c>
      <c r="C200" s="8" t="s">
        <v>122</v>
      </c>
      <c r="D200" s="8" t="s">
        <v>165</v>
      </c>
      <c r="E200" s="12">
        <v>0</v>
      </c>
      <c r="F200" s="12">
        <v>0</v>
      </c>
      <c r="G200" s="12">
        <v>0</v>
      </c>
      <c r="H200" s="12">
        <v>1</v>
      </c>
      <c r="I200" s="12">
        <v>168</v>
      </c>
      <c r="J200" s="8" t="s">
        <v>255</v>
      </c>
      <c r="K200" s="8" t="s">
        <v>186</v>
      </c>
    </row>
    <row r="201" spans="1:11" ht="30" customHeight="1">
      <c r="A201" s="8" t="s">
        <v>23</v>
      </c>
      <c r="B201" s="8" t="s">
        <v>138</v>
      </c>
      <c r="C201" s="8" t="s">
        <v>83</v>
      </c>
      <c r="D201" s="8" t="s">
        <v>197</v>
      </c>
      <c r="E201" s="12">
        <v>14</v>
      </c>
      <c r="F201" s="12">
        <v>0</v>
      </c>
      <c r="G201" s="12">
        <v>14</v>
      </c>
      <c r="H201" s="12">
        <v>1</v>
      </c>
      <c r="I201" s="12">
        <v>168</v>
      </c>
      <c r="J201" s="8" t="s">
        <v>255</v>
      </c>
      <c r="K201" s="8" t="s">
        <v>189</v>
      </c>
    </row>
    <row r="202" spans="1:11" ht="30" customHeight="1">
      <c r="A202" s="8" t="s">
        <v>23</v>
      </c>
      <c r="B202" s="8" t="s">
        <v>138</v>
      </c>
      <c r="C202" s="8" t="s">
        <v>253</v>
      </c>
      <c r="D202" s="8" t="s">
        <v>176</v>
      </c>
      <c r="E202" s="12">
        <v>27</v>
      </c>
      <c r="F202" s="12">
        <v>0</v>
      </c>
      <c r="G202" s="12">
        <v>27</v>
      </c>
      <c r="H202" s="12">
        <v>10</v>
      </c>
      <c r="I202" s="12">
        <v>1680</v>
      </c>
      <c r="J202" s="8" t="s">
        <v>255</v>
      </c>
      <c r="K202" s="8" t="s">
        <v>192</v>
      </c>
    </row>
    <row r="203" spans="1:11" ht="30" customHeight="1">
      <c r="A203" s="8" t="s">
        <v>23</v>
      </c>
      <c r="B203" s="8" t="s">
        <v>138</v>
      </c>
      <c r="C203" s="8" t="s">
        <v>73</v>
      </c>
      <c r="D203" s="8" t="s">
        <v>199</v>
      </c>
      <c r="E203" s="12">
        <v>103</v>
      </c>
      <c r="F203" s="12">
        <v>0</v>
      </c>
      <c r="G203" s="12">
        <v>103</v>
      </c>
      <c r="H203" s="12">
        <v>7</v>
      </c>
      <c r="I203" s="12">
        <v>1176</v>
      </c>
      <c r="J203" s="8" t="s">
        <v>255</v>
      </c>
      <c r="K203" s="8" t="s">
        <v>194</v>
      </c>
    </row>
    <row r="204" spans="1:11" ht="30" customHeight="1">
      <c r="A204" s="8" t="s">
        <v>23</v>
      </c>
      <c r="B204" s="8" t="s">
        <v>138</v>
      </c>
      <c r="C204" s="8" t="s">
        <v>79</v>
      </c>
      <c r="D204" s="8" t="s">
        <v>201</v>
      </c>
      <c r="E204" s="12">
        <v>44</v>
      </c>
      <c r="F204" s="12">
        <v>0</v>
      </c>
      <c r="G204" s="12">
        <v>44</v>
      </c>
      <c r="H204" s="12">
        <v>3</v>
      </c>
      <c r="I204" s="12">
        <v>504</v>
      </c>
      <c r="J204" s="8" t="s">
        <v>255</v>
      </c>
      <c r="K204" s="8" t="s">
        <v>196</v>
      </c>
    </row>
    <row r="205" spans="1:11" ht="30" customHeight="1">
      <c r="A205" s="8" t="s">
        <v>23</v>
      </c>
      <c r="B205" s="8" t="s">
        <v>138</v>
      </c>
      <c r="C205" s="8" t="s">
        <v>93</v>
      </c>
      <c r="D205" s="8" t="s">
        <v>257</v>
      </c>
      <c r="E205" s="12">
        <v>22</v>
      </c>
      <c r="F205" s="12">
        <v>0</v>
      </c>
      <c r="G205" s="12">
        <v>22</v>
      </c>
      <c r="H205" s="12">
        <v>8</v>
      </c>
      <c r="I205" s="12">
        <v>1344</v>
      </c>
      <c r="J205" s="8" t="s">
        <v>255</v>
      </c>
      <c r="K205" s="8" t="s">
        <v>198</v>
      </c>
    </row>
    <row r="206" spans="1:11" ht="30" customHeight="1">
      <c r="A206" s="8" t="s">
        <v>23</v>
      </c>
      <c r="B206" s="8" t="s">
        <v>138</v>
      </c>
      <c r="C206" s="8" t="s">
        <v>254</v>
      </c>
      <c r="D206" s="8" t="s">
        <v>168</v>
      </c>
      <c r="E206" s="12">
        <v>98</v>
      </c>
      <c r="F206" s="12">
        <v>168</v>
      </c>
      <c r="G206" s="12">
        <v>266</v>
      </c>
      <c r="H206" s="12">
        <v>21</v>
      </c>
      <c r="I206" s="12">
        <v>3528</v>
      </c>
      <c r="J206" s="8" t="s">
        <v>255</v>
      </c>
      <c r="K206" s="8" t="s">
        <v>200</v>
      </c>
    </row>
    <row r="207" spans="1:11" ht="30" customHeight="1">
      <c r="A207" s="8" t="s">
        <v>23</v>
      </c>
      <c r="B207" s="8" t="s">
        <v>138</v>
      </c>
      <c r="C207" s="8" t="s">
        <v>58</v>
      </c>
      <c r="D207" s="8" t="s">
        <v>205</v>
      </c>
      <c r="E207" s="12">
        <v>532</v>
      </c>
      <c r="F207" s="12">
        <v>157</v>
      </c>
      <c r="G207" s="12">
        <v>689</v>
      </c>
      <c r="H207" s="12">
        <v>20</v>
      </c>
      <c r="I207" s="12">
        <v>3360</v>
      </c>
      <c r="J207" s="8" t="s">
        <v>255</v>
      </c>
      <c r="K207" s="8" t="s">
        <v>202</v>
      </c>
    </row>
    <row r="208" spans="1:11" ht="30" customHeight="1">
      <c r="A208" s="8" t="s">
        <v>23</v>
      </c>
      <c r="B208" s="8" t="s">
        <v>138</v>
      </c>
      <c r="C208" s="8" t="s">
        <v>68</v>
      </c>
      <c r="D208" s="8" t="s">
        <v>207</v>
      </c>
      <c r="E208" s="12">
        <v>27</v>
      </c>
      <c r="F208" s="12">
        <v>0</v>
      </c>
      <c r="G208" s="12">
        <v>27</v>
      </c>
      <c r="H208" s="12">
        <v>2</v>
      </c>
      <c r="I208" s="12">
        <v>336</v>
      </c>
      <c r="J208" s="8" t="s">
        <v>255</v>
      </c>
      <c r="K208" s="8" t="s">
        <v>204</v>
      </c>
    </row>
    <row r="209" spans="1:11" ht="30" customHeight="1">
      <c r="A209" s="8" t="s">
        <v>23</v>
      </c>
      <c r="B209" s="8" t="s">
        <v>138</v>
      </c>
      <c r="C209" s="8" t="s">
        <v>74</v>
      </c>
      <c r="D209" s="8" t="s">
        <v>173</v>
      </c>
      <c r="E209" s="12">
        <v>30</v>
      </c>
      <c r="F209" s="12">
        <v>0</v>
      </c>
      <c r="G209" s="12">
        <v>30</v>
      </c>
      <c r="H209" s="12">
        <v>3</v>
      </c>
      <c r="I209" s="12">
        <v>504</v>
      </c>
      <c r="J209" s="8" t="s">
        <v>255</v>
      </c>
      <c r="K209" s="8" t="s">
        <v>206</v>
      </c>
    </row>
    <row r="210" spans="1:11" ht="30" customHeight="1">
      <c r="A210" s="8" t="s">
        <v>23</v>
      </c>
      <c r="B210" s="8" t="s">
        <v>138</v>
      </c>
      <c r="C210" s="8" t="s">
        <v>64</v>
      </c>
      <c r="D210" s="8" t="s">
        <v>209</v>
      </c>
      <c r="E210" s="12">
        <v>8</v>
      </c>
      <c r="F210" s="12">
        <v>0</v>
      </c>
      <c r="G210" s="12">
        <v>8</v>
      </c>
      <c r="H210" s="12">
        <v>7</v>
      </c>
      <c r="I210" s="12">
        <v>1176</v>
      </c>
      <c r="J210" s="8" t="s">
        <v>255</v>
      </c>
      <c r="K210" s="8" t="s">
        <v>208</v>
      </c>
    </row>
    <row r="211" spans="1:11" ht="30" customHeight="1">
      <c r="A211" s="8" t="s">
        <v>23</v>
      </c>
      <c r="B211" s="8" t="s">
        <v>138</v>
      </c>
      <c r="C211" s="8" t="s">
        <v>103</v>
      </c>
      <c r="D211" s="8" t="s">
        <v>211</v>
      </c>
      <c r="E211" s="12">
        <v>0</v>
      </c>
      <c r="F211" s="12">
        <v>0</v>
      </c>
      <c r="G211" s="12">
        <v>0</v>
      </c>
      <c r="H211" s="12">
        <v>4</v>
      </c>
      <c r="I211" s="12">
        <v>672</v>
      </c>
      <c r="J211" s="8" t="s">
        <v>255</v>
      </c>
      <c r="K211" s="8" t="s">
        <v>210</v>
      </c>
    </row>
    <row r="212" spans="1:11" ht="30" customHeight="1">
      <c r="A212" s="8" t="s">
        <v>23</v>
      </c>
      <c r="B212" s="8" t="s">
        <v>213</v>
      </c>
      <c r="C212" s="8" t="s">
        <v>57</v>
      </c>
      <c r="D212" s="8" t="s">
        <v>148</v>
      </c>
      <c r="E212" s="12">
        <v>0</v>
      </c>
      <c r="F212" s="12">
        <v>0</v>
      </c>
      <c r="G212" s="12">
        <v>0</v>
      </c>
      <c r="H212" s="12">
        <v>1</v>
      </c>
      <c r="I212" s="12">
        <v>168</v>
      </c>
      <c r="J212" s="8" t="s">
        <v>255</v>
      </c>
      <c r="K212" s="8" t="s">
        <v>215</v>
      </c>
    </row>
    <row r="213" spans="1:11" ht="30" customHeight="1">
      <c r="A213" s="8" t="s">
        <v>23</v>
      </c>
      <c r="B213" s="8" t="s">
        <v>213</v>
      </c>
      <c r="C213" s="8" t="s">
        <v>53</v>
      </c>
      <c r="D213" s="8" t="s">
        <v>150</v>
      </c>
      <c r="E213" s="12">
        <v>0</v>
      </c>
      <c r="F213" s="12">
        <v>0</v>
      </c>
      <c r="G213" s="12">
        <v>0</v>
      </c>
      <c r="H213" s="12">
        <v>1</v>
      </c>
      <c r="I213" s="12">
        <v>168</v>
      </c>
      <c r="J213" s="8" t="s">
        <v>255</v>
      </c>
      <c r="K213" s="8" t="s">
        <v>216</v>
      </c>
    </row>
    <row r="214" spans="1:11" ht="30" customHeight="1">
      <c r="A214" s="8" t="s">
        <v>23</v>
      </c>
      <c r="B214" s="8" t="s">
        <v>213</v>
      </c>
      <c r="C214" s="8" t="s">
        <v>55</v>
      </c>
      <c r="D214" s="8" t="s">
        <v>154</v>
      </c>
      <c r="E214" s="12">
        <v>0</v>
      </c>
      <c r="F214" s="12">
        <v>0</v>
      </c>
      <c r="G214" s="12">
        <v>0</v>
      </c>
      <c r="H214" s="12">
        <v>1</v>
      </c>
      <c r="I214" s="12">
        <v>168</v>
      </c>
      <c r="J214" s="8" t="s">
        <v>255</v>
      </c>
      <c r="K214" s="8" t="s">
        <v>217</v>
      </c>
    </row>
    <row r="215" spans="1:11" ht="30" customHeight="1">
      <c r="A215" s="8" t="s">
        <v>23</v>
      </c>
      <c r="B215" s="8" t="s">
        <v>213</v>
      </c>
      <c r="C215" s="8" t="s">
        <v>112</v>
      </c>
      <c r="D215" s="8" t="s">
        <v>156</v>
      </c>
      <c r="E215" s="12">
        <v>0</v>
      </c>
      <c r="F215" s="12">
        <v>0</v>
      </c>
      <c r="G215" s="12">
        <v>0</v>
      </c>
      <c r="H215" s="12">
        <v>1</v>
      </c>
      <c r="I215" s="12">
        <v>168</v>
      </c>
      <c r="J215" s="8" t="s">
        <v>255</v>
      </c>
      <c r="K215" s="8" t="s">
        <v>218</v>
      </c>
    </row>
    <row r="216" spans="1:11" ht="30" customHeight="1">
      <c r="A216" s="8" t="s">
        <v>23</v>
      </c>
      <c r="B216" s="8" t="s">
        <v>213</v>
      </c>
      <c r="C216" s="8" t="s">
        <v>114</v>
      </c>
      <c r="D216" s="8" t="s">
        <v>220</v>
      </c>
      <c r="E216" s="12">
        <v>0</v>
      </c>
      <c r="F216" s="12">
        <v>0</v>
      </c>
      <c r="G216" s="12">
        <v>0</v>
      </c>
      <c r="H216" s="12">
        <v>3</v>
      </c>
      <c r="I216" s="12">
        <v>504</v>
      </c>
      <c r="J216" s="8" t="s">
        <v>255</v>
      </c>
      <c r="K216" s="8" t="s">
        <v>219</v>
      </c>
    </row>
    <row r="217" spans="1:11" ht="30" customHeight="1">
      <c r="A217" s="8" t="s">
        <v>23</v>
      </c>
      <c r="B217" s="8" t="s">
        <v>213</v>
      </c>
      <c r="C217" s="8" t="s">
        <v>162</v>
      </c>
      <c r="D217" s="8" t="s">
        <v>163</v>
      </c>
      <c r="E217" s="12">
        <v>9</v>
      </c>
      <c r="F217" s="12">
        <v>0</v>
      </c>
      <c r="G217" s="12">
        <v>9</v>
      </c>
      <c r="H217" s="12">
        <v>1</v>
      </c>
      <c r="I217" s="12">
        <v>168</v>
      </c>
      <c r="J217" s="8" t="s">
        <v>255</v>
      </c>
      <c r="K217" s="8" t="s">
        <v>221</v>
      </c>
    </row>
    <row r="218" spans="1:11" ht="30" customHeight="1">
      <c r="A218" s="8" t="s">
        <v>23</v>
      </c>
      <c r="B218" s="8" t="s">
        <v>213</v>
      </c>
      <c r="C218" s="8" t="s">
        <v>167</v>
      </c>
      <c r="D218" s="8" t="s">
        <v>168</v>
      </c>
      <c r="E218" s="12">
        <v>0</v>
      </c>
      <c r="F218" s="12">
        <v>0</v>
      </c>
      <c r="G218" s="12">
        <v>0</v>
      </c>
      <c r="H218" s="12">
        <v>1</v>
      </c>
      <c r="I218" s="12">
        <v>168</v>
      </c>
      <c r="J218" s="8" t="s">
        <v>255</v>
      </c>
      <c r="K218" s="8" t="s">
        <v>222</v>
      </c>
    </row>
    <row r="219" spans="1:11" ht="30" customHeight="1">
      <c r="A219" s="8" t="s">
        <v>23</v>
      </c>
      <c r="B219" s="8" t="s">
        <v>213</v>
      </c>
      <c r="C219" s="8" t="s">
        <v>120</v>
      </c>
      <c r="D219" s="8" t="s">
        <v>224</v>
      </c>
      <c r="E219" s="12">
        <v>0</v>
      </c>
      <c r="F219" s="12">
        <v>0</v>
      </c>
      <c r="G219" s="12">
        <v>0</v>
      </c>
      <c r="H219" s="12">
        <v>1</v>
      </c>
      <c r="I219" s="12">
        <v>168</v>
      </c>
      <c r="J219" s="8" t="s">
        <v>255</v>
      </c>
      <c r="K219" s="8" t="s">
        <v>223</v>
      </c>
    </row>
    <row r="220" spans="1:11" ht="30" customHeight="1">
      <c r="A220" s="8" t="s">
        <v>23</v>
      </c>
      <c r="B220" s="8" t="s">
        <v>213</v>
      </c>
      <c r="C220" s="8" t="s">
        <v>175</v>
      </c>
      <c r="D220" s="8" t="s">
        <v>176</v>
      </c>
      <c r="E220" s="12">
        <v>8</v>
      </c>
      <c r="F220" s="12">
        <v>0</v>
      </c>
      <c r="G220" s="12">
        <v>8</v>
      </c>
      <c r="H220" s="12">
        <v>1</v>
      </c>
      <c r="I220" s="12">
        <v>168</v>
      </c>
      <c r="J220" s="8" t="s">
        <v>255</v>
      </c>
      <c r="K220" s="8" t="s">
        <v>225</v>
      </c>
    </row>
    <row r="221" spans="1:11" ht="30" customHeight="1">
      <c r="A221" s="8" t="s">
        <v>23</v>
      </c>
      <c r="B221" s="8" t="s">
        <v>213</v>
      </c>
      <c r="C221" s="8" t="s">
        <v>256</v>
      </c>
      <c r="D221" s="8" t="s">
        <v>181</v>
      </c>
      <c r="E221" s="12">
        <v>8</v>
      </c>
      <c r="F221" s="12">
        <v>0</v>
      </c>
      <c r="G221" s="12">
        <v>8</v>
      </c>
      <c r="H221" s="12">
        <v>4</v>
      </c>
      <c r="I221" s="12">
        <v>672</v>
      </c>
      <c r="J221" s="8" t="s">
        <v>255</v>
      </c>
      <c r="K221" s="8" t="s">
        <v>226</v>
      </c>
    </row>
    <row r="222" spans="1:11" ht="30" customHeight="1">
      <c r="A222" s="8" t="s">
        <v>23</v>
      </c>
      <c r="B222" s="8" t="s">
        <v>213</v>
      </c>
      <c r="C222" s="8" t="s">
        <v>108</v>
      </c>
      <c r="D222" s="8" t="s">
        <v>229</v>
      </c>
      <c r="E222" s="12">
        <v>0</v>
      </c>
      <c r="F222" s="12">
        <v>0</v>
      </c>
      <c r="G222" s="12">
        <v>0</v>
      </c>
      <c r="H222" s="12">
        <v>1</v>
      </c>
      <c r="I222" s="12">
        <v>168</v>
      </c>
      <c r="J222" s="8" t="s">
        <v>255</v>
      </c>
      <c r="K222" s="8" t="s">
        <v>227</v>
      </c>
    </row>
    <row r="223" spans="1:11" ht="30" customHeight="1">
      <c r="A223" s="8" t="s">
        <v>23</v>
      </c>
      <c r="B223" s="8" t="s">
        <v>213</v>
      </c>
      <c r="C223" s="8" t="s">
        <v>124</v>
      </c>
      <c r="D223" s="8" t="s">
        <v>185</v>
      </c>
      <c r="E223" s="12">
        <v>0</v>
      </c>
      <c r="F223" s="12">
        <v>0</v>
      </c>
      <c r="G223" s="12">
        <v>0</v>
      </c>
      <c r="H223" s="12">
        <v>1</v>
      </c>
      <c r="I223" s="12">
        <v>168</v>
      </c>
      <c r="J223" s="8" t="s">
        <v>255</v>
      </c>
      <c r="K223" s="8" t="s">
        <v>228</v>
      </c>
    </row>
    <row r="224" spans="1:11" ht="30" customHeight="1">
      <c r="A224" s="8" t="s">
        <v>23</v>
      </c>
      <c r="B224" s="8" t="s">
        <v>213</v>
      </c>
      <c r="C224" s="8" t="s">
        <v>128</v>
      </c>
      <c r="D224" s="8" t="s">
        <v>232</v>
      </c>
      <c r="E224" s="12">
        <v>0</v>
      </c>
      <c r="F224" s="12">
        <v>0</v>
      </c>
      <c r="G224" s="12">
        <v>0</v>
      </c>
      <c r="H224" s="12">
        <v>2</v>
      </c>
      <c r="I224" s="12">
        <v>336</v>
      </c>
      <c r="J224" s="8" t="s">
        <v>255</v>
      </c>
      <c r="K224" s="8" t="s">
        <v>230</v>
      </c>
    </row>
    <row r="225" spans="1:11" ht="30" customHeight="1">
      <c r="A225" s="8" t="s">
        <v>23</v>
      </c>
      <c r="B225" s="8" t="s">
        <v>213</v>
      </c>
      <c r="C225" s="8" t="s">
        <v>187</v>
      </c>
      <c r="D225" s="8" t="s">
        <v>188</v>
      </c>
      <c r="E225" s="12">
        <v>8</v>
      </c>
      <c r="F225" s="12">
        <v>0</v>
      </c>
      <c r="G225" s="12">
        <v>8</v>
      </c>
      <c r="H225" s="12">
        <v>3</v>
      </c>
      <c r="I225" s="12">
        <v>504</v>
      </c>
      <c r="J225" s="8" t="s">
        <v>255</v>
      </c>
      <c r="K225" s="8" t="s">
        <v>231</v>
      </c>
    </row>
    <row r="226" spans="1:11" ht="30" customHeight="1">
      <c r="A226" s="8" t="s">
        <v>23</v>
      </c>
      <c r="B226" s="8" t="s">
        <v>213</v>
      </c>
      <c r="C226" s="8" t="s">
        <v>190</v>
      </c>
      <c r="D226" s="8" t="s">
        <v>191</v>
      </c>
      <c r="E226" s="12">
        <v>0</v>
      </c>
      <c r="F226" s="12">
        <v>0</v>
      </c>
      <c r="G226" s="12">
        <v>0</v>
      </c>
      <c r="H226" s="12">
        <v>2</v>
      </c>
      <c r="I226" s="12">
        <v>336</v>
      </c>
      <c r="J226" s="8" t="s">
        <v>255</v>
      </c>
      <c r="K226" s="8" t="s">
        <v>233</v>
      </c>
    </row>
    <row r="227" spans="1:11" ht="30" customHeight="1">
      <c r="A227" s="8" t="s">
        <v>23</v>
      </c>
      <c r="B227" s="8" t="s">
        <v>213</v>
      </c>
      <c r="C227" s="8" t="s">
        <v>72</v>
      </c>
      <c r="D227" s="8" t="s">
        <v>193</v>
      </c>
      <c r="E227" s="12">
        <v>24</v>
      </c>
      <c r="F227" s="12">
        <v>0</v>
      </c>
      <c r="G227" s="12">
        <v>24</v>
      </c>
      <c r="H227" s="12">
        <v>2</v>
      </c>
      <c r="I227" s="12">
        <v>336</v>
      </c>
      <c r="J227" s="8" t="s">
        <v>255</v>
      </c>
      <c r="K227" s="8" t="s">
        <v>234</v>
      </c>
    </row>
    <row r="228" spans="1:11" ht="30" customHeight="1">
      <c r="A228" s="8" t="s">
        <v>23</v>
      </c>
      <c r="B228" s="8" t="s">
        <v>213</v>
      </c>
      <c r="C228" s="8" t="s">
        <v>116</v>
      </c>
      <c r="D228" s="8" t="s">
        <v>195</v>
      </c>
      <c r="E228" s="12">
        <v>0</v>
      </c>
      <c r="F228" s="12">
        <v>0</v>
      </c>
      <c r="G228" s="12">
        <v>0</v>
      </c>
      <c r="H228" s="12">
        <v>2</v>
      </c>
      <c r="I228" s="12">
        <v>336</v>
      </c>
      <c r="J228" s="8" t="s">
        <v>255</v>
      </c>
      <c r="K228" s="8" t="s">
        <v>235</v>
      </c>
    </row>
    <row r="229" spans="1:11" ht="30" customHeight="1">
      <c r="A229" s="8" t="s">
        <v>23</v>
      </c>
      <c r="B229" s="8" t="s">
        <v>213</v>
      </c>
      <c r="C229" s="8" t="s">
        <v>83</v>
      </c>
      <c r="D229" s="8" t="s">
        <v>197</v>
      </c>
      <c r="E229" s="12">
        <v>5</v>
      </c>
      <c r="F229" s="12">
        <v>0</v>
      </c>
      <c r="G229" s="12">
        <v>5</v>
      </c>
      <c r="H229" s="12">
        <v>3</v>
      </c>
      <c r="I229" s="12">
        <v>504</v>
      </c>
      <c r="J229" s="8" t="s">
        <v>255</v>
      </c>
      <c r="K229" s="8" t="s">
        <v>236</v>
      </c>
    </row>
    <row r="230" spans="1:11" ht="30" customHeight="1">
      <c r="A230" s="8" t="s">
        <v>23</v>
      </c>
      <c r="B230" s="8" t="s">
        <v>213</v>
      </c>
      <c r="C230" s="8" t="s">
        <v>79</v>
      </c>
      <c r="D230" s="8" t="s">
        <v>201</v>
      </c>
      <c r="E230" s="12">
        <v>48</v>
      </c>
      <c r="F230" s="12">
        <v>0</v>
      </c>
      <c r="G230" s="12">
        <v>48</v>
      </c>
      <c r="H230" s="12">
        <v>4</v>
      </c>
      <c r="I230" s="12">
        <v>672</v>
      </c>
      <c r="J230" s="8" t="s">
        <v>255</v>
      </c>
      <c r="K230" s="8" t="s">
        <v>237</v>
      </c>
    </row>
    <row r="231" spans="1:11" ht="30" customHeight="1">
      <c r="A231" s="8" t="s">
        <v>23</v>
      </c>
      <c r="B231" s="8" t="s">
        <v>213</v>
      </c>
      <c r="C231" s="8" t="s">
        <v>93</v>
      </c>
      <c r="D231" s="8" t="s">
        <v>257</v>
      </c>
      <c r="E231" s="12">
        <v>8</v>
      </c>
      <c r="F231" s="12">
        <v>0</v>
      </c>
      <c r="G231" s="12">
        <v>8</v>
      </c>
      <c r="H231" s="12">
        <v>1</v>
      </c>
      <c r="I231" s="12">
        <v>168</v>
      </c>
      <c r="J231" s="8" t="s">
        <v>255</v>
      </c>
      <c r="K231" s="8" t="s">
        <v>238</v>
      </c>
    </row>
    <row r="232" spans="1:11" ht="30" customHeight="1">
      <c r="A232" s="8" t="s">
        <v>23</v>
      </c>
      <c r="B232" s="8" t="s">
        <v>213</v>
      </c>
      <c r="C232" s="8" t="s">
        <v>58</v>
      </c>
      <c r="D232" s="8" t="s">
        <v>205</v>
      </c>
      <c r="E232" s="12">
        <v>32</v>
      </c>
      <c r="F232" s="12">
        <v>0</v>
      </c>
      <c r="G232" s="12">
        <v>32</v>
      </c>
      <c r="H232" s="12">
        <v>1</v>
      </c>
      <c r="I232" s="12">
        <v>168</v>
      </c>
      <c r="J232" s="8" t="s">
        <v>255</v>
      </c>
      <c r="K232" s="8" t="s">
        <v>239</v>
      </c>
    </row>
    <row r="233" spans="1:11" ht="30" customHeight="1">
      <c r="A233" s="8" t="s">
        <v>23</v>
      </c>
      <c r="B233" s="8" t="s">
        <v>213</v>
      </c>
      <c r="C233" s="8" t="s">
        <v>130</v>
      </c>
      <c r="D233" s="8" t="s">
        <v>241</v>
      </c>
      <c r="E233" s="12">
        <v>0</v>
      </c>
      <c r="F233" s="12">
        <v>0</v>
      </c>
      <c r="G233" s="12">
        <v>0</v>
      </c>
      <c r="H233" s="12">
        <v>1</v>
      </c>
      <c r="I233" s="12">
        <v>168</v>
      </c>
      <c r="J233" s="8" t="s">
        <v>255</v>
      </c>
      <c r="K233" s="8" t="s">
        <v>240</v>
      </c>
    </row>
    <row r="234" spans="1:11" ht="30" customHeight="1">
      <c r="A234" s="8" t="s">
        <v>23</v>
      </c>
      <c r="B234" s="8" t="s">
        <v>213</v>
      </c>
      <c r="C234" s="8" t="s">
        <v>103</v>
      </c>
      <c r="D234" s="8" t="s">
        <v>211</v>
      </c>
      <c r="E234" s="12">
        <v>0</v>
      </c>
      <c r="F234" s="12">
        <v>0</v>
      </c>
      <c r="G234" s="12">
        <v>0</v>
      </c>
      <c r="H234" s="12">
        <v>1</v>
      </c>
      <c r="I234" s="12">
        <v>168</v>
      </c>
      <c r="J234" s="8" t="s">
        <v>255</v>
      </c>
      <c r="K234" s="8" t="s">
        <v>242</v>
      </c>
    </row>
    <row r="235" spans="1:11" ht="30" customHeight="1">
      <c r="A235" s="8" t="s">
        <v>23</v>
      </c>
      <c r="B235" s="8" t="s">
        <v>213</v>
      </c>
      <c r="C235" s="8" t="s">
        <v>105</v>
      </c>
      <c r="D235" s="8" t="s">
        <v>244</v>
      </c>
      <c r="E235" s="12">
        <v>0</v>
      </c>
      <c r="F235" s="12">
        <v>0</v>
      </c>
      <c r="G235" s="12">
        <v>0</v>
      </c>
      <c r="H235" s="12">
        <v>1</v>
      </c>
      <c r="I235" s="12">
        <v>168</v>
      </c>
      <c r="J235" s="8" t="s">
        <v>255</v>
      </c>
      <c r="K235" s="8" t="s">
        <v>243</v>
      </c>
    </row>
    <row r="236" spans="1:11" ht="30" customHeight="1">
      <c r="A236" s="8" t="s">
        <v>20</v>
      </c>
      <c r="B236" s="8" t="s">
        <v>138</v>
      </c>
      <c r="C236" s="8" t="s">
        <v>247</v>
      </c>
      <c r="D236" s="8" t="s">
        <v>188</v>
      </c>
      <c r="E236" s="12">
        <v>0</v>
      </c>
      <c r="F236" s="12">
        <v>0</v>
      </c>
      <c r="G236" s="12">
        <v>0</v>
      </c>
      <c r="H236" s="12">
        <v>3</v>
      </c>
      <c r="I236" s="12">
        <v>480</v>
      </c>
      <c r="J236" s="8" t="s">
        <v>258</v>
      </c>
      <c r="K236" s="8" t="s">
        <v>141</v>
      </c>
    </row>
    <row r="237" spans="1:11" ht="30" customHeight="1">
      <c r="A237" s="8" t="s">
        <v>20</v>
      </c>
      <c r="B237" s="8" t="s">
        <v>138</v>
      </c>
      <c r="C237" s="8" t="s">
        <v>249</v>
      </c>
      <c r="D237" s="8" t="s">
        <v>191</v>
      </c>
      <c r="E237" s="12">
        <v>0</v>
      </c>
      <c r="F237" s="12">
        <v>0</v>
      </c>
      <c r="G237" s="12">
        <v>0</v>
      </c>
      <c r="H237" s="12">
        <v>1</v>
      </c>
      <c r="I237" s="12">
        <v>160</v>
      </c>
      <c r="J237" s="8" t="s">
        <v>258</v>
      </c>
      <c r="K237" s="8" t="s">
        <v>143</v>
      </c>
    </row>
    <row r="238" spans="1:11" ht="30" customHeight="1">
      <c r="A238" s="8" t="s">
        <v>20</v>
      </c>
      <c r="B238" s="8" t="s">
        <v>138</v>
      </c>
      <c r="C238" s="8" t="s">
        <v>118</v>
      </c>
      <c r="D238" s="8" t="s">
        <v>250</v>
      </c>
      <c r="E238" s="12">
        <v>2</v>
      </c>
      <c r="F238" s="12">
        <v>0</v>
      </c>
      <c r="G238" s="12">
        <v>2</v>
      </c>
      <c r="H238" s="12">
        <v>5</v>
      </c>
      <c r="I238" s="12">
        <v>800</v>
      </c>
      <c r="J238" s="8" t="s">
        <v>258</v>
      </c>
      <c r="K238" s="8" t="s">
        <v>145</v>
      </c>
    </row>
    <row r="239" spans="1:11" ht="30" customHeight="1">
      <c r="A239" s="8" t="s">
        <v>20</v>
      </c>
      <c r="B239" s="8" t="s">
        <v>138</v>
      </c>
      <c r="C239" s="8" t="s">
        <v>251</v>
      </c>
      <c r="D239" s="8" t="s">
        <v>163</v>
      </c>
      <c r="E239" s="12">
        <v>0</v>
      </c>
      <c r="F239" s="12">
        <v>0</v>
      </c>
      <c r="G239" s="12">
        <v>0</v>
      </c>
      <c r="H239" s="12">
        <v>7</v>
      </c>
      <c r="I239" s="12">
        <v>1120</v>
      </c>
      <c r="J239" s="8" t="s">
        <v>258</v>
      </c>
      <c r="K239" s="8" t="s">
        <v>147</v>
      </c>
    </row>
    <row r="240" spans="1:11" ht="30" customHeight="1">
      <c r="A240" s="8" t="s">
        <v>20</v>
      </c>
      <c r="B240" s="8" t="s">
        <v>138</v>
      </c>
      <c r="C240" s="8" t="s">
        <v>101</v>
      </c>
      <c r="D240" s="8" t="s">
        <v>142</v>
      </c>
      <c r="E240" s="12">
        <v>11</v>
      </c>
      <c r="F240" s="12">
        <v>0</v>
      </c>
      <c r="G240" s="12">
        <v>11</v>
      </c>
      <c r="H240" s="12">
        <v>2</v>
      </c>
      <c r="I240" s="12">
        <v>320</v>
      </c>
      <c r="J240" s="8" t="s">
        <v>258</v>
      </c>
      <c r="K240" s="8" t="s">
        <v>149</v>
      </c>
    </row>
    <row r="241" spans="1:11" ht="30" customHeight="1">
      <c r="A241" s="8" t="s">
        <v>20</v>
      </c>
      <c r="B241" s="8" t="s">
        <v>138</v>
      </c>
      <c r="C241" s="8" t="s">
        <v>63</v>
      </c>
      <c r="D241" s="8" t="s">
        <v>139</v>
      </c>
      <c r="E241" s="12">
        <v>30</v>
      </c>
      <c r="F241" s="12">
        <v>0</v>
      </c>
      <c r="G241" s="12">
        <v>30</v>
      </c>
      <c r="H241" s="12">
        <v>9</v>
      </c>
      <c r="I241" s="12">
        <v>1440</v>
      </c>
      <c r="J241" s="8" t="s">
        <v>258</v>
      </c>
      <c r="K241" s="8" t="s">
        <v>151</v>
      </c>
    </row>
    <row r="242" spans="1:11" ht="30" customHeight="1">
      <c r="A242" s="8" t="s">
        <v>20</v>
      </c>
      <c r="B242" s="8" t="s">
        <v>138</v>
      </c>
      <c r="C242" s="8" t="s">
        <v>91</v>
      </c>
      <c r="D242" s="8" t="s">
        <v>144</v>
      </c>
      <c r="E242" s="12">
        <v>0</v>
      </c>
      <c r="F242" s="12">
        <v>0</v>
      </c>
      <c r="G242" s="12">
        <v>0</v>
      </c>
      <c r="H242" s="12">
        <v>8</v>
      </c>
      <c r="I242" s="12">
        <v>1280</v>
      </c>
      <c r="J242" s="8" t="s">
        <v>258</v>
      </c>
      <c r="K242" s="8" t="s">
        <v>153</v>
      </c>
    </row>
    <row r="243" spans="1:11" ht="30" customHeight="1">
      <c r="A243" s="8" t="s">
        <v>20</v>
      </c>
      <c r="B243" s="8" t="s">
        <v>138</v>
      </c>
      <c r="C243" s="8" t="s">
        <v>87</v>
      </c>
      <c r="D243" s="8" t="s">
        <v>252</v>
      </c>
      <c r="E243" s="12">
        <v>23</v>
      </c>
      <c r="F243" s="12">
        <v>0</v>
      </c>
      <c r="G243" s="12">
        <v>23</v>
      </c>
      <c r="H243" s="12">
        <v>14</v>
      </c>
      <c r="I243" s="12">
        <v>2240</v>
      </c>
      <c r="J243" s="8" t="s">
        <v>258</v>
      </c>
      <c r="K243" s="8" t="s">
        <v>155</v>
      </c>
    </row>
    <row r="244" spans="1:11" ht="30" customHeight="1">
      <c r="A244" s="8" t="s">
        <v>20</v>
      </c>
      <c r="B244" s="8" t="s">
        <v>138</v>
      </c>
      <c r="C244" s="8" t="s">
        <v>57</v>
      </c>
      <c r="D244" s="8" t="s">
        <v>148</v>
      </c>
      <c r="E244" s="12">
        <v>288</v>
      </c>
      <c r="F244" s="12">
        <v>0</v>
      </c>
      <c r="G244" s="12">
        <v>288</v>
      </c>
      <c r="H244" s="12">
        <v>29</v>
      </c>
      <c r="I244" s="12">
        <v>4640</v>
      </c>
      <c r="J244" s="8" t="s">
        <v>258</v>
      </c>
      <c r="K244" s="8" t="s">
        <v>157</v>
      </c>
    </row>
    <row r="245" spans="1:11" ht="30" customHeight="1">
      <c r="A245" s="8" t="s">
        <v>20</v>
      </c>
      <c r="B245" s="8" t="s">
        <v>138</v>
      </c>
      <c r="C245" s="8" t="s">
        <v>53</v>
      </c>
      <c r="D245" s="8" t="s">
        <v>150</v>
      </c>
      <c r="E245" s="12">
        <v>398</v>
      </c>
      <c r="F245" s="12">
        <v>219</v>
      </c>
      <c r="G245" s="12">
        <v>617</v>
      </c>
      <c r="H245" s="12">
        <v>65</v>
      </c>
      <c r="I245" s="12">
        <v>10400</v>
      </c>
      <c r="J245" s="8" t="s">
        <v>258</v>
      </c>
      <c r="K245" s="8" t="s">
        <v>159</v>
      </c>
    </row>
    <row r="246" spans="1:11" ht="30" customHeight="1">
      <c r="A246" s="8" t="s">
        <v>20</v>
      </c>
      <c r="B246" s="8" t="s">
        <v>138</v>
      </c>
      <c r="C246" s="8" t="s">
        <v>55</v>
      </c>
      <c r="D246" s="8" t="s">
        <v>154</v>
      </c>
      <c r="E246" s="12">
        <v>205</v>
      </c>
      <c r="F246" s="12">
        <v>0</v>
      </c>
      <c r="G246" s="12">
        <v>205</v>
      </c>
      <c r="H246" s="12">
        <v>31</v>
      </c>
      <c r="I246" s="12">
        <v>4960</v>
      </c>
      <c r="J246" s="8" t="s">
        <v>258</v>
      </c>
      <c r="K246" s="8" t="s">
        <v>161</v>
      </c>
    </row>
    <row r="247" spans="1:11" ht="30" customHeight="1">
      <c r="A247" s="8" t="s">
        <v>20</v>
      </c>
      <c r="B247" s="8" t="s">
        <v>138</v>
      </c>
      <c r="C247" s="8" t="s">
        <v>112</v>
      </c>
      <c r="D247" s="8" t="s">
        <v>156</v>
      </c>
      <c r="E247" s="12">
        <v>0</v>
      </c>
      <c r="F247" s="12">
        <v>0</v>
      </c>
      <c r="G247" s="12">
        <v>0</v>
      </c>
      <c r="H247" s="12">
        <v>1</v>
      </c>
      <c r="I247" s="12">
        <v>160</v>
      </c>
      <c r="J247" s="8" t="s">
        <v>258</v>
      </c>
      <c r="K247" s="8" t="s">
        <v>164</v>
      </c>
    </row>
    <row r="248" spans="1:11" ht="30" customHeight="1">
      <c r="A248" s="8" t="s">
        <v>20</v>
      </c>
      <c r="B248" s="8" t="s">
        <v>138</v>
      </c>
      <c r="C248" s="8" t="s">
        <v>85</v>
      </c>
      <c r="D248" s="8" t="s">
        <v>158</v>
      </c>
      <c r="E248" s="12">
        <v>25</v>
      </c>
      <c r="F248" s="12">
        <v>0</v>
      </c>
      <c r="G248" s="12">
        <v>25</v>
      </c>
      <c r="H248" s="12">
        <v>6</v>
      </c>
      <c r="I248" s="12">
        <v>960</v>
      </c>
      <c r="J248" s="8" t="s">
        <v>258</v>
      </c>
      <c r="K248" s="8" t="s">
        <v>166</v>
      </c>
    </row>
    <row r="249" spans="1:11" ht="30" customHeight="1">
      <c r="A249" s="8" t="s">
        <v>20</v>
      </c>
      <c r="B249" s="8" t="s">
        <v>138</v>
      </c>
      <c r="C249" s="8" t="s">
        <v>66</v>
      </c>
      <c r="D249" s="8" t="s">
        <v>160</v>
      </c>
      <c r="E249" s="12">
        <v>79</v>
      </c>
      <c r="F249" s="12">
        <v>0</v>
      </c>
      <c r="G249" s="12">
        <v>79</v>
      </c>
      <c r="H249" s="12">
        <v>22</v>
      </c>
      <c r="I249" s="12">
        <v>3520</v>
      </c>
      <c r="J249" s="8" t="s">
        <v>258</v>
      </c>
      <c r="K249" s="8" t="s">
        <v>169</v>
      </c>
    </row>
    <row r="250" spans="1:11" ht="30" customHeight="1">
      <c r="A250" s="8" t="s">
        <v>20</v>
      </c>
      <c r="B250" s="8" t="s">
        <v>138</v>
      </c>
      <c r="C250" s="8" t="s">
        <v>70</v>
      </c>
      <c r="D250" s="8" t="s">
        <v>152</v>
      </c>
      <c r="E250" s="12">
        <v>8</v>
      </c>
      <c r="F250" s="12">
        <v>0</v>
      </c>
      <c r="G250" s="12">
        <v>8</v>
      </c>
      <c r="H250" s="12">
        <v>10</v>
      </c>
      <c r="I250" s="12">
        <v>1600</v>
      </c>
      <c r="J250" s="8" t="s">
        <v>258</v>
      </c>
      <c r="K250" s="8" t="s">
        <v>171</v>
      </c>
    </row>
    <row r="251" spans="1:11" ht="30" customHeight="1">
      <c r="A251" s="8" t="s">
        <v>20</v>
      </c>
      <c r="B251" s="8" t="s">
        <v>138</v>
      </c>
      <c r="C251" s="8" t="s">
        <v>51</v>
      </c>
      <c r="D251" s="8" t="s">
        <v>170</v>
      </c>
      <c r="E251" s="12">
        <v>381</v>
      </c>
      <c r="F251" s="12">
        <v>320</v>
      </c>
      <c r="G251" s="12">
        <v>701</v>
      </c>
      <c r="H251" s="12">
        <v>57</v>
      </c>
      <c r="I251" s="12">
        <v>9120</v>
      </c>
      <c r="J251" s="8" t="s">
        <v>258</v>
      </c>
      <c r="K251" s="8" t="s">
        <v>174</v>
      </c>
    </row>
    <row r="252" spans="1:11" ht="30" customHeight="1">
      <c r="A252" s="8" t="s">
        <v>20</v>
      </c>
      <c r="B252" s="8" t="s">
        <v>138</v>
      </c>
      <c r="C252" s="8" t="s">
        <v>62</v>
      </c>
      <c r="D252" s="8" t="s">
        <v>178</v>
      </c>
      <c r="E252" s="12">
        <v>160</v>
      </c>
      <c r="F252" s="12">
        <v>96</v>
      </c>
      <c r="G252" s="12">
        <v>256</v>
      </c>
      <c r="H252" s="12">
        <v>19</v>
      </c>
      <c r="I252" s="12">
        <v>3040</v>
      </c>
      <c r="J252" s="8" t="s">
        <v>258</v>
      </c>
      <c r="K252" s="8" t="s">
        <v>177</v>
      </c>
    </row>
    <row r="253" spans="1:11" ht="30" customHeight="1">
      <c r="A253" s="8" t="s">
        <v>20</v>
      </c>
      <c r="B253" s="8" t="s">
        <v>138</v>
      </c>
      <c r="C253" s="8" t="s">
        <v>106</v>
      </c>
      <c r="D253" s="8" t="s">
        <v>183</v>
      </c>
      <c r="E253" s="12">
        <v>0</v>
      </c>
      <c r="F253" s="12">
        <v>0</v>
      </c>
      <c r="G253" s="12">
        <v>0</v>
      </c>
      <c r="H253" s="12">
        <v>1</v>
      </c>
      <c r="I253" s="12">
        <v>160</v>
      </c>
      <c r="J253" s="8" t="s">
        <v>258</v>
      </c>
      <c r="K253" s="8" t="s">
        <v>179</v>
      </c>
    </row>
    <row r="254" spans="1:11" ht="30" customHeight="1">
      <c r="A254" s="8" t="s">
        <v>20</v>
      </c>
      <c r="B254" s="8" t="s">
        <v>138</v>
      </c>
      <c r="C254" s="8" t="s">
        <v>180</v>
      </c>
      <c r="D254" s="8" t="s">
        <v>181</v>
      </c>
      <c r="E254" s="12">
        <v>7</v>
      </c>
      <c r="F254" s="12">
        <v>0</v>
      </c>
      <c r="G254" s="12">
        <v>7</v>
      </c>
      <c r="H254" s="12">
        <v>2</v>
      </c>
      <c r="I254" s="12">
        <v>320</v>
      </c>
      <c r="J254" s="8" t="s">
        <v>258</v>
      </c>
      <c r="K254" s="8" t="s">
        <v>182</v>
      </c>
    </row>
    <row r="255" spans="1:11" ht="30" customHeight="1">
      <c r="A255" s="8" t="s">
        <v>20</v>
      </c>
      <c r="B255" s="8" t="s">
        <v>138</v>
      </c>
      <c r="C255" s="8" t="s">
        <v>124</v>
      </c>
      <c r="D255" s="8" t="s">
        <v>185</v>
      </c>
      <c r="E255" s="12">
        <v>0</v>
      </c>
      <c r="F255" s="12">
        <v>0</v>
      </c>
      <c r="G255" s="12">
        <v>0</v>
      </c>
      <c r="H255" s="12">
        <v>1</v>
      </c>
      <c r="I255" s="12">
        <v>160</v>
      </c>
      <c r="J255" s="8" t="s">
        <v>258</v>
      </c>
      <c r="K255" s="8" t="s">
        <v>184</v>
      </c>
    </row>
    <row r="256" spans="1:11" ht="30" customHeight="1">
      <c r="A256" s="8" t="s">
        <v>20</v>
      </c>
      <c r="B256" s="8" t="s">
        <v>138</v>
      </c>
      <c r="C256" s="8" t="s">
        <v>122</v>
      </c>
      <c r="D256" s="8" t="s">
        <v>165</v>
      </c>
      <c r="E256" s="12">
        <v>0</v>
      </c>
      <c r="F256" s="12">
        <v>0</v>
      </c>
      <c r="G256" s="12">
        <v>0</v>
      </c>
      <c r="H256" s="12">
        <v>1</v>
      </c>
      <c r="I256" s="12">
        <v>160</v>
      </c>
      <c r="J256" s="8" t="s">
        <v>258</v>
      </c>
      <c r="K256" s="8" t="s">
        <v>186</v>
      </c>
    </row>
    <row r="257" spans="1:11" ht="30" customHeight="1">
      <c r="A257" s="8" t="s">
        <v>20</v>
      </c>
      <c r="B257" s="8" t="s">
        <v>138</v>
      </c>
      <c r="C257" s="8" t="s">
        <v>116</v>
      </c>
      <c r="D257" s="8" t="s">
        <v>195</v>
      </c>
      <c r="E257" s="12">
        <v>0</v>
      </c>
      <c r="F257" s="12">
        <v>0</v>
      </c>
      <c r="G257" s="12">
        <v>0</v>
      </c>
      <c r="H257" s="12">
        <v>1</v>
      </c>
      <c r="I257" s="12">
        <v>160</v>
      </c>
      <c r="J257" s="8" t="s">
        <v>258</v>
      </c>
      <c r="K257" s="8" t="s">
        <v>189</v>
      </c>
    </row>
    <row r="258" spans="1:11" ht="30" customHeight="1">
      <c r="A258" s="8" t="s">
        <v>20</v>
      </c>
      <c r="B258" s="8" t="s">
        <v>138</v>
      </c>
      <c r="C258" s="8" t="s">
        <v>83</v>
      </c>
      <c r="D258" s="8" t="s">
        <v>197</v>
      </c>
      <c r="E258" s="12">
        <v>7</v>
      </c>
      <c r="F258" s="12">
        <v>0</v>
      </c>
      <c r="G258" s="12">
        <v>7</v>
      </c>
      <c r="H258" s="12">
        <v>1</v>
      </c>
      <c r="I258" s="12">
        <v>160</v>
      </c>
      <c r="J258" s="8" t="s">
        <v>258</v>
      </c>
      <c r="K258" s="8" t="s">
        <v>192</v>
      </c>
    </row>
    <row r="259" spans="1:11" ht="30" customHeight="1">
      <c r="A259" s="8" t="s">
        <v>20</v>
      </c>
      <c r="B259" s="8" t="s">
        <v>138</v>
      </c>
      <c r="C259" s="8" t="s">
        <v>253</v>
      </c>
      <c r="D259" s="8" t="s">
        <v>176</v>
      </c>
      <c r="E259" s="12">
        <v>13</v>
      </c>
      <c r="F259" s="12">
        <v>0</v>
      </c>
      <c r="G259" s="12">
        <v>13</v>
      </c>
      <c r="H259" s="12">
        <v>10</v>
      </c>
      <c r="I259" s="12">
        <v>1600</v>
      </c>
      <c r="J259" s="8" t="s">
        <v>258</v>
      </c>
      <c r="K259" s="8" t="s">
        <v>194</v>
      </c>
    </row>
    <row r="260" spans="1:11" ht="30" customHeight="1">
      <c r="A260" s="8" t="s">
        <v>20</v>
      </c>
      <c r="B260" s="8" t="s">
        <v>138</v>
      </c>
      <c r="C260" s="8" t="s">
        <v>73</v>
      </c>
      <c r="D260" s="8" t="s">
        <v>199</v>
      </c>
      <c r="E260" s="12">
        <v>11</v>
      </c>
      <c r="F260" s="12">
        <v>0</v>
      </c>
      <c r="G260" s="12">
        <v>11</v>
      </c>
      <c r="H260" s="12">
        <v>7</v>
      </c>
      <c r="I260" s="12">
        <v>1120</v>
      </c>
      <c r="J260" s="8" t="s">
        <v>258</v>
      </c>
      <c r="K260" s="8" t="s">
        <v>196</v>
      </c>
    </row>
    <row r="261" spans="1:11" ht="30" customHeight="1">
      <c r="A261" s="8" t="s">
        <v>20</v>
      </c>
      <c r="B261" s="8" t="s">
        <v>138</v>
      </c>
      <c r="C261" s="8" t="s">
        <v>79</v>
      </c>
      <c r="D261" s="8" t="s">
        <v>201</v>
      </c>
      <c r="E261" s="12">
        <v>0</v>
      </c>
      <c r="F261" s="12">
        <v>0</v>
      </c>
      <c r="G261" s="12">
        <v>0</v>
      </c>
      <c r="H261" s="12">
        <v>2</v>
      </c>
      <c r="I261" s="12">
        <v>320</v>
      </c>
      <c r="J261" s="8" t="s">
        <v>258</v>
      </c>
      <c r="K261" s="8" t="s">
        <v>198</v>
      </c>
    </row>
    <row r="262" spans="1:11" ht="30" customHeight="1">
      <c r="A262" s="8" t="s">
        <v>20</v>
      </c>
      <c r="B262" s="8" t="s">
        <v>138</v>
      </c>
      <c r="C262" s="8" t="s">
        <v>81</v>
      </c>
      <c r="D262" s="8" t="s">
        <v>203</v>
      </c>
      <c r="E262" s="12">
        <v>0</v>
      </c>
      <c r="F262" s="12">
        <v>0</v>
      </c>
      <c r="G262" s="12">
        <v>0</v>
      </c>
      <c r="H262" s="12">
        <v>8</v>
      </c>
      <c r="I262" s="12">
        <v>1280</v>
      </c>
      <c r="J262" s="8" t="s">
        <v>258</v>
      </c>
      <c r="K262" s="8" t="s">
        <v>200</v>
      </c>
    </row>
    <row r="263" spans="1:11" ht="30" customHeight="1">
      <c r="A263" s="8" t="s">
        <v>20</v>
      </c>
      <c r="B263" s="8" t="s">
        <v>138</v>
      </c>
      <c r="C263" s="8" t="s">
        <v>254</v>
      </c>
      <c r="D263" s="8" t="s">
        <v>168</v>
      </c>
      <c r="E263" s="12">
        <v>53</v>
      </c>
      <c r="F263" s="12">
        <v>245</v>
      </c>
      <c r="G263" s="12">
        <v>298</v>
      </c>
      <c r="H263" s="12">
        <v>21</v>
      </c>
      <c r="I263" s="12">
        <v>3360</v>
      </c>
      <c r="J263" s="8" t="s">
        <v>258</v>
      </c>
      <c r="K263" s="8" t="s">
        <v>202</v>
      </c>
    </row>
    <row r="264" spans="1:11" ht="30" customHeight="1">
      <c r="A264" s="8" t="s">
        <v>20</v>
      </c>
      <c r="B264" s="8" t="s">
        <v>138</v>
      </c>
      <c r="C264" s="8" t="s">
        <v>58</v>
      </c>
      <c r="D264" s="8" t="s">
        <v>205</v>
      </c>
      <c r="E264" s="12">
        <v>159</v>
      </c>
      <c r="F264" s="12">
        <v>0</v>
      </c>
      <c r="G264" s="12">
        <v>159</v>
      </c>
      <c r="H264" s="12">
        <v>20</v>
      </c>
      <c r="I264" s="12">
        <v>3200</v>
      </c>
      <c r="J264" s="8" t="s">
        <v>258</v>
      </c>
      <c r="K264" s="8" t="s">
        <v>204</v>
      </c>
    </row>
    <row r="265" spans="1:11" ht="30" customHeight="1">
      <c r="A265" s="8" t="s">
        <v>20</v>
      </c>
      <c r="B265" s="8" t="s">
        <v>138</v>
      </c>
      <c r="C265" s="8" t="s">
        <v>68</v>
      </c>
      <c r="D265" s="8" t="s">
        <v>207</v>
      </c>
      <c r="E265" s="12">
        <v>20</v>
      </c>
      <c r="F265" s="12">
        <v>0</v>
      </c>
      <c r="G265" s="12">
        <v>20</v>
      </c>
      <c r="H265" s="12">
        <v>1</v>
      </c>
      <c r="I265" s="12">
        <v>160</v>
      </c>
      <c r="J265" s="8" t="s">
        <v>258</v>
      </c>
      <c r="K265" s="8" t="s">
        <v>206</v>
      </c>
    </row>
    <row r="266" spans="1:11" ht="30" customHeight="1">
      <c r="A266" s="8" t="s">
        <v>20</v>
      </c>
      <c r="B266" s="8" t="s">
        <v>138</v>
      </c>
      <c r="C266" s="8" t="s">
        <v>74</v>
      </c>
      <c r="D266" s="8" t="s">
        <v>173</v>
      </c>
      <c r="E266" s="12">
        <v>9</v>
      </c>
      <c r="F266" s="12">
        <v>0</v>
      </c>
      <c r="G266" s="12">
        <v>9</v>
      </c>
      <c r="H266" s="12">
        <v>3</v>
      </c>
      <c r="I266" s="12">
        <v>480</v>
      </c>
      <c r="J266" s="8" t="s">
        <v>258</v>
      </c>
      <c r="K266" s="8" t="s">
        <v>208</v>
      </c>
    </row>
    <row r="267" spans="1:11" ht="30" customHeight="1">
      <c r="A267" s="8" t="s">
        <v>20</v>
      </c>
      <c r="B267" s="8" t="s">
        <v>138</v>
      </c>
      <c r="C267" s="8" t="s">
        <v>64</v>
      </c>
      <c r="D267" s="8" t="s">
        <v>209</v>
      </c>
      <c r="E267" s="12">
        <v>116</v>
      </c>
      <c r="F267" s="12">
        <v>0</v>
      </c>
      <c r="G267" s="12">
        <v>116</v>
      </c>
      <c r="H267" s="12">
        <v>7</v>
      </c>
      <c r="I267" s="12">
        <v>1120</v>
      </c>
      <c r="J267" s="8" t="s">
        <v>258</v>
      </c>
      <c r="K267" s="8" t="s">
        <v>210</v>
      </c>
    </row>
    <row r="268" spans="1:11" ht="30" customHeight="1">
      <c r="A268" s="8" t="s">
        <v>20</v>
      </c>
      <c r="B268" s="8" t="s">
        <v>138</v>
      </c>
      <c r="C268" s="8" t="s">
        <v>103</v>
      </c>
      <c r="D268" s="8" t="s">
        <v>211</v>
      </c>
      <c r="E268" s="12">
        <v>0</v>
      </c>
      <c r="F268" s="12">
        <v>0</v>
      </c>
      <c r="G268" s="12">
        <v>0</v>
      </c>
      <c r="H268" s="12">
        <v>3</v>
      </c>
      <c r="I268" s="12">
        <v>480</v>
      </c>
      <c r="J268" s="8" t="s">
        <v>258</v>
      </c>
      <c r="K268" s="8" t="s">
        <v>212</v>
      </c>
    </row>
    <row r="269" spans="1:11" ht="30" customHeight="1">
      <c r="A269" s="8" t="s">
        <v>20</v>
      </c>
      <c r="B269" s="8" t="s">
        <v>213</v>
      </c>
      <c r="C269" s="8" t="s">
        <v>57</v>
      </c>
      <c r="D269" s="8" t="s">
        <v>148</v>
      </c>
      <c r="E269" s="12">
        <v>0</v>
      </c>
      <c r="F269" s="12">
        <v>0</v>
      </c>
      <c r="G269" s="12">
        <v>0</v>
      </c>
      <c r="H269" s="12">
        <v>1</v>
      </c>
      <c r="I269" s="12">
        <v>160</v>
      </c>
      <c r="J269" s="8" t="s">
        <v>258</v>
      </c>
      <c r="K269" s="8" t="s">
        <v>215</v>
      </c>
    </row>
    <row r="270" spans="1:11" ht="30" customHeight="1">
      <c r="A270" s="8" t="s">
        <v>20</v>
      </c>
      <c r="B270" s="8" t="s">
        <v>213</v>
      </c>
      <c r="C270" s="8" t="s">
        <v>53</v>
      </c>
      <c r="D270" s="8" t="s">
        <v>150</v>
      </c>
      <c r="E270" s="12">
        <v>0</v>
      </c>
      <c r="F270" s="12">
        <v>0</v>
      </c>
      <c r="G270" s="12">
        <v>0</v>
      </c>
      <c r="H270" s="12">
        <v>1</v>
      </c>
      <c r="I270" s="12">
        <v>160</v>
      </c>
      <c r="J270" s="8" t="s">
        <v>258</v>
      </c>
      <c r="K270" s="8" t="s">
        <v>216</v>
      </c>
    </row>
    <row r="271" spans="1:11" ht="30" customHeight="1">
      <c r="A271" s="8" t="s">
        <v>20</v>
      </c>
      <c r="B271" s="8" t="s">
        <v>213</v>
      </c>
      <c r="C271" s="8" t="s">
        <v>55</v>
      </c>
      <c r="D271" s="8" t="s">
        <v>154</v>
      </c>
      <c r="E271" s="12">
        <v>0</v>
      </c>
      <c r="F271" s="12">
        <v>0</v>
      </c>
      <c r="G271" s="12">
        <v>0</v>
      </c>
      <c r="H271" s="12">
        <v>1</v>
      </c>
      <c r="I271" s="12">
        <v>160</v>
      </c>
      <c r="J271" s="8" t="s">
        <v>258</v>
      </c>
      <c r="K271" s="8" t="s">
        <v>217</v>
      </c>
    </row>
    <row r="272" spans="1:11" ht="30" customHeight="1">
      <c r="A272" s="8" t="s">
        <v>20</v>
      </c>
      <c r="B272" s="8" t="s">
        <v>213</v>
      </c>
      <c r="C272" s="8" t="s">
        <v>112</v>
      </c>
      <c r="D272" s="8" t="s">
        <v>156</v>
      </c>
      <c r="E272" s="12">
        <v>0</v>
      </c>
      <c r="F272" s="12">
        <v>0</v>
      </c>
      <c r="G272" s="12">
        <v>0</v>
      </c>
      <c r="H272" s="12">
        <v>1</v>
      </c>
      <c r="I272" s="12">
        <v>160</v>
      </c>
      <c r="J272" s="8" t="s">
        <v>258</v>
      </c>
      <c r="K272" s="8" t="s">
        <v>218</v>
      </c>
    </row>
    <row r="273" spans="1:11" ht="30" customHeight="1">
      <c r="A273" s="8" t="s">
        <v>20</v>
      </c>
      <c r="B273" s="8" t="s">
        <v>213</v>
      </c>
      <c r="C273" s="8" t="s">
        <v>114</v>
      </c>
      <c r="D273" s="8" t="s">
        <v>220</v>
      </c>
      <c r="E273" s="12">
        <v>0</v>
      </c>
      <c r="F273" s="12">
        <v>0</v>
      </c>
      <c r="G273" s="12">
        <v>0</v>
      </c>
      <c r="H273" s="12">
        <v>3</v>
      </c>
      <c r="I273" s="12">
        <v>480</v>
      </c>
      <c r="J273" s="8" t="s">
        <v>258</v>
      </c>
      <c r="K273" s="8" t="s">
        <v>219</v>
      </c>
    </row>
    <row r="274" spans="1:11" ht="30" customHeight="1">
      <c r="A274" s="8" t="s">
        <v>20</v>
      </c>
      <c r="B274" s="8" t="s">
        <v>213</v>
      </c>
      <c r="C274" s="8" t="s">
        <v>162</v>
      </c>
      <c r="D274" s="8" t="s">
        <v>163</v>
      </c>
      <c r="E274" s="12">
        <v>4</v>
      </c>
      <c r="F274" s="12">
        <v>0</v>
      </c>
      <c r="G274" s="12">
        <v>4</v>
      </c>
      <c r="H274" s="12">
        <v>1</v>
      </c>
      <c r="I274" s="12">
        <v>160</v>
      </c>
      <c r="J274" s="8" t="s">
        <v>258</v>
      </c>
      <c r="K274" s="8" t="s">
        <v>221</v>
      </c>
    </row>
    <row r="275" spans="1:11" ht="30" customHeight="1">
      <c r="A275" s="8" t="s">
        <v>20</v>
      </c>
      <c r="B275" s="8" t="s">
        <v>213</v>
      </c>
      <c r="C275" s="8" t="s">
        <v>167</v>
      </c>
      <c r="D275" s="8" t="s">
        <v>168</v>
      </c>
      <c r="E275" s="12">
        <v>0</v>
      </c>
      <c r="F275" s="12">
        <v>0</v>
      </c>
      <c r="G275" s="12">
        <v>0</v>
      </c>
      <c r="H275" s="12">
        <v>1</v>
      </c>
      <c r="I275" s="12">
        <v>160</v>
      </c>
      <c r="J275" s="8" t="s">
        <v>258</v>
      </c>
      <c r="K275" s="8" t="s">
        <v>222</v>
      </c>
    </row>
    <row r="276" spans="1:11" ht="30" customHeight="1">
      <c r="A276" s="8" t="s">
        <v>20</v>
      </c>
      <c r="B276" s="8" t="s">
        <v>213</v>
      </c>
      <c r="C276" s="8" t="s">
        <v>120</v>
      </c>
      <c r="D276" s="8" t="s">
        <v>224</v>
      </c>
      <c r="E276" s="12">
        <v>0</v>
      </c>
      <c r="F276" s="12">
        <v>0</v>
      </c>
      <c r="G276" s="12">
        <v>0</v>
      </c>
      <c r="H276" s="12">
        <v>1</v>
      </c>
      <c r="I276" s="12">
        <v>160</v>
      </c>
      <c r="J276" s="8" t="s">
        <v>258</v>
      </c>
      <c r="K276" s="8" t="s">
        <v>223</v>
      </c>
    </row>
    <row r="277" spans="1:11" ht="30" customHeight="1">
      <c r="A277" s="8" t="s">
        <v>20</v>
      </c>
      <c r="B277" s="8" t="s">
        <v>213</v>
      </c>
      <c r="C277" s="8" t="s">
        <v>175</v>
      </c>
      <c r="D277" s="8" t="s">
        <v>176</v>
      </c>
      <c r="E277" s="12">
        <v>0</v>
      </c>
      <c r="F277" s="12">
        <v>0</v>
      </c>
      <c r="G277" s="12">
        <v>0</v>
      </c>
      <c r="H277" s="12">
        <v>1</v>
      </c>
      <c r="I277" s="12">
        <v>160</v>
      </c>
      <c r="J277" s="8" t="s">
        <v>258</v>
      </c>
      <c r="K277" s="8" t="s">
        <v>225</v>
      </c>
    </row>
    <row r="278" spans="1:11" ht="30" customHeight="1">
      <c r="A278" s="8" t="s">
        <v>20</v>
      </c>
      <c r="B278" s="8" t="s">
        <v>213</v>
      </c>
      <c r="C278" s="8" t="s">
        <v>62</v>
      </c>
      <c r="D278" s="8" t="s">
        <v>178</v>
      </c>
      <c r="E278" s="12">
        <v>0</v>
      </c>
      <c r="F278" s="12">
        <v>0</v>
      </c>
      <c r="G278" s="12">
        <v>0</v>
      </c>
      <c r="H278" s="12">
        <v>1</v>
      </c>
      <c r="I278" s="12">
        <v>160</v>
      </c>
      <c r="J278" s="8" t="s">
        <v>258</v>
      </c>
      <c r="K278" s="8" t="s">
        <v>226</v>
      </c>
    </row>
    <row r="279" spans="1:11" ht="30" customHeight="1">
      <c r="A279" s="8" t="s">
        <v>20</v>
      </c>
      <c r="B279" s="8" t="s">
        <v>213</v>
      </c>
      <c r="C279" s="8" t="s">
        <v>180</v>
      </c>
      <c r="D279" s="8" t="s">
        <v>181</v>
      </c>
      <c r="E279" s="12">
        <v>0</v>
      </c>
      <c r="F279" s="12">
        <v>0</v>
      </c>
      <c r="G279" s="12">
        <v>0</v>
      </c>
      <c r="H279" s="12">
        <v>4</v>
      </c>
      <c r="I279" s="12">
        <v>640</v>
      </c>
      <c r="J279" s="8" t="s">
        <v>258</v>
      </c>
      <c r="K279" s="8" t="s">
        <v>227</v>
      </c>
    </row>
    <row r="280" spans="1:11" ht="30" customHeight="1">
      <c r="A280" s="8" t="s">
        <v>20</v>
      </c>
      <c r="B280" s="8" t="s">
        <v>213</v>
      </c>
      <c r="C280" s="8" t="s">
        <v>108</v>
      </c>
      <c r="D280" s="8" t="s">
        <v>229</v>
      </c>
      <c r="E280" s="12">
        <v>0</v>
      </c>
      <c r="F280" s="12">
        <v>0</v>
      </c>
      <c r="G280" s="12">
        <v>0</v>
      </c>
      <c r="H280" s="12">
        <v>1</v>
      </c>
      <c r="I280" s="12">
        <v>160</v>
      </c>
      <c r="J280" s="8" t="s">
        <v>258</v>
      </c>
      <c r="K280" s="8" t="s">
        <v>228</v>
      </c>
    </row>
    <row r="281" spans="1:11" ht="30" customHeight="1">
      <c r="A281" s="8" t="s">
        <v>20</v>
      </c>
      <c r="B281" s="8" t="s">
        <v>213</v>
      </c>
      <c r="C281" s="8" t="s">
        <v>124</v>
      </c>
      <c r="D281" s="8" t="s">
        <v>185</v>
      </c>
      <c r="E281" s="12">
        <v>0</v>
      </c>
      <c r="F281" s="12">
        <v>0</v>
      </c>
      <c r="G281" s="12">
        <v>0</v>
      </c>
      <c r="H281" s="12">
        <v>1</v>
      </c>
      <c r="I281" s="12">
        <v>160</v>
      </c>
      <c r="J281" s="8" t="s">
        <v>258</v>
      </c>
      <c r="K281" s="8" t="s">
        <v>230</v>
      </c>
    </row>
    <row r="282" spans="1:11" ht="30" customHeight="1">
      <c r="A282" s="8" t="s">
        <v>20</v>
      </c>
      <c r="B282" s="8" t="s">
        <v>213</v>
      </c>
      <c r="C282" s="8" t="s">
        <v>128</v>
      </c>
      <c r="D282" s="8" t="s">
        <v>232</v>
      </c>
      <c r="E282" s="12">
        <v>0</v>
      </c>
      <c r="F282" s="12">
        <v>0</v>
      </c>
      <c r="G282" s="12">
        <v>0</v>
      </c>
      <c r="H282" s="12">
        <v>2</v>
      </c>
      <c r="I282" s="12">
        <v>320</v>
      </c>
      <c r="J282" s="8" t="s">
        <v>258</v>
      </c>
      <c r="K282" s="8" t="s">
        <v>231</v>
      </c>
    </row>
    <row r="283" spans="1:11" ht="30" customHeight="1">
      <c r="A283" s="8" t="s">
        <v>20</v>
      </c>
      <c r="B283" s="8" t="s">
        <v>213</v>
      </c>
      <c r="C283" s="8" t="s">
        <v>187</v>
      </c>
      <c r="D283" s="8" t="s">
        <v>188</v>
      </c>
      <c r="E283" s="12">
        <v>4</v>
      </c>
      <c r="F283" s="12">
        <v>0</v>
      </c>
      <c r="G283" s="12">
        <v>4</v>
      </c>
      <c r="H283" s="12">
        <v>3</v>
      </c>
      <c r="I283" s="12">
        <v>480</v>
      </c>
      <c r="J283" s="8" t="s">
        <v>258</v>
      </c>
      <c r="K283" s="8" t="s">
        <v>233</v>
      </c>
    </row>
    <row r="284" spans="1:11" ht="30" customHeight="1">
      <c r="A284" s="8" t="s">
        <v>20</v>
      </c>
      <c r="B284" s="8" t="s">
        <v>213</v>
      </c>
      <c r="C284" s="8" t="s">
        <v>190</v>
      </c>
      <c r="D284" s="8" t="s">
        <v>191</v>
      </c>
      <c r="E284" s="12">
        <v>0</v>
      </c>
      <c r="F284" s="12">
        <v>0</v>
      </c>
      <c r="G284" s="12">
        <v>0</v>
      </c>
      <c r="H284" s="12">
        <v>2</v>
      </c>
      <c r="I284" s="12">
        <v>320</v>
      </c>
      <c r="J284" s="8" t="s">
        <v>258</v>
      </c>
      <c r="K284" s="8" t="s">
        <v>234</v>
      </c>
    </row>
    <row r="285" spans="1:11" ht="30" customHeight="1">
      <c r="A285" s="8" t="s">
        <v>20</v>
      </c>
      <c r="B285" s="8" t="s">
        <v>213</v>
      </c>
      <c r="C285" s="8" t="s">
        <v>72</v>
      </c>
      <c r="D285" s="8" t="s">
        <v>193</v>
      </c>
      <c r="E285" s="12">
        <v>21</v>
      </c>
      <c r="F285" s="12">
        <v>0</v>
      </c>
      <c r="G285" s="12">
        <v>21</v>
      </c>
      <c r="H285" s="12">
        <v>2</v>
      </c>
      <c r="I285" s="12">
        <v>320</v>
      </c>
      <c r="J285" s="8" t="s">
        <v>258</v>
      </c>
      <c r="K285" s="8" t="s">
        <v>235</v>
      </c>
    </row>
    <row r="286" spans="1:11" ht="30" customHeight="1">
      <c r="A286" s="8" t="s">
        <v>20</v>
      </c>
      <c r="B286" s="8" t="s">
        <v>213</v>
      </c>
      <c r="C286" s="8" t="s">
        <v>116</v>
      </c>
      <c r="D286" s="8" t="s">
        <v>195</v>
      </c>
      <c r="E286" s="12">
        <v>0</v>
      </c>
      <c r="F286" s="12">
        <v>0</v>
      </c>
      <c r="G286" s="12">
        <v>0</v>
      </c>
      <c r="H286" s="12">
        <v>2</v>
      </c>
      <c r="I286" s="12">
        <v>320</v>
      </c>
      <c r="J286" s="8" t="s">
        <v>258</v>
      </c>
      <c r="K286" s="8" t="s">
        <v>236</v>
      </c>
    </row>
    <row r="287" spans="1:11" ht="30" customHeight="1">
      <c r="A287" s="8" t="s">
        <v>20</v>
      </c>
      <c r="B287" s="8" t="s">
        <v>213</v>
      </c>
      <c r="C287" s="8" t="s">
        <v>83</v>
      </c>
      <c r="D287" s="8" t="s">
        <v>197</v>
      </c>
      <c r="E287" s="12">
        <v>5</v>
      </c>
      <c r="F287" s="12">
        <v>0</v>
      </c>
      <c r="G287" s="12">
        <v>5</v>
      </c>
      <c r="H287" s="12">
        <v>3</v>
      </c>
      <c r="I287" s="12">
        <v>480</v>
      </c>
      <c r="J287" s="8" t="s">
        <v>258</v>
      </c>
      <c r="K287" s="8" t="s">
        <v>237</v>
      </c>
    </row>
    <row r="288" spans="1:11" ht="30" customHeight="1">
      <c r="A288" s="8" t="s">
        <v>20</v>
      </c>
      <c r="B288" s="8" t="s">
        <v>213</v>
      </c>
      <c r="C288" s="8" t="s">
        <v>79</v>
      </c>
      <c r="D288" s="8" t="s">
        <v>201</v>
      </c>
      <c r="E288" s="12">
        <v>0</v>
      </c>
      <c r="F288" s="12">
        <v>0</v>
      </c>
      <c r="G288" s="12">
        <v>0</v>
      </c>
      <c r="H288" s="12">
        <v>4</v>
      </c>
      <c r="I288" s="12">
        <v>640</v>
      </c>
      <c r="J288" s="8" t="s">
        <v>258</v>
      </c>
      <c r="K288" s="8" t="s">
        <v>238</v>
      </c>
    </row>
    <row r="289" spans="1:11" ht="30" customHeight="1">
      <c r="A289" s="8" t="s">
        <v>20</v>
      </c>
      <c r="B289" s="8" t="s">
        <v>213</v>
      </c>
      <c r="C289" s="8" t="s">
        <v>81</v>
      </c>
      <c r="D289" s="8" t="s">
        <v>203</v>
      </c>
      <c r="E289" s="12">
        <v>40</v>
      </c>
      <c r="F289" s="12">
        <v>0</v>
      </c>
      <c r="G289" s="12">
        <v>40</v>
      </c>
      <c r="H289" s="12">
        <v>1</v>
      </c>
      <c r="I289" s="12">
        <v>160</v>
      </c>
      <c r="J289" s="8" t="s">
        <v>258</v>
      </c>
      <c r="K289" s="8" t="s">
        <v>239</v>
      </c>
    </row>
    <row r="290" spans="1:11" ht="30" customHeight="1">
      <c r="A290" s="8" t="s">
        <v>20</v>
      </c>
      <c r="B290" s="8" t="s">
        <v>213</v>
      </c>
      <c r="C290" s="8" t="s">
        <v>58</v>
      </c>
      <c r="D290" s="8" t="s">
        <v>205</v>
      </c>
      <c r="E290" s="12">
        <v>16</v>
      </c>
      <c r="F290" s="12">
        <v>0</v>
      </c>
      <c r="G290" s="12">
        <v>16</v>
      </c>
      <c r="H290" s="12">
        <v>1</v>
      </c>
      <c r="I290" s="12">
        <v>160</v>
      </c>
      <c r="J290" s="8" t="s">
        <v>258</v>
      </c>
      <c r="K290" s="8" t="s">
        <v>240</v>
      </c>
    </row>
    <row r="291" spans="1:11" ht="30" customHeight="1">
      <c r="A291" s="8" t="s">
        <v>20</v>
      </c>
      <c r="B291" s="8" t="s">
        <v>213</v>
      </c>
      <c r="C291" s="8" t="s">
        <v>130</v>
      </c>
      <c r="D291" s="8" t="s">
        <v>241</v>
      </c>
      <c r="E291" s="12">
        <v>0</v>
      </c>
      <c r="F291" s="12">
        <v>0</v>
      </c>
      <c r="G291" s="12">
        <v>0</v>
      </c>
      <c r="H291" s="12">
        <v>1</v>
      </c>
      <c r="I291" s="12">
        <v>160</v>
      </c>
      <c r="J291" s="8" t="s">
        <v>258</v>
      </c>
      <c r="K291" s="8" t="s">
        <v>242</v>
      </c>
    </row>
    <row r="292" spans="1:11" ht="30" customHeight="1">
      <c r="A292" s="8" t="s">
        <v>20</v>
      </c>
      <c r="B292" s="8" t="s">
        <v>213</v>
      </c>
      <c r="C292" s="8" t="s">
        <v>103</v>
      </c>
      <c r="D292" s="8" t="s">
        <v>211</v>
      </c>
      <c r="E292" s="12">
        <v>0</v>
      </c>
      <c r="F292" s="12">
        <v>0</v>
      </c>
      <c r="G292" s="12">
        <v>0</v>
      </c>
      <c r="H292" s="12">
        <v>1</v>
      </c>
      <c r="I292" s="12">
        <v>160</v>
      </c>
      <c r="J292" s="8" t="s">
        <v>258</v>
      </c>
      <c r="K292" s="8" t="s">
        <v>243</v>
      </c>
    </row>
    <row r="293" spans="1:11" ht="30" customHeight="1">
      <c r="A293" s="8" t="s">
        <v>20</v>
      </c>
      <c r="B293" s="8" t="s">
        <v>213</v>
      </c>
      <c r="C293" s="8" t="s">
        <v>105</v>
      </c>
      <c r="D293" s="8" t="s">
        <v>244</v>
      </c>
      <c r="E293" s="12">
        <v>0</v>
      </c>
      <c r="F293" s="12">
        <v>0</v>
      </c>
      <c r="G293" s="12">
        <v>0</v>
      </c>
      <c r="H293" s="12">
        <v>1</v>
      </c>
      <c r="I293" s="12">
        <v>160</v>
      </c>
      <c r="J293" s="8" t="s">
        <v>258</v>
      </c>
      <c r="K293" s="8" t="s">
        <v>245</v>
      </c>
    </row>
    <row r="294" spans="1:11" ht="30" customHeight="1">
      <c r="A294" s="8" t="s">
        <v>22</v>
      </c>
      <c r="B294" s="8" t="s">
        <v>138</v>
      </c>
      <c r="C294" s="8" t="s">
        <v>247</v>
      </c>
      <c r="D294" s="8" t="s">
        <v>188</v>
      </c>
      <c r="E294" s="12">
        <v>4</v>
      </c>
      <c r="F294" s="12">
        <v>0</v>
      </c>
      <c r="G294" s="12">
        <v>4</v>
      </c>
      <c r="H294" s="12">
        <v>3</v>
      </c>
      <c r="I294" s="12">
        <v>456</v>
      </c>
      <c r="J294" s="8" t="s">
        <v>259</v>
      </c>
      <c r="K294" s="8" t="s">
        <v>141</v>
      </c>
    </row>
    <row r="295" spans="1:11" ht="30" customHeight="1">
      <c r="A295" s="8" t="s">
        <v>22</v>
      </c>
      <c r="B295" s="8" t="s">
        <v>138</v>
      </c>
      <c r="C295" s="8" t="s">
        <v>249</v>
      </c>
      <c r="D295" s="8" t="s">
        <v>191</v>
      </c>
      <c r="E295" s="12">
        <v>2</v>
      </c>
      <c r="F295" s="12">
        <v>0</v>
      </c>
      <c r="G295" s="12">
        <v>2</v>
      </c>
      <c r="H295" s="12">
        <v>1</v>
      </c>
      <c r="I295" s="12">
        <v>152</v>
      </c>
      <c r="J295" s="8" t="s">
        <v>259</v>
      </c>
      <c r="K295" s="8" t="s">
        <v>143</v>
      </c>
    </row>
    <row r="296" spans="1:11" ht="30" customHeight="1">
      <c r="A296" s="8" t="s">
        <v>22</v>
      </c>
      <c r="B296" s="8" t="s">
        <v>138</v>
      </c>
      <c r="C296" s="8" t="s">
        <v>118</v>
      </c>
      <c r="D296" s="8" t="s">
        <v>250</v>
      </c>
      <c r="E296" s="12">
        <v>0</v>
      </c>
      <c r="F296" s="12">
        <v>0</v>
      </c>
      <c r="G296" s="12">
        <v>0</v>
      </c>
      <c r="H296" s="12">
        <v>5</v>
      </c>
      <c r="I296" s="12">
        <v>760</v>
      </c>
      <c r="J296" s="8" t="s">
        <v>259</v>
      </c>
      <c r="K296" s="8" t="s">
        <v>145</v>
      </c>
    </row>
    <row r="297" spans="1:11" ht="30" customHeight="1">
      <c r="A297" s="8" t="s">
        <v>22</v>
      </c>
      <c r="B297" s="8" t="s">
        <v>138</v>
      </c>
      <c r="C297" s="8" t="s">
        <v>251</v>
      </c>
      <c r="D297" s="8" t="s">
        <v>163</v>
      </c>
      <c r="E297" s="12">
        <v>6</v>
      </c>
      <c r="F297" s="12">
        <v>0</v>
      </c>
      <c r="G297" s="12">
        <v>6</v>
      </c>
      <c r="H297" s="12">
        <v>7</v>
      </c>
      <c r="I297" s="12">
        <v>1064</v>
      </c>
      <c r="J297" s="8" t="s">
        <v>259</v>
      </c>
      <c r="K297" s="8" t="s">
        <v>147</v>
      </c>
    </row>
    <row r="298" spans="1:11" ht="30" customHeight="1">
      <c r="A298" s="8" t="s">
        <v>22</v>
      </c>
      <c r="B298" s="8" t="s">
        <v>138</v>
      </c>
      <c r="C298" s="8" t="s">
        <v>101</v>
      </c>
      <c r="D298" s="8" t="s">
        <v>142</v>
      </c>
      <c r="E298" s="12">
        <v>3</v>
      </c>
      <c r="F298" s="12">
        <v>0</v>
      </c>
      <c r="G298" s="12">
        <v>3</v>
      </c>
      <c r="H298" s="12">
        <v>2</v>
      </c>
      <c r="I298" s="12">
        <v>304</v>
      </c>
      <c r="J298" s="8" t="s">
        <v>259</v>
      </c>
      <c r="K298" s="8" t="s">
        <v>149</v>
      </c>
    </row>
    <row r="299" spans="1:11" ht="30" customHeight="1">
      <c r="A299" s="8" t="s">
        <v>22</v>
      </c>
      <c r="B299" s="8" t="s">
        <v>138</v>
      </c>
      <c r="C299" s="8" t="s">
        <v>63</v>
      </c>
      <c r="D299" s="8" t="s">
        <v>139</v>
      </c>
      <c r="E299" s="12">
        <v>204</v>
      </c>
      <c r="F299" s="12">
        <v>0</v>
      </c>
      <c r="G299" s="12">
        <v>204</v>
      </c>
      <c r="H299" s="12">
        <v>9</v>
      </c>
      <c r="I299" s="12">
        <v>1368</v>
      </c>
      <c r="J299" s="8" t="s">
        <v>259</v>
      </c>
      <c r="K299" s="8" t="s">
        <v>151</v>
      </c>
    </row>
    <row r="300" spans="1:11" ht="30" customHeight="1">
      <c r="A300" s="8" t="s">
        <v>22</v>
      </c>
      <c r="B300" s="8" t="s">
        <v>138</v>
      </c>
      <c r="C300" s="8" t="s">
        <v>91</v>
      </c>
      <c r="D300" s="8" t="s">
        <v>144</v>
      </c>
      <c r="E300" s="12">
        <v>38</v>
      </c>
      <c r="F300" s="12">
        <v>0</v>
      </c>
      <c r="G300" s="12">
        <v>38</v>
      </c>
      <c r="H300" s="12">
        <v>8</v>
      </c>
      <c r="I300" s="12">
        <v>1216</v>
      </c>
      <c r="J300" s="8" t="s">
        <v>259</v>
      </c>
      <c r="K300" s="8" t="s">
        <v>153</v>
      </c>
    </row>
    <row r="301" spans="1:11" ht="30" customHeight="1">
      <c r="A301" s="8" t="s">
        <v>22</v>
      </c>
      <c r="B301" s="8" t="s">
        <v>138</v>
      </c>
      <c r="C301" s="8" t="s">
        <v>87</v>
      </c>
      <c r="D301" s="8" t="s">
        <v>252</v>
      </c>
      <c r="E301" s="12">
        <v>12</v>
      </c>
      <c r="F301" s="12">
        <v>0</v>
      </c>
      <c r="G301" s="12">
        <v>12</v>
      </c>
      <c r="H301" s="12">
        <v>14</v>
      </c>
      <c r="I301" s="12">
        <v>2128</v>
      </c>
      <c r="J301" s="8" t="s">
        <v>259</v>
      </c>
      <c r="K301" s="8" t="s">
        <v>155</v>
      </c>
    </row>
    <row r="302" spans="1:11" ht="30" customHeight="1">
      <c r="A302" s="8" t="s">
        <v>22</v>
      </c>
      <c r="B302" s="8" t="s">
        <v>138</v>
      </c>
      <c r="C302" s="8" t="s">
        <v>57</v>
      </c>
      <c r="D302" s="8" t="s">
        <v>148</v>
      </c>
      <c r="E302" s="12">
        <v>390</v>
      </c>
      <c r="F302" s="12">
        <v>0</v>
      </c>
      <c r="G302" s="12">
        <v>390</v>
      </c>
      <c r="H302" s="12">
        <v>29</v>
      </c>
      <c r="I302" s="12">
        <v>4408</v>
      </c>
      <c r="J302" s="8" t="s">
        <v>259</v>
      </c>
      <c r="K302" s="8" t="s">
        <v>157</v>
      </c>
    </row>
    <row r="303" spans="1:11" ht="30" customHeight="1">
      <c r="A303" s="8" t="s">
        <v>22</v>
      </c>
      <c r="B303" s="8" t="s">
        <v>138</v>
      </c>
      <c r="C303" s="8" t="s">
        <v>53</v>
      </c>
      <c r="D303" s="8" t="s">
        <v>150</v>
      </c>
      <c r="E303" s="12">
        <v>499</v>
      </c>
      <c r="F303" s="12">
        <v>12</v>
      </c>
      <c r="G303" s="12">
        <v>511</v>
      </c>
      <c r="H303" s="12">
        <v>65</v>
      </c>
      <c r="I303" s="12">
        <v>9880</v>
      </c>
      <c r="J303" s="8" t="s">
        <v>259</v>
      </c>
      <c r="K303" s="8" t="s">
        <v>159</v>
      </c>
    </row>
    <row r="304" spans="1:11" ht="30" customHeight="1">
      <c r="A304" s="8" t="s">
        <v>22</v>
      </c>
      <c r="B304" s="8" t="s">
        <v>138</v>
      </c>
      <c r="C304" s="8" t="s">
        <v>55</v>
      </c>
      <c r="D304" s="8" t="s">
        <v>154</v>
      </c>
      <c r="E304" s="12">
        <v>362</v>
      </c>
      <c r="F304" s="12">
        <v>32</v>
      </c>
      <c r="G304" s="12">
        <v>394</v>
      </c>
      <c r="H304" s="12">
        <v>31</v>
      </c>
      <c r="I304" s="12">
        <v>4712</v>
      </c>
      <c r="J304" s="8" t="s">
        <v>259</v>
      </c>
      <c r="K304" s="8" t="s">
        <v>161</v>
      </c>
    </row>
    <row r="305" spans="1:11" ht="30" customHeight="1">
      <c r="A305" s="8" t="s">
        <v>22</v>
      </c>
      <c r="B305" s="8" t="s">
        <v>138</v>
      </c>
      <c r="C305" s="8" t="s">
        <v>112</v>
      </c>
      <c r="D305" s="8" t="s">
        <v>156</v>
      </c>
      <c r="E305" s="12">
        <v>0</v>
      </c>
      <c r="F305" s="12">
        <v>0</v>
      </c>
      <c r="G305" s="12">
        <v>0</v>
      </c>
      <c r="H305" s="12">
        <v>1</v>
      </c>
      <c r="I305" s="12">
        <v>152</v>
      </c>
      <c r="J305" s="8" t="s">
        <v>259</v>
      </c>
      <c r="K305" s="8" t="s">
        <v>164</v>
      </c>
    </row>
    <row r="306" spans="1:11" ht="30" customHeight="1">
      <c r="A306" s="8" t="s">
        <v>22</v>
      </c>
      <c r="B306" s="8" t="s">
        <v>138</v>
      </c>
      <c r="C306" s="8" t="s">
        <v>85</v>
      </c>
      <c r="D306" s="8" t="s">
        <v>158</v>
      </c>
      <c r="E306" s="12">
        <v>13</v>
      </c>
      <c r="F306" s="12">
        <v>0</v>
      </c>
      <c r="G306" s="12">
        <v>13</v>
      </c>
      <c r="H306" s="12">
        <v>6</v>
      </c>
      <c r="I306" s="12">
        <v>912</v>
      </c>
      <c r="J306" s="8" t="s">
        <v>259</v>
      </c>
      <c r="K306" s="8" t="s">
        <v>166</v>
      </c>
    </row>
    <row r="307" spans="1:11" ht="30" customHeight="1">
      <c r="A307" s="8" t="s">
        <v>22</v>
      </c>
      <c r="B307" s="8" t="s">
        <v>138</v>
      </c>
      <c r="C307" s="8" t="s">
        <v>66</v>
      </c>
      <c r="D307" s="8" t="s">
        <v>160</v>
      </c>
      <c r="E307" s="12">
        <v>64</v>
      </c>
      <c r="F307" s="12">
        <v>0</v>
      </c>
      <c r="G307" s="12">
        <v>64</v>
      </c>
      <c r="H307" s="12">
        <v>22</v>
      </c>
      <c r="I307" s="12">
        <v>3344</v>
      </c>
      <c r="J307" s="8" t="s">
        <v>259</v>
      </c>
      <c r="K307" s="8" t="s">
        <v>169</v>
      </c>
    </row>
    <row r="308" spans="1:11" ht="30" customHeight="1">
      <c r="A308" s="8" t="s">
        <v>22</v>
      </c>
      <c r="B308" s="8" t="s">
        <v>138</v>
      </c>
      <c r="C308" s="8" t="s">
        <v>70</v>
      </c>
      <c r="D308" s="8" t="s">
        <v>152</v>
      </c>
      <c r="E308" s="12">
        <v>97</v>
      </c>
      <c r="F308" s="12">
        <v>0</v>
      </c>
      <c r="G308" s="12">
        <v>97</v>
      </c>
      <c r="H308" s="12">
        <v>10</v>
      </c>
      <c r="I308" s="12">
        <v>1520</v>
      </c>
      <c r="J308" s="8" t="s">
        <v>259</v>
      </c>
      <c r="K308" s="8" t="s">
        <v>171</v>
      </c>
    </row>
    <row r="309" spans="1:11" ht="30" customHeight="1">
      <c r="A309" s="8" t="s">
        <v>22</v>
      </c>
      <c r="B309" s="8" t="s">
        <v>138</v>
      </c>
      <c r="C309" s="8" t="s">
        <v>51</v>
      </c>
      <c r="D309" s="8" t="s">
        <v>170</v>
      </c>
      <c r="E309" s="12">
        <v>397</v>
      </c>
      <c r="F309" s="12">
        <v>269</v>
      </c>
      <c r="G309" s="12">
        <v>666</v>
      </c>
      <c r="H309" s="12">
        <v>56</v>
      </c>
      <c r="I309" s="12">
        <v>8512</v>
      </c>
      <c r="J309" s="8" t="s">
        <v>259</v>
      </c>
      <c r="K309" s="8" t="s">
        <v>174</v>
      </c>
    </row>
    <row r="310" spans="1:11" ht="30" customHeight="1">
      <c r="A310" s="8" t="s">
        <v>22</v>
      </c>
      <c r="B310" s="8" t="s">
        <v>138</v>
      </c>
      <c r="C310" s="8" t="s">
        <v>62</v>
      </c>
      <c r="D310" s="8" t="s">
        <v>178</v>
      </c>
      <c r="E310" s="12">
        <v>56</v>
      </c>
      <c r="F310" s="12">
        <v>0</v>
      </c>
      <c r="G310" s="12">
        <v>56</v>
      </c>
      <c r="H310" s="12">
        <v>19</v>
      </c>
      <c r="I310" s="12">
        <v>2888</v>
      </c>
      <c r="J310" s="8" t="s">
        <v>259</v>
      </c>
      <c r="K310" s="8" t="s">
        <v>177</v>
      </c>
    </row>
    <row r="311" spans="1:11" ht="30" customHeight="1">
      <c r="A311" s="8" t="s">
        <v>22</v>
      </c>
      <c r="B311" s="8" t="s">
        <v>138</v>
      </c>
      <c r="C311" s="8" t="s">
        <v>106</v>
      </c>
      <c r="D311" s="8" t="s">
        <v>183</v>
      </c>
      <c r="E311" s="12">
        <v>8</v>
      </c>
      <c r="F311" s="12">
        <v>0</v>
      </c>
      <c r="G311" s="12">
        <v>8</v>
      </c>
      <c r="H311" s="12">
        <v>1</v>
      </c>
      <c r="I311" s="12">
        <v>152</v>
      </c>
      <c r="J311" s="8" t="s">
        <v>259</v>
      </c>
      <c r="K311" s="8" t="s">
        <v>179</v>
      </c>
    </row>
    <row r="312" spans="1:11" ht="30" customHeight="1">
      <c r="A312" s="8" t="s">
        <v>22</v>
      </c>
      <c r="B312" s="8" t="s">
        <v>138</v>
      </c>
      <c r="C312" s="8" t="s">
        <v>180</v>
      </c>
      <c r="D312" s="8" t="s">
        <v>181</v>
      </c>
      <c r="E312" s="12">
        <v>0</v>
      </c>
      <c r="F312" s="12">
        <v>0</v>
      </c>
      <c r="G312" s="12">
        <v>0</v>
      </c>
      <c r="H312" s="12">
        <v>2</v>
      </c>
      <c r="I312" s="12">
        <v>304</v>
      </c>
      <c r="J312" s="8" t="s">
        <v>259</v>
      </c>
      <c r="K312" s="8" t="s">
        <v>182</v>
      </c>
    </row>
    <row r="313" spans="1:11" ht="30" customHeight="1">
      <c r="A313" s="8" t="s">
        <v>22</v>
      </c>
      <c r="B313" s="8" t="s">
        <v>138</v>
      </c>
      <c r="C313" s="8" t="s">
        <v>124</v>
      </c>
      <c r="D313" s="8" t="s">
        <v>185</v>
      </c>
      <c r="E313" s="12">
        <v>0</v>
      </c>
      <c r="F313" s="12">
        <v>0</v>
      </c>
      <c r="G313" s="12">
        <v>0</v>
      </c>
      <c r="H313" s="12">
        <v>1</v>
      </c>
      <c r="I313" s="12">
        <v>152</v>
      </c>
      <c r="J313" s="8" t="s">
        <v>259</v>
      </c>
      <c r="K313" s="8" t="s">
        <v>184</v>
      </c>
    </row>
    <row r="314" spans="1:11" ht="30" customHeight="1">
      <c r="A314" s="8" t="s">
        <v>22</v>
      </c>
      <c r="B314" s="8" t="s">
        <v>138</v>
      </c>
      <c r="C314" s="8" t="s">
        <v>122</v>
      </c>
      <c r="D314" s="8" t="s">
        <v>165</v>
      </c>
      <c r="E314" s="12">
        <v>0</v>
      </c>
      <c r="F314" s="12">
        <v>0</v>
      </c>
      <c r="G314" s="12">
        <v>0</v>
      </c>
      <c r="H314" s="12">
        <v>1</v>
      </c>
      <c r="I314" s="12">
        <v>152</v>
      </c>
      <c r="J314" s="8" t="s">
        <v>259</v>
      </c>
      <c r="K314" s="8" t="s">
        <v>186</v>
      </c>
    </row>
    <row r="315" spans="1:11" ht="30" customHeight="1">
      <c r="A315" s="8" t="s">
        <v>22</v>
      </c>
      <c r="B315" s="8" t="s">
        <v>138</v>
      </c>
      <c r="C315" s="8" t="s">
        <v>116</v>
      </c>
      <c r="D315" s="8" t="s">
        <v>195</v>
      </c>
      <c r="E315" s="12">
        <v>0</v>
      </c>
      <c r="F315" s="12">
        <v>0</v>
      </c>
      <c r="G315" s="12">
        <v>0</v>
      </c>
      <c r="H315" s="12">
        <v>1</v>
      </c>
      <c r="I315" s="12">
        <v>152</v>
      </c>
      <c r="J315" s="8" t="s">
        <v>259</v>
      </c>
      <c r="K315" s="8" t="s">
        <v>189</v>
      </c>
    </row>
    <row r="316" spans="1:11" ht="30" customHeight="1">
      <c r="A316" s="8" t="s">
        <v>22</v>
      </c>
      <c r="B316" s="8" t="s">
        <v>138</v>
      </c>
      <c r="C316" s="8" t="s">
        <v>83</v>
      </c>
      <c r="D316" s="8" t="s">
        <v>197</v>
      </c>
      <c r="E316" s="12">
        <v>2</v>
      </c>
      <c r="F316" s="12">
        <v>0</v>
      </c>
      <c r="G316" s="12">
        <v>2</v>
      </c>
      <c r="H316" s="12">
        <v>1</v>
      </c>
      <c r="I316" s="12">
        <v>152</v>
      </c>
      <c r="J316" s="8" t="s">
        <v>259</v>
      </c>
      <c r="K316" s="8" t="s">
        <v>192</v>
      </c>
    </row>
    <row r="317" spans="1:11" ht="30" customHeight="1">
      <c r="A317" s="8" t="s">
        <v>22</v>
      </c>
      <c r="B317" s="8" t="s">
        <v>138</v>
      </c>
      <c r="C317" s="8" t="s">
        <v>253</v>
      </c>
      <c r="D317" s="8" t="s">
        <v>176</v>
      </c>
      <c r="E317" s="12">
        <v>18</v>
      </c>
      <c r="F317" s="12">
        <v>0</v>
      </c>
      <c r="G317" s="12">
        <v>18</v>
      </c>
      <c r="H317" s="12">
        <v>10</v>
      </c>
      <c r="I317" s="12">
        <v>1520</v>
      </c>
      <c r="J317" s="8" t="s">
        <v>259</v>
      </c>
      <c r="K317" s="8" t="s">
        <v>194</v>
      </c>
    </row>
    <row r="318" spans="1:11" ht="30" customHeight="1">
      <c r="A318" s="8" t="s">
        <v>22</v>
      </c>
      <c r="B318" s="8" t="s">
        <v>138</v>
      </c>
      <c r="C318" s="8" t="s">
        <v>73</v>
      </c>
      <c r="D318" s="8" t="s">
        <v>199</v>
      </c>
      <c r="E318" s="12">
        <v>12</v>
      </c>
      <c r="F318" s="12">
        <v>0</v>
      </c>
      <c r="G318" s="12">
        <v>12</v>
      </c>
      <c r="H318" s="12">
        <v>7</v>
      </c>
      <c r="I318" s="12">
        <v>1064</v>
      </c>
      <c r="J318" s="8" t="s">
        <v>259</v>
      </c>
      <c r="K318" s="8" t="s">
        <v>196</v>
      </c>
    </row>
    <row r="319" spans="1:11" ht="30" customHeight="1">
      <c r="A319" s="8" t="s">
        <v>22</v>
      </c>
      <c r="B319" s="8" t="s">
        <v>138</v>
      </c>
      <c r="C319" s="8" t="s">
        <v>79</v>
      </c>
      <c r="D319" s="8" t="s">
        <v>201</v>
      </c>
      <c r="E319" s="12">
        <v>3</v>
      </c>
      <c r="F319" s="12">
        <v>0</v>
      </c>
      <c r="G319" s="12">
        <v>3</v>
      </c>
      <c r="H319" s="12">
        <v>3</v>
      </c>
      <c r="I319" s="12">
        <v>456</v>
      </c>
      <c r="J319" s="8" t="s">
        <v>259</v>
      </c>
      <c r="K319" s="8" t="s">
        <v>198</v>
      </c>
    </row>
    <row r="320" spans="1:11" ht="30" customHeight="1">
      <c r="A320" s="8" t="s">
        <v>22</v>
      </c>
      <c r="B320" s="8" t="s">
        <v>138</v>
      </c>
      <c r="C320" s="8" t="s">
        <v>93</v>
      </c>
      <c r="D320" s="8" t="s">
        <v>257</v>
      </c>
      <c r="E320" s="12">
        <v>19</v>
      </c>
      <c r="F320" s="12">
        <v>0</v>
      </c>
      <c r="G320" s="12">
        <v>19</v>
      </c>
      <c r="H320" s="12">
        <v>8</v>
      </c>
      <c r="I320" s="12">
        <v>1216</v>
      </c>
      <c r="J320" s="8" t="s">
        <v>259</v>
      </c>
      <c r="K320" s="8" t="s">
        <v>200</v>
      </c>
    </row>
    <row r="321" spans="1:11" ht="30" customHeight="1">
      <c r="A321" s="8" t="s">
        <v>22</v>
      </c>
      <c r="B321" s="8" t="s">
        <v>138</v>
      </c>
      <c r="C321" s="8" t="s">
        <v>254</v>
      </c>
      <c r="D321" s="8" t="s">
        <v>168</v>
      </c>
      <c r="E321" s="12">
        <v>38</v>
      </c>
      <c r="F321" s="12">
        <v>16</v>
      </c>
      <c r="G321" s="12">
        <v>54</v>
      </c>
      <c r="H321" s="12">
        <v>21</v>
      </c>
      <c r="I321" s="12">
        <v>3192</v>
      </c>
      <c r="J321" s="8" t="s">
        <v>259</v>
      </c>
      <c r="K321" s="8" t="s">
        <v>202</v>
      </c>
    </row>
    <row r="322" spans="1:11" ht="30" customHeight="1">
      <c r="A322" s="8" t="s">
        <v>22</v>
      </c>
      <c r="B322" s="8" t="s">
        <v>138</v>
      </c>
      <c r="C322" s="8" t="s">
        <v>58</v>
      </c>
      <c r="D322" s="8" t="s">
        <v>205</v>
      </c>
      <c r="E322" s="12">
        <v>404</v>
      </c>
      <c r="F322" s="12">
        <v>0</v>
      </c>
      <c r="G322" s="12">
        <v>404</v>
      </c>
      <c r="H322" s="12">
        <v>20</v>
      </c>
      <c r="I322" s="12">
        <v>3040</v>
      </c>
      <c r="J322" s="8" t="s">
        <v>259</v>
      </c>
      <c r="K322" s="8" t="s">
        <v>204</v>
      </c>
    </row>
    <row r="323" spans="1:11" ht="30" customHeight="1">
      <c r="A323" s="8" t="s">
        <v>22</v>
      </c>
      <c r="B323" s="8" t="s">
        <v>138</v>
      </c>
      <c r="C323" s="8" t="s">
        <v>68</v>
      </c>
      <c r="D323" s="8" t="s">
        <v>207</v>
      </c>
      <c r="E323" s="12">
        <v>160</v>
      </c>
      <c r="F323" s="12">
        <v>0</v>
      </c>
      <c r="G323" s="12">
        <v>160</v>
      </c>
      <c r="H323" s="12">
        <v>2</v>
      </c>
      <c r="I323" s="12">
        <v>304</v>
      </c>
      <c r="J323" s="8" t="s">
        <v>259</v>
      </c>
      <c r="K323" s="8" t="s">
        <v>206</v>
      </c>
    </row>
    <row r="324" spans="1:11" ht="30" customHeight="1">
      <c r="A324" s="8" t="s">
        <v>22</v>
      </c>
      <c r="B324" s="8" t="s">
        <v>138</v>
      </c>
      <c r="C324" s="8" t="s">
        <v>74</v>
      </c>
      <c r="D324" s="8" t="s">
        <v>173</v>
      </c>
      <c r="E324" s="12">
        <v>19</v>
      </c>
      <c r="F324" s="12">
        <v>0</v>
      </c>
      <c r="G324" s="12">
        <v>19</v>
      </c>
      <c r="H324" s="12">
        <v>3</v>
      </c>
      <c r="I324" s="12">
        <v>456</v>
      </c>
      <c r="J324" s="8" t="s">
        <v>259</v>
      </c>
      <c r="K324" s="8" t="s">
        <v>208</v>
      </c>
    </row>
    <row r="325" spans="1:11" ht="30" customHeight="1">
      <c r="A325" s="8" t="s">
        <v>22</v>
      </c>
      <c r="B325" s="8" t="s">
        <v>138</v>
      </c>
      <c r="C325" s="8" t="s">
        <v>64</v>
      </c>
      <c r="D325" s="8" t="s">
        <v>209</v>
      </c>
      <c r="E325" s="12">
        <v>2</v>
      </c>
      <c r="F325" s="12">
        <v>80</v>
      </c>
      <c r="G325" s="12">
        <v>82</v>
      </c>
      <c r="H325" s="12">
        <v>7</v>
      </c>
      <c r="I325" s="12">
        <v>1064</v>
      </c>
      <c r="J325" s="8" t="s">
        <v>259</v>
      </c>
      <c r="K325" s="8" t="s">
        <v>210</v>
      </c>
    </row>
    <row r="326" spans="1:11" ht="30" customHeight="1">
      <c r="A326" s="8" t="s">
        <v>22</v>
      </c>
      <c r="B326" s="8" t="s">
        <v>138</v>
      </c>
      <c r="C326" s="8" t="s">
        <v>103</v>
      </c>
      <c r="D326" s="8" t="s">
        <v>211</v>
      </c>
      <c r="E326" s="12">
        <v>0</v>
      </c>
      <c r="F326" s="12">
        <v>0</v>
      </c>
      <c r="G326" s="12">
        <v>0</v>
      </c>
      <c r="H326" s="12">
        <v>4</v>
      </c>
      <c r="I326" s="12">
        <v>608</v>
      </c>
      <c r="J326" s="8" t="s">
        <v>259</v>
      </c>
      <c r="K326" s="8" t="s">
        <v>212</v>
      </c>
    </row>
    <row r="327" spans="1:11" ht="30" customHeight="1">
      <c r="A327" s="8" t="s">
        <v>22</v>
      </c>
      <c r="B327" s="8" t="s">
        <v>213</v>
      </c>
      <c r="C327" s="8" t="s">
        <v>57</v>
      </c>
      <c r="D327" s="8" t="s">
        <v>148</v>
      </c>
      <c r="E327" s="12">
        <v>9</v>
      </c>
      <c r="F327" s="12">
        <v>0</v>
      </c>
      <c r="G327" s="12">
        <v>9</v>
      </c>
      <c r="H327" s="12">
        <v>1</v>
      </c>
      <c r="I327" s="12">
        <v>152</v>
      </c>
      <c r="J327" s="8" t="s">
        <v>259</v>
      </c>
      <c r="K327" s="8" t="s">
        <v>215</v>
      </c>
    </row>
    <row r="328" spans="1:11" ht="30" customHeight="1">
      <c r="A328" s="8" t="s">
        <v>22</v>
      </c>
      <c r="B328" s="8" t="s">
        <v>213</v>
      </c>
      <c r="C328" s="8" t="s">
        <v>53</v>
      </c>
      <c r="D328" s="8" t="s">
        <v>150</v>
      </c>
      <c r="E328" s="12">
        <v>0</v>
      </c>
      <c r="F328" s="12">
        <v>0</v>
      </c>
      <c r="G328" s="12">
        <v>0</v>
      </c>
      <c r="H328" s="12">
        <v>1</v>
      </c>
      <c r="I328" s="12">
        <v>152</v>
      </c>
      <c r="J328" s="8" t="s">
        <v>259</v>
      </c>
      <c r="K328" s="8" t="s">
        <v>216</v>
      </c>
    </row>
    <row r="329" spans="1:11" ht="30" customHeight="1">
      <c r="A329" s="8" t="s">
        <v>22</v>
      </c>
      <c r="B329" s="8" t="s">
        <v>213</v>
      </c>
      <c r="C329" s="8" t="s">
        <v>55</v>
      </c>
      <c r="D329" s="8" t="s">
        <v>154</v>
      </c>
      <c r="E329" s="12">
        <v>0</v>
      </c>
      <c r="F329" s="12">
        <v>0</v>
      </c>
      <c r="G329" s="12">
        <v>0</v>
      </c>
      <c r="H329" s="12">
        <v>1</v>
      </c>
      <c r="I329" s="12">
        <v>152</v>
      </c>
      <c r="J329" s="8" t="s">
        <v>259</v>
      </c>
      <c r="K329" s="8" t="s">
        <v>217</v>
      </c>
    </row>
    <row r="330" spans="1:11" ht="30" customHeight="1">
      <c r="A330" s="8" t="s">
        <v>22</v>
      </c>
      <c r="B330" s="8" t="s">
        <v>213</v>
      </c>
      <c r="C330" s="8" t="s">
        <v>112</v>
      </c>
      <c r="D330" s="8" t="s">
        <v>156</v>
      </c>
      <c r="E330" s="12">
        <v>2</v>
      </c>
      <c r="F330" s="12">
        <v>0</v>
      </c>
      <c r="G330" s="12">
        <v>2</v>
      </c>
      <c r="H330" s="12">
        <v>1</v>
      </c>
      <c r="I330" s="12">
        <v>152</v>
      </c>
      <c r="J330" s="8" t="s">
        <v>259</v>
      </c>
      <c r="K330" s="8" t="s">
        <v>218</v>
      </c>
    </row>
    <row r="331" spans="1:11" ht="30" customHeight="1">
      <c r="A331" s="8" t="s">
        <v>22</v>
      </c>
      <c r="B331" s="8" t="s">
        <v>213</v>
      </c>
      <c r="C331" s="8" t="s">
        <v>114</v>
      </c>
      <c r="D331" s="8" t="s">
        <v>220</v>
      </c>
      <c r="E331" s="12">
        <v>0</v>
      </c>
      <c r="F331" s="12">
        <v>0</v>
      </c>
      <c r="G331" s="12">
        <v>0</v>
      </c>
      <c r="H331" s="12">
        <v>3</v>
      </c>
      <c r="I331" s="12">
        <v>456</v>
      </c>
      <c r="J331" s="8" t="s">
        <v>259</v>
      </c>
      <c r="K331" s="8" t="s">
        <v>219</v>
      </c>
    </row>
    <row r="332" spans="1:11" ht="30" customHeight="1">
      <c r="A332" s="8" t="s">
        <v>22</v>
      </c>
      <c r="B332" s="8" t="s">
        <v>213</v>
      </c>
      <c r="C332" s="8" t="s">
        <v>162</v>
      </c>
      <c r="D332" s="8" t="s">
        <v>163</v>
      </c>
      <c r="E332" s="12">
        <v>0</v>
      </c>
      <c r="F332" s="12">
        <v>0</v>
      </c>
      <c r="G332" s="12">
        <v>0</v>
      </c>
      <c r="H332" s="12">
        <v>1</v>
      </c>
      <c r="I332" s="12">
        <v>152</v>
      </c>
      <c r="J332" s="8" t="s">
        <v>259</v>
      </c>
      <c r="K332" s="8" t="s">
        <v>221</v>
      </c>
    </row>
    <row r="333" spans="1:11" ht="30" customHeight="1">
      <c r="A333" s="8" t="s">
        <v>22</v>
      </c>
      <c r="B333" s="8" t="s">
        <v>213</v>
      </c>
      <c r="C333" s="8" t="s">
        <v>167</v>
      </c>
      <c r="D333" s="8" t="s">
        <v>168</v>
      </c>
      <c r="E333" s="12">
        <v>0</v>
      </c>
      <c r="F333" s="12">
        <v>0</v>
      </c>
      <c r="G333" s="12">
        <v>0</v>
      </c>
      <c r="H333" s="12">
        <v>1</v>
      </c>
      <c r="I333" s="12">
        <v>152</v>
      </c>
      <c r="J333" s="8" t="s">
        <v>259</v>
      </c>
      <c r="K333" s="8" t="s">
        <v>222</v>
      </c>
    </row>
    <row r="334" spans="1:11" ht="30" customHeight="1">
      <c r="A334" s="8" t="s">
        <v>22</v>
      </c>
      <c r="B334" s="8" t="s">
        <v>213</v>
      </c>
      <c r="C334" s="8" t="s">
        <v>120</v>
      </c>
      <c r="D334" s="8" t="s">
        <v>224</v>
      </c>
      <c r="E334" s="12">
        <v>0</v>
      </c>
      <c r="F334" s="12">
        <v>0</v>
      </c>
      <c r="G334" s="12">
        <v>0</v>
      </c>
      <c r="H334" s="12">
        <v>1</v>
      </c>
      <c r="I334" s="12">
        <v>152</v>
      </c>
      <c r="J334" s="8" t="s">
        <v>259</v>
      </c>
      <c r="K334" s="8" t="s">
        <v>223</v>
      </c>
    </row>
    <row r="335" spans="1:11" ht="30" customHeight="1">
      <c r="A335" s="8" t="s">
        <v>22</v>
      </c>
      <c r="B335" s="8" t="s">
        <v>213</v>
      </c>
      <c r="C335" s="8" t="s">
        <v>175</v>
      </c>
      <c r="D335" s="8" t="s">
        <v>176</v>
      </c>
      <c r="E335" s="12">
        <v>10</v>
      </c>
      <c r="F335" s="12">
        <v>0</v>
      </c>
      <c r="G335" s="12">
        <v>10</v>
      </c>
      <c r="H335" s="12">
        <v>1</v>
      </c>
      <c r="I335" s="12">
        <v>152</v>
      </c>
      <c r="J335" s="8" t="s">
        <v>259</v>
      </c>
      <c r="K335" s="8" t="s">
        <v>225</v>
      </c>
    </row>
    <row r="336" spans="1:11" ht="30" customHeight="1">
      <c r="A336" s="8" t="s">
        <v>22</v>
      </c>
      <c r="B336" s="8" t="s">
        <v>213</v>
      </c>
      <c r="C336" s="8" t="s">
        <v>256</v>
      </c>
      <c r="D336" s="8" t="s">
        <v>181</v>
      </c>
      <c r="E336" s="12">
        <v>2</v>
      </c>
      <c r="F336" s="12">
        <v>0</v>
      </c>
      <c r="G336" s="12">
        <v>2</v>
      </c>
      <c r="H336" s="12">
        <v>4</v>
      </c>
      <c r="I336" s="12">
        <v>608</v>
      </c>
      <c r="J336" s="8" t="s">
        <v>259</v>
      </c>
      <c r="K336" s="8" t="s">
        <v>226</v>
      </c>
    </row>
    <row r="337" spans="1:11" ht="30" customHeight="1">
      <c r="A337" s="8" t="s">
        <v>22</v>
      </c>
      <c r="B337" s="8" t="s">
        <v>213</v>
      </c>
      <c r="C337" s="8" t="s">
        <v>108</v>
      </c>
      <c r="D337" s="8" t="s">
        <v>229</v>
      </c>
      <c r="E337" s="12">
        <v>0</v>
      </c>
      <c r="F337" s="12">
        <v>0</v>
      </c>
      <c r="G337" s="12">
        <v>0</v>
      </c>
      <c r="H337" s="12">
        <v>1</v>
      </c>
      <c r="I337" s="12">
        <v>152</v>
      </c>
      <c r="J337" s="8" t="s">
        <v>259</v>
      </c>
      <c r="K337" s="8" t="s">
        <v>227</v>
      </c>
    </row>
    <row r="338" spans="1:11" ht="30" customHeight="1">
      <c r="A338" s="8" t="s">
        <v>22</v>
      </c>
      <c r="B338" s="8" t="s">
        <v>213</v>
      </c>
      <c r="C338" s="8" t="s">
        <v>124</v>
      </c>
      <c r="D338" s="8" t="s">
        <v>185</v>
      </c>
      <c r="E338" s="12">
        <v>0</v>
      </c>
      <c r="F338" s="12">
        <v>0</v>
      </c>
      <c r="G338" s="12">
        <v>0</v>
      </c>
      <c r="H338" s="12">
        <v>1</v>
      </c>
      <c r="I338" s="12">
        <v>152</v>
      </c>
      <c r="J338" s="8" t="s">
        <v>259</v>
      </c>
      <c r="K338" s="8" t="s">
        <v>228</v>
      </c>
    </row>
    <row r="339" spans="1:11" ht="30" customHeight="1">
      <c r="A339" s="8" t="s">
        <v>22</v>
      </c>
      <c r="B339" s="8" t="s">
        <v>213</v>
      </c>
      <c r="C339" s="8" t="s">
        <v>128</v>
      </c>
      <c r="D339" s="8" t="s">
        <v>232</v>
      </c>
      <c r="E339" s="12">
        <v>0</v>
      </c>
      <c r="F339" s="12">
        <v>0</v>
      </c>
      <c r="G339" s="12">
        <v>0</v>
      </c>
      <c r="H339" s="12">
        <v>2</v>
      </c>
      <c r="I339" s="12">
        <v>304</v>
      </c>
      <c r="J339" s="8" t="s">
        <v>259</v>
      </c>
      <c r="K339" s="8" t="s">
        <v>230</v>
      </c>
    </row>
    <row r="340" spans="1:11" ht="30" customHeight="1">
      <c r="A340" s="8" t="s">
        <v>22</v>
      </c>
      <c r="B340" s="8" t="s">
        <v>213</v>
      </c>
      <c r="C340" s="8" t="s">
        <v>187</v>
      </c>
      <c r="D340" s="8" t="s">
        <v>188</v>
      </c>
      <c r="E340" s="12">
        <v>0</v>
      </c>
      <c r="F340" s="12">
        <v>0</v>
      </c>
      <c r="G340" s="12">
        <v>0</v>
      </c>
      <c r="H340" s="12">
        <v>3</v>
      </c>
      <c r="I340" s="12">
        <v>456</v>
      </c>
      <c r="J340" s="8" t="s">
        <v>259</v>
      </c>
      <c r="K340" s="8" t="s">
        <v>231</v>
      </c>
    </row>
    <row r="341" spans="1:11" ht="30" customHeight="1">
      <c r="A341" s="8" t="s">
        <v>22</v>
      </c>
      <c r="B341" s="8" t="s">
        <v>213</v>
      </c>
      <c r="C341" s="8" t="s">
        <v>190</v>
      </c>
      <c r="D341" s="8" t="s">
        <v>191</v>
      </c>
      <c r="E341" s="12">
        <v>0</v>
      </c>
      <c r="F341" s="12">
        <v>0</v>
      </c>
      <c r="G341" s="12">
        <v>0</v>
      </c>
      <c r="H341" s="12">
        <v>2</v>
      </c>
      <c r="I341" s="12">
        <v>304</v>
      </c>
      <c r="J341" s="8" t="s">
        <v>259</v>
      </c>
      <c r="K341" s="8" t="s">
        <v>233</v>
      </c>
    </row>
    <row r="342" spans="1:11" ht="30" customHeight="1">
      <c r="A342" s="8" t="s">
        <v>22</v>
      </c>
      <c r="B342" s="8" t="s">
        <v>213</v>
      </c>
      <c r="C342" s="8" t="s">
        <v>72</v>
      </c>
      <c r="D342" s="8" t="s">
        <v>193</v>
      </c>
      <c r="E342" s="12">
        <v>0</v>
      </c>
      <c r="F342" s="12">
        <v>0</v>
      </c>
      <c r="G342" s="12">
        <v>0</v>
      </c>
      <c r="H342" s="12">
        <v>2</v>
      </c>
      <c r="I342" s="12">
        <v>304</v>
      </c>
      <c r="J342" s="8" t="s">
        <v>259</v>
      </c>
      <c r="K342" s="8" t="s">
        <v>234</v>
      </c>
    </row>
    <row r="343" spans="1:11" ht="30" customHeight="1">
      <c r="A343" s="8" t="s">
        <v>22</v>
      </c>
      <c r="B343" s="8" t="s">
        <v>213</v>
      </c>
      <c r="C343" s="8" t="s">
        <v>116</v>
      </c>
      <c r="D343" s="8" t="s">
        <v>195</v>
      </c>
      <c r="E343" s="12">
        <v>0</v>
      </c>
      <c r="F343" s="12">
        <v>0</v>
      </c>
      <c r="G343" s="12">
        <v>0</v>
      </c>
      <c r="H343" s="12">
        <v>2</v>
      </c>
      <c r="I343" s="12">
        <v>304</v>
      </c>
      <c r="J343" s="8" t="s">
        <v>259</v>
      </c>
      <c r="K343" s="8" t="s">
        <v>235</v>
      </c>
    </row>
    <row r="344" spans="1:11" ht="30" customHeight="1">
      <c r="A344" s="8" t="s">
        <v>22</v>
      </c>
      <c r="B344" s="8" t="s">
        <v>213</v>
      </c>
      <c r="C344" s="8" t="s">
        <v>83</v>
      </c>
      <c r="D344" s="8" t="s">
        <v>197</v>
      </c>
      <c r="E344" s="12">
        <v>0</v>
      </c>
      <c r="F344" s="12">
        <v>0</v>
      </c>
      <c r="G344" s="12">
        <v>0</v>
      </c>
      <c r="H344" s="12">
        <v>3</v>
      </c>
      <c r="I344" s="12">
        <v>456</v>
      </c>
      <c r="J344" s="8" t="s">
        <v>259</v>
      </c>
      <c r="K344" s="8" t="s">
        <v>236</v>
      </c>
    </row>
    <row r="345" spans="1:11" ht="30" customHeight="1">
      <c r="A345" s="8" t="s">
        <v>22</v>
      </c>
      <c r="B345" s="8" t="s">
        <v>213</v>
      </c>
      <c r="C345" s="8" t="s">
        <v>79</v>
      </c>
      <c r="D345" s="8" t="s">
        <v>201</v>
      </c>
      <c r="E345" s="12">
        <v>0</v>
      </c>
      <c r="F345" s="12">
        <v>0</v>
      </c>
      <c r="G345" s="12">
        <v>0</v>
      </c>
      <c r="H345" s="12">
        <v>4</v>
      </c>
      <c r="I345" s="12">
        <v>608</v>
      </c>
      <c r="J345" s="8" t="s">
        <v>259</v>
      </c>
      <c r="K345" s="8" t="s">
        <v>237</v>
      </c>
    </row>
    <row r="346" spans="1:11" ht="30" customHeight="1">
      <c r="A346" s="8" t="s">
        <v>22</v>
      </c>
      <c r="B346" s="8" t="s">
        <v>213</v>
      </c>
      <c r="C346" s="8" t="s">
        <v>81</v>
      </c>
      <c r="D346" s="8" t="s">
        <v>203</v>
      </c>
      <c r="E346" s="12">
        <v>0</v>
      </c>
      <c r="F346" s="12">
        <v>0</v>
      </c>
      <c r="G346" s="12">
        <v>0</v>
      </c>
      <c r="H346" s="12">
        <v>1</v>
      </c>
      <c r="I346" s="12">
        <v>152</v>
      </c>
      <c r="J346" s="8" t="s">
        <v>259</v>
      </c>
      <c r="K346" s="8" t="s">
        <v>238</v>
      </c>
    </row>
    <row r="347" spans="1:11" ht="30" customHeight="1">
      <c r="A347" s="8" t="s">
        <v>22</v>
      </c>
      <c r="B347" s="8" t="s">
        <v>213</v>
      </c>
      <c r="C347" s="8" t="s">
        <v>58</v>
      </c>
      <c r="D347" s="8" t="s">
        <v>205</v>
      </c>
      <c r="E347" s="12">
        <v>0</v>
      </c>
      <c r="F347" s="12">
        <v>0</v>
      </c>
      <c r="G347" s="12">
        <v>0</v>
      </c>
      <c r="H347" s="12">
        <v>1</v>
      </c>
      <c r="I347" s="12">
        <v>152</v>
      </c>
      <c r="J347" s="8" t="s">
        <v>259</v>
      </c>
      <c r="K347" s="8" t="s">
        <v>239</v>
      </c>
    </row>
    <row r="348" spans="1:11" ht="30" customHeight="1">
      <c r="A348" s="8" t="s">
        <v>22</v>
      </c>
      <c r="B348" s="8" t="s">
        <v>213</v>
      </c>
      <c r="C348" s="8" t="s">
        <v>130</v>
      </c>
      <c r="D348" s="8" t="s">
        <v>241</v>
      </c>
      <c r="E348" s="12">
        <v>0</v>
      </c>
      <c r="F348" s="12">
        <v>0</v>
      </c>
      <c r="G348" s="12">
        <v>0</v>
      </c>
      <c r="H348" s="12">
        <v>1</v>
      </c>
      <c r="I348" s="12">
        <v>152</v>
      </c>
      <c r="J348" s="8" t="s">
        <v>259</v>
      </c>
      <c r="K348" s="8" t="s">
        <v>240</v>
      </c>
    </row>
    <row r="349" spans="1:11" ht="30" customHeight="1">
      <c r="A349" s="8" t="s">
        <v>22</v>
      </c>
      <c r="B349" s="8" t="s">
        <v>213</v>
      </c>
      <c r="C349" s="8" t="s">
        <v>103</v>
      </c>
      <c r="D349" s="8" t="s">
        <v>211</v>
      </c>
      <c r="E349" s="12">
        <v>0</v>
      </c>
      <c r="F349" s="12">
        <v>0</v>
      </c>
      <c r="G349" s="12">
        <v>0</v>
      </c>
      <c r="H349" s="12">
        <v>1</v>
      </c>
      <c r="I349" s="12">
        <v>152</v>
      </c>
      <c r="J349" s="8" t="s">
        <v>259</v>
      </c>
      <c r="K349" s="8" t="s">
        <v>242</v>
      </c>
    </row>
    <row r="350" spans="1:11" ht="30" customHeight="1">
      <c r="A350" s="8" t="s">
        <v>22</v>
      </c>
      <c r="B350" s="8" t="s">
        <v>213</v>
      </c>
      <c r="C350" s="8" t="s">
        <v>105</v>
      </c>
      <c r="D350" s="8" t="s">
        <v>244</v>
      </c>
      <c r="E350" s="12">
        <v>16</v>
      </c>
      <c r="F350" s="12">
        <v>0</v>
      </c>
      <c r="G350" s="12">
        <v>16</v>
      </c>
      <c r="H350" s="12">
        <v>1</v>
      </c>
      <c r="I350" s="12">
        <v>152</v>
      </c>
      <c r="J350" s="8" t="s">
        <v>259</v>
      </c>
      <c r="K350" s="8" t="s">
        <v>243</v>
      </c>
    </row>
  </sheetData>
  <autoFilter ref="A6:K350"/>
  <mergeCells count="2">
    <mergeCell ref="A1:K2"/>
    <mergeCell ref="A3:K4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31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47.7109375" customWidth="1"/>
    <col min="2" max="3" width="15.7109375" customWidth="1"/>
    <col min="4" max="4" width="83.7109375" customWidth="1"/>
    <col min="5" max="5" width="20.7109375" customWidth="1"/>
    <col min="6" max="6" width="19.7109375" customWidth="1"/>
    <col min="7" max="7" width="21.7109375" customWidth="1"/>
    <col min="8" max="8" width="20.7109375" customWidth="1"/>
    <col min="9" max="12" width="15.7109375" customWidth="1"/>
  </cols>
  <sheetData>
    <row r="1" spans="1:12" ht="25" customHeight="1">
      <c r="A1" s="1" t="s">
        <v>260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261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9" t="s">
        <v>4</v>
      </c>
    </row>
    <row r="6" spans="1:12" ht="42" customHeight="1">
      <c r="A6" s="11" t="s">
        <v>5</v>
      </c>
      <c r="B6" s="11" t="s">
        <v>262</v>
      </c>
      <c r="C6" s="11" t="s">
        <v>263</v>
      </c>
      <c r="D6" s="11" t="s">
        <v>264</v>
      </c>
      <c r="E6" s="11" t="s">
        <v>265</v>
      </c>
      <c r="F6" s="11" t="s">
        <v>266</v>
      </c>
      <c r="G6" s="11" t="s">
        <v>267</v>
      </c>
      <c r="H6" s="11" t="s">
        <v>268</v>
      </c>
    </row>
    <row r="7" spans="1:12" ht="30" customHeight="1">
      <c r="A7" s="8" t="s">
        <v>18</v>
      </c>
      <c r="B7" s="12">
        <v>8</v>
      </c>
      <c r="C7" s="12">
        <v>4</v>
      </c>
      <c r="D7" s="12">
        <v>3</v>
      </c>
      <c r="E7" s="12">
        <v>9</v>
      </c>
      <c r="F7" s="12">
        <v>9</v>
      </c>
      <c r="G7" s="12">
        <v>12</v>
      </c>
      <c r="H7" s="12">
        <v>0</v>
      </c>
    </row>
    <row r="8" spans="1:12" ht="30" customHeight="1">
      <c r="A8" s="8" t="s">
        <v>19</v>
      </c>
      <c r="B8" s="12">
        <v>9</v>
      </c>
      <c r="C8" s="12">
        <v>3</v>
      </c>
      <c r="D8" s="12">
        <v>3</v>
      </c>
      <c r="E8" s="12">
        <v>9</v>
      </c>
      <c r="F8" s="12">
        <v>9</v>
      </c>
      <c r="G8" s="12">
        <v>12</v>
      </c>
      <c r="H8" s="12">
        <v>0</v>
      </c>
    </row>
    <row r="9" spans="1:12" ht="30" customHeight="1">
      <c r="A9" s="8" t="s">
        <v>20</v>
      </c>
      <c r="B9" s="12">
        <v>9</v>
      </c>
      <c r="C9" s="12">
        <v>3</v>
      </c>
      <c r="D9" s="12">
        <v>8</v>
      </c>
      <c r="E9" s="12">
        <v>4</v>
      </c>
      <c r="F9" s="12">
        <v>4</v>
      </c>
      <c r="G9" s="12">
        <v>12</v>
      </c>
      <c r="H9" s="12">
        <v>0</v>
      </c>
    </row>
    <row r="10" spans="1:12" ht="30" customHeight="1">
      <c r="A10" s="8" t="s">
        <v>21</v>
      </c>
      <c r="B10" s="12">
        <v>4</v>
      </c>
      <c r="C10" s="12">
        <v>7</v>
      </c>
      <c r="D10" s="12">
        <v>3</v>
      </c>
      <c r="E10" s="12">
        <v>8</v>
      </c>
      <c r="F10" s="12">
        <v>8</v>
      </c>
      <c r="G10" s="12">
        <v>11</v>
      </c>
      <c r="H10" s="12">
        <v>0</v>
      </c>
    </row>
    <row r="11" spans="1:12" ht="30" customHeight="1">
      <c r="A11" s="8" t="s">
        <v>22</v>
      </c>
      <c r="B11" s="12">
        <v>8</v>
      </c>
      <c r="C11" s="12">
        <v>8</v>
      </c>
      <c r="D11" s="12">
        <v>5</v>
      </c>
      <c r="E11" s="12">
        <v>11</v>
      </c>
      <c r="F11" s="12">
        <v>11</v>
      </c>
      <c r="G11" s="12">
        <v>16</v>
      </c>
      <c r="H11" s="12">
        <v>0</v>
      </c>
    </row>
    <row r="12" spans="1:12" ht="30" customHeight="1">
      <c r="A12" s="8" t="s">
        <v>23</v>
      </c>
      <c r="B12" s="12">
        <v>11</v>
      </c>
      <c r="C12" s="12">
        <v>5</v>
      </c>
      <c r="D12" s="12">
        <v>2</v>
      </c>
      <c r="E12" s="12">
        <v>14</v>
      </c>
      <c r="F12" s="12">
        <v>14</v>
      </c>
      <c r="G12" s="12">
        <v>16</v>
      </c>
      <c r="H12" s="12">
        <v>0</v>
      </c>
    </row>
    <row r="15" spans="1:12">
      <c r="A15" s="10" t="s">
        <v>269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spans="1:12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spans="1:12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spans="1:12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21" spans="1:12" ht="42" customHeight="1">
      <c r="A21" s="11" t="s">
        <v>270</v>
      </c>
      <c r="B21" s="11" t="s">
        <v>271</v>
      </c>
      <c r="C21" s="11" t="s">
        <v>272</v>
      </c>
      <c r="D21" s="11" t="s">
        <v>273</v>
      </c>
    </row>
    <row r="22" spans="1:12" ht="36" customHeight="1">
      <c r="A22" s="8" t="s">
        <v>274</v>
      </c>
      <c r="B22" s="12">
        <v>39</v>
      </c>
      <c r="C22" s="12">
        <v>39</v>
      </c>
      <c r="D22" s="8" t="s">
        <v>275</v>
      </c>
    </row>
    <row r="23" spans="1:12" ht="36" customHeight="1">
      <c r="A23" s="8" t="s">
        <v>276</v>
      </c>
      <c r="B23" s="12">
        <v>25</v>
      </c>
      <c r="C23" s="12">
        <v>39</v>
      </c>
      <c r="D23" s="8" t="s">
        <v>277</v>
      </c>
    </row>
    <row r="24" spans="1:12" ht="36" customHeight="1">
      <c r="A24" s="8" t="s">
        <v>278</v>
      </c>
      <c r="B24" s="12">
        <v>14</v>
      </c>
      <c r="C24" s="12">
        <v>39</v>
      </c>
      <c r="D24" s="8" t="s">
        <v>279</v>
      </c>
    </row>
    <row r="25" spans="1:12" ht="36" customHeight="1">
      <c r="A25" s="8" t="s">
        <v>280</v>
      </c>
      <c r="B25" s="12">
        <v>39</v>
      </c>
      <c r="C25" s="12">
        <v>39</v>
      </c>
      <c r="D25" s="8" t="s">
        <v>281</v>
      </c>
    </row>
    <row r="28" spans="1:12">
      <c r="A28" s="10" t="s">
        <v>282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</row>
    <row r="29" spans="1:12">
      <c r="A29" s="10"/>
      <c r="B29" s="10"/>
      <c r="C29" s="10"/>
      <c r="D29" s="10"/>
      <c r="E29" s="10"/>
      <c r="F29" s="10"/>
      <c r="G29" s="10"/>
      <c r="H29" s="10"/>
      <c r="I29" s="10"/>
      <c r="J29" s="10"/>
      <c r="K29" s="10"/>
      <c r="L29" s="10"/>
    </row>
    <row r="30" spans="1:12">
      <c r="A30" s="10"/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</row>
    <row r="31" spans="1:12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</row>
  </sheetData>
  <autoFilter ref="A6:H12"/>
  <mergeCells count="4">
    <mergeCell ref="A1:L2"/>
    <mergeCell ref="A3:L4"/>
    <mergeCell ref="A15:L18"/>
    <mergeCell ref="A28:L31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38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35.7109375" customWidth="1"/>
    <col min="2" max="2" width="20.7109375" customWidth="1"/>
    <col min="3" max="3" width="84.7109375" customWidth="1"/>
    <col min="4" max="4" width="83.7109375" customWidth="1"/>
    <col min="5" max="5" width="20.7109375" customWidth="1"/>
    <col min="6" max="6" width="19.7109375" customWidth="1"/>
    <col min="7" max="7" width="21.7109375" customWidth="1"/>
    <col min="8" max="8" width="20.7109375" customWidth="1"/>
    <col min="9" max="12" width="15.7109375" customWidth="1"/>
  </cols>
  <sheetData>
    <row r="1" spans="1:12" ht="25" customHeight="1">
      <c r="A1" s="1" t="s">
        <v>283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261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9" t="s">
        <v>4</v>
      </c>
    </row>
    <row r="6" spans="1:12" ht="42" customHeight="1">
      <c r="A6" s="11" t="s">
        <v>5</v>
      </c>
      <c r="B6" s="11" t="s">
        <v>262</v>
      </c>
      <c r="C6" s="11" t="s">
        <v>263</v>
      </c>
      <c r="D6" s="11" t="s">
        <v>264</v>
      </c>
      <c r="E6" s="11" t="s">
        <v>265</v>
      </c>
      <c r="F6" s="11" t="s">
        <v>266</v>
      </c>
      <c r="G6" s="11" t="s">
        <v>267</v>
      </c>
      <c r="H6" s="11" t="s">
        <v>268</v>
      </c>
    </row>
    <row r="7" spans="1:12" ht="30" customHeight="1">
      <c r="A7" s="8" t="s">
        <v>18</v>
      </c>
      <c r="B7" s="12">
        <v>4</v>
      </c>
      <c r="C7" s="12">
        <v>2</v>
      </c>
      <c r="D7" s="12">
        <v>1</v>
      </c>
      <c r="E7" s="12">
        <v>5</v>
      </c>
      <c r="F7" s="12">
        <v>5</v>
      </c>
      <c r="G7" s="12">
        <v>6</v>
      </c>
      <c r="H7" s="12">
        <v>0</v>
      </c>
    </row>
    <row r="8" spans="1:12" ht="30" customHeight="1">
      <c r="A8" s="8" t="s">
        <v>19</v>
      </c>
      <c r="B8" s="12">
        <v>5</v>
      </c>
      <c r="C8" s="12">
        <v>4</v>
      </c>
      <c r="D8" s="12">
        <v>4</v>
      </c>
      <c r="E8" s="12">
        <v>5</v>
      </c>
      <c r="F8" s="12">
        <v>5</v>
      </c>
      <c r="G8" s="12">
        <v>9</v>
      </c>
      <c r="H8" s="12">
        <v>0</v>
      </c>
    </row>
    <row r="9" spans="1:12" ht="30" customHeight="1">
      <c r="A9" s="8" t="s">
        <v>20</v>
      </c>
      <c r="B9" s="12">
        <v>5</v>
      </c>
      <c r="C9" s="12">
        <v>5</v>
      </c>
      <c r="D9" s="12">
        <v>7</v>
      </c>
      <c r="E9" s="12">
        <v>3</v>
      </c>
      <c r="F9" s="12">
        <v>3</v>
      </c>
      <c r="G9" s="12">
        <v>10</v>
      </c>
      <c r="H9" s="12">
        <v>0</v>
      </c>
    </row>
    <row r="10" spans="1:12" ht="30" customHeight="1">
      <c r="A10" s="8" t="s">
        <v>21</v>
      </c>
      <c r="B10" s="12">
        <v>3</v>
      </c>
      <c r="C10" s="12">
        <v>6</v>
      </c>
      <c r="D10" s="12">
        <v>4</v>
      </c>
      <c r="E10" s="12">
        <v>5</v>
      </c>
      <c r="F10" s="12">
        <v>5</v>
      </c>
      <c r="G10" s="12">
        <v>9</v>
      </c>
      <c r="H10" s="12">
        <v>0</v>
      </c>
    </row>
    <row r="11" spans="1:12" ht="30" customHeight="1">
      <c r="A11" s="8" t="s">
        <v>22</v>
      </c>
      <c r="B11" s="12">
        <v>5</v>
      </c>
      <c r="C11" s="12">
        <v>4</v>
      </c>
      <c r="D11" s="12">
        <v>6</v>
      </c>
      <c r="E11" s="12">
        <v>3</v>
      </c>
      <c r="F11" s="12">
        <v>3</v>
      </c>
      <c r="G11" s="12">
        <v>9</v>
      </c>
      <c r="H11" s="12">
        <v>0</v>
      </c>
    </row>
    <row r="12" spans="1:12" ht="30" customHeight="1">
      <c r="A12" s="8" t="s">
        <v>23</v>
      </c>
      <c r="B12" s="12">
        <v>3</v>
      </c>
      <c r="C12" s="12">
        <v>7</v>
      </c>
      <c r="D12" s="12">
        <v>4</v>
      </c>
      <c r="E12" s="12">
        <v>6</v>
      </c>
      <c r="F12" s="12">
        <v>6</v>
      </c>
      <c r="G12" s="12">
        <v>10</v>
      </c>
      <c r="H12" s="12">
        <v>0</v>
      </c>
    </row>
    <row r="15" spans="1:12">
      <c r="A15" s="10" t="s">
        <v>284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spans="1:12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spans="1:12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spans="1:12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21" spans="1:12" ht="42" customHeight="1">
      <c r="A21" s="11" t="s">
        <v>270</v>
      </c>
      <c r="B21" s="11" t="s">
        <v>271</v>
      </c>
      <c r="C21" s="11" t="s">
        <v>272</v>
      </c>
      <c r="D21" s="11" t="s">
        <v>273</v>
      </c>
    </row>
    <row r="22" spans="1:12" ht="36" customHeight="1">
      <c r="A22" s="8" t="s">
        <v>274</v>
      </c>
      <c r="B22" s="12">
        <v>32</v>
      </c>
      <c r="C22" s="12">
        <v>32</v>
      </c>
      <c r="D22" s="8" t="s">
        <v>275</v>
      </c>
    </row>
    <row r="23" spans="1:12" ht="36" customHeight="1">
      <c r="A23" s="8" t="s">
        <v>276</v>
      </c>
      <c r="B23" s="12">
        <v>30</v>
      </c>
      <c r="C23" s="12">
        <v>32</v>
      </c>
      <c r="D23" s="8" t="s">
        <v>277</v>
      </c>
    </row>
    <row r="24" spans="1:12" ht="36" customHeight="1">
      <c r="A24" s="8" t="s">
        <v>278</v>
      </c>
      <c r="B24" s="12">
        <v>2</v>
      </c>
      <c r="C24" s="12">
        <v>32</v>
      </c>
      <c r="D24" s="8" t="s">
        <v>279</v>
      </c>
    </row>
    <row r="25" spans="1:12" ht="36" customHeight="1">
      <c r="A25" s="8" t="s">
        <v>280</v>
      </c>
      <c r="B25" s="12">
        <v>32</v>
      </c>
      <c r="C25" s="12">
        <v>32</v>
      </c>
      <c r="D25" s="8" t="s">
        <v>281</v>
      </c>
    </row>
    <row r="29" spans="1:12" ht="42" customHeight="1">
      <c r="A29" s="11" t="s">
        <v>285</v>
      </c>
      <c r="B29" s="11" t="s">
        <v>286</v>
      </c>
      <c r="C29" s="11" t="s">
        <v>287</v>
      </c>
    </row>
    <row r="30" spans="1:12" ht="30" customHeight="1">
      <c r="A30" s="8" t="s">
        <v>288</v>
      </c>
      <c r="B30" s="12">
        <v>19</v>
      </c>
      <c r="C30" s="8" t="s">
        <v>289</v>
      </c>
    </row>
    <row r="31" spans="1:12" ht="30" customHeight="1">
      <c r="A31" s="8" t="s">
        <v>290</v>
      </c>
      <c r="B31" s="12">
        <v>8</v>
      </c>
      <c r="C31" s="8" t="s">
        <v>289</v>
      </c>
    </row>
    <row r="32" spans="1:12" ht="30" customHeight="1">
      <c r="A32" s="8" t="s">
        <v>291</v>
      </c>
      <c r="B32" s="12">
        <v>1</v>
      </c>
      <c r="C32" s="8" t="s">
        <v>289</v>
      </c>
    </row>
    <row r="35" spans="1:12">
      <c r="A35" s="10" t="s">
        <v>292</v>
      </c>
      <c r="B35" s="10"/>
      <c r="C35" s="10"/>
      <c r="D35" s="10"/>
      <c r="E35" s="10"/>
      <c r="F35" s="10"/>
      <c r="G35" s="10"/>
      <c r="H35" s="10"/>
      <c r="I35" s="10"/>
      <c r="J35" s="10"/>
      <c r="K35" s="10"/>
      <c r="L35" s="10"/>
    </row>
    <row r="36" spans="1:12">
      <c r="A36" s="10"/>
      <c r="B36" s="10"/>
      <c r="C36" s="10"/>
      <c r="D36" s="10"/>
      <c r="E36" s="10"/>
      <c r="F36" s="10"/>
      <c r="G36" s="10"/>
      <c r="H36" s="10"/>
      <c r="I36" s="10"/>
      <c r="J36" s="10"/>
      <c r="K36" s="10"/>
      <c r="L36" s="10"/>
    </row>
    <row r="37" spans="1:12">
      <c r="A37" s="10"/>
      <c r="B37" s="10"/>
      <c r="C37" s="10"/>
      <c r="D37" s="10"/>
      <c r="E37" s="10"/>
      <c r="F37" s="10"/>
      <c r="G37" s="10"/>
      <c r="H37" s="10"/>
      <c r="I37" s="10"/>
      <c r="J37" s="10"/>
      <c r="K37" s="10"/>
      <c r="L37" s="10"/>
    </row>
    <row r="38" spans="1:12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</row>
  </sheetData>
  <autoFilter ref="A6:H12"/>
  <mergeCells count="4">
    <mergeCell ref="A1:L2"/>
    <mergeCell ref="A3:L4"/>
    <mergeCell ref="A15:L18"/>
    <mergeCell ref="A35:L38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18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18.7109375" customWidth="1"/>
    <col min="2" max="2" width="29.7109375" customWidth="1"/>
    <col min="3" max="4" width="27.7109375" customWidth="1"/>
    <col min="5" max="5" width="28.7109375" customWidth="1"/>
    <col min="6" max="12" width="15.7109375" customWidth="1"/>
  </cols>
  <sheetData>
    <row r="1" spans="1:12" ht="25" customHeight="1">
      <c r="A1" s="1" t="s">
        <v>293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294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9" t="s">
        <v>4</v>
      </c>
    </row>
    <row r="6" spans="1:12" ht="42" customHeight="1">
      <c r="A6" s="11" t="s">
        <v>5</v>
      </c>
      <c r="B6" s="11" t="s">
        <v>295</v>
      </c>
      <c r="C6" s="11" t="s">
        <v>296</v>
      </c>
      <c r="D6" s="11" t="s">
        <v>297</v>
      </c>
      <c r="E6" s="11" t="s">
        <v>298</v>
      </c>
    </row>
    <row r="7" spans="1:12" ht="30" customHeight="1">
      <c r="A7" s="8" t="s">
        <v>18</v>
      </c>
      <c r="B7" s="12">
        <v>133</v>
      </c>
      <c r="C7" s="12">
        <v>80</v>
      </c>
      <c r="D7" s="12">
        <v>80</v>
      </c>
      <c r="E7" s="12">
        <v>129</v>
      </c>
    </row>
    <row r="8" spans="1:12" ht="30" customHeight="1">
      <c r="A8" s="8" t="s">
        <v>19</v>
      </c>
      <c r="B8" s="12">
        <v>132</v>
      </c>
      <c r="C8" s="12">
        <v>69</v>
      </c>
      <c r="D8" s="12">
        <v>51</v>
      </c>
      <c r="E8" s="12">
        <v>107</v>
      </c>
    </row>
    <row r="9" spans="1:12" ht="30" customHeight="1">
      <c r="A9" s="8" t="s">
        <v>20</v>
      </c>
      <c r="B9" s="12">
        <v>301</v>
      </c>
      <c r="C9" s="12">
        <v>189</v>
      </c>
      <c r="D9" s="12">
        <v>155</v>
      </c>
      <c r="E9" s="12">
        <v>188</v>
      </c>
    </row>
    <row r="10" spans="1:12" ht="30" customHeight="1">
      <c r="A10" s="8" t="s">
        <v>21</v>
      </c>
      <c r="B10" s="12">
        <v>292</v>
      </c>
      <c r="C10" s="12">
        <v>170</v>
      </c>
      <c r="D10" s="12">
        <v>110</v>
      </c>
      <c r="E10" s="12">
        <v>212</v>
      </c>
    </row>
    <row r="11" spans="1:12" ht="30" customHeight="1">
      <c r="A11" s="8" t="s">
        <v>22</v>
      </c>
      <c r="B11" s="12">
        <v>452</v>
      </c>
      <c r="C11" s="12">
        <v>338</v>
      </c>
      <c r="D11" s="12">
        <v>121</v>
      </c>
      <c r="E11" s="12">
        <v>235</v>
      </c>
    </row>
    <row r="12" spans="1:12" ht="30" customHeight="1">
      <c r="A12" s="8" t="s">
        <v>23</v>
      </c>
      <c r="B12" s="12">
        <v>384</v>
      </c>
      <c r="C12" s="12">
        <v>241</v>
      </c>
      <c r="D12" s="12">
        <v>97</v>
      </c>
      <c r="E12" s="12">
        <v>240</v>
      </c>
    </row>
    <row r="15" spans="1:12">
      <c r="A15" s="10" t="s">
        <v>299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spans="1:12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spans="1:12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spans="1:12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</sheetData>
  <autoFilter ref="A6:E12"/>
  <mergeCells count="3">
    <mergeCell ref="A1:L2"/>
    <mergeCell ref="A3:L4"/>
    <mergeCell ref="A15:L18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3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50.7109375" customWidth="1"/>
    <col min="2" max="2" width="17.7109375" customWidth="1"/>
    <col min="3" max="3" width="78.7109375" customWidth="1"/>
    <col min="4" max="4" width="26.7109375" customWidth="1"/>
    <col min="5" max="5" width="31.7109375" customWidth="1"/>
    <col min="6" max="12" width="15.7109375" customWidth="1"/>
  </cols>
  <sheetData>
    <row r="1" spans="1:12" ht="25" customHeight="1">
      <c r="A1" s="1" t="s">
        <v>300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301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9" t="s">
        <v>4</v>
      </c>
    </row>
    <row r="6" spans="1:12" ht="42" customHeight="1">
      <c r="A6" s="11" t="s">
        <v>5</v>
      </c>
      <c r="B6" s="11" t="s">
        <v>302</v>
      </c>
      <c r="C6" s="11" t="s">
        <v>303</v>
      </c>
      <c r="D6" s="11" t="s">
        <v>304</v>
      </c>
      <c r="E6" s="11" t="s">
        <v>305</v>
      </c>
    </row>
    <row r="7" spans="1:12" ht="30" customHeight="1">
      <c r="A7" s="8" t="s">
        <v>18</v>
      </c>
      <c r="B7" s="12">
        <v>3</v>
      </c>
      <c r="C7" s="12">
        <v>1</v>
      </c>
      <c r="D7" s="12">
        <v>2</v>
      </c>
      <c r="E7" s="12">
        <v>2</v>
      </c>
    </row>
    <row r="8" spans="1:12" ht="30" customHeight="1">
      <c r="A8" s="8" t="s">
        <v>19</v>
      </c>
      <c r="B8" s="12">
        <v>1</v>
      </c>
      <c r="C8" s="12">
        <v>1</v>
      </c>
      <c r="D8" s="12">
        <v>0</v>
      </c>
      <c r="E8" s="12">
        <v>1</v>
      </c>
    </row>
    <row r="9" spans="1:12" ht="30" customHeight="1">
      <c r="A9" s="8" t="s">
        <v>20</v>
      </c>
      <c r="B9" s="12">
        <v>2</v>
      </c>
      <c r="C9" s="12">
        <v>0</v>
      </c>
      <c r="D9" s="12">
        <v>2</v>
      </c>
      <c r="E9" s="12">
        <v>2</v>
      </c>
    </row>
    <row r="10" spans="1:12" ht="30" customHeight="1">
      <c r="A10" s="8" t="s">
        <v>21</v>
      </c>
      <c r="B10" s="12">
        <v>6</v>
      </c>
      <c r="C10" s="12">
        <v>5</v>
      </c>
      <c r="D10" s="12">
        <v>1</v>
      </c>
      <c r="E10" s="12">
        <v>3</v>
      </c>
    </row>
    <row r="11" spans="1:12" ht="30" customHeight="1">
      <c r="A11" s="8" t="s">
        <v>22</v>
      </c>
      <c r="B11" s="12">
        <v>7</v>
      </c>
      <c r="C11" s="12">
        <v>6</v>
      </c>
      <c r="D11" s="12">
        <v>1</v>
      </c>
      <c r="E11" s="12">
        <v>3</v>
      </c>
    </row>
    <row r="12" spans="1:12" ht="30" customHeight="1">
      <c r="A12" s="8" t="s">
        <v>23</v>
      </c>
      <c r="B12" s="12">
        <v>4</v>
      </c>
      <c r="C12" s="12">
        <v>2</v>
      </c>
      <c r="D12" s="12">
        <v>2</v>
      </c>
      <c r="E12" s="12">
        <v>4</v>
      </c>
    </row>
    <row r="15" spans="1:12">
      <c r="A15" s="10" t="s">
        <v>306</v>
      </c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spans="1:12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spans="1:12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spans="1:12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21" spans="1:12" ht="42" customHeight="1">
      <c r="A21" s="11" t="s">
        <v>307</v>
      </c>
      <c r="B21" s="11" t="s">
        <v>302</v>
      </c>
      <c r="C21" s="11" t="s">
        <v>308</v>
      </c>
    </row>
    <row r="22" spans="1:12" ht="30" customHeight="1">
      <c r="A22" s="8" t="s">
        <v>309</v>
      </c>
      <c r="B22" s="12">
        <v>6</v>
      </c>
      <c r="C22" s="8" t="s">
        <v>310</v>
      </c>
    </row>
    <row r="23" spans="1:12" ht="30" customHeight="1">
      <c r="A23" s="8" t="s">
        <v>311</v>
      </c>
      <c r="B23" s="12">
        <v>9</v>
      </c>
      <c r="C23" s="8" t="s">
        <v>310</v>
      </c>
    </row>
    <row r="24" spans="1:12" ht="30" customHeight="1">
      <c r="A24" s="8" t="s">
        <v>312</v>
      </c>
      <c r="B24" s="12">
        <v>2</v>
      </c>
      <c r="C24" s="8" t="s">
        <v>310</v>
      </c>
    </row>
    <row r="25" spans="1:12" ht="30" customHeight="1">
      <c r="A25" s="8" t="s">
        <v>313</v>
      </c>
      <c r="B25" s="12">
        <v>1</v>
      </c>
      <c r="C25" s="8" t="s">
        <v>310</v>
      </c>
    </row>
    <row r="26" spans="1:12" ht="30" customHeight="1">
      <c r="A26" s="8" t="s">
        <v>314</v>
      </c>
      <c r="B26" s="12">
        <v>2</v>
      </c>
      <c r="C26" s="8" t="s">
        <v>310</v>
      </c>
    </row>
    <row r="27" spans="1:12" ht="30" customHeight="1">
      <c r="A27" s="8" t="s">
        <v>315</v>
      </c>
      <c r="B27" s="12">
        <v>3</v>
      </c>
      <c r="C27" s="8" t="s">
        <v>310</v>
      </c>
    </row>
    <row r="30" spans="1:12">
      <c r="A30" s="10" t="s">
        <v>316</v>
      </c>
      <c r="B30" s="10"/>
      <c r="C30" s="10"/>
      <c r="D30" s="10"/>
      <c r="E30" s="10"/>
      <c r="F30" s="10"/>
      <c r="G30" s="10"/>
      <c r="H30" s="10"/>
      <c r="I30" s="10"/>
      <c r="J30" s="10"/>
      <c r="K30" s="10"/>
      <c r="L30" s="10"/>
    </row>
    <row r="31" spans="1:12">
      <c r="A31" s="10"/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10"/>
    </row>
    <row r="32" spans="1:12">
      <c r="A32" s="10"/>
      <c r="B32" s="10"/>
      <c r="C32" s="10"/>
      <c r="D32" s="10"/>
      <c r="E32" s="10"/>
      <c r="F32" s="10"/>
      <c r="G32" s="10"/>
      <c r="H32" s="10"/>
      <c r="I32" s="10"/>
      <c r="J32" s="10"/>
      <c r="K32" s="10"/>
      <c r="L32" s="10"/>
    </row>
    <row r="33" spans="1:12">
      <c r="A33" s="10"/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</row>
  </sheetData>
  <autoFilter ref="A6:E12"/>
  <mergeCells count="4">
    <mergeCell ref="A1:L2"/>
    <mergeCell ref="A3:L4"/>
    <mergeCell ref="A15:L18"/>
    <mergeCell ref="A30:L33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2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47.7109375" customWidth="1"/>
    <col min="2" max="2" width="19.7109375" customWidth="1"/>
    <col min="3" max="3" width="80.7109375" customWidth="1"/>
    <col min="4" max="12" width="15.7109375" customWidth="1"/>
  </cols>
  <sheetData>
    <row r="1" spans="1:12" ht="25" customHeight="1">
      <c r="A1" s="1" t="s">
        <v>317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318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9" t="s">
        <v>4</v>
      </c>
    </row>
    <row r="6" spans="1:12" ht="42" customHeight="1">
      <c r="A6" s="11" t="s">
        <v>319</v>
      </c>
      <c r="B6" s="11" t="s">
        <v>320</v>
      </c>
      <c r="C6" s="11" t="s">
        <v>321</v>
      </c>
    </row>
    <row r="7" spans="1:12" ht="30" customHeight="1">
      <c r="A7" s="8" t="s">
        <v>322</v>
      </c>
      <c r="B7" s="12">
        <v>193</v>
      </c>
      <c r="C7" s="8" t="s">
        <v>323</v>
      </c>
    </row>
    <row r="8" spans="1:12" ht="30" customHeight="1">
      <c r="A8" s="8" t="s">
        <v>324</v>
      </c>
      <c r="B8" s="12">
        <v>239</v>
      </c>
      <c r="C8" s="8" t="s">
        <v>325</v>
      </c>
    </row>
    <row r="9" spans="1:12" ht="30" customHeight="1">
      <c r="A9" s="8" t="s">
        <v>326</v>
      </c>
      <c r="B9" s="12">
        <v>46</v>
      </c>
      <c r="C9" s="8" t="s">
        <v>327</v>
      </c>
    </row>
    <row r="10" spans="1:12" ht="30" customHeight="1">
      <c r="A10" s="8" t="s">
        <v>328</v>
      </c>
      <c r="B10" s="12">
        <v>32</v>
      </c>
      <c r="C10" s="8" t="s">
        <v>329</v>
      </c>
    </row>
    <row r="11" spans="1:12" ht="30" customHeight="1">
      <c r="A11" s="8" t="s">
        <v>330</v>
      </c>
      <c r="B11" s="12">
        <v>14</v>
      </c>
      <c r="C11" s="8" t="s">
        <v>329</v>
      </c>
    </row>
    <row r="12" spans="1:12" ht="30" customHeight="1">
      <c r="A12" s="8" t="s">
        <v>331</v>
      </c>
      <c r="B12" s="12">
        <v>200</v>
      </c>
      <c r="C12" s="8" t="s">
        <v>332</v>
      </c>
    </row>
    <row r="16" spans="1:12" ht="42" customHeight="1">
      <c r="A16" s="11" t="s">
        <v>333</v>
      </c>
      <c r="B16" s="11" t="s">
        <v>334</v>
      </c>
      <c r="C16" s="11" t="s">
        <v>335</v>
      </c>
    </row>
    <row r="17" spans="1:12" ht="30" customHeight="1">
      <c r="A17" s="8" t="s">
        <v>336</v>
      </c>
      <c r="B17" s="12">
        <v>41</v>
      </c>
      <c r="C17" s="8" t="s">
        <v>337</v>
      </c>
    </row>
    <row r="18" spans="1:12" ht="30" customHeight="1">
      <c r="A18" s="8" t="s">
        <v>338</v>
      </c>
      <c r="B18" s="12">
        <v>2</v>
      </c>
      <c r="C18" s="8" t="s">
        <v>339</v>
      </c>
    </row>
    <row r="19" spans="1:12" ht="30" customHeight="1">
      <c r="A19" s="8" t="s">
        <v>340</v>
      </c>
      <c r="B19" s="12">
        <v>1</v>
      </c>
      <c r="C19" s="8" t="s">
        <v>341</v>
      </c>
    </row>
    <row r="20" spans="1:12" ht="30" customHeight="1">
      <c r="A20" s="8" t="s">
        <v>342</v>
      </c>
      <c r="B20" s="12">
        <v>2</v>
      </c>
      <c r="C20" s="8" t="s">
        <v>343</v>
      </c>
    </row>
    <row r="23" spans="1:12">
      <c r="A23" s="10" t="s">
        <v>344</v>
      </c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</row>
    <row r="24" spans="1:12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</row>
    <row r="26" spans="1:12">
      <c r="A26" s="10"/>
      <c r="B26" s="10"/>
      <c r="C26" s="10"/>
      <c r="D26" s="10"/>
      <c r="E26" s="10"/>
      <c r="F26" s="10"/>
      <c r="G26" s="10"/>
      <c r="H26" s="10"/>
      <c r="I26" s="10"/>
      <c r="J26" s="10"/>
      <c r="K26" s="10"/>
      <c r="L26" s="10"/>
    </row>
  </sheetData>
  <autoFilter ref="A6:C12"/>
  <mergeCells count="3">
    <mergeCell ref="A1:L2"/>
    <mergeCell ref="A3:L4"/>
    <mergeCell ref="A23:L26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2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25.7109375" customWidth="1"/>
    <col min="2" max="2" width="30.7109375" customWidth="1"/>
    <col min="3" max="4" width="23.7109375" customWidth="1"/>
    <col min="5" max="5" width="64.7109375" customWidth="1"/>
    <col min="6" max="6" width="28.7109375" customWidth="1"/>
    <col min="7" max="12" width="15.7109375" customWidth="1"/>
  </cols>
  <sheetData>
    <row r="1" spans="1:12" ht="25" customHeight="1">
      <c r="A1" s="1" t="s">
        <v>345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346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9" t="s">
        <v>4</v>
      </c>
    </row>
    <row r="6" spans="1:12" ht="42" customHeight="1">
      <c r="A6" s="11" t="s">
        <v>347</v>
      </c>
      <c r="B6" s="11" t="s">
        <v>348</v>
      </c>
      <c r="C6" s="11" t="s">
        <v>349</v>
      </c>
      <c r="D6" s="11" t="s">
        <v>350</v>
      </c>
      <c r="E6" s="11" t="s">
        <v>351</v>
      </c>
      <c r="F6" s="11" t="s">
        <v>352</v>
      </c>
    </row>
    <row r="7" spans="1:12" ht="30" customHeight="1">
      <c r="A7" s="8" t="s">
        <v>353</v>
      </c>
      <c r="B7" s="12">
        <v>36</v>
      </c>
      <c r="C7" s="12">
        <v>34</v>
      </c>
      <c r="D7" s="12">
        <v>1</v>
      </c>
      <c r="E7" s="12">
        <v>1</v>
      </c>
      <c r="F7" s="13">
        <v>0.9444444444444444</v>
      </c>
    </row>
    <row r="8" spans="1:12" ht="30" customHeight="1">
      <c r="A8" s="8" t="s">
        <v>354</v>
      </c>
      <c r="B8" s="12">
        <v>4</v>
      </c>
      <c r="C8" s="12">
        <v>3</v>
      </c>
      <c r="D8" s="12">
        <v>0</v>
      </c>
      <c r="E8" s="12">
        <v>1</v>
      </c>
      <c r="F8" s="13">
        <v>0.75</v>
      </c>
    </row>
    <row r="9" spans="1:12" ht="30" customHeight="1">
      <c r="A9" s="8" t="s">
        <v>355</v>
      </c>
      <c r="B9" s="12">
        <v>7</v>
      </c>
      <c r="C9" s="12">
        <v>6</v>
      </c>
      <c r="D9" s="12">
        <v>0</v>
      </c>
      <c r="E9" s="12">
        <v>1</v>
      </c>
      <c r="F9" s="13">
        <v>0.8571428571428571</v>
      </c>
    </row>
    <row r="12" spans="1:12">
      <c r="A12" s="10" t="s">
        <v>356</v>
      </c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spans="1:12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spans="1:12">
      <c r="A14" s="10"/>
      <c r="B14" s="10"/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spans="1:12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8" spans="1:12" ht="42" customHeight="1">
      <c r="A18" s="11" t="s">
        <v>357</v>
      </c>
      <c r="B18" s="11" t="s">
        <v>358</v>
      </c>
      <c r="C18" s="11" t="s">
        <v>359</v>
      </c>
      <c r="D18" s="11" t="s">
        <v>360</v>
      </c>
      <c r="E18" s="11" t="s">
        <v>273</v>
      </c>
    </row>
    <row r="19" spans="1:12" ht="30" customHeight="1">
      <c r="A19" s="8" t="s">
        <v>361</v>
      </c>
      <c r="B19" s="8" t="s">
        <v>362</v>
      </c>
      <c r="C19" s="8" t="s">
        <v>363</v>
      </c>
      <c r="D19" s="8" t="s">
        <v>364</v>
      </c>
      <c r="E19" s="8" t="s">
        <v>365</v>
      </c>
    </row>
    <row r="20" spans="1:12" ht="30" customHeight="1">
      <c r="A20" s="8" t="s">
        <v>366</v>
      </c>
      <c r="B20" s="8" t="s">
        <v>367</v>
      </c>
      <c r="C20" s="8" t="s">
        <v>368</v>
      </c>
      <c r="D20" s="8" t="s">
        <v>369</v>
      </c>
      <c r="E20" s="8" t="s">
        <v>365</v>
      </c>
    </row>
    <row r="22" spans="1:12">
      <c r="A22" s="10" t="s">
        <v>370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</row>
    <row r="23" spans="1:12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</row>
    <row r="24" spans="1:12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</row>
  </sheetData>
  <autoFilter ref="A6:F9"/>
  <mergeCells count="4">
    <mergeCell ref="A1:L2"/>
    <mergeCell ref="A3:L4"/>
    <mergeCell ref="A12:L15"/>
    <mergeCell ref="A22:L25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I5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22.7109375" customWidth="1"/>
    <col min="2" max="2" width="18.7109375" customWidth="1"/>
    <col min="3" max="3" width="40.7109375" customWidth="1"/>
    <col min="4" max="4" width="25.7109375" customWidth="1"/>
    <col min="5" max="5" width="23.7109375" customWidth="1"/>
    <col min="6" max="6" width="44.7109375" customWidth="1"/>
    <col min="7" max="7" width="24.7109375" customWidth="1"/>
    <col min="8" max="9" width="15.7109375" customWidth="1"/>
  </cols>
  <sheetData>
    <row r="1" spans="1:9" ht="25" customHeight="1">
      <c r="A1" s="1" t="s">
        <v>371</v>
      </c>
      <c r="B1" s="1"/>
      <c r="C1" s="1"/>
      <c r="D1" s="1"/>
      <c r="E1" s="1"/>
      <c r="F1" s="1"/>
      <c r="G1" s="1"/>
      <c r="H1" s="1"/>
      <c r="I1" s="1"/>
    </row>
    <row r="2" spans="1:9" ht="18" customHeight="1">
      <c r="A2" s="1"/>
      <c r="B2" s="1"/>
      <c r="C2" s="1"/>
      <c r="D2" s="1"/>
      <c r="E2" s="1"/>
      <c r="F2" s="1"/>
      <c r="G2" s="1"/>
      <c r="H2" s="1"/>
      <c r="I2" s="1"/>
    </row>
    <row r="3" spans="1:9" ht="24" customHeight="1">
      <c r="A3" s="2" t="s">
        <v>372</v>
      </c>
      <c r="B3" s="2"/>
      <c r="C3" s="2"/>
      <c r="D3" s="2"/>
      <c r="E3" s="2"/>
      <c r="F3" s="2"/>
      <c r="G3" s="2"/>
      <c r="H3" s="2"/>
      <c r="I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9" t="s">
        <v>4</v>
      </c>
    </row>
    <row r="6" spans="1:9" ht="42" customHeight="1">
      <c r="A6" s="11" t="s">
        <v>347</v>
      </c>
      <c r="B6" s="11" t="s">
        <v>373</v>
      </c>
      <c r="C6" s="11" t="s">
        <v>374</v>
      </c>
      <c r="D6" s="11" t="s">
        <v>375</v>
      </c>
      <c r="E6" s="11" t="s">
        <v>376</v>
      </c>
      <c r="F6" s="11" t="s">
        <v>377</v>
      </c>
      <c r="G6" s="11" t="s">
        <v>137</v>
      </c>
    </row>
    <row r="7" spans="1:9" ht="30" customHeight="1">
      <c r="A7" s="8" t="s">
        <v>378</v>
      </c>
      <c r="B7" s="8" t="s">
        <v>379</v>
      </c>
      <c r="C7" s="8" t="s">
        <v>380</v>
      </c>
      <c r="D7" s="8" t="s">
        <v>381</v>
      </c>
      <c r="E7" s="8" t="s">
        <v>382</v>
      </c>
      <c r="F7" s="8"/>
      <c r="G7" s="8" t="s">
        <v>383</v>
      </c>
    </row>
    <row r="8" spans="1:9" ht="30" customHeight="1">
      <c r="A8" s="8" t="s">
        <v>378</v>
      </c>
      <c r="B8" s="8" t="s">
        <v>384</v>
      </c>
      <c r="C8" s="8" t="s">
        <v>156</v>
      </c>
      <c r="D8" s="8" t="s">
        <v>381</v>
      </c>
      <c r="E8" s="8" t="s">
        <v>382</v>
      </c>
      <c r="F8" s="8"/>
      <c r="G8" s="8" t="s">
        <v>385</v>
      </c>
    </row>
    <row r="9" spans="1:9" ht="30" customHeight="1">
      <c r="A9" s="8" t="s">
        <v>378</v>
      </c>
      <c r="B9" s="8" t="s">
        <v>386</v>
      </c>
      <c r="C9" s="8" t="s">
        <v>387</v>
      </c>
      <c r="D9" s="8" t="s">
        <v>381</v>
      </c>
      <c r="E9" s="8" t="s">
        <v>382</v>
      </c>
      <c r="F9" s="8"/>
      <c r="G9" s="8" t="s">
        <v>388</v>
      </c>
    </row>
    <row r="10" spans="1:9" ht="30" customHeight="1">
      <c r="A10" s="8" t="s">
        <v>378</v>
      </c>
      <c r="B10" s="8" t="s">
        <v>389</v>
      </c>
      <c r="C10" s="8" t="s">
        <v>250</v>
      </c>
      <c r="D10" s="8" t="s">
        <v>381</v>
      </c>
      <c r="E10" s="8" t="s">
        <v>382</v>
      </c>
      <c r="F10" s="8"/>
      <c r="G10" s="8" t="s">
        <v>390</v>
      </c>
    </row>
    <row r="11" spans="1:9" ht="30" customHeight="1">
      <c r="A11" s="8" t="s">
        <v>378</v>
      </c>
      <c r="B11" s="8" t="s">
        <v>391</v>
      </c>
      <c r="C11" s="8" t="s">
        <v>185</v>
      </c>
      <c r="D11" s="8" t="s">
        <v>392</v>
      </c>
      <c r="E11" s="8" t="s">
        <v>382</v>
      </c>
      <c r="F11" s="8"/>
      <c r="G11" s="8" t="s">
        <v>393</v>
      </c>
    </row>
    <row r="12" spans="1:9" ht="30" customHeight="1">
      <c r="A12" s="8" t="s">
        <v>378</v>
      </c>
      <c r="B12" s="8" t="s">
        <v>394</v>
      </c>
      <c r="C12" s="8" t="s">
        <v>395</v>
      </c>
      <c r="D12" s="8" t="s">
        <v>381</v>
      </c>
      <c r="E12" s="8" t="s">
        <v>382</v>
      </c>
      <c r="F12" s="8"/>
      <c r="G12" s="8" t="s">
        <v>396</v>
      </c>
    </row>
    <row r="13" spans="1:9" ht="30" customHeight="1">
      <c r="A13" s="8" t="s">
        <v>378</v>
      </c>
      <c r="B13" s="8" t="s">
        <v>397</v>
      </c>
      <c r="C13" s="8" t="s">
        <v>398</v>
      </c>
      <c r="D13" s="8" t="s">
        <v>381</v>
      </c>
      <c r="E13" s="8" t="s">
        <v>399</v>
      </c>
      <c r="F13" s="8"/>
      <c r="G13" s="8" t="s">
        <v>400</v>
      </c>
    </row>
    <row r="14" spans="1:9" ht="30" customHeight="1">
      <c r="A14" s="8" t="s">
        <v>378</v>
      </c>
      <c r="B14" s="8" t="s">
        <v>401</v>
      </c>
      <c r="C14" s="8" t="s">
        <v>402</v>
      </c>
      <c r="D14" s="8" t="s">
        <v>381</v>
      </c>
      <c r="E14" s="8" t="s">
        <v>403</v>
      </c>
      <c r="F14" s="8"/>
      <c r="G14" s="8" t="s">
        <v>404</v>
      </c>
    </row>
    <row r="15" spans="1:9" ht="30" customHeight="1">
      <c r="A15" s="8" t="s">
        <v>378</v>
      </c>
      <c r="B15" s="8" t="s">
        <v>405</v>
      </c>
      <c r="C15" s="8" t="s">
        <v>406</v>
      </c>
      <c r="D15" s="8" t="s">
        <v>381</v>
      </c>
      <c r="E15" s="8" t="s">
        <v>403</v>
      </c>
      <c r="F15" s="8"/>
      <c r="G15" s="8" t="s">
        <v>407</v>
      </c>
    </row>
    <row r="16" spans="1:9" ht="30" customHeight="1">
      <c r="A16" s="8" t="s">
        <v>378</v>
      </c>
      <c r="B16" s="8" t="s">
        <v>408</v>
      </c>
      <c r="C16" s="8" t="s">
        <v>409</v>
      </c>
      <c r="D16" s="8" t="s">
        <v>350</v>
      </c>
      <c r="E16" s="8" t="s">
        <v>399</v>
      </c>
      <c r="F16" s="8"/>
      <c r="G16" s="8" t="s">
        <v>410</v>
      </c>
    </row>
    <row r="17" spans="1:7" ht="30" customHeight="1">
      <c r="A17" s="8" t="s">
        <v>378</v>
      </c>
      <c r="B17" s="8" t="s">
        <v>411</v>
      </c>
      <c r="C17" s="8" t="s">
        <v>173</v>
      </c>
      <c r="D17" s="8" t="s">
        <v>381</v>
      </c>
      <c r="E17" s="8" t="s">
        <v>403</v>
      </c>
      <c r="F17" s="8"/>
      <c r="G17" s="8" t="s">
        <v>412</v>
      </c>
    </row>
    <row r="18" spans="1:7" ht="30" customHeight="1">
      <c r="A18" s="8" t="s">
        <v>378</v>
      </c>
      <c r="B18" s="8" t="s">
        <v>413</v>
      </c>
      <c r="C18" s="8" t="s">
        <v>257</v>
      </c>
      <c r="D18" s="8" t="s">
        <v>381</v>
      </c>
      <c r="E18" s="8" t="s">
        <v>403</v>
      </c>
      <c r="F18" s="8"/>
      <c r="G18" s="8" t="s">
        <v>414</v>
      </c>
    </row>
    <row r="19" spans="1:7" ht="30" customHeight="1">
      <c r="A19" s="8" t="s">
        <v>378</v>
      </c>
      <c r="B19" s="8" t="s">
        <v>415</v>
      </c>
      <c r="C19" s="8" t="s">
        <v>148</v>
      </c>
      <c r="D19" s="8" t="s">
        <v>381</v>
      </c>
      <c r="E19" s="8" t="s">
        <v>399</v>
      </c>
      <c r="F19" s="8"/>
      <c r="G19" s="8" t="s">
        <v>416</v>
      </c>
    </row>
    <row r="20" spans="1:7" ht="30" customHeight="1">
      <c r="A20" s="8" t="s">
        <v>378</v>
      </c>
      <c r="B20" s="8" t="s">
        <v>417</v>
      </c>
      <c r="C20" s="8" t="s">
        <v>418</v>
      </c>
      <c r="D20" s="8" t="s">
        <v>381</v>
      </c>
      <c r="E20" s="8" t="s">
        <v>419</v>
      </c>
      <c r="F20" s="8"/>
      <c r="G20" s="8" t="s">
        <v>420</v>
      </c>
    </row>
    <row r="21" spans="1:7" ht="30" customHeight="1">
      <c r="A21" s="8" t="s">
        <v>378</v>
      </c>
      <c r="B21" s="8" t="s">
        <v>421</v>
      </c>
      <c r="C21" s="8" t="s">
        <v>422</v>
      </c>
      <c r="D21" s="8" t="s">
        <v>381</v>
      </c>
      <c r="E21" s="8" t="s">
        <v>423</v>
      </c>
      <c r="F21" s="8"/>
      <c r="G21" s="8" t="s">
        <v>424</v>
      </c>
    </row>
    <row r="22" spans="1:7" ht="30" customHeight="1">
      <c r="A22" s="8" t="s">
        <v>378</v>
      </c>
      <c r="B22" s="8" t="s">
        <v>425</v>
      </c>
      <c r="C22" s="8" t="s">
        <v>426</v>
      </c>
      <c r="D22" s="8" t="s">
        <v>381</v>
      </c>
      <c r="E22" s="8" t="s">
        <v>427</v>
      </c>
      <c r="F22" s="8"/>
      <c r="G22" s="8" t="s">
        <v>428</v>
      </c>
    </row>
    <row r="23" spans="1:7" ht="30" customHeight="1">
      <c r="A23" s="8" t="s">
        <v>378</v>
      </c>
      <c r="B23" s="8" t="s">
        <v>429</v>
      </c>
      <c r="C23" s="8" t="s">
        <v>144</v>
      </c>
      <c r="D23" s="8" t="s">
        <v>381</v>
      </c>
      <c r="E23" s="8" t="s">
        <v>430</v>
      </c>
      <c r="F23" s="8"/>
      <c r="G23" s="8" t="s">
        <v>431</v>
      </c>
    </row>
    <row r="24" spans="1:7" ht="30" customHeight="1">
      <c r="A24" s="8" t="s">
        <v>378</v>
      </c>
      <c r="B24" s="8" t="s">
        <v>432</v>
      </c>
      <c r="C24" s="8" t="s">
        <v>205</v>
      </c>
      <c r="D24" s="8" t="s">
        <v>381</v>
      </c>
      <c r="E24" s="8" t="s">
        <v>399</v>
      </c>
      <c r="F24" s="8"/>
      <c r="G24" s="8" t="s">
        <v>433</v>
      </c>
    </row>
    <row r="25" spans="1:7" ht="30" customHeight="1">
      <c r="A25" s="8" t="s">
        <v>378</v>
      </c>
      <c r="B25" s="8" t="s">
        <v>434</v>
      </c>
      <c r="C25" s="8" t="s">
        <v>170</v>
      </c>
      <c r="D25" s="8" t="s">
        <v>381</v>
      </c>
      <c r="E25" s="8" t="s">
        <v>435</v>
      </c>
      <c r="F25" s="8"/>
      <c r="G25" s="8" t="s">
        <v>436</v>
      </c>
    </row>
    <row r="26" spans="1:7" ht="30" customHeight="1">
      <c r="A26" s="8" t="s">
        <v>378</v>
      </c>
      <c r="B26" s="8" t="s">
        <v>437</v>
      </c>
      <c r="C26" s="8" t="s">
        <v>438</v>
      </c>
      <c r="D26" s="8" t="s">
        <v>381</v>
      </c>
      <c r="E26" s="8" t="s">
        <v>427</v>
      </c>
      <c r="F26" s="8"/>
      <c r="G26" s="8" t="s">
        <v>439</v>
      </c>
    </row>
    <row r="27" spans="1:7" ht="30" customHeight="1">
      <c r="A27" s="8" t="s">
        <v>378</v>
      </c>
      <c r="B27" s="8" t="s">
        <v>440</v>
      </c>
      <c r="C27" s="8" t="s">
        <v>160</v>
      </c>
      <c r="D27" s="8" t="s">
        <v>381</v>
      </c>
      <c r="E27" s="8" t="s">
        <v>435</v>
      </c>
      <c r="F27" s="8"/>
      <c r="G27" s="8" t="s">
        <v>441</v>
      </c>
    </row>
    <row r="28" spans="1:7" ht="30" customHeight="1">
      <c r="A28" s="8" t="s">
        <v>378</v>
      </c>
      <c r="B28" s="8" t="s">
        <v>442</v>
      </c>
      <c r="C28" s="8" t="s">
        <v>443</v>
      </c>
      <c r="D28" s="8" t="s">
        <v>381</v>
      </c>
      <c r="E28" s="8" t="s">
        <v>435</v>
      </c>
      <c r="F28" s="8"/>
      <c r="G28" s="8" t="s">
        <v>444</v>
      </c>
    </row>
    <row r="29" spans="1:7" ht="30" customHeight="1">
      <c r="A29" s="8" t="s">
        <v>378</v>
      </c>
      <c r="B29" s="8" t="s">
        <v>445</v>
      </c>
      <c r="C29" s="8" t="s">
        <v>178</v>
      </c>
      <c r="D29" s="8" t="s">
        <v>381</v>
      </c>
      <c r="E29" s="8" t="s">
        <v>446</v>
      </c>
      <c r="F29" s="8"/>
      <c r="G29" s="8" t="s">
        <v>447</v>
      </c>
    </row>
    <row r="30" spans="1:7" ht="30" customHeight="1">
      <c r="A30" s="8" t="s">
        <v>378</v>
      </c>
      <c r="B30" s="8" t="s">
        <v>448</v>
      </c>
      <c r="C30" s="8" t="s">
        <v>154</v>
      </c>
      <c r="D30" s="8" t="s">
        <v>381</v>
      </c>
      <c r="E30" s="8" t="s">
        <v>449</v>
      </c>
      <c r="F30" s="8"/>
      <c r="G30" s="8" t="s">
        <v>450</v>
      </c>
    </row>
    <row r="31" spans="1:7" ht="30" customHeight="1">
      <c r="A31" s="8" t="s">
        <v>378</v>
      </c>
      <c r="B31" s="8" t="s">
        <v>451</v>
      </c>
      <c r="C31" s="8" t="s">
        <v>452</v>
      </c>
      <c r="D31" s="8" t="s">
        <v>381</v>
      </c>
      <c r="E31" s="8" t="s">
        <v>435</v>
      </c>
      <c r="F31" s="8"/>
      <c r="G31" s="8" t="s">
        <v>453</v>
      </c>
    </row>
    <row r="32" spans="1:7" ht="30" customHeight="1">
      <c r="A32" s="8" t="s">
        <v>378</v>
      </c>
      <c r="B32" s="8" t="s">
        <v>454</v>
      </c>
      <c r="C32" s="8" t="s">
        <v>455</v>
      </c>
      <c r="D32" s="8" t="s">
        <v>381</v>
      </c>
      <c r="E32" s="8" t="s">
        <v>435</v>
      </c>
      <c r="F32" s="8"/>
      <c r="G32" s="8" t="s">
        <v>456</v>
      </c>
    </row>
    <row r="33" spans="1:7" ht="30" customHeight="1">
      <c r="A33" s="8" t="s">
        <v>378</v>
      </c>
      <c r="B33" s="8" t="s">
        <v>457</v>
      </c>
      <c r="C33" s="8" t="s">
        <v>458</v>
      </c>
      <c r="D33" s="8" t="s">
        <v>381</v>
      </c>
      <c r="E33" s="8" t="s">
        <v>459</v>
      </c>
      <c r="F33" s="8"/>
      <c r="G33" s="8" t="s">
        <v>460</v>
      </c>
    </row>
    <row r="34" spans="1:7" ht="30" customHeight="1">
      <c r="A34" s="8" t="s">
        <v>378</v>
      </c>
      <c r="B34" s="8" t="s">
        <v>461</v>
      </c>
      <c r="C34" s="8" t="s">
        <v>462</v>
      </c>
      <c r="D34" s="8" t="s">
        <v>381</v>
      </c>
      <c r="E34" s="8" t="s">
        <v>463</v>
      </c>
      <c r="F34" s="8"/>
      <c r="G34" s="8" t="s">
        <v>464</v>
      </c>
    </row>
    <row r="35" spans="1:7" ht="30" customHeight="1">
      <c r="A35" s="8" t="s">
        <v>378</v>
      </c>
      <c r="B35" s="8" t="s">
        <v>465</v>
      </c>
      <c r="C35" s="8" t="s">
        <v>466</v>
      </c>
      <c r="D35" s="8" t="s">
        <v>381</v>
      </c>
      <c r="E35" s="8" t="s">
        <v>467</v>
      </c>
      <c r="F35" s="8"/>
      <c r="G35" s="8" t="s">
        <v>468</v>
      </c>
    </row>
    <row r="36" spans="1:7" ht="30" customHeight="1">
      <c r="A36" s="8" t="s">
        <v>378</v>
      </c>
      <c r="B36" s="8" t="s">
        <v>469</v>
      </c>
      <c r="C36" s="8" t="s">
        <v>470</v>
      </c>
      <c r="D36" s="8" t="s">
        <v>381</v>
      </c>
      <c r="E36" s="8" t="s">
        <v>467</v>
      </c>
      <c r="F36" s="8"/>
      <c r="G36" s="8" t="s">
        <v>471</v>
      </c>
    </row>
    <row r="37" spans="1:7" ht="30" customHeight="1">
      <c r="A37" s="8" t="s">
        <v>378</v>
      </c>
      <c r="B37" s="8" t="s">
        <v>472</v>
      </c>
      <c r="C37" s="8" t="s">
        <v>473</v>
      </c>
      <c r="D37" s="8" t="s">
        <v>381</v>
      </c>
      <c r="E37" s="8" t="s">
        <v>474</v>
      </c>
      <c r="F37" s="8"/>
      <c r="G37" s="8" t="s">
        <v>475</v>
      </c>
    </row>
    <row r="38" spans="1:7" ht="30" customHeight="1">
      <c r="A38" s="8" t="s">
        <v>378</v>
      </c>
      <c r="B38" s="8" t="s">
        <v>476</v>
      </c>
      <c r="C38" s="8" t="s">
        <v>477</v>
      </c>
      <c r="D38" s="8" t="s">
        <v>381</v>
      </c>
      <c r="E38" s="8" t="s">
        <v>478</v>
      </c>
      <c r="F38" s="8"/>
      <c r="G38" s="8" t="s">
        <v>479</v>
      </c>
    </row>
    <row r="39" spans="1:7" ht="30" customHeight="1">
      <c r="A39" s="8" t="s">
        <v>378</v>
      </c>
      <c r="B39" s="8" t="s">
        <v>480</v>
      </c>
      <c r="C39" s="8" t="s">
        <v>481</v>
      </c>
      <c r="D39" s="8" t="s">
        <v>381</v>
      </c>
      <c r="E39" s="8" t="s">
        <v>482</v>
      </c>
      <c r="F39" s="8"/>
      <c r="G39" s="8" t="s">
        <v>483</v>
      </c>
    </row>
    <row r="40" spans="1:7" ht="30" customHeight="1">
      <c r="A40" s="8" t="s">
        <v>378</v>
      </c>
      <c r="B40" s="8" t="s">
        <v>484</v>
      </c>
      <c r="C40" s="8" t="s">
        <v>485</v>
      </c>
      <c r="D40" s="8" t="s">
        <v>381</v>
      </c>
      <c r="E40" s="8" t="s">
        <v>486</v>
      </c>
      <c r="F40" s="8"/>
      <c r="G40" s="8" t="s">
        <v>487</v>
      </c>
    </row>
    <row r="41" spans="1:7" ht="30" customHeight="1">
      <c r="A41" s="8" t="s">
        <v>378</v>
      </c>
      <c r="B41" s="8" t="s">
        <v>488</v>
      </c>
      <c r="C41" s="8" t="s">
        <v>443</v>
      </c>
      <c r="D41" s="8" t="s">
        <v>381</v>
      </c>
      <c r="E41" s="8" t="s">
        <v>427</v>
      </c>
      <c r="F41" s="8"/>
      <c r="G41" s="8" t="s">
        <v>489</v>
      </c>
    </row>
    <row r="42" spans="1:7" ht="30" customHeight="1">
      <c r="A42" s="8" t="s">
        <v>378</v>
      </c>
      <c r="B42" s="8" t="s">
        <v>490</v>
      </c>
      <c r="C42" s="8" t="s">
        <v>491</v>
      </c>
      <c r="D42" s="8" t="s">
        <v>381</v>
      </c>
      <c r="E42" s="8" t="s">
        <v>492</v>
      </c>
      <c r="F42" s="8"/>
      <c r="G42" s="8" t="s">
        <v>493</v>
      </c>
    </row>
    <row r="43" spans="1:7" ht="30" customHeight="1">
      <c r="A43" s="8" t="s">
        <v>494</v>
      </c>
      <c r="B43" s="8" t="s">
        <v>495</v>
      </c>
      <c r="C43" s="8" t="s">
        <v>496</v>
      </c>
      <c r="D43" s="8" t="s">
        <v>381</v>
      </c>
      <c r="E43" s="8" t="s">
        <v>497</v>
      </c>
      <c r="F43" s="8"/>
      <c r="G43" s="8" t="s">
        <v>498</v>
      </c>
    </row>
    <row r="44" spans="1:7" ht="30" customHeight="1">
      <c r="A44" s="8" t="s">
        <v>494</v>
      </c>
      <c r="B44" s="8" t="s">
        <v>499</v>
      </c>
      <c r="C44" s="8" t="s">
        <v>500</v>
      </c>
      <c r="D44" s="8" t="s">
        <v>381</v>
      </c>
      <c r="E44" s="8" t="s">
        <v>501</v>
      </c>
      <c r="F44" s="8"/>
      <c r="G44" s="8" t="s">
        <v>502</v>
      </c>
    </row>
    <row r="45" spans="1:7" ht="30" customHeight="1">
      <c r="A45" s="8" t="s">
        <v>494</v>
      </c>
      <c r="B45" s="8" t="s">
        <v>503</v>
      </c>
      <c r="C45" s="8" t="s">
        <v>504</v>
      </c>
      <c r="D45" s="8" t="s">
        <v>392</v>
      </c>
      <c r="E45" s="8" t="s">
        <v>505</v>
      </c>
      <c r="F45" s="8"/>
      <c r="G45" s="8" t="s">
        <v>506</v>
      </c>
    </row>
    <row r="46" spans="1:7" ht="30" customHeight="1">
      <c r="A46" s="8" t="s">
        <v>494</v>
      </c>
      <c r="B46" s="8" t="s">
        <v>507</v>
      </c>
      <c r="C46" s="8" t="s">
        <v>86</v>
      </c>
      <c r="D46" s="8" t="s">
        <v>381</v>
      </c>
      <c r="E46" s="8" t="s">
        <v>501</v>
      </c>
      <c r="F46" s="8"/>
      <c r="G46" s="8" t="s">
        <v>508</v>
      </c>
    </row>
    <row r="47" spans="1:7" ht="30" customHeight="1">
      <c r="A47" s="8" t="s">
        <v>509</v>
      </c>
      <c r="B47" s="8" t="s">
        <v>510</v>
      </c>
      <c r="C47" s="8" t="s">
        <v>511</v>
      </c>
      <c r="D47" s="8" t="s">
        <v>381</v>
      </c>
      <c r="E47" s="8" t="s">
        <v>512</v>
      </c>
      <c r="F47" s="8"/>
      <c r="G47" s="8" t="s">
        <v>513</v>
      </c>
    </row>
    <row r="48" spans="1:7" ht="30" customHeight="1">
      <c r="A48" s="8" t="s">
        <v>509</v>
      </c>
      <c r="B48" s="8" t="s">
        <v>514</v>
      </c>
      <c r="C48" s="8" t="s">
        <v>511</v>
      </c>
      <c r="D48" s="8" t="s">
        <v>392</v>
      </c>
      <c r="E48" s="8" t="s">
        <v>512</v>
      </c>
      <c r="F48" s="8"/>
      <c r="G48" s="8" t="s">
        <v>515</v>
      </c>
    </row>
    <row r="49" spans="1:7" ht="30" customHeight="1">
      <c r="A49" s="8" t="s">
        <v>509</v>
      </c>
      <c r="B49" s="8" t="s">
        <v>516</v>
      </c>
      <c r="C49" s="8" t="s">
        <v>517</v>
      </c>
      <c r="D49" s="8" t="s">
        <v>381</v>
      </c>
      <c r="E49" s="8" t="s">
        <v>512</v>
      </c>
      <c r="F49" s="8"/>
      <c r="G49" s="8" t="s">
        <v>518</v>
      </c>
    </row>
    <row r="50" spans="1:7" ht="30" customHeight="1">
      <c r="A50" s="8" t="s">
        <v>509</v>
      </c>
      <c r="B50" s="8" t="s">
        <v>519</v>
      </c>
      <c r="C50" s="8" t="s">
        <v>511</v>
      </c>
      <c r="D50" s="8" t="s">
        <v>381</v>
      </c>
      <c r="E50" s="8" t="s">
        <v>512</v>
      </c>
      <c r="F50" s="8"/>
      <c r="G50" s="8" t="s">
        <v>520</v>
      </c>
    </row>
    <row r="51" spans="1:7" ht="30" customHeight="1">
      <c r="A51" s="8" t="s">
        <v>509</v>
      </c>
      <c r="B51" s="8" t="s">
        <v>521</v>
      </c>
      <c r="C51" s="8" t="s">
        <v>522</v>
      </c>
      <c r="D51" s="8" t="s">
        <v>381</v>
      </c>
      <c r="E51" s="8" t="s">
        <v>512</v>
      </c>
      <c r="F51" s="8"/>
      <c r="G51" s="8" t="s">
        <v>523</v>
      </c>
    </row>
    <row r="52" spans="1:7" ht="30" customHeight="1">
      <c r="A52" s="8" t="s">
        <v>509</v>
      </c>
      <c r="B52" s="8" t="s">
        <v>524</v>
      </c>
      <c r="C52" s="8" t="s">
        <v>522</v>
      </c>
      <c r="D52" s="8" t="s">
        <v>381</v>
      </c>
      <c r="E52" s="8" t="s">
        <v>512</v>
      </c>
      <c r="F52" s="8"/>
      <c r="G52" s="8" t="s">
        <v>525</v>
      </c>
    </row>
    <row r="53" spans="1:7" ht="30" customHeight="1">
      <c r="A53" s="8" t="s">
        <v>509</v>
      </c>
      <c r="B53" s="8" t="s">
        <v>526</v>
      </c>
      <c r="C53" s="8" t="s">
        <v>522</v>
      </c>
      <c r="D53" s="8" t="s">
        <v>381</v>
      </c>
      <c r="E53" s="8" t="s">
        <v>512</v>
      </c>
      <c r="F53" s="8"/>
      <c r="G53" s="8" t="s">
        <v>527</v>
      </c>
    </row>
  </sheetData>
  <autoFilter ref="A6:G53"/>
  <mergeCells count="2">
    <mergeCell ref="A1:I2"/>
    <mergeCell ref="A3:I4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3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37.7109375" customWidth="1"/>
    <col min="2" max="2" width="30.7109375" customWidth="1"/>
    <col min="3" max="5" width="18.7109375" customWidth="1"/>
    <col min="6" max="6" width="28.7109375" customWidth="1"/>
    <col min="7" max="12" width="15.7109375" customWidth="1"/>
  </cols>
  <sheetData>
    <row r="1" spans="1:12" ht="25" customHeight="1">
      <c r="A1" s="1" t="s">
        <v>528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529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9" t="s">
        <v>4</v>
      </c>
    </row>
    <row r="6" spans="1:12" ht="42" customHeight="1">
      <c r="A6" s="11" t="s">
        <v>319</v>
      </c>
      <c r="B6" s="11" t="s">
        <v>320</v>
      </c>
      <c r="C6" s="11" t="s">
        <v>530</v>
      </c>
    </row>
    <row r="7" spans="1:12" ht="30" customHeight="1">
      <c r="A7" s="8" t="s">
        <v>531</v>
      </c>
      <c r="B7" s="12">
        <v>44</v>
      </c>
      <c r="C7" s="8" t="s">
        <v>532</v>
      </c>
    </row>
    <row r="8" spans="1:12" ht="30" customHeight="1">
      <c r="A8" s="8" t="s">
        <v>533</v>
      </c>
      <c r="B8" s="12">
        <v>2</v>
      </c>
      <c r="C8" s="8" t="s">
        <v>534</v>
      </c>
    </row>
    <row r="9" spans="1:12" ht="30" customHeight="1">
      <c r="A9" s="8" t="s">
        <v>535</v>
      </c>
      <c r="B9" s="12">
        <v>42</v>
      </c>
      <c r="C9" s="8" t="s">
        <v>536</v>
      </c>
    </row>
    <row r="10" spans="1:12" ht="30" customHeight="1">
      <c r="A10" s="8" t="s">
        <v>537</v>
      </c>
      <c r="B10" s="12">
        <v>6</v>
      </c>
      <c r="C10" s="8" t="s">
        <v>538</v>
      </c>
    </row>
    <row r="11" spans="1:12" ht="30" customHeight="1">
      <c r="A11" s="8" t="s">
        <v>539</v>
      </c>
      <c r="B11" s="12">
        <v>0</v>
      </c>
      <c r="C11" s="8" t="s">
        <v>540</v>
      </c>
    </row>
    <row r="15" spans="1:12" ht="42" customHeight="1">
      <c r="A15" s="11" t="s">
        <v>541</v>
      </c>
      <c r="B15" s="11" t="s">
        <v>542</v>
      </c>
      <c r="C15" s="11" t="s">
        <v>543</v>
      </c>
      <c r="D15" s="11" t="s">
        <v>544</v>
      </c>
      <c r="E15" s="11" t="s">
        <v>545</v>
      </c>
      <c r="F15" s="11" t="s">
        <v>137</v>
      </c>
    </row>
    <row r="16" spans="1:12" ht="30" customHeight="1">
      <c r="A16" s="8" t="s">
        <v>546</v>
      </c>
      <c r="B16" s="8" t="s">
        <v>547</v>
      </c>
      <c r="C16" s="12">
        <v>15</v>
      </c>
      <c r="D16" s="12">
        <v>20</v>
      </c>
      <c r="E16" s="12">
        <v>5</v>
      </c>
      <c r="F16" s="8" t="s">
        <v>548</v>
      </c>
    </row>
    <row r="17" spans="1:12" ht="30" customHeight="1">
      <c r="A17" s="8" t="s">
        <v>549</v>
      </c>
      <c r="B17" s="8" t="s">
        <v>547</v>
      </c>
      <c r="C17" s="12">
        <v>14</v>
      </c>
      <c r="D17" s="12">
        <v>20</v>
      </c>
      <c r="E17" s="12">
        <v>6</v>
      </c>
      <c r="F17" s="8" t="s">
        <v>550</v>
      </c>
    </row>
    <row r="20" spans="1:12">
      <c r="A20" s="10" t="s">
        <v>551</v>
      </c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</row>
    <row r="21" spans="1:12">
      <c r="A21" s="10"/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</row>
    <row r="22" spans="1:12">
      <c r="A22" s="10"/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</row>
    <row r="23" spans="1:12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</row>
    <row r="26" spans="1:12" ht="42" customHeight="1">
      <c r="A26" s="11" t="s">
        <v>542</v>
      </c>
      <c r="B26" s="11" t="s">
        <v>552</v>
      </c>
    </row>
    <row r="27" spans="1:12" ht="30" customHeight="1">
      <c r="A27" s="8" t="s">
        <v>547</v>
      </c>
      <c r="B27" s="12">
        <v>18</v>
      </c>
    </row>
    <row r="28" spans="1:12" ht="30" customHeight="1">
      <c r="A28" s="8" t="s">
        <v>553</v>
      </c>
      <c r="B28" s="12">
        <v>19</v>
      </c>
    </row>
    <row r="29" spans="1:12" ht="30" customHeight="1">
      <c r="A29" s="8" t="s">
        <v>554</v>
      </c>
      <c r="B29" s="12">
        <v>6</v>
      </c>
    </row>
    <row r="30" spans="1:12" ht="30" customHeight="1">
      <c r="A30" s="8" t="s">
        <v>555</v>
      </c>
      <c r="B30" s="12">
        <v>1</v>
      </c>
    </row>
  </sheetData>
  <autoFilter ref="A6:C11"/>
  <mergeCells count="3">
    <mergeCell ref="A1:L2"/>
    <mergeCell ref="A3:L4"/>
    <mergeCell ref="A20:L23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J60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23.7109375" customWidth="1"/>
    <col min="2" max="3" width="32.7109375" customWidth="1"/>
    <col min="4" max="5" width="39.7109375" customWidth="1"/>
    <col min="6" max="10" width="15.7109375" customWidth="1"/>
  </cols>
  <sheetData>
    <row r="1" spans="1:10" ht="25" customHeight="1">
      <c r="A1" s="1" t="s">
        <v>556</v>
      </c>
      <c r="B1" s="1"/>
      <c r="C1" s="1"/>
      <c r="D1" s="1"/>
      <c r="E1" s="1"/>
      <c r="F1" s="1"/>
      <c r="G1" s="1"/>
      <c r="H1" s="1"/>
      <c r="I1" s="1"/>
      <c r="J1" s="1"/>
    </row>
    <row r="2" spans="1:10" ht="18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4" customHeight="1">
      <c r="A3" s="2" t="s">
        <v>557</v>
      </c>
      <c r="B3" s="2"/>
      <c r="C3" s="2"/>
      <c r="D3" s="2"/>
      <c r="E3" s="2"/>
      <c r="F3" s="2"/>
      <c r="G3" s="2"/>
      <c r="H3" s="2"/>
      <c r="I3" s="2"/>
      <c r="J3" s="2"/>
    </row>
    <row r="4" spans="1:10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>
      <c r="A5" s="9" t="s">
        <v>4</v>
      </c>
    </row>
    <row r="6" spans="1:10" ht="42" customHeight="1">
      <c r="A6" s="11" t="s">
        <v>558</v>
      </c>
      <c r="B6" s="11" t="s">
        <v>542</v>
      </c>
      <c r="C6" s="11" t="s">
        <v>559</v>
      </c>
      <c r="D6" s="11" t="s">
        <v>560</v>
      </c>
    </row>
    <row r="7" spans="1:10" ht="30" customHeight="1">
      <c r="A7" s="8" t="s">
        <v>22</v>
      </c>
      <c r="B7" s="8" t="s">
        <v>547</v>
      </c>
      <c r="C7" s="12">
        <v>258</v>
      </c>
      <c r="D7" s="8" t="s">
        <v>561</v>
      </c>
    </row>
    <row r="8" spans="1:10" ht="30" customHeight="1">
      <c r="A8" s="8" t="s">
        <v>22</v>
      </c>
      <c r="B8" s="8" t="s">
        <v>553</v>
      </c>
      <c r="C8" s="12">
        <v>15</v>
      </c>
      <c r="D8" s="8" t="s">
        <v>561</v>
      </c>
    </row>
    <row r="12" spans="1:10" ht="42" customHeight="1">
      <c r="A12" s="11" t="s">
        <v>562</v>
      </c>
      <c r="B12" s="11" t="s">
        <v>542</v>
      </c>
      <c r="C12" s="11" t="s">
        <v>559</v>
      </c>
      <c r="D12" s="11" t="s">
        <v>5</v>
      </c>
      <c r="E12" s="11" t="s">
        <v>137</v>
      </c>
    </row>
    <row r="13" spans="1:10" ht="30" customHeight="1">
      <c r="A13" s="8" t="s">
        <v>563</v>
      </c>
      <c r="B13" s="8" t="s">
        <v>547</v>
      </c>
      <c r="C13" s="12">
        <v>32</v>
      </c>
      <c r="D13" s="8" t="s">
        <v>22</v>
      </c>
      <c r="E13" s="8" t="s">
        <v>564</v>
      </c>
    </row>
    <row r="14" spans="1:10" ht="30" customHeight="1">
      <c r="A14" s="8" t="s">
        <v>565</v>
      </c>
      <c r="B14" s="8" t="s">
        <v>547</v>
      </c>
      <c r="C14" s="12">
        <v>17</v>
      </c>
      <c r="D14" s="8" t="s">
        <v>22</v>
      </c>
      <c r="E14" s="8" t="s">
        <v>566</v>
      </c>
    </row>
    <row r="15" spans="1:10" ht="30" customHeight="1">
      <c r="A15" s="8" t="s">
        <v>567</v>
      </c>
      <c r="B15" s="8" t="s">
        <v>547</v>
      </c>
      <c r="C15" s="12">
        <v>11</v>
      </c>
      <c r="D15" s="8" t="s">
        <v>22</v>
      </c>
      <c r="E15" s="8" t="s">
        <v>568</v>
      </c>
    </row>
    <row r="16" spans="1:10" ht="30" customHeight="1">
      <c r="A16" s="8" t="s">
        <v>569</v>
      </c>
      <c r="B16" s="8" t="s">
        <v>547</v>
      </c>
      <c r="C16" s="12">
        <v>20</v>
      </c>
      <c r="D16" s="8" t="s">
        <v>22</v>
      </c>
      <c r="E16" s="8" t="s">
        <v>570</v>
      </c>
    </row>
    <row r="17" spans="1:5" ht="30" customHeight="1">
      <c r="A17" s="8" t="s">
        <v>571</v>
      </c>
      <c r="B17" s="8" t="s">
        <v>547</v>
      </c>
      <c r="C17" s="12">
        <v>21</v>
      </c>
      <c r="D17" s="8" t="s">
        <v>22</v>
      </c>
      <c r="E17" s="8" t="s">
        <v>572</v>
      </c>
    </row>
    <row r="18" spans="1:5" ht="30" customHeight="1">
      <c r="A18" s="8" t="s">
        <v>573</v>
      </c>
      <c r="B18" s="8" t="s">
        <v>547</v>
      </c>
      <c r="C18" s="12">
        <v>10</v>
      </c>
      <c r="D18" s="8" t="s">
        <v>22</v>
      </c>
      <c r="E18" s="8" t="s">
        <v>574</v>
      </c>
    </row>
    <row r="19" spans="1:5" ht="30" customHeight="1">
      <c r="A19" s="8" t="s">
        <v>575</v>
      </c>
      <c r="B19" s="8" t="s">
        <v>547</v>
      </c>
      <c r="C19" s="12">
        <v>14</v>
      </c>
      <c r="D19" s="8" t="s">
        <v>22</v>
      </c>
      <c r="E19" s="8" t="s">
        <v>576</v>
      </c>
    </row>
    <row r="20" spans="1:5" ht="30" customHeight="1">
      <c r="A20" s="8" t="s">
        <v>577</v>
      </c>
      <c r="B20" s="8" t="s">
        <v>547</v>
      </c>
      <c r="C20" s="12">
        <v>60</v>
      </c>
      <c r="D20" s="8" t="s">
        <v>22</v>
      </c>
      <c r="E20" s="8" t="s">
        <v>578</v>
      </c>
    </row>
    <row r="21" spans="1:5" ht="30" customHeight="1">
      <c r="A21" s="8" t="s">
        <v>579</v>
      </c>
      <c r="B21" s="8" t="s">
        <v>547</v>
      </c>
      <c r="C21" s="12">
        <v>11</v>
      </c>
      <c r="D21" s="8" t="s">
        <v>22</v>
      </c>
      <c r="E21" s="8" t="s">
        <v>580</v>
      </c>
    </row>
    <row r="22" spans="1:5" ht="30" customHeight="1">
      <c r="A22" s="8" t="s">
        <v>581</v>
      </c>
      <c r="B22" s="8" t="s">
        <v>547</v>
      </c>
      <c r="C22" s="12">
        <v>10</v>
      </c>
      <c r="D22" s="8" t="s">
        <v>22</v>
      </c>
      <c r="E22" s="8" t="s">
        <v>582</v>
      </c>
    </row>
    <row r="23" spans="1:5" ht="30" customHeight="1">
      <c r="A23" s="8" t="s">
        <v>583</v>
      </c>
      <c r="B23" s="8" t="s">
        <v>547</v>
      </c>
      <c r="C23" s="12">
        <v>2</v>
      </c>
      <c r="D23" s="8" t="s">
        <v>22</v>
      </c>
      <c r="E23" s="8" t="s">
        <v>584</v>
      </c>
    </row>
    <row r="24" spans="1:5" ht="30" customHeight="1">
      <c r="A24" s="8" t="s">
        <v>585</v>
      </c>
      <c r="B24" s="8" t="s">
        <v>547</v>
      </c>
      <c r="C24" s="12">
        <v>14</v>
      </c>
      <c r="D24" s="8" t="s">
        <v>22</v>
      </c>
      <c r="E24" s="8" t="s">
        <v>586</v>
      </c>
    </row>
    <row r="25" spans="1:5" ht="30" customHeight="1">
      <c r="A25" s="8" t="s">
        <v>587</v>
      </c>
      <c r="B25" s="8" t="s">
        <v>547</v>
      </c>
      <c r="C25" s="12">
        <v>3</v>
      </c>
      <c r="D25" s="8" t="s">
        <v>22</v>
      </c>
      <c r="E25" s="8" t="s">
        <v>588</v>
      </c>
    </row>
    <row r="26" spans="1:5" ht="30" customHeight="1">
      <c r="A26" s="8" t="s">
        <v>589</v>
      </c>
      <c r="B26" s="8" t="s">
        <v>547</v>
      </c>
      <c r="C26" s="12">
        <v>15</v>
      </c>
      <c r="D26" s="8" t="s">
        <v>22</v>
      </c>
      <c r="E26" s="8" t="s">
        <v>590</v>
      </c>
    </row>
    <row r="27" spans="1:5" ht="30" customHeight="1">
      <c r="A27" s="8" t="s">
        <v>591</v>
      </c>
      <c r="B27" s="8" t="s">
        <v>547</v>
      </c>
      <c r="C27" s="12">
        <v>1</v>
      </c>
      <c r="D27" s="8" t="s">
        <v>22</v>
      </c>
      <c r="E27" s="8" t="s">
        <v>592</v>
      </c>
    </row>
    <row r="28" spans="1:5" ht="30" customHeight="1">
      <c r="A28" s="8" t="s">
        <v>593</v>
      </c>
      <c r="B28" s="8" t="s">
        <v>547</v>
      </c>
      <c r="C28" s="12">
        <v>3</v>
      </c>
      <c r="D28" s="8" t="s">
        <v>22</v>
      </c>
      <c r="E28" s="8" t="s">
        <v>594</v>
      </c>
    </row>
    <row r="29" spans="1:5" ht="30" customHeight="1">
      <c r="A29" s="8" t="s">
        <v>595</v>
      </c>
      <c r="B29" s="8" t="s">
        <v>547</v>
      </c>
      <c r="C29" s="12">
        <v>2</v>
      </c>
      <c r="D29" s="8" t="s">
        <v>22</v>
      </c>
      <c r="E29" s="8" t="s">
        <v>596</v>
      </c>
    </row>
    <row r="30" spans="1:5" ht="30" customHeight="1">
      <c r="A30" s="8" t="s">
        <v>597</v>
      </c>
      <c r="B30" s="8" t="s">
        <v>547</v>
      </c>
      <c r="C30" s="12">
        <v>5</v>
      </c>
      <c r="D30" s="8" t="s">
        <v>22</v>
      </c>
      <c r="E30" s="8" t="s">
        <v>598</v>
      </c>
    </row>
    <row r="31" spans="1:5" ht="30" customHeight="1">
      <c r="A31" s="8" t="s">
        <v>599</v>
      </c>
      <c r="B31" s="8" t="s">
        <v>547</v>
      </c>
      <c r="C31" s="12">
        <v>1</v>
      </c>
      <c r="D31" s="8" t="s">
        <v>22</v>
      </c>
      <c r="E31" s="8" t="s">
        <v>600</v>
      </c>
    </row>
    <row r="32" spans="1:5" ht="30" customHeight="1">
      <c r="A32" s="8" t="s">
        <v>601</v>
      </c>
      <c r="B32" s="8" t="s">
        <v>547</v>
      </c>
      <c r="C32" s="12">
        <v>2</v>
      </c>
      <c r="D32" s="8" t="s">
        <v>22</v>
      </c>
      <c r="E32" s="8" t="s">
        <v>602</v>
      </c>
    </row>
    <row r="33" spans="1:10" ht="30" customHeight="1">
      <c r="A33" s="8" t="s">
        <v>603</v>
      </c>
      <c r="B33" s="8" t="s">
        <v>547</v>
      </c>
      <c r="C33" s="12">
        <v>2</v>
      </c>
      <c r="D33" s="8" t="s">
        <v>22</v>
      </c>
      <c r="E33" s="8" t="s">
        <v>604</v>
      </c>
    </row>
    <row r="34" spans="1:10" ht="30" customHeight="1">
      <c r="A34" s="8" t="s">
        <v>605</v>
      </c>
      <c r="B34" s="8" t="s">
        <v>547</v>
      </c>
      <c r="C34" s="12">
        <v>2</v>
      </c>
      <c r="D34" s="8" t="s">
        <v>22</v>
      </c>
      <c r="E34" s="8" t="s">
        <v>606</v>
      </c>
    </row>
    <row r="35" spans="1:10" ht="30" customHeight="1">
      <c r="A35" s="8" t="s">
        <v>607</v>
      </c>
      <c r="B35" s="8" t="s">
        <v>608</v>
      </c>
      <c r="C35" s="12">
        <v>2</v>
      </c>
      <c r="D35" s="8" t="s">
        <v>22</v>
      </c>
      <c r="E35" s="8" t="s">
        <v>609</v>
      </c>
    </row>
    <row r="36" spans="1:10" ht="30" customHeight="1">
      <c r="A36" s="8" t="s">
        <v>603</v>
      </c>
      <c r="B36" s="8" t="s">
        <v>608</v>
      </c>
      <c r="C36" s="12">
        <v>7</v>
      </c>
      <c r="D36" s="8" t="s">
        <v>22</v>
      </c>
      <c r="E36" s="8" t="s">
        <v>610</v>
      </c>
    </row>
    <row r="37" spans="1:10" ht="30" customHeight="1">
      <c r="A37" s="8" t="s">
        <v>611</v>
      </c>
      <c r="B37" s="8" t="s">
        <v>608</v>
      </c>
      <c r="C37" s="12">
        <v>6</v>
      </c>
      <c r="D37" s="8" t="s">
        <v>22</v>
      </c>
      <c r="E37" s="8" t="s">
        <v>612</v>
      </c>
    </row>
    <row r="40" spans="1:10">
      <c r="A40" s="10" t="s">
        <v>613</v>
      </c>
      <c r="B40" s="10"/>
      <c r="C40" s="10"/>
      <c r="D40" s="10"/>
      <c r="E40" s="10"/>
      <c r="F40" s="10"/>
      <c r="G40" s="10"/>
      <c r="H40" s="10"/>
      <c r="I40" s="10"/>
      <c r="J40" s="10"/>
    </row>
    <row r="41" spans="1:10">
      <c r="A41" s="10"/>
      <c r="B41" s="10"/>
      <c r="C41" s="10"/>
      <c r="D41" s="10"/>
      <c r="E41" s="10"/>
      <c r="F41" s="10"/>
      <c r="G41" s="10"/>
      <c r="H41" s="10"/>
      <c r="I41" s="10"/>
      <c r="J41" s="10"/>
    </row>
    <row r="42" spans="1:10">
      <c r="A42" s="10"/>
      <c r="B42" s="10"/>
      <c r="C42" s="10"/>
      <c r="D42" s="10"/>
      <c r="E42" s="10"/>
      <c r="F42" s="10"/>
      <c r="G42" s="10"/>
      <c r="H42" s="10"/>
      <c r="I42" s="10"/>
      <c r="J42" s="10"/>
    </row>
    <row r="43" spans="1:10">
      <c r="A43" s="10"/>
      <c r="B43" s="10"/>
      <c r="C43" s="10"/>
      <c r="D43" s="10"/>
      <c r="E43" s="10"/>
      <c r="F43" s="10"/>
      <c r="G43" s="10"/>
      <c r="H43" s="10"/>
      <c r="I43" s="10"/>
      <c r="J43" s="10"/>
    </row>
    <row r="48" spans="1:10" ht="42" customHeight="1">
      <c r="A48" s="11" t="s">
        <v>674</v>
      </c>
      <c r="B48" s="11" t="s">
        <v>675</v>
      </c>
      <c r="C48" s="11" t="s">
        <v>676</v>
      </c>
      <c r="D48" s="11" t="s">
        <v>677</v>
      </c>
      <c r="E48" s="11" t="s">
        <v>678</v>
      </c>
    </row>
    <row r="49" spans="1:10" ht="30" customHeight="1">
      <c r="A49" s="8" t="s">
        <v>18</v>
      </c>
      <c r="B49" s="8" t="s">
        <v>679</v>
      </c>
      <c r="C49" s="8" t="s">
        <v>679</v>
      </c>
      <c r="D49" s="12">
        <v>0</v>
      </c>
      <c r="E49" s="12">
        <v>0</v>
      </c>
    </row>
    <row r="50" spans="1:10" ht="30" customHeight="1">
      <c r="A50" s="8" t="s">
        <v>19</v>
      </c>
      <c r="B50" s="12">
        <v>126</v>
      </c>
      <c r="C50" s="12">
        <v>9</v>
      </c>
      <c r="D50" s="12">
        <v>78</v>
      </c>
      <c r="E50" s="12">
        <v>4</v>
      </c>
    </row>
    <row r="51" spans="1:10" ht="30" customHeight="1">
      <c r="A51" s="8" t="s">
        <v>20</v>
      </c>
      <c r="B51" s="12">
        <v>194</v>
      </c>
      <c r="C51" s="12">
        <v>7</v>
      </c>
      <c r="D51" s="12">
        <v>128</v>
      </c>
      <c r="E51" s="12">
        <v>4</v>
      </c>
    </row>
    <row r="52" spans="1:10" ht="30" customHeight="1">
      <c r="A52" s="8" t="s">
        <v>21</v>
      </c>
      <c r="B52" s="12">
        <v>185</v>
      </c>
      <c r="C52" s="12">
        <v>6</v>
      </c>
      <c r="D52" s="12">
        <v>119</v>
      </c>
      <c r="E52" s="12">
        <v>5</v>
      </c>
    </row>
    <row r="53" spans="1:10" ht="30" customHeight="1">
      <c r="A53" s="8" t="s">
        <v>22</v>
      </c>
      <c r="B53" s="12">
        <v>207</v>
      </c>
      <c r="C53" s="12">
        <v>18</v>
      </c>
      <c r="D53" s="12">
        <v>123</v>
      </c>
      <c r="E53" s="12">
        <v>9</v>
      </c>
    </row>
    <row r="54" spans="1:10" ht="30" customHeight="1">
      <c r="A54" s="8" t="s">
        <v>23</v>
      </c>
      <c r="B54" s="12">
        <v>240</v>
      </c>
      <c r="C54" s="12">
        <v>19</v>
      </c>
      <c r="D54" s="12">
        <v>136</v>
      </c>
      <c r="E54" s="12">
        <v>10</v>
      </c>
    </row>
    <row r="57" spans="1:10">
      <c r="A57" s="10" t="s">
        <v>680</v>
      </c>
      <c r="B57" s="10"/>
      <c r="C57" s="10"/>
      <c r="D57" s="10"/>
      <c r="E57" s="10"/>
      <c r="F57" s="10"/>
      <c r="G57" s="10"/>
      <c r="H57" s="10"/>
      <c r="I57" s="10"/>
      <c r="J57" s="10"/>
    </row>
    <row r="58" spans="1:10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>
      <c r="A59" s="10"/>
      <c r="B59" s="10"/>
      <c r="C59" s="10"/>
      <c r="D59" s="10"/>
      <c r="E59" s="10"/>
      <c r="F59" s="10"/>
      <c r="G59" s="10"/>
      <c r="H59" s="10"/>
      <c r="I59" s="10"/>
      <c r="J59" s="10"/>
    </row>
    <row r="60" spans="1:10">
      <c r="A60" s="10"/>
      <c r="B60" s="10"/>
      <c r="C60" s="10"/>
      <c r="D60" s="10"/>
      <c r="E60" s="10"/>
      <c r="F60" s="10"/>
      <c r="G60" s="10"/>
      <c r="H60" s="10"/>
      <c r="I60" s="10"/>
      <c r="J60" s="10"/>
    </row>
  </sheetData>
  <autoFilter ref="A6:D8"/>
  <mergeCells count="4">
    <mergeCell ref="A1:J2"/>
    <mergeCell ref="A3:J4"/>
    <mergeCell ref="A40:J43"/>
    <mergeCell ref="A57:J60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22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18.7109375" customWidth="1"/>
    <col min="2" max="3" width="24.7109375" customWidth="1"/>
    <col min="4" max="5" width="26.7109375" customWidth="1"/>
    <col min="6" max="6" width="60.7109375" customWidth="1"/>
    <col min="7" max="12" width="15.7109375" customWidth="1"/>
  </cols>
  <sheetData>
    <row r="1" spans="1:12" ht="25" customHeight="1">
      <c r="A1" s="1" t="s">
        <v>614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615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9" t="s">
        <v>4</v>
      </c>
    </row>
    <row r="6" spans="1:12" ht="42" customHeight="1">
      <c r="A6" s="11" t="s">
        <v>616</v>
      </c>
      <c r="B6" s="11" t="s">
        <v>617</v>
      </c>
      <c r="C6" s="11" t="s">
        <v>618</v>
      </c>
      <c r="D6" s="11" t="s">
        <v>619</v>
      </c>
      <c r="E6" s="11" t="s">
        <v>620</v>
      </c>
      <c r="F6" s="11" t="s">
        <v>621</v>
      </c>
    </row>
    <row r="7" spans="1:12" ht="30" customHeight="1">
      <c r="A7" s="8" t="s">
        <v>622</v>
      </c>
      <c r="B7" s="8" t="s">
        <v>623</v>
      </c>
      <c r="C7" s="8" t="s">
        <v>624</v>
      </c>
      <c r="D7" s="12">
        <v>20</v>
      </c>
      <c r="E7" s="8" t="s">
        <v>367</v>
      </c>
      <c r="F7" s="8" t="s">
        <v>625</v>
      </c>
    </row>
    <row r="10" spans="1:12">
      <c r="A10" s="10" t="s">
        <v>626</v>
      </c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spans="1:12">
      <c r="A11" s="10"/>
      <c r="B11" s="10"/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spans="1:12">
      <c r="A12" s="10"/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spans="1:12">
      <c r="A13" s="10"/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6" spans="1:12" ht="42" customHeight="1">
      <c r="A16" s="11" t="s">
        <v>5</v>
      </c>
      <c r="B16" s="11" t="s">
        <v>627</v>
      </c>
      <c r="C16" s="11" t="s">
        <v>628</v>
      </c>
      <c r="D16" s="11" t="s">
        <v>629</v>
      </c>
      <c r="E16" s="11" t="s">
        <v>630</v>
      </c>
      <c r="F16" s="11" t="s">
        <v>631</v>
      </c>
    </row>
    <row r="17" spans="1:6" ht="30" customHeight="1">
      <c r="A17" s="8" t="s">
        <v>18</v>
      </c>
      <c r="B17" s="14"/>
      <c r="C17" s="14"/>
      <c r="D17" s="14"/>
      <c r="E17" s="14"/>
      <c r="F17" s="8" t="s">
        <v>632</v>
      </c>
    </row>
    <row r="18" spans="1:6" ht="30" customHeight="1">
      <c r="A18" s="8" t="s">
        <v>19</v>
      </c>
      <c r="B18" s="14"/>
      <c r="C18" s="14"/>
      <c r="D18" s="14"/>
      <c r="E18" s="14"/>
      <c r="F18" s="8" t="s">
        <v>632</v>
      </c>
    </row>
    <row r="19" spans="1:6" ht="30" customHeight="1">
      <c r="A19" s="8" t="s">
        <v>20</v>
      </c>
      <c r="B19" s="14"/>
      <c r="C19" s="14"/>
      <c r="D19" s="14"/>
      <c r="E19" s="14"/>
      <c r="F19" s="8" t="s">
        <v>632</v>
      </c>
    </row>
    <row r="20" spans="1:6" ht="30" customHeight="1">
      <c r="A20" s="8" t="s">
        <v>21</v>
      </c>
      <c r="B20" s="14"/>
      <c r="C20" s="14"/>
      <c r="D20" s="14"/>
      <c r="E20" s="14"/>
      <c r="F20" s="8" t="s">
        <v>632</v>
      </c>
    </row>
    <row r="21" spans="1:6" ht="30" customHeight="1">
      <c r="A21" s="8" t="s">
        <v>22</v>
      </c>
      <c r="B21" s="14"/>
      <c r="C21" s="14"/>
      <c r="D21" s="14"/>
      <c r="E21" s="14"/>
      <c r="F21" s="8" t="s">
        <v>632</v>
      </c>
    </row>
    <row r="22" spans="1:6" ht="30" customHeight="1">
      <c r="A22" s="8" t="s">
        <v>23</v>
      </c>
      <c r="B22" s="14"/>
      <c r="C22" s="14"/>
      <c r="D22" s="14"/>
      <c r="E22" s="14"/>
      <c r="F22" s="8" t="s">
        <v>632</v>
      </c>
    </row>
  </sheetData>
  <autoFilter ref="A6:F7"/>
  <mergeCells count="3">
    <mergeCell ref="A1:L2"/>
    <mergeCell ref="A3:L4"/>
    <mergeCell ref="A10:L13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J22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38.7109375" customWidth="1"/>
    <col min="2" max="2" width="25.7109375" customWidth="1"/>
    <col min="3" max="10" width="15.7109375" customWidth="1"/>
  </cols>
  <sheetData>
    <row r="1" spans="1:10" ht="25" customHeight="1">
      <c r="A1" s="1" t="s">
        <v>633</v>
      </c>
      <c r="B1" s="1"/>
      <c r="C1" s="1"/>
      <c r="D1" s="1"/>
      <c r="E1" s="1"/>
      <c r="F1" s="1"/>
      <c r="G1" s="1"/>
      <c r="H1" s="1"/>
      <c r="I1" s="1"/>
      <c r="J1" s="1"/>
    </row>
    <row r="2" spans="1:10" ht="18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4" customHeight="1">
      <c r="A3" s="2" t="s">
        <v>634</v>
      </c>
      <c r="B3" s="2"/>
      <c r="C3" s="2"/>
      <c r="D3" s="2"/>
      <c r="E3" s="2"/>
      <c r="F3" s="2"/>
      <c r="G3" s="2"/>
      <c r="H3" s="2"/>
      <c r="I3" s="2"/>
      <c r="J3" s="2"/>
    </row>
    <row r="4" spans="1:10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>
      <c r="A5" s="9" t="s">
        <v>4</v>
      </c>
    </row>
    <row r="6" spans="1:10" ht="42" customHeight="1">
      <c r="A6" s="11" t="s">
        <v>635</v>
      </c>
      <c r="B6" s="11" t="s">
        <v>636</v>
      </c>
    </row>
    <row r="7" spans="1:10" ht="30" customHeight="1">
      <c r="A7" s="8" t="s">
        <v>637</v>
      </c>
      <c r="B7" s="12">
        <v>2</v>
      </c>
    </row>
    <row r="8" spans="1:10" ht="30" customHeight="1">
      <c r="A8" s="8" t="s">
        <v>7</v>
      </c>
      <c r="B8" s="12">
        <v>3</v>
      </c>
    </row>
    <row r="9" spans="1:10" ht="30" customHeight="1">
      <c r="A9" s="8" t="s">
        <v>638</v>
      </c>
      <c r="B9" s="12">
        <v>1</v>
      </c>
    </row>
    <row r="13" spans="1:10" ht="42" customHeight="1">
      <c r="A13" s="11" t="s">
        <v>639</v>
      </c>
      <c r="B13" s="11" t="s">
        <v>636</v>
      </c>
    </row>
    <row r="14" spans="1:10" ht="30" customHeight="1">
      <c r="A14" s="8" t="s">
        <v>640</v>
      </c>
      <c r="B14" s="12">
        <v>3</v>
      </c>
    </row>
    <row r="15" spans="1:10" ht="30" customHeight="1">
      <c r="A15" s="8" t="s">
        <v>641</v>
      </c>
      <c r="B15" s="12">
        <v>2</v>
      </c>
    </row>
    <row r="16" spans="1:10" ht="30" customHeight="1">
      <c r="A16" s="8" t="s">
        <v>642</v>
      </c>
      <c r="B16" s="12">
        <v>1</v>
      </c>
    </row>
    <row r="19" spans="1:10">
      <c r="A19" s="10" t="s">
        <v>643</v>
      </c>
      <c r="B19" s="10"/>
      <c r="C19" s="10"/>
      <c r="D19" s="10"/>
      <c r="E19" s="10"/>
      <c r="F19" s="10"/>
      <c r="G19" s="10"/>
      <c r="H19" s="10"/>
      <c r="I19" s="10"/>
      <c r="J19" s="10"/>
    </row>
    <row r="20" spans="1:10">
      <c r="A20" s="10"/>
      <c r="B20" s="10"/>
      <c r="C20" s="10"/>
      <c r="D20" s="10"/>
      <c r="E20" s="10"/>
      <c r="F20" s="10"/>
      <c r="G20" s="10"/>
      <c r="H20" s="10"/>
      <c r="I20" s="10"/>
      <c r="J20" s="10"/>
    </row>
    <row r="21" spans="1:10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>
      <c r="A22" s="10"/>
      <c r="B22" s="10"/>
      <c r="C22" s="10"/>
      <c r="D22" s="10"/>
      <c r="E22" s="10"/>
      <c r="F22" s="10"/>
      <c r="G22" s="10"/>
      <c r="H22" s="10"/>
      <c r="I22" s="10"/>
      <c r="J22" s="10"/>
    </row>
  </sheetData>
  <autoFilter ref="A6:B9"/>
  <mergeCells count="3">
    <mergeCell ref="A1:J2"/>
    <mergeCell ref="A3:J4"/>
    <mergeCell ref="A19:J22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19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18.7109375" customWidth="1"/>
    <col min="2" max="3" width="28.7109375" customWidth="1"/>
    <col min="4" max="4" width="25.7109375" customWidth="1"/>
    <col min="5" max="5" width="28.7109375" customWidth="1"/>
    <col min="6" max="6" width="33.7109375" customWidth="1"/>
    <col min="7" max="7" width="57.7109375" customWidth="1"/>
    <col min="8" max="12" width="15.7109375" customWidth="1"/>
  </cols>
  <sheetData>
    <row r="1" spans="1:12" ht="25" customHeight="1">
      <c r="A1" s="1" t="s">
        <v>644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645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9" t="s">
        <v>4</v>
      </c>
    </row>
    <row r="7" spans="1:12">
      <c r="A7" s="10" t="s">
        <v>646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</row>
    <row r="8" spans="1:12">
      <c r="A8" s="10"/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</row>
    <row r="9" spans="1:12">
      <c r="A9" s="10"/>
      <c r="B9" s="10"/>
      <c r="C9" s="10"/>
      <c r="D9" s="10"/>
      <c r="E9" s="10"/>
      <c r="F9" s="10"/>
      <c r="G9" s="10"/>
      <c r="H9" s="10"/>
      <c r="I9" s="10"/>
      <c r="J9" s="10"/>
      <c r="K9" s="10"/>
      <c r="L9" s="10"/>
    </row>
    <row r="10" spans="1:12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3" spans="1:12" ht="42" customHeight="1">
      <c r="A13" s="11" t="s">
        <v>5</v>
      </c>
      <c r="B13" s="11" t="s">
        <v>647</v>
      </c>
      <c r="C13" s="11" t="s">
        <v>648</v>
      </c>
      <c r="D13" s="11" t="s">
        <v>649</v>
      </c>
      <c r="E13" s="11" t="s">
        <v>650</v>
      </c>
      <c r="F13" s="11" t="s">
        <v>651</v>
      </c>
      <c r="G13" s="11" t="s">
        <v>652</v>
      </c>
    </row>
    <row r="14" spans="1:12" ht="30" customHeight="1">
      <c r="A14" s="8" t="s">
        <v>18</v>
      </c>
      <c r="B14" s="14"/>
      <c r="C14" s="14"/>
      <c r="D14" s="14"/>
      <c r="E14" s="14"/>
      <c r="F14" s="14"/>
      <c r="G14" s="8" t="s">
        <v>653</v>
      </c>
    </row>
    <row r="15" spans="1:12" ht="30" customHeight="1">
      <c r="A15" s="8" t="s">
        <v>19</v>
      </c>
      <c r="B15" s="14"/>
      <c r="C15" s="14"/>
      <c r="D15" s="14"/>
      <c r="E15" s="14"/>
      <c r="F15" s="14"/>
      <c r="G15" s="8" t="s">
        <v>653</v>
      </c>
    </row>
    <row r="16" spans="1:12" ht="30" customHeight="1">
      <c r="A16" s="8" t="s">
        <v>20</v>
      </c>
      <c r="B16" s="14"/>
      <c r="C16" s="14"/>
      <c r="D16" s="14"/>
      <c r="E16" s="14"/>
      <c r="F16" s="14"/>
      <c r="G16" s="8" t="s">
        <v>653</v>
      </c>
    </row>
    <row r="17" spans="1:7" ht="30" customHeight="1">
      <c r="A17" s="8" t="s">
        <v>21</v>
      </c>
      <c r="B17" s="14"/>
      <c r="C17" s="14"/>
      <c r="D17" s="14"/>
      <c r="E17" s="14"/>
      <c r="F17" s="14"/>
      <c r="G17" s="8" t="s">
        <v>653</v>
      </c>
    </row>
    <row r="18" spans="1:7" ht="30" customHeight="1">
      <c r="A18" s="8" t="s">
        <v>22</v>
      </c>
      <c r="B18" s="14"/>
      <c r="C18" s="14"/>
      <c r="D18" s="14"/>
      <c r="E18" s="14"/>
      <c r="F18" s="14"/>
      <c r="G18" s="8" t="s">
        <v>653</v>
      </c>
    </row>
    <row r="19" spans="1:7" ht="30" customHeight="1">
      <c r="A19" s="8" t="s">
        <v>23</v>
      </c>
      <c r="B19" s="14"/>
      <c r="C19" s="14"/>
      <c r="D19" s="14"/>
      <c r="E19" s="14"/>
      <c r="F19" s="14"/>
      <c r="G19" s="8" t="s">
        <v>653</v>
      </c>
    </row>
  </sheetData>
  <autoFilter ref="A13:G19"/>
  <mergeCells count="3">
    <mergeCell ref="A1:L2"/>
    <mergeCell ref="A3:L4"/>
    <mergeCell ref="A7:L10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2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32.7109375" customWidth="1"/>
    <col min="2" max="2" width="28.7109375" customWidth="1"/>
    <col min="3" max="3" width="74.7109375" customWidth="1"/>
    <col min="4" max="12" width="15.7109375" customWidth="1"/>
  </cols>
  <sheetData>
    <row r="1" spans="1:12" ht="25" customHeight="1">
      <c r="A1" s="1" t="s">
        <v>654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655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9" t="s">
        <v>4</v>
      </c>
    </row>
    <row r="6" spans="1:12" ht="42" customHeight="1">
      <c r="A6" s="11" t="s">
        <v>656</v>
      </c>
      <c r="B6" s="11" t="s">
        <v>320</v>
      </c>
      <c r="C6" s="11" t="s">
        <v>273</v>
      </c>
    </row>
    <row r="7" spans="1:12" ht="30" customHeight="1">
      <c r="A7" s="8" t="s">
        <v>657</v>
      </c>
      <c r="B7" s="12">
        <v>104</v>
      </c>
      <c r="C7" s="8" t="s">
        <v>658</v>
      </c>
    </row>
    <row r="8" spans="1:12" ht="30" customHeight="1">
      <c r="A8" s="8" t="s">
        <v>659</v>
      </c>
      <c r="B8" s="12">
        <v>25</v>
      </c>
      <c r="C8" s="8" t="s">
        <v>660</v>
      </c>
    </row>
    <row r="9" spans="1:12" ht="30" customHeight="1">
      <c r="A9" s="8" t="s">
        <v>661</v>
      </c>
      <c r="B9" s="12">
        <v>79</v>
      </c>
      <c r="C9" s="8" t="s">
        <v>662</v>
      </c>
    </row>
    <row r="10" spans="1:12" ht="30" customHeight="1">
      <c r="A10" s="8" t="s">
        <v>663</v>
      </c>
      <c r="B10" s="12">
        <v>2</v>
      </c>
      <c r="C10" s="8" t="s">
        <v>664</v>
      </c>
    </row>
    <row r="14" spans="1:12" ht="42" customHeight="1">
      <c r="A14" s="11" t="s">
        <v>665</v>
      </c>
      <c r="B14" s="11" t="s">
        <v>666</v>
      </c>
      <c r="C14" s="11" t="s">
        <v>560</v>
      </c>
    </row>
    <row r="15" spans="1:12" ht="30" customHeight="1">
      <c r="A15" s="8" t="s">
        <v>667</v>
      </c>
      <c r="B15" s="12">
        <v>25</v>
      </c>
      <c r="C15" s="8" t="s">
        <v>668</v>
      </c>
    </row>
    <row r="16" spans="1:12" ht="30" customHeight="1">
      <c r="A16" s="8" t="s">
        <v>669</v>
      </c>
      <c r="B16" s="12">
        <v>25</v>
      </c>
      <c r="C16" s="8" t="s">
        <v>668</v>
      </c>
    </row>
    <row r="17" spans="1:12" ht="30" customHeight="1">
      <c r="A17" s="8" t="s">
        <v>670</v>
      </c>
      <c r="B17" s="12">
        <v>25</v>
      </c>
      <c r="C17" s="8" t="s">
        <v>668</v>
      </c>
    </row>
    <row r="18" spans="1:12" ht="30" customHeight="1">
      <c r="A18" s="8" t="s">
        <v>671</v>
      </c>
      <c r="B18" s="12">
        <v>25</v>
      </c>
      <c r="C18" s="8" t="s">
        <v>668</v>
      </c>
    </row>
    <row r="19" spans="1:12" ht="30" customHeight="1">
      <c r="A19" s="8" t="s">
        <v>672</v>
      </c>
      <c r="B19" s="12">
        <v>4</v>
      </c>
      <c r="C19" s="8" t="s">
        <v>668</v>
      </c>
    </row>
    <row r="22" spans="1:12">
      <c r="A22" s="10" t="s">
        <v>673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</row>
    <row r="23" spans="1:12">
      <c r="A23" s="10"/>
      <c r="B23" s="10"/>
      <c r="C23" s="10"/>
      <c r="D23" s="10"/>
      <c r="E23" s="10"/>
      <c r="F23" s="10"/>
      <c r="G23" s="10"/>
      <c r="H23" s="10"/>
      <c r="I23" s="10"/>
      <c r="J23" s="10"/>
      <c r="K23" s="10"/>
      <c r="L23" s="10"/>
    </row>
    <row r="24" spans="1:12">
      <c r="A24" s="10"/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</row>
    <row r="25" spans="1:12">
      <c r="A25" s="10"/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</row>
  </sheetData>
  <autoFilter ref="A6:C10"/>
  <mergeCells count="3">
    <mergeCell ref="A1:L2"/>
    <mergeCell ref="A3:L4"/>
    <mergeCell ref="A22:L25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18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50.7109375" customWidth="1"/>
    <col min="2" max="2" width="22.7109375" customWidth="1"/>
    <col min="3" max="3" width="82.7109375" customWidth="1"/>
    <col min="4" max="12" width="15.7109375" customWidth="1"/>
  </cols>
  <sheetData>
    <row r="1" spans="1:12" ht="25" customHeight="1">
      <c r="A1" s="1" t="s">
        <v>681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682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9" t="s">
        <v>4</v>
      </c>
    </row>
    <row r="6" spans="1:12" ht="42" customHeight="1">
      <c r="A6" s="11" t="s">
        <v>683</v>
      </c>
      <c r="B6" s="11" t="s">
        <v>320</v>
      </c>
      <c r="C6" s="11" t="s">
        <v>684</v>
      </c>
    </row>
    <row r="7" spans="1:12" ht="30" customHeight="1">
      <c r="A7" s="8" t="s">
        <v>6</v>
      </c>
      <c r="B7" s="12">
        <v>362</v>
      </c>
      <c r="C7" s="8" t="s">
        <v>685</v>
      </c>
    </row>
    <row r="8" spans="1:12" ht="30" customHeight="1">
      <c r="A8" s="8" t="s">
        <v>7</v>
      </c>
      <c r="B8" s="12">
        <v>181</v>
      </c>
      <c r="C8" s="8" t="s">
        <v>686</v>
      </c>
    </row>
    <row r="9" spans="1:12" ht="30" customHeight="1">
      <c r="A9" s="8" t="s">
        <v>8</v>
      </c>
      <c r="B9" s="12">
        <v>41</v>
      </c>
      <c r="C9" s="8" t="s">
        <v>687</v>
      </c>
    </row>
    <row r="10" spans="1:12" ht="30" customHeight="1">
      <c r="A10" s="8" t="s">
        <v>9</v>
      </c>
      <c r="B10" s="12">
        <v>139</v>
      </c>
      <c r="C10" s="8" t="s">
        <v>688</v>
      </c>
    </row>
    <row r="11" spans="1:12" ht="30" customHeight="1">
      <c r="A11" s="8" t="s">
        <v>689</v>
      </c>
      <c r="B11" s="12">
        <v>11</v>
      </c>
      <c r="C11" s="8" t="s">
        <v>690</v>
      </c>
    </row>
    <row r="12" spans="1:12" ht="30" customHeight="1">
      <c r="A12" s="8" t="s">
        <v>691</v>
      </c>
      <c r="B12" s="12">
        <v>9</v>
      </c>
      <c r="C12" s="8" t="s">
        <v>692</v>
      </c>
    </row>
    <row r="13" spans="1:12" ht="30" customHeight="1">
      <c r="A13" s="8" t="s">
        <v>693</v>
      </c>
      <c r="B13" s="12">
        <v>3</v>
      </c>
      <c r="C13" s="8" t="s">
        <v>692</v>
      </c>
    </row>
    <row r="14" spans="1:12" ht="30" customHeight="1">
      <c r="A14" s="8" t="s">
        <v>694</v>
      </c>
      <c r="B14" s="12">
        <v>5</v>
      </c>
      <c r="C14" s="8" t="s">
        <v>692</v>
      </c>
    </row>
    <row r="15" spans="1:12" ht="30" customHeight="1">
      <c r="A15" s="8" t="s">
        <v>695</v>
      </c>
      <c r="B15" s="12">
        <v>2</v>
      </c>
      <c r="C15" s="8" t="s">
        <v>696</v>
      </c>
    </row>
    <row r="16" spans="1:12" ht="30" customHeight="1">
      <c r="A16" s="8" t="s">
        <v>697</v>
      </c>
      <c r="B16" s="12">
        <v>3128</v>
      </c>
      <c r="C16" s="8" t="s">
        <v>698</v>
      </c>
    </row>
    <row r="17" spans="1:3" ht="30" customHeight="1">
      <c r="A17" s="8" t="s">
        <v>699</v>
      </c>
      <c r="B17" s="12">
        <v>71736</v>
      </c>
      <c r="C17" s="8" t="s">
        <v>700</v>
      </c>
    </row>
    <row r="18" spans="1:3" ht="30" customHeight="1">
      <c r="A18" s="8" t="s">
        <v>35</v>
      </c>
      <c r="B18" s="13">
        <v>0.04360432697669232</v>
      </c>
      <c r="C18" s="8" t="s">
        <v>701</v>
      </c>
    </row>
  </sheetData>
  <autoFilter ref="A6:C18"/>
  <mergeCells count="2">
    <mergeCell ref="A1:L2"/>
    <mergeCell ref="A3:L4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18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50.7109375" customWidth="1"/>
    <col min="2" max="2" width="22.7109375" customWidth="1"/>
    <col min="3" max="3" width="82.7109375" customWidth="1"/>
    <col min="4" max="12" width="15.7109375" customWidth="1"/>
  </cols>
  <sheetData>
    <row r="1" spans="1:12" ht="25" customHeight="1">
      <c r="A1" s="1" t="s">
        <v>702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682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9" t="s">
        <v>4</v>
      </c>
    </row>
    <row r="6" spans="1:12" ht="42" customHeight="1">
      <c r="A6" s="11" t="s">
        <v>683</v>
      </c>
      <c r="B6" s="11" t="s">
        <v>320</v>
      </c>
      <c r="C6" s="11" t="s">
        <v>684</v>
      </c>
    </row>
    <row r="7" spans="1:12" ht="30" customHeight="1">
      <c r="A7" s="8" t="s">
        <v>6</v>
      </c>
      <c r="B7" s="12">
        <v>273</v>
      </c>
      <c r="C7" s="8" t="s">
        <v>685</v>
      </c>
    </row>
    <row r="8" spans="1:12" ht="30" customHeight="1">
      <c r="A8" s="8" t="s">
        <v>7</v>
      </c>
      <c r="B8" s="12">
        <v>103</v>
      </c>
      <c r="C8" s="8" t="s">
        <v>686</v>
      </c>
    </row>
    <row r="9" spans="1:12" ht="30" customHeight="1">
      <c r="A9" s="8" t="s">
        <v>8</v>
      </c>
      <c r="B9" s="12">
        <v>60</v>
      </c>
      <c r="C9" s="8" t="s">
        <v>687</v>
      </c>
    </row>
    <row r="10" spans="1:12" ht="30" customHeight="1">
      <c r="A10" s="8" t="s">
        <v>9</v>
      </c>
      <c r="B10" s="12">
        <v>108</v>
      </c>
      <c r="C10" s="8" t="s">
        <v>688</v>
      </c>
    </row>
    <row r="11" spans="1:12" ht="30" customHeight="1">
      <c r="A11" s="8" t="s">
        <v>689</v>
      </c>
      <c r="B11" s="12">
        <v>17</v>
      </c>
      <c r="C11" s="8" t="s">
        <v>690</v>
      </c>
    </row>
    <row r="12" spans="1:12" ht="30" customHeight="1">
      <c r="A12" s="8" t="s">
        <v>691</v>
      </c>
      <c r="B12" s="12">
        <v>9</v>
      </c>
      <c r="C12" s="8" t="s">
        <v>692</v>
      </c>
    </row>
    <row r="13" spans="1:12" ht="30" customHeight="1">
      <c r="A13" s="8" t="s">
        <v>693</v>
      </c>
      <c r="B13" s="12">
        <v>3</v>
      </c>
      <c r="C13" s="8" t="s">
        <v>692</v>
      </c>
    </row>
    <row r="14" spans="1:12" ht="30" customHeight="1">
      <c r="A14" s="8" t="s">
        <v>694</v>
      </c>
      <c r="B14" s="12">
        <v>5</v>
      </c>
      <c r="C14" s="8" t="s">
        <v>692</v>
      </c>
    </row>
    <row r="15" spans="1:12" ht="30" customHeight="1">
      <c r="A15" s="8" t="s">
        <v>695</v>
      </c>
      <c r="B15" s="12">
        <v>4</v>
      </c>
      <c r="C15" s="8" t="s">
        <v>696</v>
      </c>
    </row>
    <row r="16" spans="1:12" ht="30" customHeight="1">
      <c r="A16" s="8" t="s">
        <v>697</v>
      </c>
      <c r="B16" s="12">
        <v>2649</v>
      </c>
      <c r="C16" s="8" t="s">
        <v>698</v>
      </c>
    </row>
    <row r="17" spans="1:3" ht="30" customHeight="1">
      <c r="A17" s="8" t="s">
        <v>699</v>
      </c>
      <c r="B17" s="12">
        <v>60912</v>
      </c>
      <c r="C17" s="8" t="s">
        <v>700</v>
      </c>
    </row>
    <row r="18" spans="1:3" ht="30" customHeight="1">
      <c r="A18" s="8" t="s">
        <v>35</v>
      </c>
      <c r="B18" s="13">
        <v>0.04348896769109535</v>
      </c>
      <c r="C18" s="8" t="s">
        <v>701</v>
      </c>
    </row>
  </sheetData>
  <autoFilter ref="A6:C18"/>
  <mergeCells count="2">
    <mergeCell ref="A1:L2"/>
    <mergeCell ref="A3:L4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18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50.7109375" customWidth="1"/>
    <col min="2" max="2" width="22.7109375" customWidth="1"/>
    <col min="3" max="3" width="82.7109375" customWidth="1"/>
    <col min="4" max="12" width="15.7109375" customWidth="1"/>
  </cols>
  <sheetData>
    <row r="1" spans="1:12" ht="25" customHeight="1">
      <c r="A1" s="1" t="s">
        <v>703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682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9" t="s">
        <v>4</v>
      </c>
    </row>
    <row r="6" spans="1:12" ht="42" customHeight="1">
      <c r="A6" s="11" t="s">
        <v>683</v>
      </c>
      <c r="B6" s="11" t="s">
        <v>320</v>
      </c>
      <c r="C6" s="11" t="s">
        <v>684</v>
      </c>
    </row>
    <row r="7" spans="1:12" ht="30" customHeight="1">
      <c r="A7" s="8" t="s">
        <v>6</v>
      </c>
      <c r="B7" s="12">
        <v>488</v>
      </c>
      <c r="C7" s="8" t="s">
        <v>685</v>
      </c>
    </row>
    <row r="8" spans="1:12" ht="30" customHeight="1">
      <c r="A8" s="8" t="s">
        <v>7</v>
      </c>
      <c r="B8" s="12">
        <v>148</v>
      </c>
      <c r="C8" s="8" t="s">
        <v>686</v>
      </c>
    </row>
    <row r="9" spans="1:12" ht="30" customHeight="1">
      <c r="A9" s="8" t="s">
        <v>8</v>
      </c>
      <c r="B9" s="12">
        <v>75</v>
      </c>
      <c r="C9" s="8" t="s">
        <v>687</v>
      </c>
    </row>
    <row r="10" spans="1:12" ht="30" customHeight="1">
      <c r="A10" s="8" t="s">
        <v>9</v>
      </c>
      <c r="B10" s="12">
        <v>265</v>
      </c>
      <c r="C10" s="8" t="s">
        <v>688</v>
      </c>
    </row>
    <row r="11" spans="1:12" ht="30" customHeight="1">
      <c r="A11" s="8" t="s">
        <v>689</v>
      </c>
      <c r="B11" s="12">
        <v>10</v>
      </c>
      <c r="C11" s="8" t="s">
        <v>690</v>
      </c>
    </row>
    <row r="12" spans="1:12" ht="30" customHeight="1">
      <c r="A12" s="8" t="s">
        <v>691</v>
      </c>
      <c r="B12" s="12">
        <v>4</v>
      </c>
      <c r="C12" s="8" t="s">
        <v>692</v>
      </c>
    </row>
    <row r="13" spans="1:12" ht="30" customHeight="1">
      <c r="A13" s="8" t="s">
        <v>693</v>
      </c>
      <c r="B13" s="12">
        <v>8</v>
      </c>
      <c r="C13" s="8" t="s">
        <v>692</v>
      </c>
    </row>
    <row r="14" spans="1:12" ht="30" customHeight="1">
      <c r="A14" s="8" t="s">
        <v>694</v>
      </c>
      <c r="B14" s="12">
        <v>3</v>
      </c>
      <c r="C14" s="8" t="s">
        <v>692</v>
      </c>
    </row>
    <row r="15" spans="1:12" ht="30" customHeight="1">
      <c r="A15" s="8" t="s">
        <v>695</v>
      </c>
      <c r="B15" s="12">
        <v>5</v>
      </c>
      <c r="C15" s="8" t="s">
        <v>696</v>
      </c>
    </row>
    <row r="16" spans="1:12" ht="30" customHeight="1">
      <c r="A16" s="8" t="s">
        <v>697</v>
      </c>
      <c r="B16" s="12">
        <v>2975</v>
      </c>
      <c r="C16" s="8" t="s">
        <v>698</v>
      </c>
    </row>
    <row r="17" spans="1:3" ht="30" customHeight="1">
      <c r="A17" s="8" t="s">
        <v>699</v>
      </c>
      <c r="B17" s="12">
        <v>67040</v>
      </c>
      <c r="C17" s="8" t="s">
        <v>700</v>
      </c>
    </row>
    <row r="18" spans="1:3" ht="30" customHeight="1">
      <c r="A18" s="8" t="s">
        <v>35</v>
      </c>
      <c r="B18" s="13">
        <v>0.04437649164677804</v>
      </c>
      <c r="C18" s="8" t="s">
        <v>701</v>
      </c>
    </row>
  </sheetData>
  <autoFilter ref="A6:C18"/>
  <mergeCells count="2">
    <mergeCell ref="A1:L2"/>
    <mergeCell ref="A3:L4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18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50.7109375" customWidth="1"/>
    <col min="2" max="2" width="22.7109375" customWidth="1"/>
    <col min="3" max="3" width="82.7109375" customWidth="1"/>
    <col min="4" max="12" width="15.7109375" customWidth="1"/>
  </cols>
  <sheetData>
    <row r="1" spans="1:12" ht="25" customHeight="1">
      <c r="A1" s="1" t="s">
        <v>704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682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9" t="s">
        <v>4</v>
      </c>
    </row>
    <row r="6" spans="1:12" ht="42" customHeight="1">
      <c r="A6" s="11" t="s">
        <v>683</v>
      </c>
      <c r="B6" s="11" t="s">
        <v>320</v>
      </c>
      <c r="C6" s="11" t="s">
        <v>684</v>
      </c>
    </row>
    <row r="7" spans="1:12" ht="30" customHeight="1">
      <c r="A7" s="8" t="s">
        <v>6</v>
      </c>
      <c r="B7" s="12">
        <v>470</v>
      </c>
      <c r="C7" s="8" t="s">
        <v>685</v>
      </c>
    </row>
    <row r="8" spans="1:12" ht="30" customHeight="1">
      <c r="A8" s="8" t="s">
        <v>7</v>
      </c>
      <c r="B8" s="12">
        <v>156</v>
      </c>
      <c r="C8" s="8" t="s">
        <v>686</v>
      </c>
    </row>
    <row r="9" spans="1:12" ht="30" customHeight="1">
      <c r="A9" s="8" t="s">
        <v>8</v>
      </c>
      <c r="B9" s="12">
        <v>64</v>
      </c>
      <c r="C9" s="8" t="s">
        <v>687</v>
      </c>
    </row>
    <row r="10" spans="1:12" ht="30" customHeight="1">
      <c r="A10" s="8" t="s">
        <v>9</v>
      </c>
      <c r="B10" s="12">
        <v>248</v>
      </c>
      <c r="C10" s="8" t="s">
        <v>688</v>
      </c>
    </row>
    <row r="11" spans="1:12" ht="30" customHeight="1">
      <c r="A11" s="8" t="s">
        <v>689</v>
      </c>
      <c r="B11" s="12">
        <v>23</v>
      </c>
      <c r="C11" s="8" t="s">
        <v>690</v>
      </c>
    </row>
    <row r="12" spans="1:12" ht="30" customHeight="1">
      <c r="A12" s="8" t="s">
        <v>691</v>
      </c>
      <c r="B12" s="12">
        <v>8</v>
      </c>
      <c r="C12" s="8" t="s">
        <v>692</v>
      </c>
    </row>
    <row r="13" spans="1:12" ht="30" customHeight="1">
      <c r="A13" s="8" t="s">
        <v>693</v>
      </c>
      <c r="B13" s="12">
        <v>3</v>
      </c>
      <c r="C13" s="8" t="s">
        <v>692</v>
      </c>
    </row>
    <row r="14" spans="1:12" ht="30" customHeight="1">
      <c r="A14" s="8" t="s">
        <v>694</v>
      </c>
      <c r="B14" s="12">
        <v>5</v>
      </c>
      <c r="C14" s="8" t="s">
        <v>692</v>
      </c>
    </row>
    <row r="15" spans="1:12" ht="30" customHeight="1">
      <c r="A15" s="8" t="s">
        <v>695</v>
      </c>
      <c r="B15" s="12">
        <v>6</v>
      </c>
      <c r="C15" s="8" t="s">
        <v>696</v>
      </c>
    </row>
    <row r="16" spans="1:12" ht="30" customHeight="1">
      <c r="A16" s="8" t="s">
        <v>697</v>
      </c>
      <c r="B16" s="12">
        <v>2811</v>
      </c>
      <c r="C16" s="8" t="s">
        <v>698</v>
      </c>
    </row>
    <row r="17" spans="1:3" ht="30" customHeight="1">
      <c r="A17" s="8" t="s">
        <v>699</v>
      </c>
      <c r="B17" s="12">
        <v>66880</v>
      </c>
      <c r="C17" s="8" t="s">
        <v>700</v>
      </c>
    </row>
    <row r="18" spans="1:3" ht="30" customHeight="1">
      <c r="A18" s="8" t="s">
        <v>35</v>
      </c>
      <c r="B18" s="13">
        <v>0.04203050239234449</v>
      </c>
      <c r="C18" s="8" t="s">
        <v>701</v>
      </c>
    </row>
  </sheetData>
  <autoFilter ref="A6:C18"/>
  <mergeCells count="2">
    <mergeCell ref="A1:L2"/>
    <mergeCell ref="A3:L4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18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50.7109375" customWidth="1"/>
    <col min="2" max="2" width="22.7109375" customWidth="1"/>
    <col min="3" max="3" width="82.7109375" customWidth="1"/>
    <col min="4" max="12" width="15.7109375" customWidth="1"/>
  </cols>
  <sheetData>
    <row r="1" spans="1:12" ht="25" customHeight="1">
      <c r="A1" s="1" t="s">
        <v>705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682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9" t="s">
        <v>4</v>
      </c>
    </row>
    <row r="6" spans="1:12" ht="42" customHeight="1">
      <c r="A6" s="11" t="s">
        <v>683</v>
      </c>
      <c r="B6" s="11" t="s">
        <v>320</v>
      </c>
      <c r="C6" s="11" t="s">
        <v>684</v>
      </c>
    </row>
    <row r="7" spans="1:12" ht="30" customHeight="1">
      <c r="A7" s="8" t="s">
        <v>6</v>
      </c>
      <c r="B7" s="12">
        <v>464</v>
      </c>
      <c r="C7" s="8" t="s">
        <v>685</v>
      </c>
    </row>
    <row r="8" spans="1:12" ht="30" customHeight="1">
      <c r="A8" s="8" t="s">
        <v>7</v>
      </c>
      <c r="B8" s="12">
        <v>161</v>
      </c>
      <c r="C8" s="8" t="s">
        <v>686</v>
      </c>
    </row>
    <row r="9" spans="1:12" ht="30" customHeight="1">
      <c r="A9" s="8" t="s">
        <v>8</v>
      </c>
      <c r="B9" s="12">
        <v>65</v>
      </c>
      <c r="C9" s="8" t="s">
        <v>687</v>
      </c>
    </row>
    <row r="10" spans="1:12" ht="30" customHeight="1">
      <c r="A10" s="8" t="s">
        <v>9</v>
      </c>
      <c r="B10" s="12">
        <v>237</v>
      </c>
      <c r="C10" s="8" t="s">
        <v>688</v>
      </c>
    </row>
    <row r="11" spans="1:12" ht="30" customHeight="1">
      <c r="A11" s="8" t="s">
        <v>689</v>
      </c>
      <c r="B11" s="12">
        <v>1</v>
      </c>
      <c r="C11" s="8" t="s">
        <v>690</v>
      </c>
    </row>
    <row r="12" spans="1:12" ht="30" customHeight="1">
      <c r="A12" s="8" t="s">
        <v>691</v>
      </c>
      <c r="B12" s="12">
        <v>11</v>
      </c>
      <c r="C12" s="8" t="s">
        <v>692</v>
      </c>
    </row>
    <row r="13" spans="1:12" ht="30" customHeight="1">
      <c r="A13" s="8" t="s">
        <v>693</v>
      </c>
      <c r="B13" s="12">
        <v>5</v>
      </c>
      <c r="C13" s="8" t="s">
        <v>692</v>
      </c>
    </row>
    <row r="14" spans="1:12" ht="30" customHeight="1">
      <c r="A14" s="8" t="s">
        <v>694</v>
      </c>
      <c r="B14" s="12">
        <v>3</v>
      </c>
      <c r="C14" s="8" t="s">
        <v>692</v>
      </c>
    </row>
    <row r="15" spans="1:12" ht="30" customHeight="1">
      <c r="A15" s="8" t="s">
        <v>695</v>
      </c>
      <c r="B15" s="12">
        <v>4</v>
      </c>
      <c r="C15" s="8" t="s">
        <v>696</v>
      </c>
    </row>
    <row r="16" spans="1:12" ht="30" customHeight="1">
      <c r="A16" s="8" t="s">
        <v>697</v>
      </c>
      <c r="B16" s="12">
        <v>3280</v>
      </c>
      <c r="C16" s="8" t="s">
        <v>698</v>
      </c>
    </row>
    <row r="17" spans="1:3" ht="30" customHeight="1">
      <c r="A17" s="8" t="s">
        <v>699</v>
      </c>
      <c r="B17" s="12">
        <v>63840</v>
      </c>
      <c r="C17" s="8" t="s">
        <v>700</v>
      </c>
    </row>
    <row r="18" spans="1:3" ht="30" customHeight="1">
      <c r="A18" s="8" t="s">
        <v>35</v>
      </c>
      <c r="B18" s="13">
        <v>0.05137844611528822</v>
      </c>
      <c r="C18" s="8" t="s">
        <v>701</v>
      </c>
    </row>
  </sheetData>
  <autoFilter ref="A6:C18"/>
  <mergeCells count="2">
    <mergeCell ref="A1:L2"/>
    <mergeCell ref="A3:L4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18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50.7109375" customWidth="1"/>
    <col min="2" max="2" width="22.7109375" customWidth="1"/>
    <col min="3" max="3" width="82.7109375" customWidth="1"/>
    <col min="4" max="12" width="15.7109375" customWidth="1"/>
  </cols>
  <sheetData>
    <row r="1" spans="1:12" ht="25" customHeight="1">
      <c r="A1" s="1" t="s">
        <v>706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682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9" t="s">
        <v>4</v>
      </c>
    </row>
    <row r="6" spans="1:12" ht="42" customHeight="1">
      <c r="A6" s="11" t="s">
        <v>683</v>
      </c>
      <c r="B6" s="11" t="s">
        <v>320</v>
      </c>
      <c r="C6" s="11" t="s">
        <v>684</v>
      </c>
    </row>
    <row r="7" spans="1:12" ht="30" customHeight="1">
      <c r="A7" s="8" t="s">
        <v>6</v>
      </c>
      <c r="B7" s="12">
        <v>485</v>
      </c>
      <c r="C7" s="8" t="s">
        <v>685</v>
      </c>
    </row>
    <row r="8" spans="1:12" ht="30" customHeight="1">
      <c r="A8" s="8" t="s">
        <v>7</v>
      </c>
      <c r="B8" s="12">
        <v>198</v>
      </c>
      <c r="C8" s="8" t="s">
        <v>686</v>
      </c>
    </row>
    <row r="9" spans="1:12" ht="30" customHeight="1">
      <c r="A9" s="8" t="s">
        <v>8</v>
      </c>
      <c r="B9" s="12">
        <v>43</v>
      </c>
      <c r="C9" s="8" t="s">
        <v>687</v>
      </c>
    </row>
    <row r="10" spans="1:12" ht="30" customHeight="1">
      <c r="A10" s="8" t="s">
        <v>9</v>
      </c>
      <c r="B10" s="12">
        <v>241</v>
      </c>
      <c r="C10" s="8" t="s">
        <v>688</v>
      </c>
    </row>
    <row r="11" spans="1:12" ht="30" customHeight="1">
      <c r="A11" s="8" t="s">
        <v>689</v>
      </c>
      <c r="B11" s="12">
        <v>18</v>
      </c>
      <c r="C11" s="8" t="s">
        <v>690</v>
      </c>
    </row>
    <row r="12" spans="1:12" ht="30" customHeight="1">
      <c r="A12" s="8" t="s">
        <v>691</v>
      </c>
      <c r="B12" s="12">
        <v>14</v>
      </c>
      <c r="C12" s="8" t="s">
        <v>692</v>
      </c>
    </row>
    <row r="13" spans="1:12" ht="30" customHeight="1">
      <c r="A13" s="8" t="s">
        <v>693</v>
      </c>
      <c r="B13" s="12">
        <v>2</v>
      </c>
      <c r="C13" s="8" t="s">
        <v>692</v>
      </c>
    </row>
    <row r="14" spans="1:12" ht="30" customHeight="1">
      <c r="A14" s="8" t="s">
        <v>694</v>
      </c>
      <c r="B14" s="12">
        <v>6</v>
      </c>
      <c r="C14" s="8" t="s">
        <v>692</v>
      </c>
    </row>
    <row r="15" spans="1:12" ht="30" customHeight="1">
      <c r="A15" s="8" t="s">
        <v>695</v>
      </c>
      <c r="B15" s="12">
        <v>7</v>
      </c>
      <c r="C15" s="8" t="s">
        <v>696</v>
      </c>
    </row>
    <row r="16" spans="1:12" ht="30" customHeight="1">
      <c r="A16" s="8" t="s">
        <v>697</v>
      </c>
      <c r="B16" s="12">
        <v>4052</v>
      </c>
      <c r="C16" s="8" t="s">
        <v>698</v>
      </c>
    </row>
    <row r="17" spans="1:3" ht="30" customHeight="1">
      <c r="A17" s="8" t="s">
        <v>699</v>
      </c>
      <c r="B17" s="12">
        <v>70224</v>
      </c>
      <c r="C17" s="8" t="s">
        <v>700</v>
      </c>
    </row>
    <row r="18" spans="1:3" ht="30" customHeight="1">
      <c r="A18" s="8" t="s">
        <v>35</v>
      </c>
      <c r="B18" s="13">
        <v>0.05770107085896559</v>
      </c>
      <c r="C18" s="8" t="s">
        <v>701</v>
      </c>
    </row>
  </sheetData>
  <autoFilter ref="A6:C18"/>
  <mergeCells count="2">
    <mergeCell ref="A1:L2"/>
    <mergeCell ref="A3:L4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M62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14.7109375" customWidth="1"/>
    <col min="2" max="2" width="28.7109375" customWidth="1"/>
    <col min="3" max="3" width="50.7109375" customWidth="1"/>
    <col min="4" max="4" width="25.7109375" customWidth="1"/>
    <col min="5" max="5" width="20.7109375" customWidth="1"/>
    <col min="6" max="6" width="24.7109375" customWidth="1"/>
    <col min="7" max="7" width="27.7109375" customWidth="1"/>
    <col min="8" max="8" width="50.7109375" customWidth="1"/>
    <col min="9" max="9" width="53.7109375" customWidth="1"/>
    <col min="10" max="10" width="60.7109375" customWidth="1"/>
    <col min="11" max="11" width="85.7109375" customWidth="1"/>
    <col min="12" max="12" width="65.7109375" customWidth="1"/>
    <col min="13" max="13" width="15.7109375" customWidth="1"/>
  </cols>
  <sheetData>
    <row r="1" spans="1:13" ht="25" customHeight="1">
      <c r="A1" s="1" t="s">
        <v>707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24" customHeight="1">
      <c r="A3" s="2" t="s">
        <v>708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1:1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 spans="1:13">
      <c r="A5" s="9" t="s">
        <v>4</v>
      </c>
    </row>
    <row r="6" spans="1:13" ht="48" customHeight="1">
      <c r="A6" s="11" t="s">
        <v>709</v>
      </c>
      <c r="B6" s="11" t="s">
        <v>710</v>
      </c>
      <c r="C6" s="11" t="s">
        <v>319</v>
      </c>
      <c r="D6" s="11" t="s">
        <v>711</v>
      </c>
      <c r="E6" s="11" t="s">
        <v>712</v>
      </c>
      <c r="F6" s="11" t="s">
        <v>713</v>
      </c>
      <c r="G6" s="11" t="s">
        <v>714</v>
      </c>
      <c r="H6" s="11" t="s">
        <v>715</v>
      </c>
      <c r="I6" s="11" t="s">
        <v>716</v>
      </c>
      <c r="J6" s="11" t="s">
        <v>652</v>
      </c>
      <c r="K6" s="11" t="s">
        <v>717</v>
      </c>
      <c r="L6" s="11" t="s">
        <v>718</v>
      </c>
    </row>
    <row r="7" spans="1:13" ht="64" customHeight="1">
      <c r="A7" s="8" t="s">
        <v>719</v>
      </c>
      <c r="B7" s="8" t="s">
        <v>720</v>
      </c>
      <c r="C7" s="8" t="s">
        <v>721</v>
      </c>
      <c r="D7" s="12">
        <v>2542</v>
      </c>
      <c r="F7" s="12">
        <f>'Actividad'!B13</f>
        <v>2542</v>
      </c>
      <c r="G7" s="8" t="s">
        <v>722</v>
      </c>
      <c r="H7" s="8" t="s">
        <v>723</v>
      </c>
      <c r="I7" s="8" t="s">
        <v>724</v>
      </c>
      <c r="J7" s="8" t="s">
        <v>725</v>
      </c>
      <c r="K7" s="8" t="s">
        <v>726</v>
      </c>
      <c r="L7" s="8" t="s">
        <v>727</v>
      </c>
    </row>
    <row r="8" spans="1:13" ht="64" customHeight="1">
      <c r="A8" s="8" t="s">
        <v>728</v>
      </c>
      <c r="B8" s="8" t="s">
        <v>720</v>
      </c>
      <c r="C8" s="8" t="s">
        <v>729</v>
      </c>
      <c r="D8" s="12">
        <v>947</v>
      </c>
      <c r="F8" s="12">
        <f>'Actividad'!C13</f>
        <v>947</v>
      </c>
      <c r="G8" s="8" t="s">
        <v>722</v>
      </c>
      <c r="H8" s="8" t="s">
        <v>723</v>
      </c>
      <c r="I8" s="8" t="s">
        <v>724</v>
      </c>
      <c r="J8" s="8" t="s">
        <v>725</v>
      </c>
      <c r="K8" s="8" t="s">
        <v>726</v>
      </c>
      <c r="L8" s="8" t="s">
        <v>727</v>
      </c>
    </row>
    <row r="9" spans="1:13" ht="64" customHeight="1">
      <c r="A9" s="8" t="s">
        <v>730</v>
      </c>
      <c r="B9" s="8" t="s">
        <v>720</v>
      </c>
      <c r="C9" s="8" t="s">
        <v>731</v>
      </c>
      <c r="D9" s="12">
        <v>348</v>
      </c>
      <c r="F9" s="12">
        <f>'Actividad'!D13</f>
        <v>348</v>
      </c>
      <c r="G9" s="8" t="s">
        <v>722</v>
      </c>
      <c r="H9" s="8" t="s">
        <v>723</v>
      </c>
      <c r="I9" s="8" t="s">
        <v>724</v>
      </c>
      <c r="J9" s="8" t="s">
        <v>725</v>
      </c>
      <c r="K9" s="8" t="s">
        <v>726</v>
      </c>
      <c r="L9" s="8" t="s">
        <v>727</v>
      </c>
    </row>
    <row r="10" spans="1:13" ht="64" customHeight="1">
      <c r="A10" s="8" t="s">
        <v>732</v>
      </c>
      <c r="B10" s="8" t="s">
        <v>720</v>
      </c>
      <c r="C10" s="8" t="s">
        <v>733</v>
      </c>
      <c r="D10" s="12">
        <v>1238</v>
      </c>
      <c r="F10" s="12">
        <f>'Actividad'!E13</f>
        <v>1238</v>
      </c>
      <c r="G10" s="8" t="s">
        <v>722</v>
      </c>
      <c r="H10" s="8" t="s">
        <v>723</v>
      </c>
      <c r="I10" s="8" t="s">
        <v>724</v>
      </c>
      <c r="J10" s="8" t="s">
        <v>725</v>
      </c>
      <c r="K10" s="8" t="s">
        <v>726</v>
      </c>
      <c r="L10" s="8" t="s">
        <v>727</v>
      </c>
    </row>
    <row r="11" spans="1:13" ht="64" customHeight="1">
      <c r="A11" s="8" t="s">
        <v>734</v>
      </c>
      <c r="B11" s="8" t="s">
        <v>720</v>
      </c>
      <c r="C11" s="8" t="s">
        <v>735</v>
      </c>
      <c r="D11" s="12">
        <v>1295</v>
      </c>
      <c r="F11" s="12">
        <f>'Actividad'!G13</f>
        <v>1295</v>
      </c>
      <c r="G11" s="8" t="s">
        <v>722</v>
      </c>
      <c r="H11" s="8" t="s">
        <v>723</v>
      </c>
      <c r="I11" s="8" t="s">
        <v>724</v>
      </c>
      <c r="J11" s="8" t="s">
        <v>725</v>
      </c>
      <c r="K11" s="8" t="s">
        <v>726</v>
      </c>
      <c r="L11" s="8" t="s">
        <v>727</v>
      </c>
    </row>
    <row r="12" spans="1:13" ht="64" customHeight="1">
      <c r="A12" s="8" t="s">
        <v>736</v>
      </c>
      <c r="B12" s="8" t="s">
        <v>720</v>
      </c>
      <c r="C12" s="8" t="s">
        <v>737</v>
      </c>
      <c r="D12" s="12">
        <v>80</v>
      </c>
      <c r="F12" s="12">
        <f>'Actividad'!K13</f>
        <v>80</v>
      </c>
      <c r="G12" s="8" t="s">
        <v>722</v>
      </c>
      <c r="H12" s="8" t="s">
        <v>723</v>
      </c>
      <c r="I12" s="8" t="s">
        <v>724</v>
      </c>
      <c r="J12" s="8" t="s">
        <v>725</v>
      </c>
      <c r="K12" s="8" t="s">
        <v>726</v>
      </c>
      <c r="L12" s="8" t="s">
        <v>727</v>
      </c>
    </row>
    <row r="13" spans="1:13" ht="64" customHeight="1">
      <c r="A13" s="8" t="s">
        <v>738</v>
      </c>
      <c r="B13" s="8" t="s">
        <v>720</v>
      </c>
      <c r="C13" s="8" t="s">
        <v>739</v>
      </c>
      <c r="D13" s="12">
        <v>1295</v>
      </c>
      <c r="E13" s="12">
        <v>2542</v>
      </c>
      <c r="F13" s="13">
        <f>IFERROR(D13/E13,"Pendiente de datos")</f>
        <v>0.509441384736428</v>
      </c>
      <c r="G13" s="8" t="s">
        <v>740</v>
      </c>
      <c r="H13" s="8" t="s">
        <v>723</v>
      </c>
      <c r="I13" s="8" t="s">
        <v>724</v>
      </c>
      <c r="J13" s="8" t="s">
        <v>741</v>
      </c>
      <c r="K13" s="8" t="s">
        <v>742</v>
      </c>
      <c r="L13" s="8"/>
    </row>
    <row r="14" spans="1:13" ht="64" customHeight="1">
      <c r="A14" s="8" t="s">
        <v>743</v>
      </c>
      <c r="B14" s="8" t="s">
        <v>720</v>
      </c>
      <c r="C14" s="8" t="s">
        <v>744</v>
      </c>
      <c r="D14" s="12">
        <v>351</v>
      </c>
      <c r="F14" s="12">
        <f>D14</f>
        <v>351</v>
      </c>
      <c r="G14" s="8" t="s">
        <v>745</v>
      </c>
      <c r="H14" s="8" t="s">
        <v>723</v>
      </c>
      <c r="I14" s="8" t="s">
        <v>746</v>
      </c>
      <c r="J14" s="8" t="s">
        <v>747</v>
      </c>
      <c r="K14" s="8" t="s">
        <v>748</v>
      </c>
      <c r="L14" s="8"/>
    </row>
    <row r="15" spans="1:13" ht="64" customHeight="1">
      <c r="A15" s="8" t="s">
        <v>749</v>
      </c>
      <c r="B15" s="8" t="s">
        <v>750</v>
      </c>
      <c r="C15" s="8" t="s">
        <v>751</v>
      </c>
      <c r="D15" s="12">
        <v>7</v>
      </c>
      <c r="E15" s="12">
        <v>2542</v>
      </c>
      <c r="F15" s="13">
        <f>IFERROR(D15/E15,"Pendiente de datos")</f>
        <v>0.0027537372147915028</v>
      </c>
      <c r="G15" s="8" t="s">
        <v>740</v>
      </c>
      <c r="H15" s="8" t="s">
        <v>723</v>
      </c>
      <c r="I15" s="8" t="s">
        <v>724</v>
      </c>
      <c r="J15" s="8" t="s">
        <v>752</v>
      </c>
      <c r="K15" s="8" t="s">
        <v>753</v>
      </c>
      <c r="L15" s="8"/>
    </row>
    <row r="16" spans="1:13" ht="64" customHeight="1">
      <c r="A16" s="8" t="s">
        <v>754</v>
      </c>
      <c r="B16" s="8" t="s">
        <v>750</v>
      </c>
      <c r="C16" s="8" t="s">
        <v>755</v>
      </c>
      <c r="D16" s="12">
        <v>2533</v>
      </c>
      <c r="E16" s="12">
        <v>2542</v>
      </c>
      <c r="F16" s="13">
        <f>IFERROR(D16/E16,"Pendiente de datos")</f>
        <v>0.9964594807238395</v>
      </c>
      <c r="G16" s="8" t="s">
        <v>740</v>
      </c>
      <c r="H16" s="8" t="s">
        <v>723</v>
      </c>
      <c r="I16" s="8" t="s">
        <v>724</v>
      </c>
      <c r="J16" s="8" t="s">
        <v>741</v>
      </c>
      <c r="K16" s="8" t="s">
        <v>756</v>
      </c>
      <c r="L16" s="8"/>
    </row>
    <row r="17" spans="1:12" ht="64" customHeight="1">
      <c r="A17" s="8" t="s">
        <v>757</v>
      </c>
      <c r="B17" s="8" t="s">
        <v>758</v>
      </c>
      <c r="C17" s="8" t="s">
        <v>759</v>
      </c>
      <c r="D17" s="12">
        <v>18895</v>
      </c>
      <c r="E17" s="12">
        <v>400632</v>
      </c>
      <c r="F17" s="13">
        <f>'Ausentismo'!I13</f>
        <v>0.04716298248766948</v>
      </c>
      <c r="G17" s="8" t="s">
        <v>740</v>
      </c>
      <c r="H17" s="8" t="s">
        <v>723</v>
      </c>
      <c r="I17" s="8" t="s">
        <v>724</v>
      </c>
      <c r="J17" s="8" t="s">
        <v>760</v>
      </c>
      <c r="K17" s="8" t="s">
        <v>761</v>
      </c>
      <c r="L17" s="8" t="s">
        <v>762</v>
      </c>
    </row>
    <row r="18" spans="1:12" ht="64" customHeight="1">
      <c r="A18" s="8" t="s">
        <v>763</v>
      </c>
      <c r="B18" s="8" t="s">
        <v>758</v>
      </c>
      <c r="C18" s="8" t="s">
        <v>764</v>
      </c>
      <c r="D18" s="12">
        <v>18895</v>
      </c>
      <c r="F18" s="12">
        <f>'Ausentismo'!E13</f>
        <v>18895</v>
      </c>
      <c r="G18" s="8" t="s">
        <v>765</v>
      </c>
      <c r="H18" s="8" t="s">
        <v>723</v>
      </c>
      <c r="I18" s="8" t="s">
        <v>724</v>
      </c>
      <c r="J18" s="8" t="s">
        <v>766</v>
      </c>
      <c r="K18" s="8" t="s">
        <v>767</v>
      </c>
      <c r="L18" s="8"/>
    </row>
    <row r="19" spans="1:12" ht="64" customHeight="1">
      <c r="A19" s="8" t="s">
        <v>768</v>
      </c>
      <c r="B19" s="8" t="s">
        <v>758</v>
      </c>
      <c r="C19" s="8" t="s">
        <v>769</v>
      </c>
      <c r="D19" s="12">
        <v>4015</v>
      </c>
      <c r="E19" s="12">
        <v>400632</v>
      </c>
      <c r="F19" s="13">
        <f>'Ausentismo'!K13</f>
        <v>0.010021665768086423</v>
      </c>
      <c r="G19" s="8" t="s">
        <v>740</v>
      </c>
      <c r="H19" s="8" t="s">
        <v>723</v>
      </c>
      <c r="I19" s="8" t="s">
        <v>724</v>
      </c>
      <c r="J19" s="8" t="s">
        <v>766</v>
      </c>
      <c r="K19" s="8"/>
      <c r="L19" s="8"/>
    </row>
    <row r="20" spans="1:12" ht="64" customHeight="1">
      <c r="A20" s="8" t="s">
        <v>770</v>
      </c>
      <c r="B20" s="8" t="s">
        <v>771</v>
      </c>
      <c r="C20" s="8" t="s">
        <v>772</v>
      </c>
      <c r="D20" s="12">
        <v>32</v>
      </c>
      <c r="F20" s="12">
        <f>D20</f>
        <v>32</v>
      </c>
      <c r="G20" s="8" t="s">
        <v>773</v>
      </c>
      <c r="H20" s="8" t="s">
        <v>723</v>
      </c>
      <c r="I20" s="8" t="s">
        <v>724</v>
      </c>
      <c r="J20" s="8" t="s">
        <v>774</v>
      </c>
      <c r="K20" s="8" t="s">
        <v>775</v>
      </c>
      <c r="L20" s="8"/>
    </row>
    <row r="21" spans="1:12" ht="64" customHeight="1">
      <c r="A21" s="8" t="s">
        <v>776</v>
      </c>
      <c r="B21" s="8" t="s">
        <v>771</v>
      </c>
      <c r="C21" s="8" t="s">
        <v>777</v>
      </c>
      <c r="D21" s="12">
        <v>30</v>
      </c>
      <c r="F21" s="12">
        <f>D21</f>
        <v>30</v>
      </c>
      <c r="G21" s="8" t="s">
        <v>778</v>
      </c>
      <c r="H21" s="8" t="s">
        <v>723</v>
      </c>
      <c r="I21" s="8" t="s">
        <v>779</v>
      </c>
      <c r="J21" s="8" t="s">
        <v>774</v>
      </c>
      <c r="K21" s="8" t="s">
        <v>780</v>
      </c>
      <c r="L21" s="8"/>
    </row>
    <row r="22" spans="1:12" ht="64" customHeight="1">
      <c r="A22" s="8" t="s">
        <v>781</v>
      </c>
      <c r="B22" s="8" t="s">
        <v>771</v>
      </c>
      <c r="C22" s="8" t="s">
        <v>782</v>
      </c>
      <c r="D22" s="12">
        <v>24</v>
      </c>
      <c r="F22" s="12">
        <f>D22</f>
        <v>24</v>
      </c>
      <c r="G22" s="8" t="s">
        <v>778</v>
      </c>
      <c r="H22" s="8" t="s">
        <v>723</v>
      </c>
      <c r="I22" s="8" t="s">
        <v>724</v>
      </c>
      <c r="J22" s="8" t="s">
        <v>783</v>
      </c>
      <c r="K22" s="8" t="s">
        <v>784</v>
      </c>
      <c r="L22" s="8"/>
    </row>
    <row r="23" spans="1:12" ht="64" customHeight="1">
      <c r="A23" s="8" t="s">
        <v>785</v>
      </c>
      <c r="B23" s="8" t="s">
        <v>771</v>
      </c>
      <c r="C23" s="8" t="s">
        <v>786</v>
      </c>
      <c r="D23" s="12">
        <v>14</v>
      </c>
      <c r="F23" s="12">
        <f>D23</f>
        <v>14</v>
      </c>
      <c r="G23" s="8" t="s">
        <v>778</v>
      </c>
      <c r="H23" s="8" t="s">
        <v>723</v>
      </c>
      <c r="I23" s="8" t="s">
        <v>724</v>
      </c>
      <c r="J23" s="8" t="s">
        <v>774</v>
      </c>
      <c r="K23" s="8" t="s">
        <v>787</v>
      </c>
      <c r="L23" s="8"/>
    </row>
    <row r="24" spans="1:12" ht="64" customHeight="1">
      <c r="A24" s="8" t="s">
        <v>788</v>
      </c>
      <c r="B24" s="8" t="s">
        <v>771</v>
      </c>
      <c r="C24" s="8" t="s">
        <v>789</v>
      </c>
      <c r="D24" s="12">
        <v>39</v>
      </c>
      <c r="E24" s="12">
        <v>39</v>
      </c>
      <c r="F24" s="13">
        <f>IFERROR(D24/E24,"Pendiente de datos")</f>
        <v>1.0</v>
      </c>
      <c r="G24" s="8" t="s">
        <v>740</v>
      </c>
      <c r="H24" s="8" t="s">
        <v>790</v>
      </c>
      <c r="I24" s="8" t="s">
        <v>791</v>
      </c>
      <c r="J24" s="8" t="s">
        <v>792</v>
      </c>
      <c r="K24" s="8" t="s">
        <v>793</v>
      </c>
      <c r="L24" s="8"/>
    </row>
    <row r="25" spans="1:12" ht="64" customHeight="1">
      <c r="A25" s="8" t="s">
        <v>794</v>
      </c>
      <c r="B25" s="8" t="s">
        <v>771</v>
      </c>
      <c r="C25" s="8" t="s">
        <v>795</v>
      </c>
      <c r="F25" s="10" t="s">
        <v>800</v>
      </c>
      <c r="G25" s="8" t="s">
        <v>740</v>
      </c>
      <c r="H25" s="8" t="s">
        <v>723</v>
      </c>
      <c r="I25" s="8" t="s">
        <v>796</v>
      </c>
      <c r="J25" s="8" t="s">
        <v>797</v>
      </c>
      <c r="K25" s="8" t="s">
        <v>798</v>
      </c>
      <c r="L25" s="8" t="s">
        <v>799</v>
      </c>
    </row>
    <row r="26" spans="1:12" ht="64" customHeight="1">
      <c r="A26" s="8" t="s">
        <v>801</v>
      </c>
      <c r="B26" s="8" t="s">
        <v>802</v>
      </c>
      <c r="C26" s="8" t="s">
        <v>772</v>
      </c>
      <c r="D26" s="12">
        <v>30</v>
      </c>
      <c r="F26" s="12">
        <f>D26</f>
        <v>30</v>
      </c>
      <c r="G26" s="8" t="s">
        <v>773</v>
      </c>
      <c r="H26" s="8" t="s">
        <v>723</v>
      </c>
      <c r="I26" s="8" t="s">
        <v>724</v>
      </c>
      <c r="J26" s="8" t="s">
        <v>803</v>
      </c>
      <c r="K26" s="8" t="s">
        <v>775</v>
      </c>
      <c r="L26" s="8"/>
    </row>
    <row r="27" spans="1:12" ht="64" customHeight="1">
      <c r="A27" s="8" t="s">
        <v>804</v>
      </c>
      <c r="B27" s="8" t="s">
        <v>802</v>
      </c>
      <c r="C27" s="8" t="s">
        <v>777</v>
      </c>
      <c r="D27" s="12">
        <v>28</v>
      </c>
      <c r="F27" s="12">
        <f>D27</f>
        <v>28</v>
      </c>
      <c r="G27" s="8" t="s">
        <v>778</v>
      </c>
      <c r="H27" s="8" t="s">
        <v>723</v>
      </c>
      <c r="I27" s="8" t="s">
        <v>779</v>
      </c>
      <c r="J27" s="8" t="s">
        <v>803</v>
      </c>
      <c r="K27" s="8" t="s">
        <v>805</v>
      </c>
      <c r="L27" s="8"/>
    </row>
    <row r="28" spans="1:12" ht="64" customHeight="1">
      <c r="A28" s="8" t="s">
        <v>806</v>
      </c>
      <c r="B28" s="8" t="s">
        <v>802</v>
      </c>
      <c r="C28" s="8" t="s">
        <v>782</v>
      </c>
      <c r="D28" s="12">
        <v>26</v>
      </c>
      <c r="F28" s="12">
        <f>D28</f>
        <v>26</v>
      </c>
      <c r="G28" s="8" t="s">
        <v>778</v>
      </c>
      <c r="H28" s="8" t="s">
        <v>723</v>
      </c>
      <c r="I28" s="8" t="s">
        <v>724</v>
      </c>
      <c r="J28" s="8" t="s">
        <v>807</v>
      </c>
      <c r="K28" s="8" t="s">
        <v>784</v>
      </c>
      <c r="L28" s="8"/>
    </row>
    <row r="29" spans="1:12" ht="64" customHeight="1">
      <c r="A29" s="8" t="s">
        <v>808</v>
      </c>
      <c r="B29" s="8" t="s">
        <v>802</v>
      </c>
      <c r="C29" s="8" t="s">
        <v>786</v>
      </c>
      <c r="D29" s="12">
        <v>6</v>
      </c>
      <c r="F29" s="12">
        <f>D29</f>
        <v>6</v>
      </c>
      <c r="G29" s="8" t="s">
        <v>778</v>
      </c>
      <c r="H29" s="8" t="s">
        <v>723</v>
      </c>
      <c r="I29" s="8" t="s">
        <v>724</v>
      </c>
      <c r="J29" s="8" t="s">
        <v>803</v>
      </c>
      <c r="K29" s="8" t="s">
        <v>787</v>
      </c>
      <c r="L29" s="8"/>
    </row>
    <row r="30" spans="1:12" ht="64" customHeight="1">
      <c r="A30" s="8" t="s">
        <v>809</v>
      </c>
      <c r="B30" s="8" t="s">
        <v>802</v>
      </c>
      <c r="C30" s="8" t="s">
        <v>789</v>
      </c>
      <c r="D30" s="12">
        <v>32</v>
      </c>
      <c r="E30" s="12">
        <v>32</v>
      </c>
      <c r="F30" s="13">
        <f>IFERROR(D30/E30,"Pendiente de datos")</f>
        <v>1.0</v>
      </c>
      <c r="G30" s="8" t="s">
        <v>740</v>
      </c>
      <c r="H30" s="8" t="s">
        <v>790</v>
      </c>
      <c r="I30" s="8" t="s">
        <v>791</v>
      </c>
      <c r="J30" s="8" t="s">
        <v>810</v>
      </c>
      <c r="K30" s="8" t="s">
        <v>793</v>
      </c>
      <c r="L30" s="8"/>
    </row>
    <row r="31" spans="1:12" ht="64" customHeight="1">
      <c r="A31" s="8" t="s">
        <v>811</v>
      </c>
      <c r="B31" s="8" t="s">
        <v>802</v>
      </c>
      <c r="C31" s="8" t="s">
        <v>795</v>
      </c>
      <c r="F31" s="10" t="s">
        <v>800</v>
      </c>
      <c r="G31" s="8" t="s">
        <v>740</v>
      </c>
      <c r="H31" s="8" t="s">
        <v>723</v>
      </c>
      <c r="I31" s="8" t="s">
        <v>796</v>
      </c>
      <c r="J31" s="8" t="s">
        <v>812</v>
      </c>
      <c r="K31" s="8" t="s">
        <v>798</v>
      </c>
      <c r="L31" s="8" t="s">
        <v>799</v>
      </c>
    </row>
    <row r="32" spans="1:12" ht="64" customHeight="1">
      <c r="A32" s="8" t="s">
        <v>813</v>
      </c>
      <c r="B32" s="8" t="s">
        <v>814</v>
      </c>
      <c r="C32" s="8" t="s">
        <v>815</v>
      </c>
      <c r="D32" s="12">
        <v>1694</v>
      </c>
      <c r="F32" s="12">
        <f>D32</f>
        <v>1694</v>
      </c>
      <c r="G32" s="8" t="s">
        <v>722</v>
      </c>
      <c r="H32" s="8" t="s">
        <v>723</v>
      </c>
      <c r="I32" s="8" t="s">
        <v>724</v>
      </c>
      <c r="J32" s="8" t="s">
        <v>816</v>
      </c>
      <c r="K32" s="8" t="s">
        <v>817</v>
      </c>
      <c r="L32" s="8"/>
    </row>
    <row r="33" spans="1:12" ht="64" customHeight="1">
      <c r="A33" s="8" t="s">
        <v>818</v>
      </c>
      <c r="B33" s="8" t="s">
        <v>814</v>
      </c>
      <c r="C33" s="8" t="s">
        <v>819</v>
      </c>
      <c r="D33" s="12">
        <v>614</v>
      </c>
      <c r="E33" s="12">
        <v>1694</v>
      </c>
      <c r="F33" s="13">
        <f>IFERROR(D33/E33,"Pendiente de datos")</f>
        <v>0.3624557260920897</v>
      </c>
      <c r="G33" s="8" t="s">
        <v>740</v>
      </c>
      <c r="H33" s="8" t="s">
        <v>723</v>
      </c>
      <c r="I33" s="8" t="s">
        <v>724</v>
      </c>
      <c r="J33" s="8" t="s">
        <v>820</v>
      </c>
      <c r="K33" s="8" t="s">
        <v>821</v>
      </c>
      <c r="L33" s="8" t="s">
        <v>822</v>
      </c>
    </row>
    <row r="34" spans="1:12" ht="64" customHeight="1">
      <c r="A34" s="8" t="s">
        <v>823</v>
      </c>
      <c r="B34" s="8" t="s">
        <v>814</v>
      </c>
      <c r="C34" s="8" t="s">
        <v>824</v>
      </c>
      <c r="D34" s="12">
        <v>1111</v>
      </c>
      <c r="E34" s="12">
        <v>1694</v>
      </c>
      <c r="F34" s="13">
        <f>IFERROR(D34/E34,"Pendiente de datos")</f>
        <v>0.6558441558441559</v>
      </c>
      <c r="G34" s="8" t="s">
        <v>740</v>
      </c>
      <c r="H34" s="8" t="s">
        <v>723</v>
      </c>
      <c r="I34" s="8" t="s">
        <v>724</v>
      </c>
      <c r="J34" s="8" t="s">
        <v>825</v>
      </c>
      <c r="K34" s="8" t="s">
        <v>826</v>
      </c>
      <c r="L34" s="8"/>
    </row>
    <row r="35" spans="1:12" ht="64" customHeight="1">
      <c r="A35" s="8" t="s">
        <v>827</v>
      </c>
      <c r="B35" s="8" t="s">
        <v>828</v>
      </c>
      <c r="C35" s="8" t="s">
        <v>829</v>
      </c>
      <c r="D35" s="12">
        <v>23</v>
      </c>
      <c r="F35" s="12">
        <f>D35</f>
        <v>23</v>
      </c>
      <c r="G35" s="8" t="s">
        <v>830</v>
      </c>
      <c r="H35" s="8" t="s">
        <v>723</v>
      </c>
      <c r="I35" s="8" t="s">
        <v>724</v>
      </c>
      <c r="J35" s="8" t="s">
        <v>831</v>
      </c>
      <c r="K35" s="8" t="s">
        <v>832</v>
      </c>
      <c r="L35" s="8"/>
    </row>
    <row r="36" spans="1:12" ht="64" customHeight="1">
      <c r="A36" s="8" t="s">
        <v>833</v>
      </c>
      <c r="B36" s="8" t="s">
        <v>828</v>
      </c>
      <c r="C36" s="8" t="s">
        <v>305</v>
      </c>
      <c r="D36" s="12">
        <v>15</v>
      </c>
      <c r="E36" s="12">
        <v>23</v>
      </c>
      <c r="F36" s="13">
        <f>IFERROR(D36/E36,"Pendiente de datos")</f>
        <v>0.6521739130434783</v>
      </c>
      <c r="G36" s="8" t="s">
        <v>740</v>
      </c>
      <c r="H36" s="8" t="s">
        <v>723</v>
      </c>
      <c r="I36" s="8" t="s">
        <v>724</v>
      </c>
      <c r="J36" s="8" t="s">
        <v>834</v>
      </c>
      <c r="K36" s="8" t="s">
        <v>835</v>
      </c>
      <c r="L36" s="8"/>
    </row>
    <row r="37" spans="1:12" ht="64" customHeight="1">
      <c r="A37" s="8" t="s">
        <v>836</v>
      </c>
      <c r="B37" s="8" t="s">
        <v>828</v>
      </c>
      <c r="C37" s="8" t="s">
        <v>837</v>
      </c>
      <c r="D37" s="12">
        <v>0</v>
      </c>
      <c r="E37" s="12">
        <v>23</v>
      </c>
      <c r="F37" s="13">
        <f>IFERROR(D37/E37,"Pendiente de datos")</f>
        <v>0.0</v>
      </c>
      <c r="G37" s="8" t="s">
        <v>740</v>
      </c>
      <c r="H37" s="8" t="s">
        <v>723</v>
      </c>
      <c r="I37" s="8" t="s">
        <v>724</v>
      </c>
      <c r="J37" s="8" t="s">
        <v>838</v>
      </c>
      <c r="K37" s="8" t="s">
        <v>839</v>
      </c>
      <c r="L37" s="8" t="s">
        <v>840</v>
      </c>
    </row>
    <row r="38" spans="1:12" ht="64" customHeight="1">
      <c r="A38" s="8" t="s">
        <v>841</v>
      </c>
      <c r="B38" s="8" t="s">
        <v>842</v>
      </c>
      <c r="C38" s="8" t="s">
        <v>843</v>
      </c>
      <c r="D38" s="12">
        <v>193</v>
      </c>
      <c r="E38" s="12">
        <v>432</v>
      </c>
      <c r="F38" s="13">
        <f>IFERROR(D38/E38,"Pendiente de datos")</f>
        <v>0.44675925925925924</v>
      </c>
      <c r="G38" s="8" t="s">
        <v>740</v>
      </c>
      <c r="H38" s="8" t="s">
        <v>844</v>
      </c>
      <c r="I38" s="8" t="s">
        <v>845</v>
      </c>
      <c r="J38" s="8" t="s">
        <v>846</v>
      </c>
      <c r="K38" s="8" t="s">
        <v>847</v>
      </c>
      <c r="L38" s="8" t="s">
        <v>848</v>
      </c>
    </row>
    <row r="39" spans="1:12" ht="64" customHeight="1">
      <c r="A39" s="8" t="s">
        <v>849</v>
      </c>
      <c r="B39" s="8" t="s">
        <v>842</v>
      </c>
      <c r="C39" s="8" t="s">
        <v>850</v>
      </c>
      <c r="D39" s="12">
        <v>46</v>
      </c>
      <c r="F39" s="12">
        <f>D39</f>
        <v>46</v>
      </c>
      <c r="G39" s="8" t="s">
        <v>851</v>
      </c>
      <c r="H39" s="8" t="s">
        <v>723</v>
      </c>
      <c r="I39" s="8" t="s">
        <v>724</v>
      </c>
      <c r="J39" s="8" t="s">
        <v>852</v>
      </c>
      <c r="K39" s="8" t="s">
        <v>853</v>
      </c>
      <c r="L39" s="8"/>
    </row>
    <row r="40" spans="1:12" ht="64" customHeight="1">
      <c r="A40" s="8" t="s">
        <v>854</v>
      </c>
      <c r="B40" s="8" t="s">
        <v>842</v>
      </c>
      <c r="C40" s="8" t="s">
        <v>855</v>
      </c>
      <c r="F40" s="10" t="s">
        <v>800</v>
      </c>
      <c r="G40" s="8" t="s">
        <v>740</v>
      </c>
      <c r="H40" s="8" t="s">
        <v>723</v>
      </c>
      <c r="I40" s="8" t="s">
        <v>856</v>
      </c>
      <c r="J40" s="8" t="s">
        <v>857</v>
      </c>
      <c r="K40" s="8" t="s">
        <v>858</v>
      </c>
      <c r="L40" s="8" t="s">
        <v>859</v>
      </c>
    </row>
    <row r="41" spans="1:12" ht="64" customHeight="1">
      <c r="A41" s="8" t="s">
        <v>860</v>
      </c>
      <c r="B41" s="8" t="s">
        <v>861</v>
      </c>
      <c r="C41" s="8" t="s">
        <v>862</v>
      </c>
      <c r="D41" s="12">
        <v>34</v>
      </c>
      <c r="E41" s="12">
        <v>36</v>
      </c>
      <c r="F41" s="13">
        <f>IFERROR(D41/E41,"Pendiente de datos")</f>
        <v>0.9444444444444444</v>
      </c>
      <c r="G41" s="8" t="s">
        <v>740</v>
      </c>
      <c r="H41" s="8" t="s">
        <v>863</v>
      </c>
      <c r="I41" s="8" t="s">
        <v>864</v>
      </c>
      <c r="J41" s="8" t="s">
        <v>865</v>
      </c>
      <c r="K41" s="8" t="s">
        <v>866</v>
      </c>
      <c r="L41" s="8" t="s">
        <v>867</v>
      </c>
    </row>
    <row r="42" spans="1:12" ht="64" customHeight="1">
      <c r="A42" s="8" t="s">
        <v>868</v>
      </c>
      <c r="B42" s="8" t="s">
        <v>861</v>
      </c>
      <c r="C42" s="8" t="s">
        <v>869</v>
      </c>
      <c r="D42" s="12">
        <v>3</v>
      </c>
      <c r="E42" s="12">
        <v>4</v>
      </c>
      <c r="F42" s="13">
        <f>IFERROR(D42/E42,"Pendiente de datos")</f>
        <v>0.75</v>
      </c>
      <c r="G42" s="8" t="s">
        <v>740</v>
      </c>
      <c r="H42" s="8" t="s">
        <v>863</v>
      </c>
      <c r="I42" s="8" t="s">
        <v>864</v>
      </c>
      <c r="J42" s="8" t="s">
        <v>865</v>
      </c>
      <c r="K42" s="8" t="s">
        <v>866</v>
      </c>
      <c r="L42" s="8" t="s">
        <v>867</v>
      </c>
    </row>
    <row r="43" spans="1:12" ht="64" customHeight="1">
      <c r="A43" s="8" t="s">
        <v>870</v>
      </c>
      <c r="B43" s="8" t="s">
        <v>861</v>
      </c>
      <c r="C43" s="8" t="s">
        <v>871</v>
      </c>
      <c r="D43" s="12">
        <v>6</v>
      </c>
      <c r="E43" s="12">
        <v>7</v>
      </c>
      <c r="F43" s="13">
        <f>IFERROR(D43/E43,"Pendiente de datos")</f>
        <v>0.8571428571428571</v>
      </c>
      <c r="G43" s="8" t="s">
        <v>740</v>
      </c>
      <c r="H43" s="8" t="s">
        <v>863</v>
      </c>
      <c r="I43" s="8" t="s">
        <v>864</v>
      </c>
      <c r="J43" s="8" t="s">
        <v>865</v>
      </c>
      <c r="K43" s="8" t="s">
        <v>866</v>
      </c>
      <c r="L43" s="8" t="s">
        <v>867</v>
      </c>
    </row>
    <row r="44" spans="1:12" ht="64" customHeight="1">
      <c r="A44" s="8" t="s">
        <v>872</v>
      </c>
      <c r="B44" s="8" t="s">
        <v>861</v>
      </c>
      <c r="C44" s="8" t="s">
        <v>873</v>
      </c>
      <c r="D44" s="12">
        <v>3</v>
      </c>
      <c r="F44" s="12">
        <f>D44</f>
        <v>3</v>
      </c>
      <c r="G44" s="8" t="s">
        <v>874</v>
      </c>
      <c r="H44" s="8" t="s">
        <v>863</v>
      </c>
      <c r="I44" s="8" t="s">
        <v>864</v>
      </c>
      <c r="J44" s="8" t="s">
        <v>875</v>
      </c>
      <c r="K44" s="8"/>
      <c r="L44" s="8"/>
    </row>
    <row r="45" spans="1:12" ht="64" customHeight="1">
      <c r="A45" s="8" t="s">
        <v>876</v>
      </c>
      <c r="B45" s="8" t="s">
        <v>861</v>
      </c>
      <c r="C45" s="8" t="s">
        <v>877</v>
      </c>
      <c r="D45" s="12">
        <v>35</v>
      </c>
      <c r="E45" s="12">
        <v>36</v>
      </c>
      <c r="F45" s="13">
        <f>IFERROR(D45/E45,"Pendiente de datos")</f>
        <v>0.9722222222222222</v>
      </c>
      <c r="G45" s="8" t="s">
        <v>740</v>
      </c>
      <c r="H45" s="8" t="s">
        <v>723</v>
      </c>
      <c r="I45" s="8" t="s">
        <v>878</v>
      </c>
      <c r="J45" s="8" t="s">
        <v>879</v>
      </c>
      <c r="K45" s="8" t="s">
        <v>880</v>
      </c>
      <c r="L45" s="8"/>
    </row>
    <row r="46" spans="1:12" ht="64" customHeight="1">
      <c r="A46" s="8" t="s">
        <v>881</v>
      </c>
      <c r="B46" s="8" t="s">
        <v>861</v>
      </c>
      <c r="C46" s="8" t="s">
        <v>882</v>
      </c>
      <c r="F46" s="10" t="s">
        <v>800</v>
      </c>
      <c r="G46" s="8" t="s">
        <v>740</v>
      </c>
      <c r="H46" s="8" t="s">
        <v>723</v>
      </c>
      <c r="I46" s="8" t="s">
        <v>883</v>
      </c>
      <c r="J46" s="8" t="s">
        <v>884</v>
      </c>
      <c r="K46" s="8" t="s">
        <v>885</v>
      </c>
      <c r="L46" s="8" t="s">
        <v>886</v>
      </c>
    </row>
    <row r="47" spans="1:12" ht="64" customHeight="1">
      <c r="A47" s="8" t="s">
        <v>887</v>
      </c>
      <c r="B47" s="8" t="s">
        <v>888</v>
      </c>
      <c r="C47" s="8" t="s">
        <v>889</v>
      </c>
      <c r="D47" s="12">
        <v>2</v>
      </c>
      <c r="F47" s="12">
        <f>D47</f>
        <v>2</v>
      </c>
      <c r="G47" s="8" t="s">
        <v>890</v>
      </c>
      <c r="H47" s="8" t="s">
        <v>891</v>
      </c>
      <c r="I47" s="8" t="s">
        <v>892</v>
      </c>
      <c r="J47" s="8" t="s">
        <v>893</v>
      </c>
      <c r="K47" s="8"/>
      <c r="L47" s="8" t="s">
        <v>894</v>
      </c>
    </row>
    <row r="48" spans="1:12" ht="64" customHeight="1">
      <c r="A48" s="8" t="s">
        <v>895</v>
      </c>
      <c r="B48" s="8" t="s">
        <v>888</v>
      </c>
      <c r="C48" s="8" t="s">
        <v>896</v>
      </c>
      <c r="D48" s="12">
        <v>42</v>
      </c>
      <c r="E48" s="12">
        <v>44</v>
      </c>
      <c r="F48" s="13">
        <f>IFERROR(D48/E48,"Pendiente de datos")</f>
        <v>0.9545454545454546</v>
      </c>
      <c r="G48" s="8" t="s">
        <v>740</v>
      </c>
      <c r="H48" s="8" t="s">
        <v>891</v>
      </c>
      <c r="I48" s="8" t="s">
        <v>892</v>
      </c>
      <c r="J48" s="8" t="s">
        <v>893</v>
      </c>
      <c r="K48" s="8" t="s">
        <v>897</v>
      </c>
      <c r="L48" s="8"/>
    </row>
    <row r="49" spans="1:12" ht="64" customHeight="1">
      <c r="A49" s="8" t="s">
        <v>898</v>
      </c>
      <c r="B49" s="8" t="s">
        <v>888</v>
      </c>
      <c r="C49" s="8" t="s">
        <v>899</v>
      </c>
      <c r="F49" s="10" t="s">
        <v>800</v>
      </c>
      <c r="G49" s="8" t="s">
        <v>740</v>
      </c>
      <c r="H49" s="8" t="s">
        <v>723</v>
      </c>
      <c r="I49" s="8" t="s">
        <v>900</v>
      </c>
      <c r="J49" s="8" t="s">
        <v>901</v>
      </c>
      <c r="K49" s="8" t="s">
        <v>902</v>
      </c>
      <c r="L49" s="8" t="s">
        <v>903</v>
      </c>
    </row>
    <row r="50" spans="1:12" ht="64" customHeight="1">
      <c r="A50" s="8" t="s">
        <v>904</v>
      </c>
      <c r="B50" s="8" t="s">
        <v>905</v>
      </c>
      <c r="C50" s="8" t="s">
        <v>906</v>
      </c>
      <c r="D50" s="12">
        <v>1</v>
      </c>
      <c r="F50" s="12">
        <f>D50</f>
        <v>1</v>
      </c>
      <c r="G50" s="8" t="s">
        <v>907</v>
      </c>
      <c r="H50" s="8" t="s">
        <v>723</v>
      </c>
      <c r="I50" s="8" t="s">
        <v>724</v>
      </c>
      <c r="J50" s="8" t="s">
        <v>908</v>
      </c>
      <c r="K50" s="8" t="s">
        <v>909</v>
      </c>
      <c r="L50" s="8"/>
    </row>
    <row r="51" spans="1:12" ht="64" customHeight="1">
      <c r="A51" s="8" t="s">
        <v>910</v>
      </c>
      <c r="B51" s="8" t="s">
        <v>905</v>
      </c>
      <c r="C51" s="8" t="s">
        <v>911</v>
      </c>
      <c r="F51" s="10" t="s">
        <v>800</v>
      </c>
      <c r="G51" s="8" t="s">
        <v>740</v>
      </c>
      <c r="H51" s="8" t="s">
        <v>723</v>
      </c>
      <c r="I51" s="8" t="s">
        <v>912</v>
      </c>
      <c r="J51" s="8" t="s">
        <v>913</v>
      </c>
      <c r="K51" s="8" t="s">
        <v>914</v>
      </c>
      <c r="L51" s="8" t="s">
        <v>915</v>
      </c>
    </row>
    <row r="52" spans="1:12" ht="64" customHeight="1">
      <c r="A52" s="8" t="s">
        <v>916</v>
      </c>
      <c r="B52" s="8" t="s">
        <v>905</v>
      </c>
      <c r="C52" s="8" t="s">
        <v>917</v>
      </c>
      <c r="F52" s="10" t="s">
        <v>800</v>
      </c>
      <c r="G52" s="8" t="s">
        <v>740</v>
      </c>
      <c r="H52" s="8" t="s">
        <v>723</v>
      </c>
      <c r="I52" s="8" t="s">
        <v>918</v>
      </c>
      <c r="J52" s="8" t="s">
        <v>919</v>
      </c>
      <c r="K52" s="8" t="s">
        <v>920</v>
      </c>
      <c r="L52" s="8"/>
    </row>
    <row r="53" spans="1:12" ht="64" customHeight="1">
      <c r="A53" s="8" t="s">
        <v>921</v>
      </c>
      <c r="B53" s="8" t="s">
        <v>922</v>
      </c>
      <c r="C53" s="8" t="s">
        <v>923</v>
      </c>
      <c r="D53" s="12">
        <v>6</v>
      </c>
      <c r="F53" s="12">
        <f>D53</f>
        <v>6</v>
      </c>
      <c r="G53" s="8" t="s">
        <v>773</v>
      </c>
      <c r="H53" s="8" t="s">
        <v>924</v>
      </c>
      <c r="I53" s="8" t="s">
        <v>925</v>
      </c>
      <c r="J53" s="8" t="s">
        <v>926</v>
      </c>
      <c r="K53" s="8"/>
      <c r="L53" s="8"/>
    </row>
    <row r="54" spans="1:12" ht="64" customHeight="1">
      <c r="A54" s="8" t="s">
        <v>927</v>
      </c>
      <c r="B54" s="8" t="s">
        <v>922</v>
      </c>
      <c r="C54" s="8" t="s">
        <v>928</v>
      </c>
      <c r="F54" s="10" t="s">
        <v>800</v>
      </c>
      <c r="G54" s="8" t="s">
        <v>740</v>
      </c>
      <c r="H54" s="8" t="s">
        <v>723</v>
      </c>
      <c r="I54" s="8" t="s">
        <v>929</v>
      </c>
      <c r="J54" s="8" t="s">
        <v>930</v>
      </c>
      <c r="K54" s="8" t="s">
        <v>931</v>
      </c>
      <c r="L54" s="8"/>
    </row>
    <row r="55" spans="1:12" ht="64" customHeight="1">
      <c r="A55" s="8" t="s">
        <v>932</v>
      </c>
      <c r="B55" s="8" t="s">
        <v>933</v>
      </c>
      <c r="C55" s="8" t="s">
        <v>934</v>
      </c>
      <c r="F55" s="10" t="s">
        <v>800</v>
      </c>
      <c r="G55" s="8" t="s">
        <v>740</v>
      </c>
      <c r="H55" s="8" t="s">
        <v>723</v>
      </c>
      <c r="I55" s="8" t="s">
        <v>935</v>
      </c>
      <c r="J55" s="8"/>
      <c r="K55" s="8" t="s">
        <v>936</v>
      </c>
      <c r="L55" s="8" t="s">
        <v>937</v>
      </c>
    </row>
    <row r="56" spans="1:12" ht="64" customHeight="1">
      <c r="A56" s="8" t="s">
        <v>938</v>
      </c>
      <c r="B56" s="8" t="s">
        <v>933</v>
      </c>
      <c r="C56" s="8" t="s">
        <v>939</v>
      </c>
      <c r="F56" s="10" t="s">
        <v>800</v>
      </c>
      <c r="G56" s="8" t="s">
        <v>740</v>
      </c>
      <c r="H56" s="8" t="s">
        <v>723</v>
      </c>
      <c r="I56" s="8" t="s">
        <v>935</v>
      </c>
      <c r="J56" s="8"/>
      <c r="K56" s="8" t="s">
        <v>940</v>
      </c>
      <c r="L56" s="8" t="s">
        <v>941</v>
      </c>
    </row>
    <row r="57" spans="1:12" ht="64" customHeight="1">
      <c r="A57" s="8" t="s">
        <v>942</v>
      </c>
      <c r="B57" s="8" t="s">
        <v>943</v>
      </c>
      <c r="C57" s="8" t="s">
        <v>944</v>
      </c>
      <c r="D57" s="12">
        <v>104</v>
      </c>
      <c r="F57" s="12">
        <f>D57</f>
        <v>104</v>
      </c>
      <c r="G57" s="8" t="s">
        <v>773</v>
      </c>
      <c r="H57" s="8" t="s">
        <v>945</v>
      </c>
      <c r="I57" s="8" t="s">
        <v>946</v>
      </c>
      <c r="J57" s="8" t="s">
        <v>947</v>
      </c>
      <c r="K57" s="8" t="s">
        <v>948</v>
      </c>
      <c r="L57" s="8" t="s">
        <v>949</v>
      </c>
    </row>
    <row r="58" spans="1:12" ht="64" customHeight="1">
      <c r="A58" s="8" t="s">
        <v>950</v>
      </c>
      <c r="B58" s="8" t="s">
        <v>943</v>
      </c>
      <c r="C58" s="8" t="s">
        <v>951</v>
      </c>
      <c r="D58" s="12">
        <v>25</v>
      </c>
      <c r="E58" s="12">
        <v>104</v>
      </c>
      <c r="F58" s="13">
        <f>IFERROR(D58/E58,"Pendiente de datos")</f>
        <v>0.2403846153846154</v>
      </c>
      <c r="G58" s="8" t="s">
        <v>740</v>
      </c>
      <c r="H58" s="8" t="s">
        <v>945</v>
      </c>
      <c r="I58" s="8" t="s">
        <v>952</v>
      </c>
      <c r="J58" s="8" t="s">
        <v>953</v>
      </c>
      <c r="K58" s="8" t="s">
        <v>954</v>
      </c>
      <c r="L58" s="8"/>
    </row>
    <row r="59" spans="1:12" ht="64" customHeight="1">
      <c r="A59" s="8" t="s">
        <v>955</v>
      </c>
      <c r="B59" s="8" t="s">
        <v>943</v>
      </c>
      <c r="C59" s="8" t="s">
        <v>956</v>
      </c>
      <c r="F59" s="10" t="s">
        <v>800</v>
      </c>
      <c r="G59" s="8" t="s">
        <v>740</v>
      </c>
      <c r="H59" s="8" t="s">
        <v>957</v>
      </c>
      <c r="I59" s="8" t="s">
        <v>958</v>
      </c>
      <c r="J59" s="8" t="s">
        <v>959</v>
      </c>
      <c r="K59" s="8" t="s">
        <v>960</v>
      </c>
      <c r="L59" s="8"/>
    </row>
    <row r="60" spans="1:12" ht="64" customHeight="1">
      <c r="A60" s="8" t="s">
        <v>961</v>
      </c>
      <c r="B60" s="8" t="s">
        <v>888</v>
      </c>
      <c r="C60" s="8" t="s">
        <v>962</v>
      </c>
      <c r="D60" s="12">
        <v>952</v>
      </c>
      <c r="F60" s="12">
        <f>D60</f>
        <v>952.0</v>
      </c>
      <c r="G60" s="8" t="s">
        <v>963</v>
      </c>
      <c r="H60" s="8" t="s">
        <v>723</v>
      </c>
      <c r="I60" s="8" t="s">
        <v>964</v>
      </c>
      <c r="J60" s="8" t="s">
        <v>965</v>
      </c>
      <c r="K60" s="8" t="s">
        <v>966</v>
      </c>
      <c r="L60" s="8"/>
    </row>
    <row r="61" spans="1:12" ht="64" customHeight="1">
      <c r="A61" s="8" t="s">
        <v>967</v>
      </c>
      <c r="B61" s="8" t="s">
        <v>888</v>
      </c>
      <c r="C61" s="8" t="s">
        <v>968</v>
      </c>
      <c r="D61" s="12">
        <v>59</v>
      </c>
      <c r="F61" s="12">
        <f>D61</f>
        <v>59.0</v>
      </c>
      <c r="G61" s="8" t="s">
        <v>963</v>
      </c>
      <c r="H61" s="8" t="s">
        <v>723</v>
      </c>
      <c r="I61" s="8" t="s">
        <v>964</v>
      </c>
      <c r="J61" s="8" t="s">
        <v>969</v>
      </c>
      <c r="K61" s="8" t="s">
        <v>966</v>
      </c>
      <c r="L61" s="8"/>
    </row>
    <row r="62" spans="1:12" ht="64" customHeight="1">
      <c r="A62" s="8" t="s">
        <v>970</v>
      </c>
      <c r="B62" s="8" t="s">
        <v>689</v>
      </c>
      <c r="C62" s="8" t="s">
        <v>971</v>
      </c>
      <c r="D62" s="12">
        <v>72</v>
      </c>
      <c r="E62" s="12">
        <v>80</v>
      </c>
      <c r="F62" s="13">
        <f>IFERROR(D62/E62,"Pendiente de datos")</f>
        <v>0.9</v>
      </c>
      <c r="G62" s="8" t="s">
        <v>740</v>
      </c>
      <c r="H62" s="8" t="s">
        <v>723</v>
      </c>
      <c r="I62" s="8" t="s">
        <v>724</v>
      </c>
      <c r="J62" s="8" t="s">
        <v>972</v>
      </c>
      <c r="K62" s="8" t="s">
        <v>973</v>
      </c>
      <c r="L62" s="8"/>
    </row>
  </sheetData>
  <autoFilter ref="A6:L62"/>
  <mergeCells count="2">
    <mergeCell ref="A1:M2"/>
    <mergeCell ref="A3:M4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7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29.7109375" customWidth="1"/>
    <col min="2" max="2" width="52.7109375" customWidth="1"/>
    <col min="3" max="3" width="70.7109375" customWidth="1"/>
    <col min="4" max="4" width="43.7109375" customWidth="1"/>
    <col min="5" max="5" width="29.7109375" customWidth="1"/>
    <col min="6" max="8" width="15.7109375" customWidth="1"/>
    <col min="9" max="9" width="70.7109375" customWidth="1"/>
    <col min="10" max="12" width="15.7109375" customWidth="1"/>
  </cols>
  <sheetData>
    <row r="1" spans="1:12" ht="25" customHeight="1">
      <c r="A1" s="1" t="s">
        <v>974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975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9" t="s">
        <v>4</v>
      </c>
    </row>
    <row r="6" spans="1:12" ht="42" customHeight="1">
      <c r="A6" s="11" t="s">
        <v>710</v>
      </c>
      <c r="B6" s="11" t="s">
        <v>976</v>
      </c>
      <c r="C6" s="11" t="s">
        <v>718</v>
      </c>
      <c r="D6" s="11" t="s">
        <v>977</v>
      </c>
      <c r="E6" s="11" t="s">
        <v>978</v>
      </c>
    </row>
    <row r="7" spans="1:12" ht="55" customHeight="1">
      <c r="A7" s="8" t="s">
        <v>720</v>
      </c>
      <c r="B7" s="8" t="s">
        <v>979</v>
      </c>
      <c r="C7" s="8" t="s">
        <v>980</v>
      </c>
      <c r="D7" s="8" t="s">
        <v>103</v>
      </c>
      <c r="E7" s="8" t="s">
        <v>981</v>
      </c>
    </row>
    <row r="8" spans="1:12" ht="55" customHeight="1">
      <c r="A8" s="8" t="s">
        <v>982</v>
      </c>
      <c r="B8" s="8" t="s">
        <v>983</v>
      </c>
      <c r="C8" s="8" t="s">
        <v>984</v>
      </c>
      <c r="D8" s="8" t="s">
        <v>985</v>
      </c>
      <c r="E8" s="8" t="s">
        <v>981</v>
      </c>
    </row>
    <row r="9" spans="1:12" ht="55" customHeight="1">
      <c r="A9" s="8" t="s">
        <v>842</v>
      </c>
      <c r="B9" s="8" t="s">
        <v>986</v>
      </c>
      <c r="C9" s="8" t="s">
        <v>987</v>
      </c>
      <c r="D9" s="8" t="s">
        <v>988</v>
      </c>
      <c r="E9" s="8" t="s">
        <v>989</v>
      </c>
    </row>
    <row r="10" spans="1:12" ht="55" customHeight="1">
      <c r="A10" s="8" t="s">
        <v>905</v>
      </c>
      <c r="B10" s="8" t="s">
        <v>990</v>
      </c>
      <c r="C10" s="8" t="s">
        <v>991</v>
      </c>
      <c r="D10" s="8" t="s">
        <v>992</v>
      </c>
      <c r="E10" s="8" t="s">
        <v>993</v>
      </c>
    </row>
    <row r="11" spans="1:12" ht="55" customHeight="1">
      <c r="A11" s="8" t="s">
        <v>994</v>
      </c>
      <c r="B11" s="8" t="s">
        <v>995</v>
      </c>
      <c r="C11" s="8" t="s">
        <v>996</v>
      </c>
      <c r="D11" s="8" t="s">
        <v>992</v>
      </c>
      <c r="E11" s="8" t="s">
        <v>993</v>
      </c>
    </row>
    <row r="12" spans="1:12" ht="55" customHeight="1">
      <c r="A12" s="8" t="s">
        <v>997</v>
      </c>
      <c r="B12" s="8" t="s">
        <v>998</v>
      </c>
      <c r="C12" s="8" t="s">
        <v>999</v>
      </c>
      <c r="D12" s="8" t="s">
        <v>1000</v>
      </c>
      <c r="E12" s="8" t="s">
        <v>1001</v>
      </c>
    </row>
    <row r="13" spans="1:12" ht="55" customHeight="1">
      <c r="A13" s="8" t="s">
        <v>888</v>
      </c>
      <c r="B13" s="8" t="s">
        <v>1002</v>
      </c>
      <c r="C13" s="8" t="s">
        <v>1003</v>
      </c>
      <c r="D13" s="8" t="s">
        <v>7</v>
      </c>
      <c r="E13" s="8" t="s">
        <v>981</v>
      </c>
    </row>
    <row r="14" spans="1:12" ht="55" customHeight="1">
      <c r="A14" s="8" t="s">
        <v>1004</v>
      </c>
      <c r="B14" s="8" t="s">
        <v>1005</v>
      </c>
      <c r="C14" s="8" t="s">
        <v>1006</v>
      </c>
      <c r="D14" s="8" t="s">
        <v>1007</v>
      </c>
      <c r="E14" s="8" t="s">
        <v>1008</v>
      </c>
    </row>
    <row r="17" spans="1:9">
      <c r="A17" s="11" t="s">
        <v>1009</v>
      </c>
      <c r="B17" s="11" t="s">
        <v>319</v>
      </c>
      <c r="C17" s="11" t="s">
        <v>1010</v>
      </c>
      <c r="D17" s="11" t="s">
        <v>714</v>
      </c>
      <c r="E17" s="11" t="s">
        <v>1011</v>
      </c>
      <c r="F17" s="11" t="s">
        <v>1012</v>
      </c>
      <c r="G17" s="11" t="s">
        <v>1013</v>
      </c>
      <c r="H17" s="11" t="s">
        <v>1014</v>
      </c>
      <c r="I17" s="11" t="s">
        <v>1015</v>
      </c>
    </row>
    <row r="18" spans="1:9" ht="36" customHeight="1">
      <c r="A18" s="8" t="s">
        <v>719</v>
      </c>
      <c r="B18" s="8" t="s">
        <v>721</v>
      </c>
      <c r="C18" s="12">
        <f>'Catálogo de indicadores'!F7</f>
        <v>2542</v>
      </c>
      <c r="D18" s="8" t="s">
        <v>722</v>
      </c>
      <c r="E18" s="14"/>
      <c r="F18" s="14"/>
      <c r="G18" s="14"/>
      <c r="H18" s="14"/>
      <c r="I18" s="14"/>
    </row>
    <row r="19" spans="1:9" ht="36" customHeight="1">
      <c r="A19" s="8" t="s">
        <v>728</v>
      </c>
      <c r="B19" s="8" t="s">
        <v>729</v>
      </c>
      <c r="C19" s="12">
        <f>'Catálogo de indicadores'!F8</f>
        <v>947</v>
      </c>
      <c r="D19" s="8" t="s">
        <v>722</v>
      </c>
      <c r="E19" s="14"/>
      <c r="F19" s="14"/>
      <c r="G19" s="14"/>
      <c r="H19" s="14"/>
      <c r="I19" s="14"/>
    </row>
    <row r="20" spans="1:9" ht="36" customHeight="1">
      <c r="A20" s="8" t="s">
        <v>730</v>
      </c>
      <c r="B20" s="8" t="s">
        <v>731</v>
      </c>
      <c r="C20" s="12">
        <f>'Catálogo de indicadores'!F9</f>
        <v>348</v>
      </c>
      <c r="D20" s="8" t="s">
        <v>722</v>
      </c>
      <c r="E20" s="14"/>
      <c r="F20" s="14"/>
      <c r="G20" s="14"/>
      <c r="H20" s="14"/>
      <c r="I20" s="14"/>
    </row>
    <row r="21" spans="1:9" ht="36" customHeight="1">
      <c r="A21" s="8" t="s">
        <v>732</v>
      </c>
      <c r="B21" s="8" t="s">
        <v>733</v>
      </c>
      <c r="C21" s="12">
        <f>'Catálogo de indicadores'!F10</f>
        <v>1238</v>
      </c>
      <c r="D21" s="8" t="s">
        <v>722</v>
      </c>
      <c r="E21" s="14"/>
      <c r="F21" s="14"/>
      <c r="G21" s="14"/>
      <c r="H21" s="14"/>
      <c r="I21" s="14"/>
    </row>
    <row r="22" spans="1:9" ht="36" customHeight="1">
      <c r="A22" s="8" t="s">
        <v>734</v>
      </c>
      <c r="B22" s="8" t="s">
        <v>735</v>
      </c>
      <c r="C22" s="12">
        <f>'Catálogo de indicadores'!F11</f>
        <v>1295</v>
      </c>
      <c r="D22" s="8" t="s">
        <v>722</v>
      </c>
      <c r="E22" s="14"/>
      <c r="F22" s="14"/>
      <c r="G22" s="14"/>
      <c r="H22" s="14"/>
      <c r="I22" s="14"/>
    </row>
    <row r="23" spans="1:9" ht="36" customHeight="1">
      <c r="A23" s="8" t="s">
        <v>736</v>
      </c>
      <c r="B23" s="8" t="s">
        <v>737</v>
      </c>
      <c r="C23" s="12">
        <f>'Catálogo de indicadores'!F12</f>
        <v>80</v>
      </c>
      <c r="D23" s="8" t="s">
        <v>722</v>
      </c>
      <c r="E23" s="14"/>
      <c r="F23" s="14"/>
      <c r="G23" s="14"/>
      <c r="H23" s="14"/>
      <c r="I23" s="14"/>
    </row>
    <row r="24" spans="1:9" ht="36" customHeight="1">
      <c r="A24" s="8" t="s">
        <v>738</v>
      </c>
      <c r="B24" s="8" t="s">
        <v>739</v>
      </c>
      <c r="C24" s="13">
        <f>'Catálogo de indicadores'!F13</f>
        <v>0.509441384736428</v>
      </c>
      <c r="D24" s="8" t="s">
        <v>740</v>
      </c>
      <c r="E24" s="14"/>
      <c r="F24" s="14"/>
      <c r="G24" s="14"/>
      <c r="H24" s="14"/>
      <c r="I24" s="14"/>
    </row>
    <row r="25" spans="1:9" ht="36" customHeight="1">
      <c r="A25" s="8" t="s">
        <v>743</v>
      </c>
      <c r="B25" s="8" t="s">
        <v>744</v>
      </c>
      <c r="C25" s="12">
        <f>'Catálogo de indicadores'!F14</f>
        <v>351</v>
      </c>
      <c r="D25" s="8" t="s">
        <v>745</v>
      </c>
      <c r="E25" s="14"/>
      <c r="F25" s="14"/>
      <c r="G25" s="14"/>
      <c r="H25" s="14"/>
      <c r="I25" s="14"/>
    </row>
    <row r="26" spans="1:9" ht="36" customHeight="1">
      <c r="A26" s="8" t="s">
        <v>749</v>
      </c>
      <c r="B26" s="8" t="s">
        <v>751</v>
      </c>
      <c r="C26" s="13">
        <f>'Catálogo de indicadores'!F15</f>
        <v>0.0027537372147915028</v>
      </c>
      <c r="D26" s="8" t="s">
        <v>740</v>
      </c>
      <c r="E26" s="14"/>
      <c r="F26" s="14"/>
      <c r="G26" s="14"/>
      <c r="H26" s="14"/>
      <c r="I26" s="14"/>
    </row>
    <row r="27" spans="1:9" ht="36" customHeight="1">
      <c r="A27" s="8" t="s">
        <v>754</v>
      </c>
      <c r="B27" s="8" t="s">
        <v>755</v>
      </c>
      <c r="C27" s="13">
        <f>'Catálogo de indicadores'!F16</f>
        <v>0.9964594807238395</v>
      </c>
      <c r="D27" s="8" t="s">
        <v>740</v>
      </c>
      <c r="E27" s="14"/>
      <c r="F27" s="14"/>
      <c r="G27" s="14"/>
      <c r="H27" s="14"/>
      <c r="I27" s="14"/>
    </row>
    <row r="28" spans="1:9" ht="36" customHeight="1">
      <c r="A28" s="8" t="s">
        <v>757</v>
      </c>
      <c r="B28" s="8" t="s">
        <v>759</v>
      </c>
      <c r="C28" s="13">
        <f>'Catálogo de indicadores'!F17</f>
        <v>0.04716298248766948</v>
      </c>
      <c r="D28" s="8" t="s">
        <v>740</v>
      </c>
      <c r="E28" s="14"/>
      <c r="F28" s="14"/>
      <c r="G28" s="14"/>
      <c r="H28" s="14"/>
      <c r="I28" s="14"/>
    </row>
    <row r="29" spans="1:9" ht="36" customHeight="1">
      <c r="A29" s="8" t="s">
        <v>763</v>
      </c>
      <c r="B29" s="8" t="s">
        <v>764</v>
      </c>
      <c r="C29" s="12">
        <f>'Catálogo de indicadores'!F18</f>
        <v>18895</v>
      </c>
      <c r="D29" s="8" t="s">
        <v>765</v>
      </c>
      <c r="E29" s="14"/>
      <c r="F29" s="14"/>
      <c r="G29" s="14"/>
      <c r="H29" s="14"/>
      <c r="I29" s="14"/>
    </row>
    <row r="30" spans="1:9" ht="36" customHeight="1">
      <c r="A30" s="8" t="s">
        <v>768</v>
      </c>
      <c r="B30" s="8" t="s">
        <v>769</v>
      </c>
      <c r="C30" s="13">
        <f>'Catálogo de indicadores'!F19</f>
        <v>0.010021665768086423</v>
      </c>
      <c r="D30" s="8" t="s">
        <v>740</v>
      </c>
      <c r="E30" s="14"/>
      <c r="F30" s="14"/>
      <c r="G30" s="14"/>
      <c r="H30" s="14"/>
      <c r="I30" s="14"/>
    </row>
    <row r="31" spans="1:9" ht="36" customHeight="1">
      <c r="A31" s="8" t="s">
        <v>770</v>
      </c>
      <c r="B31" s="8" t="s">
        <v>772</v>
      </c>
      <c r="C31" s="12">
        <f>'Catálogo de indicadores'!F20</f>
        <v>32</v>
      </c>
      <c r="D31" s="8" t="s">
        <v>773</v>
      </c>
      <c r="E31" s="14"/>
      <c r="F31" s="14"/>
      <c r="G31" s="14"/>
      <c r="H31" s="14"/>
      <c r="I31" s="14"/>
    </row>
    <row r="32" spans="1:9" ht="36" customHeight="1">
      <c r="A32" s="8" t="s">
        <v>776</v>
      </c>
      <c r="B32" s="8" t="s">
        <v>777</v>
      </c>
      <c r="C32" s="12">
        <f>'Catálogo de indicadores'!F21</f>
        <v>30</v>
      </c>
      <c r="D32" s="8" t="s">
        <v>778</v>
      </c>
      <c r="E32" s="14"/>
      <c r="F32" s="14"/>
      <c r="G32" s="14"/>
      <c r="H32" s="14"/>
      <c r="I32" s="14"/>
    </row>
    <row r="33" spans="1:9" ht="36" customHeight="1">
      <c r="A33" s="8" t="s">
        <v>781</v>
      </c>
      <c r="B33" s="8" t="s">
        <v>782</v>
      </c>
      <c r="C33" s="12">
        <f>'Catálogo de indicadores'!F22</f>
        <v>24</v>
      </c>
      <c r="D33" s="8" t="s">
        <v>778</v>
      </c>
      <c r="E33" s="14"/>
      <c r="F33" s="14"/>
      <c r="G33" s="14"/>
      <c r="H33" s="14"/>
      <c r="I33" s="14"/>
    </row>
    <row r="34" spans="1:9" ht="36" customHeight="1">
      <c r="A34" s="8" t="s">
        <v>785</v>
      </c>
      <c r="B34" s="8" t="s">
        <v>786</v>
      </c>
      <c r="C34" s="12">
        <f>'Catálogo de indicadores'!F23</f>
        <v>14</v>
      </c>
      <c r="D34" s="8" t="s">
        <v>778</v>
      </c>
      <c r="E34" s="14"/>
      <c r="F34" s="14"/>
      <c r="G34" s="14"/>
      <c r="H34" s="14"/>
      <c r="I34" s="14"/>
    </row>
    <row r="35" spans="1:9" ht="36" customHeight="1">
      <c r="A35" s="8" t="s">
        <v>788</v>
      </c>
      <c r="B35" s="8" t="s">
        <v>789</v>
      </c>
      <c r="C35" s="13">
        <f>'Catálogo de indicadores'!F24</f>
        <v>1.0</v>
      </c>
      <c r="D35" s="8" t="s">
        <v>740</v>
      </c>
      <c r="E35" s="14"/>
      <c r="F35" s="14"/>
      <c r="G35" s="14"/>
      <c r="H35" s="14"/>
      <c r="I35" s="14"/>
    </row>
    <row r="36" spans="1:9" ht="36" customHeight="1">
      <c r="A36" s="8" t="s">
        <v>794</v>
      </c>
      <c r="B36" s="8" t="s">
        <v>795</v>
      </c>
      <c r="C36" s="8" t="str">
        <f>'Catálogo de indicadores'!F25</f>
        <v>Pendiente de datos</v>
      </c>
      <c r="D36" s="8" t="s">
        <v>740</v>
      </c>
      <c r="E36" s="14"/>
      <c r="F36" s="14"/>
      <c r="G36" s="14"/>
      <c r="H36" s="14"/>
      <c r="I36" s="14"/>
    </row>
    <row r="37" spans="1:9" ht="36" customHeight="1">
      <c r="A37" s="8" t="s">
        <v>801</v>
      </c>
      <c r="B37" s="8" t="s">
        <v>772</v>
      </c>
      <c r="C37" s="12">
        <f>'Catálogo de indicadores'!F26</f>
        <v>30</v>
      </c>
      <c r="D37" s="8" t="s">
        <v>773</v>
      </c>
      <c r="E37" s="14"/>
      <c r="F37" s="14"/>
      <c r="G37" s="14"/>
      <c r="H37" s="14"/>
      <c r="I37" s="14"/>
    </row>
    <row r="38" spans="1:9" ht="36" customHeight="1">
      <c r="A38" s="8" t="s">
        <v>804</v>
      </c>
      <c r="B38" s="8" t="s">
        <v>777</v>
      </c>
      <c r="C38" s="12">
        <f>'Catálogo de indicadores'!F27</f>
        <v>28</v>
      </c>
      <c r="D38" s="8" t="s">
        <v>778</v>
      </c>
      <c r="E38" s="14"/>
      <c r="F38" s="14"/>
      <c r="G38" s="14"/>
      <c r="H38" s="14"/>
      <c r="I38" s="14"/>
    </row>
    <row r="39" spans="1:9" ht="36" customHeight="1">
      <c r="A39" s="8" t="s">
        <v>806</v>
      </c>
      <c r="B39" s="8" t="s">
        <v>782</v>
      </c>
      <c r="C39" s="12">
        <f>'Catálogo de indicadores'!F28</f>
        <v>26</v>
      </c>
      <c r="D39" s="8" t="s">
        <v>778</v>
      </c>
      <c r="E39" s="14"/>
      <c r="F39" s="14"/>
      <c r="G39" s="14"/>
      <c r="H39" s="14"/>
      <c r="I39" s="14"/>
    </row>
    <row r="40" spans="1:9" ht="36" customHeight="1">
      <c r="A40" s="8" t="s">
        <v>808</v>
      </c>
      <c r="B40" s="8" t="s">
        <v>786</v>
      </c>
      <c r="C40" s="12">
        <f>'Catálogo de indicadores'!F29</f>
        <v>6</v>
      </c>
      <c r="D40" s="8" t="s">
        <v>778</v>
      </c>
      <c r="E40" s="14"/>
      <c r="F40" s="14"/>
      <c r="G40" s="14"/>
      <c r="H40" s="14"/>
      <c r="I40" s="14"/>
    </row>
    <row r="41" spans="1:9" ht="36" customHeight="1">
      <c r="A41" s="8" t="s">
        <v>809</v>
      </c>
      <c r="B41" s="8" t="s">
        <v>789</v>
      </c>
      <c r="C41" s="13">
        <f>'Catálogo de indicadores'!F30</f>
        <v>1.0</v>
      </c>
      <c r="D41" s="8" t="s">
        <v>740</v>
      </c>
      <c r="E41" s="14"/>
      <c r="F41" s="14"/>
      <c r="G41" s="14"/>
      <c r="H41" s="14"/>
      <c r="I41" s="14"/>
    </row>
    <row r="42" spans="1:9" ht="36" customHeight="1">
      <c r="A42" s="8" t="s">
        <v>811</v>
      </c>
      <c r="B42" s="8" t="s">
        <v>795</v>
      </c>
      <c r="C42" s="8" t="str">
        <f>'Catálogo de indicadores'!F31</f>
        <v>Pendiente de datos</v>
      </c>
      <c r="D42" s="8" t="s">
        <v>740</v>
      </c>
      <c r="E42" s="14"/>
      <c r="F42" s="14"/>
      <c r="G42" s="14"/>
      <c r="H42" s="14"/>
      <c r="I42" s="14"/>
    </row>
    <row r="43" spans="1:9" ht="36" customHeight="1">
      <c r="A43" s="8" t="s">
        <v>813</v>
      </c>
      <c r="B43" s="8" t="s">
        <v>815</v>
      </c>
      <c r="C43" s="12">
        <f>'Catálogo de indicadores'!F32</f>
        <v>1694</v>
      </c>
      <c r="D43" s="8" t="s">
        <v>722</v>
      </c>
      <c r="E43" s="14"/>
      <c r="F43" s="14"/>
      <c r="G43" s="14"/>
      <c r="H43" s="14"/>
      <c r="I43" s="14"/>
    </row>
    <row r="44" spans="1:9" ht="36" customHeight="1">
      <c r="A44" s="8" t="s">
        <v>818</v>
      </c>
      <c r="B44" s="8" t="s">
        <v>819</v>
      </c>
      <c r="C44" s="13">
        <f>'Catálogo de indicadores'!F33</f>
        <v>0.3624557260920897</v>
      </c>
      <c r="D44" s="8" t="s">
        <v>740</v>
      </c>
      <c r="E44" s="14"/>
      <c r="F44" s="14"/>
      <c r="G44" s="14"/>
      <c r="H44" s="14"/>
      <c r="I44" s="14"/>
    </row>
    <row r="45" spans="1:9" ht="36" customHeight="1">
      <c r="A45" s="8" t="s">
        <v>823</v>
      </c>
      <c r="B45" s="8" t="s">
        <v>824</v>
      </c>
      <c r="C45" s="13">
        <f>'Catálogo de indicadores'!F34</f>
        <v>0.6558441558441559</v>
      </c>
      <c r="D45" s="8" t="s">
        <v>740</v>
      </c>
      <c r="E45" s="14"/>
      <c r="F45" s="14"/>
      <c r="G45" s="14"/>
      <c r="H45" s="14"/>
      <c r="I45" s="14"/>
    </row>
    <row r="46" spans="1:9" ht="36" customHeight="1">
      <c r="A46" s="8" t="s">
        <v>827</v>
      </c>
      <c r="B46" s="8" t="s">
        <v>829</v>
      </c>
      <c r="C46" s="12">
        <f>'Catálogo de indicadores'!F35</f>
        <v>23</v>
      </c>
      <c r="D46" s="8" t="s">
        <v>830</v>
      </c>
      <c r="E46" s="14"/>
      <c r="F46" s="14"/>
      <c r="G46" s="14"/>
      <c r="H46" s="14"/>
      <c r="I46" s="14"/>
    </row>
    <row r="47" spans="1:9" ht="36" customHeight="1">
      <c r="A47" s="8" t="s">
        <v>833</v>
      </c>
      <c r="B47" s="8" t="s">
        <v>305</v>
      </c>
      <c r="C47" s="13">
        <f>'Catálogo de indicadores'!F36</f>
        <v>0.6521739130434783</v>
      </c>
      <c r="D47" s="8" t="s">
        <v>740</v>
      </c>
      <c r="E47" s="14"/>
      <c r="F47" s="14"/>
      <c r="G47" s="14"/>
      <c r="H47" s="14"/>
      <c r="I47" s="14"/>
    </row>
    <row r="48" spans="1:9" ht="36" customHeight="1">
      <c r="A48" s="8" t="s">
        <v>836</v>
      </c>
      <c r="B48" s="8" t="s">
        <v>837</v>
      </c>
      <c r="C48" s="13">
        <f>'Catálogo de indicadores'!F37</f>
        <v>0.0</v>
      </c>
      <c r="D48" s="8" t="s">
        <v>740</v>
      </c>
      <c r="E48" s="14"/>
      <c r="F48" s="14"/>
      <c r="G48" s="14"/>
      <c r="H48" s="14"/>
      <c r="I48" s="14"/>
    </row>
    <row r="49" spans="1:9" ht="36" customHeight="1">
      <c r="A49" s="8" t="s">
        <v>841</v>
      </c>
      <c r="B49" s="8" t="s">
        <v>843</v>
      </c>
      <c r="C49" s="13">
        <f>'Catálogo de indicadores'!F38</f>
        <v>0.44675925925925924</v>
      </c>
      <c r="D49" s="8" t="s">
        <v>740</v>
      </c>
      <c r="E49" s="14"/>
      <c r="F49" s="14"/>
      <c r="G49" s="14"/>
      <c r="H49" s="14"/>
      <c r="I49" s="14"/>
    </row>
    <row r="50" spans="1:9" ht="36" customHeight="1">
      <c r="A50" s="8" t="s">
        <v>849</v>
      </c>
      <c r="B50" s="8" t="s">
        <v>850</v>
      </c>
      <c r="C50" s="12">
        <f>'Catálogo de indicadores'!F39</f>
        <v>46</v>
      </c>
      <c r="D50" s="8" t="s">
        <v>851</v>
      </c>
      <c r="E50" s="14"/>
      <c r="F50" s="14"/>
      <c r="G50" s="14"/>
      <c r="H50" s="14"/>
      <c r="I50" s="14"/>
    </row>
    <row r="51" spans="1:9" ht="36" customHeight="1">
      <c r="A51" s="8" t="s">
        <v>854</v>
      </c>
      <c r="B51" s="8" t="s">
        <v>855</v>
      </c>
      <c r="C51" s="8" t="str">
        <f>'Catálogo de indicadores'!F40</f>
        <v>Pendiente de datos</v>
      </c>
      <c r="D51" s="8" t="s">
        <v>740</v>
      </c>
      <c r="E51" s="14"/>
      <c r="F51" s="14"/>
      <c r="G51" s="14"/>
      <c r="H51" s="14"/>
      <c r="I51" s="14"/>
    </row>
    <row r="52" spans="1:9" ht="36" customHeight="1">
      <c r="A52" s="8" t="s">
        <v>860</v>
      </c>
      <c r="B52" s="8" t="s">
        <v>862</v>
      </c>
      <c r="C52" s="13">
        <f>'Catálogo de indicadores'!F41</f>
        <v>0.9444444444444444</v>
      </c>
      <c r="D52" s="8" t="s">
        <v>740</v>
      </c>
      <c r="E52" s="14"/>
      <c r="F52" s="14"/>
      <c r="G52" s="14"/>
      <c r="H52" s="14"/>
      <c r="I52" s="14"/>
    </row>
    <row r="53" spans="1:9" ht="36" customHeight="1">
      <c r="A53" s="8" t="s">
        <v>868</v>
      </c>
      <c r="B53" s="8" t="s">
        <v>869</v>
      </c>
      <c r="C53" s="13">
        <f>'Catálogo de indicadores'!F42</f>
        <v>0.75</v>
      </c>
      <c r="D53" s="8" t="s">
        <v>740</v>
      </c>
      <c r="E53" s="14"/>
      <c r="F53" s="14"/>
      <c r="G53" s="14"/>
      <c r="H53" s="14"/>
      <c r="I53" s="14"/>
    </row>
    <row r="54" spans="1:9" ht="36" customHeight="1">
      <c r="A54" s="8" t="s">
        <v>870</v>
      </c>
      <c r="B54" s="8" t="s">
        <v>871</v>
      </c>
      <c r="C54" s="13">
        <f>'Catálogo de indicadores'!F43</f>
        <v>0.8571428571428571</v>
      </c>
      <c r="D54" s="8" t="s">
        <v>740</v>
      </c>
      <c r="E54" s="14"/>
      <c r="F54" s="14"/>
      <c r="G54" s="14"/>
      <c r="H54" s="14"/>
      <c r="I54" s="14"/>
    </row>
    <row r="55" spans="1:9" ht="36" customHeight="1">
      <c r="A55" s="8" t="s">
        <v>872</v>
      </c>
      <c r="B55" s="8" t="s">
        <v>873</v>
      </c>
      <c r="C55" s="12">
        <f>'Catálogo de indicadores'!F44</f>
        <v>3</v>
      </c>
      <c r="D55" s="8" t="s">
        <v>874</v>
      </c>
      <c r="E55" s="14"/>
      <c r="F55" s="14"/>
      <c r="G55" s="14"/>
      <c r="H55" s="14"/>
      <c r="I55" s="14"/>
    </row>
    <row r="56" spans="1:9" ht="36" customHeight="1">
      <c r="A56" s="8" t="s">
        <v>876</v>
      </c>
      <c r="B56" s="8" t="s">
        <v>877</v>
      </c>
      <c r="C56" s="13">
        <f>'Catálogo de indicadores'!F45</f>
        <v>0.9722222222222222</v>
      </c>
      <c r="D56" s="8" t="s">
        <v>740</v>
      </c>
      <c r="E56" s="14"/>
      <c r="F56" s="14"/>
      <c r="G56" s="14"/>
      <c r="H56" s="14"/>
      <c r="I56" s="14"/>
    </row>
    <row r="57" spans="1:9" ht="36" customHeight="1">
      <c r="A57" s="8" t="s">
        <v>881</v>
      </c>
      <c r="B57" s="8" t="s">
        <v>882</v>
      </c>
      <c r="C57" s="8" t="str">
        <f>'Catálogo de indicadores'!F46</f>
        <v>Pendiente de datos</v>
      </c>
      <c r="D57" s="8" t="s">
        <v>740</v>
      </c>
      <c r="E57" s="14"/>
      <c r="F57" s="14"/>
      <c r="G57" s="14"/>
      <c r="H57" s="14"/>
      <c r="I57" s="14"/>
    </row>
    <row r="58" spans="1:9" ht="36" customHeight="1">
      <c r="A58" s="8" t="s">
        <v>887</v>
      </c>
      <c r="B58" s="8" t="s">
        <v>889</v>
      </c>
      <c r="C58" s="12">
        <f>'Catálogo de indicadores'!F47</f>
        <v>2</v>
      </c>
      <c r="D58" s="8" t="s">
        <v>890</v>
      </c>
      <c r="E58" s="14"/>
      <c r="F58" s="14"/>
      <c r="G58" s="14"/>
      <c r="H58" s="14"/>
      <c r="I58" s="14"/>
    </row>
    <row r="59" spans="1:9" ht="36" customHeight="1">
      <c r="A59" s="8" t="s">
        <v>895</v>
      </c>
      <c r="B59" s="8" t="s">
        <v>896</v>
      </c>
      <c r="C59" s="13">
        <f>'Catálogo de indicadores'!F48</f>
        <v>0.9545454545454546</v>
      </c>
      <c r="D59" s="8" t="s">
        <v>740</v>
      </c>
      <c r="E59" s="14"/>
      <c r="F59" s="14"/>
      <c r="G59" s="14"/>
      <c r="H59" s="14"/>
      <c r="I59" s="14"/>
    </row>
    <row r="60" spans="1:9" ht="36" customHeight="1">
      <c r="A60" s="8" t="s">
        <v>898</v>
      </c>
      <c r="B60" s="8" t="s">
        <v>899</v>
      </c>
      <c r="C60" s="8" t="str">
        <f>'Catálogo de indicadores'!F49</f>
        <v>Pendiente de datos</v>
      </c>
      <c r="D60" s="8" t="s">
        <v>740</v>
      </c>
      <c r="E60" s="14"/>
      <c r="F60" s="14"/>
      <c r="G60" s="14"/>
      <c r="H60" s="14"/>
      <c r="I60" s="14"/>
    </row>
    <row r="61" spans="1:9" ht="36" customHeight="1">
      <c r="A61" s="8" t="s">
        <v>904</v>
      </c>
      <c r="B61" s="8" t="s">
        <v>906</v>
      </c>
      <c r="C61" s="12">
        <f>'Catálogo de indicadores'!F50</f>
        <v>1</v>
      </c>
      <c r="D61" s="8" t="s">
        <v>907</v>
      </c>
      <c r="E61" s="14"/>
      <c r="F61" s="14"/>
      <c r="G61" s="14"/>
      <c r="H61" s="14"/>
      <c r="I61" s="14"/>
    </row>
    <row r="62" spans="1:9" ht="36" customHeight="1">
      <c r="A62" s="8" t="s">
        <v>910</v>
      </c>
      <c r="B62" s="8" t="s">
        <v>911</v>
      </c>
      <c r="C62" s="8" t="str">
        <f>'Catálogo de indicadores'!F51</f>
        <v>Pendiente de datos</v>
      </c>
      <c r="D62" s="8" t="s">
        <v>740</v>
      </c>
      <c r="E62" s="14"/>
      <c r="F62" s="14"/>
      <c r="G62" s="14"/>
      <c r="H62" s="14"/>
      <c r="I62" s="14"/>
    </row>
    <row r="63" spans="1:9" ht="36" customHeight="1">
      <c r="A63" s="8" t="s">
        <v>916</v>
      </c>
      <c r="B63" s="8" t="s">
        <v>917</v>
      </c>
      <c r="C63" s="8" t="str">
        <f>'Catálogo de indicadores'!F52</f>
        <v>Pendiente de datos</v>
      </c>
      <c r="D63" s="8" t="s">
        <v>740</v>
      </c>
      <c r="E63" s="14"/>
      <c r="F63" s="14"/>
      <c r="G63" s="14"/>
      <c r="H63" s="14"/>
      <c r="I63" s="14"/>
    </row>
    <row r="64" spans="1:9" ht="36" customHeight="1">
      <c r="A64" s="8" t="s">
        <v>921</v>
      </c>
      <c r="B64" s="8" t="s">
        <v>923</v>
      </c>
      <c r="C64" s="12">
        <f>'Catálogo de indicadores'!F53</f>
        <v>6</v>
      </c>
      <c r="D64" s="8" t="s">
        <v>773</v>
      </c>
      <c r="E64" s="14"/>
      <c r="F64" s="14"/>
      <c r="G64" s="14"/>
      <c r="H64" s="14"/>
      <c r="I64" s="14"/>
    </row>
    <row r="65" spans="1:9" ht="36" customHeight="1">
      <c r="A65" s="8" t="s">
        <v>927</v>
      </c>
      <c r="B65" s="8" t="s">
        <v>928</v>
      </c>
      <c r="C65" s="8" t="str">
        <f>'Catálogo de indicadores'!F54</f>
        <v>Pendiente de datos</v>
      </c>
      <c r="D65" s="8" t="s">
        <v>740</v>
      </c>
      <c r="E65" s="14"/>
      <c r="F65" s="14"/>
      <c r="G65" s="14"/>
      <c r="H65" s="14"/>
      <c r="I65" s="14"/>
    </row>
    <row r="66" spans="1:9" ht="36" customHeight="1">
      <c r="A66" s="8" t="s">
        <v>932</v>
      </c>
      <c r="B66" s="8" t="s">
        <v>934</v>
      </c>
      <c r="C66" s="8" t="str">
        <f>'Catálogo de indicadores'!F55</f>
        <v>Pendiente de datos</v>
      </c>
      <c r="D66" s="8" t="s">
        <v>740</v>
      </c>
      <c r="E66" s="14"/>
      <c r="F66" s="14"/>
      <c r="G66" s="14"/>
      <c r="H66" s="14"/>
      <c r="I66" s="14"/>
    </row>
    <row r="67" spans="1:9" ht="36" customHeight="1">
      <c r="A67" s="8" t="s">
        <v>938</v>
      </c>
      <c r="B67" s="8" t="s">
        <v>939</v>
      </c>
      <c r="C67" s="8" t="str">
        <f>'Catálogo de indicadores'!F56</f>
        <v>Pendiente de datos</v>
      </c>
      <c r="D67" s="8" t="s">
        <v>740</v>
      </c>
      <c r="E67" s="14"/>
      <c r="F67" s="14"/>
      <c r="G67" s="14"/>
      <c r="H67" s="14"/>
      <c r="I67" s="14"/>
    </row>
    <row r="68" spans="1:9" ht="36" customHeight="1">
      <c r="A68" s="8" t="s">
        <v>942</v>
      </c>
      <c r="B68" s="8" t="s">
        <v>944</v>
      </c>
      <c r="C68" s="12">
        <f>'Catálogo de indicadores'!F57</f>
        <v>104</v>
      </c>
      <c r="D68" s="8" t="s">
        <v>773</v>
      </c>
      <c r="E68" s="14"/>
      <c r="F68" s="14"/>
      <c r="G68" s="14"/>
      <c r="H68" s="14"/>
      <c r="I68" s="14"/>
    </row>
    <row r="69" spans="1:9" ht="36" customHeight="1">
      <c r="A69" s="8" t="s">
        <v>950</v>
      </c>
      <c r="B69" s="8" t="s">
        <v>951</v>
      </c>
      <c r="C69" s="13">
        <f>'Catálogo de indicadores'!F58</f>
        <v>0.2403846153846154</v>
      </c>
      <c r="D69" s="8" t="s">
        <v>740</v>
      </c>
      <c r="E69" s="14"/>
      <c r="F69" s="14"/>
      <c r="G69" s="14"/>
      <c r="H69" s="14"/>
      <c r="I69" s="14"/>
    </row>
    <row r="70" spans="1:9" ht="36" customHeight="1">
      <c r="A70" s="8" t="s">
        <v>955</v>
      </c>
      <c r="B70" s="8" t="s">
        <v>956</v>
      </c>
      <c r="C70" s="8" t="str">
        <f>'Catálogo de indicadores'!F59</f>
        <v>Pendiente de datos</v>
      </c>
      <c r="D70" s="8" t="s">
        <v>740</v>
      </c>
      <c r="E70" s="14"/>
      <c r="F70" s="14"/>
      <c r="G70" s="14"/>
      <c r="H70" s="14"/>
      <c r="I70" s="14"/>
    </row>
    <row r="71" spans="1:9" ht="36" customHeight="1">
      <c r="A71" s="8" t="s">
        <v>961</v>
      </c>
      <c r="B71" s="8" t="s">
        <v>962</v>
      </c>
      <c r="C71" s="12">
        <f>'Catálogo de indicadores'!F60</f>
        <v>952.0</v>
      </c>
      <c r="D71" s="8" t="s">
        <v>963</v>
      </c>
      <c r="E71" s="14"/>
      <c r="F71" s="14"/>
      <c r="G71" s="14"/>
      <c r="H71" s="14"/>
      <c r="I71" s="14"/>
    </row>
    <row r="72" spans="1:9" ht="36" customHeight="1">
      <c r="A72" s="8" t="s">
        <v>967</v>
      </c>
      <c r="B72" s="8" t="s">
        <v>968</v>
      </c>
      <c r="C72" s="12">
        <f>'Catálogo de indicadores'!F61</f>
        <v>59.0</v>
      </c>
      <c r="D72" s="8" t="s">
        <v>963</v>
      </c>
      <c r="E72" s="14"/>
      <c r="F72" s="14"/>
      <c r="G72" s="14"/>
      <c r="H72" s="14"/>
      <c r="I72" s="14"/>
    </row>
    <row r="73" spans="1:9" ht="36" customHeight="1">
      <c r="A73" s="8" t="s">
        <v>970</v>
      </c>
      <c r="B73" s="8" t="s">
        <v>971</v>
      </c>
      <c r="C73" s="13">
        <f>'Catálogo de indicadores'!F62</f>
        <v>0.9</v>
      </c>
      <c r="D73" s="8" t="s">
        <v>740</v>
      </c>
      <c r="E73" s="14"/>
      <c r="F73" s="14"/>
      <c r="G73" s="14"/>
      <c r="H73" s="14"/>
      <c r="I73" s="14"/>
    </row>
  </sheetData>
  <autoFilter ref="A6:E14"/>
  <mergeCells count="2">
    <mergeCell ref="A1:L2"/>
    <mergeCell ref="A3:L4"/>
  </mergeCells>
  <dataValidations count="1">
    <dataValidation type="list" allowBlank="1" showInputMessage="1" showErrorMessage="1" sqref="F18:F73">
      <formula1>"Sí,No,Por definir"</formula1>
    </dataValidation>
  </dataValidation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2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32.7109375" customWidth="1"/>
    <col min="2" max="3" width="115.7109375" customWidth="1"/>
    <col min="4" max="12" width="15.7109375" customWidth="1"/>
  </cols>
  <sheetData>
    <row r="1" spans="1:12" ht="25" customHeight="1">
      <c r="A1" s="1" t="s">
        <v>1016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1017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9" t="s">
        <v>4</v>
      </c>
    </row>
    <row r="6" spans="1:12" ht="42" customHeight="1">
      <c r="A6" s="11" t="s">
        <v>1018</v>
      </c>
      <c r="B6" s="11" t="s">
        <v>1019</v>
      </c>
      <c r="C6" s="11" t="s">
        <v>1020</v>
      </c>
    </row>
    <row r="7" spans="1:12" ht="68" customHeight="1">
      <c r="A7" s="8" t="s">
        <v>1021</v>
      </c>
      <c r="B7" s="8" t="s">
        <v>1022</v>
      </c>
      <c r="C7" s="8" t="s">
        <v>1023</v>
      </c>
    </row>
    <row r="8" spans="1:12" ht="68" customHeight="1">
      <c r="A8" s="8" t="s">
        <v>720</v>
      </c>
      <c r="B8" s="8" t="s">
        <v>1024</v>
      </c>
      <c r="C8" s="8" t="s">
        <v>1025</v>
      </c>
    </row>
    <row r="9" spans="1:12" ht="68" customHeight="1">
      <c r="A9" s="8" t="s">
        <v>1026</v>
      </c>
      <c r="B9" s="8" t="s">
        <v>1027</v>
      </c>
      <c r="C9" s="8" t="s">
        <v>1028</v>
      </c>
    </row>
    <row r="10" spans="1:12" ht="68" customHeight="1">
      <c r="A10" s="8" t="s">
        <v>797</v>
      </c>
      <c r="B10" s="8" t="s">
        <v>1029</v>
      </c>
      <c r="C10" s="8" t="s">
        <v>1030</v>
      </c>
    </row>
    <row r="11" spans="1:12" ht="68" customHeight="1">
      <c r="A11" s="8" t="s">
        <v>812</v>
      </c>
      <c r="B11" s="8" t="s">
        <v>1031</v>
      </c>
      <c r="C11" s="8" t="s">
        <v>1032</v>
      </c>
    </row>
    <row r="12" spans="1:12" ht="68" customHeight="1">
      <c r="A12" s="8" t="s">
        <v>1033</v>
      </c>
      <c r="B12" s="8" t="s">
        <v>1034</v>
      </c>
      <c r="C12" s="8" t="s">
        <v>1035</v>
      </c>
    </row>
    <row r="13" spans="1:12" ht="68" customHeight="1">
      <c r="A13" s="8" t="s">
        <v>842</v>
      </c>
      <c r="B13" s="8" t="s">
        <v>1036</v>
      </c>
      <c r="C13" s="8" t="s">
        <v>1037</v>
      </c>
    </row>
    <row r="14" spans="1:12" ht="68" customHeight="1">
      <c r="A14" s="8" t="s">
        <v>38</v>
      </c>
      <c r="B14" s="8" t="s">
        <v>1038</v>
      </c>
      <c r="C14" s="8" t="s">
        <v>1039</v>
      </c>
    </row>
    <row r="15" spans="1:12" ht="68" customHeight="1">
      <c r="A15" s="8" t="s">
        <v>1040</v>
      </c>
      <c r="B15" s="8" t="s">
        <v>1041</v>
      </c>
      <c r="C15" s="8" t="s">
        <v>1042</v>
      </c>
    </row>
    <row r="16" spans="1:12" ht="68" customHeight="1">
      <c r="A16" s="8" t="s">
        <v>1043</v>
      </c>
      <c r="B16" s="8" t="s">
        <v>1044</v>
      </c>
      <c r="C16" s="8" t="s">
        <v>1045</v>
      </c>
    </row>
    <row r="17" spans="1:3" ht="68" customHeight="1">
      <c r="A17" s="8" t="s">
        <v>1046</v>
      </c>
      <c r="B17" s="8" t="s">
        <v>1047</v>
      </c>
      <c r="C17" s="8" t="s">
        <v>1048</v>
      </c>
    </row>
    <row r="18" spans="1:3" ht="68" customHeight="1">
      <c r="A18" s="8" t="s">
        <v>1049</v>
      </c>
      <c r="B18" s="8" t="s">
        <v>1050</v>
      </c>
      <c r="C18" s="8" t="s">
        <v>1051</v>
      </c>
    </row>
    <row r="19" spans="1:3" ht="68" customHeight="1">
      <c r="A19" s="8" t="s">
        <v>1052</v>
      </c>
      <c r="B19" s="8" t="s">
        <v>1053</v>
      </c>
      <c r="C19" s="8" t="s">
        <v>1054</v>
      </c>
    </row>
    <row r="20" spans="1:3" ht="68" customHeight="1">
      <c r="A20" s="8" t="s">
        <v>1055</v>
      </c>
      <c r="B20" s="8" t="s">
        <v>1056</v>
      </c>
      <c r="C20" s="8" t="s">
        <v>1057</v>
      </c>
    </row>
    <row r="21" spans="1:3" ht="68" customHeight="1">
      <c r="A21" s="8" t="s">
        <v>1058</v>
      </c>
      <c r="B21" s="8" t="s">
        <v>1059</v>
      </c>
      <c r="C21" s="8" t="s">
        <v>1060</v>
      </c>
    </row>
    <row r="22" spans="1:3" ht="68" customHeight="1">
      <c r="A22" s="8" t="s">
        <v>933</v>
      </c>
      <c r="B22" s="8" t="s">
        <v>1061</v>
      </c>
      <c r="C22" s="8" t="s">
        <v>1062</v>
      </c>
    </row>
    <row r="23" spans="1:3" ht="68" customHeight="1">
      <c r="A23" s="8" t="s">
        <v>1063</v>
      </c>
      <c r="B23" s="8" t="s">
        <v>1064</v>
      </c>
      <c r="C23" s="8" t="s">
        <v>1065</v>
      </c>
    </row>
  </sheetData>
  <autoFilter ref="A6:C23"/>
  <mergeCells count="2">
    <mergeCell ref="A1:L2"/>
    <mergeCell ref="A3:L4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J66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78.7109375" customWidth="1"/>
    <col min="2" max="2" width="50.7109375" customWidth="1"/>
    <col min="3" max="3" width="35.7109375" customWidth="1"/>
    <col min="4" max="4" width="85.7109375" customWidth="1"/>
    <col min="5" max="10" width="15.7109375" customWidth="1"/>
  </cols>
  <sheetData>
    <row r="1" spans="1:10" ht="25" customHeight="1">
      <c r="A1" s="1" t="s">
        <v>1066</v>
      </c>
      <c r="B1" s="1"/>
      <c r="C1" s="1"/>
      <c r="D1" s="1"/>
      <c r="E1" s="1"/>
      <c r="F1" s="1"/>
      <c r="G1" s="1"/>
      <c r="H1" s="1"/>
      <c r="I1" s="1"/>
      <c r="J1" s="1"/>
    </row>
    <row r="2" spans="1:10" ht="18" customHeight="1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ht="24" customHeight="1">
      <c r="A3" s="2" t="s">
        <v>1067</v>
      </c>
      <c r="B3" s="2"/>
      <c r="C3" s="2"/>
      <c r="D3" s="2"/>
      <c r="E3" s="2"/>
      <c r="F3" s="2"/>
      <c r="G3" s="2"/>
      <c r="H3" s="2"/>
      <c r="I3" s="2"/>
      <c r="J3" s="2"/>
    </row>
    <row r="4" spans="1:10">
      <c r="A4" s="2"/>
      <c r="B4" s="2"/>
      <c r="C4" s="2"/>
      <c r="D4" s="2"/>
      <c r="E4" s="2"/>
      <c r="F4" s="2"/>
      <c r="G4" s="2"/>
      <c r="H4" s="2"/>
      <c r="I4" s="2"/>
      <c r="J4" s="2"/>
    </row>
    <row r="5" spans="1:10">
      <c r="A5" s="9" t="s">
        <v>4</v>
      </c>
    </row>
    <row r="6" spans="1:10" ht="42" customHeight="1">
      <c r="A6" s="11" t="s">
        <v>1068</v>
      </c>
      <c r="B6" s="11" t="s">
        <v>1069</v>
      </c>
      <c r="C6" s="11" t="s">
        <v>1070</v>
      </c>
      <c r="D6" s="11" t="s">
        <v>1071</v>
      </c>
    </row>
    <row r="7" spans="1:10" ht="46" customHeight="1">
      <c r="A7" s="8" t="s">
        <v>1072</v>
      </c>
      <c r="B7" s="8" t="s">
        <v>1073</v>
      </c>
      <c r="C7" s="12">
        <v>217318</v>
      </c>
      <c r="D7" s="8" t="s">
        <v>1074</v>
      </c>
    </row>
    <row r="8" spans="1:10" ht="46" customHeight="1">
      <c r="A8" s="8" t="s">
        <v>1075</v>
      </c>
      <c r="B8" s="8" t="s">
        <v>1076</v>
      </c>
      <c r="C8" s="12">
        <v>66459</v>
      </c>
      <c r="D8" s="8" t="s">
        <v>1077</v>
      </c>
    </row>
    <row r="9" spans="1:10" ht="46" customHeight="1">
      <c r="A9" s="8" t="s">
        <v>1078</v>
      </c>
      <c r="B9" s="8" t="s">
        <v>1079</v>
      </c>
      <c r="C9" s="12">
        <v>67552</v>
      </c>
      <c r="D9" s="8" t="s">
        <v>1080</v>
      </c>
    </row>
    <row r="10" spans="1:10" ht="46" customHeight="1">
      <c r="A10" s="8" t="s">
        <v>1081</v>
      </c>
      <c r="B10" s="8" t="s">
        <v>1079</v>
      </c>
      <c r="C10" s="12">
        <v>67430</v>
      </c>
      <c r="D10" s="8" t="s">
        <v>1082</v>
      </c>
    </row>
    <row r="11" spans="1:10" ht="46" customHeight="1">
      <c r="A11" s="8" t="s">
        <v>1083</v>
      </c>
      <c r="B11" s="8" t="s">
        <v>1079</v>
      </c>
      <c r="C11" s="12">
        <v>66958</v>
      </c>
      <c r="D11" s="8" t="s">
        <v>1084</v>
      </c>
    </row>
    <row r="12" spans="1:10" ht="46" customHeight="1">
      <c r="A12" s="8" t="s">
        <v>1085</v>
      </c>
      <c r="B12" s="8" t="s">
        <v>1079</v>
      </c>
      <c r="C12" s="12">
        <v>57479</v>
      </c>
      <c r="D12" s="8" t="s">
        <v>1086</v>
      </c>
    </row>
    <row r="13" spans="1:10" ht="46" customHeight="1">
      <c r="A13" s="8" t="s">
        <v>1087</v>
      </c>
      <c r="B13" s="8" t="s">
        <v>1079</v>
      </c>
      <c r="C13" s="12">
        <v>56369</v>
      </c>
      <c r="D13" s="8" t="s">
        <v>1088</v>
      </c>
    </row>
    <row r="14" spans="1:10" ht="46" customHeight="1">
      <c r="A14" s="8" t="s">
        <v>1089</v>
      </c>
      <c r="B14" s="8" t="s">
        <v>1079</v>
      </c>
      <c r="C14" s="12">
        <v>57061</v>
      </c>
      <c r="D14" s="8" t="s">
        <v>1090</v>
      </c>
    </row>
    <row r="15" spans="1:10" ht="46" customHeight="1">
      <c r="A15" s="8" t="s">
        <v>140</v>
      </c>
      <c r="B15" s="8" t="s">
        <v>1091</v>
      </c>
      <c r="C15" s="12">
        <v>233625</v>
      </c>
      <c r="D15" s="8" t="s">
        <v>1092</v>
      </c>
    </row>
    <row r="16" spans="1:10" ht="46" customHeight="1">
      <c r="A16" s="8" t="s">
        <v>246</v>
      </c>
      <c r="B16" s="8" t="s">
        <v>1091</v>
      </c>
      <c r="C16" s="12">
        <v>245621</v>
      </c>
      <c r="D16" s="8" t="s">
        <v>1093</v>
      </c>
    </row>
    <row r="17" spans="1:4" ht="46" customHeight="1">
      <c r="A17" s="8" t="s">
        <v>248</v>
      </c>
      <c r="B17" s="8" t="s">
        <v>1091</v>
      </c>
      <c r="C17" s="12">
        <v>233554</v>
      </c>
      <c r="D17" s="8" t="s">
        <v>1094</v>
      </c>
    </row>
    <row r="18" spans="1:4" ht="46" customHeight="1">
      <c r="A18" s="8" t="s">
        <v>255</v>
      </c>
      <c r="B18" s="8" t="s">
        <v>1091</v>
      </c>
      <c r="C18" s="12">
        <v>197844</v>
      </c>
      <c r="D18" s="8" t="s">
        <v>1095</v>
      </c>
    </row>
    <row r="19" spans="1:4" ht="46" customHeight="1">
      <c r="A19" s="8" t="s">
        <v>258</v>
      </c>
      <c r="B19" s="8" t="s">
        <v>1091</v>
      </c>
      <c r="C19" s="12">
        <v>196866</v>
      </c>
      <c r="D19" s="8" t="s">
        <v>1096</v>
      </c>
    </row>
    <row r="20" spans="1:4" ht="46" customHeight="1">
      <c r="A20" s="8" t="s">
        <v>259</v>
      </c>
      <c r="B20" s="8" t="s">
        <v>1091</v>
      </c>
      <c r="C20" s="12">
        <v>197383</v>
      </c>
      <c r="D20" s="8" t="s">
        <v>1097</v>
      </c>
    </row>
    <row r="21" spans="1:4" ht="46" customHeight="1">
      <c r="A21" s="8" t="s">
        <v>1098</v>
      </c>
      <c r="B21" s="8" t="s">
        <v>1076</v>
      </c>
      <c r="C21" s="12">
        <v>34870</v>
      </c>
      <c r="D21" s="8" t="s">
        <v>1099</v>
      </c>
    </row>
    <row r="22" spans="1:4" ht="46" customHeight="1">
      <c r="A22" s="8" t="s">
        <v>1100</v>
      </c>
      <c r="B22" s="8" t="s">
        <v>1101</v>
      </c>
      <c r="C22" s="12">
        <v>5250753</v>
      </c>
      <c r="D22" s="8" t="s">
        <v>1102</v>
      </c>
    </row>
    <row r="23" spans="1:4" ht="46" customHeight="1">
      <c r="A23" s="8" t="s">
        <v>1103</v>
      </c>
      <c r="B23" s="8" t="s">
        <v>1104</v>
      </c>
      <c r="C23" s="12">
        <v>551936</v>
      </c>
      <c r="D23" s="8" t="s">
        <v>1105</v>
      </c>
    </row>
    <row r="24" spans="1:4" ht="46" customHeight="1">
      <c r="A24" s="8" t="s">
        <v>1106</v>
      </c>
      <c r="B24" s="8" t="s">
        <v>1107</v>
      </c>
      <c r="C24" s="12">
        <v>718231</v>
      </c>
      <c r="D24" s="8" t="s">
        <v>1108</v>
      </c>
    </row>
    <row r="25" spans="1:4" ht="46" customHeight="1">
      <c r="A25" s="8" t="s">
        <v>1109</v>
      </c>
      <c r="B25" s="8" t="s">
        <v>1110</v>
      </c>
      <c r="C25" s="12">
        <v>29781</v>
      </c>
      <c r="D25" s="8" t="s">
        <v>1111</v>
      </c>
    </row>
    <row r="26" spans="1:4" ht="46" customHeight="1">
      <c r="A26" s="8" t="s">
        <v>1112</v>
      </c>
      <c r="B26" s="8" t="s">
        <v>1076</v>
      </c>
      <c r="C26" s="12">
        <v>40960</v>
      </c>
      <c r="D26" s="8" t="s">
        <v>1113</v>
      </c>
    </row>
    <row r="31" spans="1:4" ht="42" customHeight="1">
      <c r="A31" s="11" t="s">
        <v>136</v>
      </c>
      <c r="B31" s="11" t="s">
        <v>1114</v>
      </c>
      <c r="C31" s="11" t="s">
        <v>1115</v>
      </c>
      <c r="D31" s="11" t="s">
        <v>308</v>
      </c>
    </row>
    <row r="32" spans="1:4" ht="40" customHeight="1">
      <c r="A32" s="8" t="s">
        <v>1106</v>
      </c>
      <c r="B32" s="8" t="s">
        <v>1116</v>
      </c>
      <c r="C32" s="8" t="s">
        <v>1117</v>
      </c>
      <c r="D32" s="8" t="s">
        <v>1118</v>
      </c>
    </row>
    <row r="33" spans="1:4" ht="40" customHeight="1">
      <c r="A33" s="8" t="s">
        <v>1106</v>
      </c>
      <c r="B33" s="8" t="s">
        <v>1119</v>
      </c>
      <c r="C33" s="8" t="s">
        <v>1120</v>
      </c>
      <c r="D33" s="8" t="s">
        <v>1121</v>
      </c>
    </row>
    <row r="34" spans="1:4" ht="40" customHeight="1">
      <c r="A34" s="8" t="s">
        <v>1106</v>
      </c>
      <c r="B34" s="8" t="s">
        <v>797</v>
      </c>
      <c r="C34" s="8" t="s">
        <v>1122</v>
      </c>
      <c r="D34" s="8" t="s">
        <v>1123</v>
      </c>
    </row>
    <row r="35" spans="1:4" ht="40" customHeight="1">
      <c r="A35" s="8" t="s">
        <v>1106</v>
      </c>
      <c r="B35" s="8" t="s">
        <v>812</v>
      </c>
      <c r="C35" s="8" t="s">
        <v>1124</v>
      </c>
      <c r="D35" s="8" t="s">
        <v>1125</v>
      </c>
    </row>
    <row r="36" spans="1:4" ht="40" customHeight="1">
      <c r="A36" s="8" t="s">
        <v>1106</v>
      </c>
      <c r="B36" s="8" t="s">
        <v>1126</v>
      </c>
      <c r="C36" s="8" t="s">
        <v>1127</v>
      </c>
      <c r="D36" s="8" t="s">
        <v>1128</v>
      </c>
    </row>
    <row r="37" spans="1:4" ht="40" customHeight="1">
      <c r="A37" s="8" t="s">
        <v>1109</v>
      </c>
      <c r="B37" s="8" t="s">
        <v>1129</v>
      </c>
      <c r="C37" s="8" t="s">
        <v>1130</v>
      </c>
      <c r="D37" s="8" t="s">
        <v>1131</v>
      </c>
    </row>
    <row r="38" spans="1:4" ht="40" customHeight="1">
      <c r="A38" s="8" t="s">
        <v>1103</v>
      </c>
      <c r="B38" s="8" t="s">
        <v>1132</v>
      </c>
      <c r="C38" s="8"/>
      <c r="D38" s="8" t="s">
        <v>1133</v>
      </c>
    </row>
    <row r="39" spans="1:4" ht="40" customHeight="1">
      <c r="A39" s="8" t="s">
        <v>1072</v>
      </c>
      <c r="B39" s="8" t="s">
        <v>378</v>
      </c>
      <c r="C39" s="8" t="s">
        <v>1134</v>
      </c>
      <c r="D39" s="8" t="s">
        <v>1135</v>
      </c>
    </row>
    <row r="40" spans="1:4" ht="40" customHeight="1">
      <c r="A40" s="8" t="s">
        <v>1072</v>
      </c>
      <c r="B40" s="8" t="s">
        <v>378</v>
      </c>
      <c r="C40" s="8" t="s">
        <v>1136</v>
      </c>
      <c r="D40" s="8" t="s">
        <v>1137</v>
      </c>
    </row>
    <row r="41" spans="1:4" ht="40" customHeight="1">
      <c r="A41" s="8" t="s">
        <v>1072</v>
      </c>
      <c r="B41" s="8" t="s">
        <v>378</v>
      </c>
      <c r="C41" s="8" t="s">
        <v>1138</v>
      </c>
      <c r="D41" s="8" t="s">
        <v>1139</v>
      </c>
    </row>
    <row r="42" spans="1:4" ht="40" customHeight="1">
      <c r="A42" s="8" t="s">
        <v>1072</v>
      </c>
      <c r="B42" s="8" t="s">
        <v>378</v>
      </c>
      <c r="C42" s="8" t="s">
        <v>1140</v>
      </c>
      <c r="D42" s="8" t="s">
        <v>1141</v>
      </c>
    </row>
    <row r="43" spans="1:4" ht="40" customHeight="1">
      <c r="A43" s="8" t="s">
        <v>1072</v>
      </c>
      <c r="B43" s="8" t="s">
        <v>494</v>
      </c>
      <c r="C43" s="8" t="s">
        <v>1142</v>
      </c>
      <c r="D43" s="8" t="s">
        <v>1143</v>
      </c>
    </row>
    <row r="44" spans="1:4" ht="40" customHeight="1">
      <c r="A44" s="8" t="s">
        <v>1072</v>
      </c>
      <c r="B44" s="8" t="s">
        <v>509</v>
      </c>
      <c r="C44" s="8" t="s">
        <v>1144</v>
      </c>
      <c r="D44" s="8" t="s">
        <v>1145</v>
      </c>
    </row>
    <row r="45" spans="1:4" ht="40" customHeight="1">
      <c r="A45" s="8" t="s">
        <v>1072</v>
      </c>
      <c r="B45" s="8" t="s">
        <v>509</v>
      </c>
      <c r="C45" s="8" t="s">
        <v>1146</v>
      </c>
      <c r="D45" s="8" t="s">
        <v>1147</v>
      </c>
    </row>
    <row r="46" spans="1:4" ht="40" customHeight="1">
      <c r="A46" s="8" t="s">
        <v>1072</v>
      </c>
      <c r="B46" s="8" t="s">
        <v>1148</v>
      </c>
      <c r="C46" s="8" t="s">
        <v>1149</v>
      </c>
      <c r="D46" s="8" t="s">
        <v>1150</v>
      </c>
    </row>
    <row r="47" spans="1:4" ht="40" customHeight="1">
      <c r="A47" s="8" t="s">
        <v>1072</v>
      </c>
      <c r="B47" s="8" t="s">
        <v>1148</v>
      </c>
      <c r="C47" s="8" t="s">
        <v>1151</v>
      </c>
      <c r="D47" s="8" t="s">
        <v>1152</v>
      </c>
    </row>
    <row r="48" spans="1:4" ht="40" customHeight="1">
      <c r="A48" s="8" t="s">
        <v>1072</v>
      </c>
      <c r="B48" s="8" t="s">
        <v>1148</v>
      </c>
      <c r="C48" s="8" t="s">
        <v>1151</v>
      </c>
      <c r="D48" s="8" t="s">
        <v>1153</v>
      </c>
    </row>
    <row r="49" spans="1:4" ht="40" customHeight="1">
      <c r="A49" s="8" t="s">
        <v>1072</v>
      </c>
      <c r="B49" s="8" t="s">
        <v>1148</v>
      </c>
      <c r="C49" s="8" t="s">
        <v>1151</v>
      </c>
      <c r="D49" s="8" t="s">
        <v>537</v>
      </c>
    </row>
    <row r="50" spans="1:4" ht="40" customHeight="1">
      <c r="A50" s="8" t="s">
        <v>1072</v>
      </c>
      <c r="B50" s="8" t="s">
        <v>1148</v>
      </c>
      <c r="C50" s="8" t="s">
        <v>1154</v>
      </c>
      <c r="D50" s="8" t="s">
        <v>1155</v>
      </c>
    </row>
    <row r="51" spans="1:4" ht="40" customHeight="1">
      <c r="A51" s="8" t="s">
        <v>1072</v>
      </c>
      <c r="B51" s="8" t="s">
        <v>901</v>
      </c>
      <c r="C51" s="8" t="s">
        <v>1156</v>
      </c>
      <c r="D51" s="8" t="s">
        <v>1157</v>
      </c>
    </row>
    <row r="52" spans="1:4" ht="40" customHeight="1">
      <c r="A52" s="8" t="s">
        <v>1072</v>
      </c>
      <c r="B52" s="8" t="s">
        <v>901</v>
      </c>
      <c r="C52" s="8" t="s">
        <v>1156</v>
      </c>
      <c r="D52" s="8" t="s">
        <v>1158</v>
      </c>
    </row>
    <row r="53" spans="1:4" ht="40" customHeight="1">
      <c r="A53" s="8" t="s">
        <v>1072</v>
      </c>
      <c r="B53" s="8" t="s">
        <v>1159</v>
      </c>
      <c r="C53" s="8" t="s">
        <v>1160</v>
      </c>
      <c r="D53" s="8" t="s">
        <v>1161</v>
      </c>
    </row>
    <row r="54" spans="1:4" ht="40" customHeight="1">
      <c r="A54" s="8" t="s">
        <v>1072</v>
      </c>
      <c r="B54" s="8" t="s">
        <v>1159</v>
      </c>
      <c r="C54" s="8" t="s">
        <v>1162</v>
      </c>
      <c r="D54" s="8" t="s">
        <v>1163</v>
      </c>
    </row>
    <row r="55" spans="1:4" ht="40" customHeight="1">
      <c r="A55" s="8" t="s">
        <v>1072</v>
      </c>
      <c r="B55" s="8" t="s">
        <v>1159</v>
      </c>
      <c r="C55" s="8" t="s">
        <v>1164</v>
      </c>
      <c r="D55" s="8" t="s">
        <v>1165</v>
      </c>
    </row>
    <row r="56" spans="1:4" ht="40" customHeight="1">
      <c r="A56" s="8" t="s">
        <v>1072</v>
      </c>
      <c r="B56" s="8" t="s">
        <v>1166</v>
      </c>
      <c r="C56" s="8" t="s">
        <v>1167</v>
      </c>
      <c r="D56" s="8" t="s">
        <v>1168</v>
      </c>
    </row>
    <row r="57" spans="1:4" ht="40" customHeight="1">
      <c r="A57" s="8" t="s">
        <v>1072</v>
      </c>
      <c r="B57" s="8" t="s">
        <v>1166</v>
      </c>
      <c r="C57" s="8" t="s">
        <v>1169</v>
      </c>
      <c r="D57" s="8" t="s">
        <v>1170</v>
      </c>
    </row>
    <row r="58" spans="1:4" ht="40" customHeight="1">
      <c r="A58" s="8" t="s">
        <v>1072</v>
      </c>
      <c r="B58" s="8" t="s">
        <v>1171</v>
      </c>
      <c r="C58" s="8" t="s">
        <v>1172</v>
      </c>
      <c r="D58" s="8" t="s">
        <v>1173</v>
      </c>
    </row>
    <row r="59" spans="1:4" ht="40" customHeight="1">
      <c r="A59" s="8" t="s">
        <v>1072</v>
      </c>
      <c r="B59" s="8" t="s">
        <v>1171</v>
      </c>
      <c r="C59" s="8" t="s">
        <v>1174</v>
      </c>
      <c r="D59" s="8" t="s">
        <v>1175</v>
      </c>
    </row>
    <row r="60" spans="1:4" ht="40" customHeight="1">
      <c r="A60" s="8" t="s">
        <v>1072</v>
      </c>
      <c r="B60" s="8" t="s">
        <v>1176</v>
      </c>
      <c r="C60" s="8" t="s">
        <v>1177</v>
      </c>
      <c r="D60" s="8" t="s">
        <v>1178</v>
      </c>
    </row>
    <row r="61" spans="1:4" ht="40" customHeight="1">
      <c r="A61" s="8" t="s">
        <v>1072</v>
      </c>
      <c r="B61" s="8" t="s">
        <v>1176</v>
      </c>
      <c r="C61" s="8" t="s">
        <v>1179</v>
      </c>
      <c r="D61" s="8" t="s">
        <v>1180</v>
      </c>
    </row>
    <row r="62" spans="1:4" ht="40" customHeight="1">
      <c r="A62" s="8" t="s">
        <v>1072</v>
      </c>
      <c r="B62" s="8" t="s">
        <v>1176</v>
      </c>
      <c r="C62" s="8" t="s">
        <v>1181</v>
      </c>
      <c r="D62" s="8" t="s">
        <v>1182</v>
      </c>
    </row>
    <row r="63" spans="1:4" ht="40" customHeight="1">
      <c r="A63" s="8" t="s">
        <v>1072</v>
      </c>
      <c r="B63" s="8" t="s">
        <v>1176</v>
      </c>
      <c r="C63" s="8" t="s">
        <v>1183</v>
      </c>
      <c r="D63" s="8" t="s">
        <v>1184</v>
      </c>
    </row>
    <row r="64" spans="1:4" ht="40" customHeight="1">
      <c r="A64" s="8" t="s">
        <v>1072</v>
      </c>
      <c r="B64" s="8" t="s">
        <v>1176</v>
      </c>
      <c r="C64" s="8" t="s">
        <v>1185</v>
      </c>
      <c r="D64" s="8" t="s">
        <v>1186</v>
      </c>
    </row>
    <row r="65" spans="1:4" ht="40" customHeight="1">
      <c r="A65" s="8" t="s">
        <v>1072</v>
      </c>
      <c r="B65" s="8" t="s">
        <v>1187</v>
      </c>
      <c r="C65" s="8" t="s">
        <v>1188</v>
      </c>
      <c r="D65" s="8" t="s">
        <v>1189</v>
      </c>
    </row>
    <row r="66" spans="1:4" ht="40" customHeight="1">
      <c r="A66" s="8" t="s">
        <v>1072</v>
      </c>
      <c r="B66" s="8" t="s">
        <v>1190</v>
      </c>
      <c r="C66" s="8" t="s">
        <v>1191</v>
      </c>
      <c r="D66" s="8" t="s">
        <v>1192</v>
      </c>
    </row>
  </sheetData>
  <autoFilter ref="A6:D26"/>
  <mergeCells count="2">
    <mergeCell ref="A1:J2"/>
    <mergeCell ref="A3:J4"/>
  </mergeCells>
  <hyperlinks>
    <hyperlink ref="A5" location="'Resumen ejecutivo'!A1" display="Volver al tablero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>
  <sheetPr>
    <tabColor rgb="FF007E80"/>
    <pageSetUpPr fitToPage="1"/>
  </sheetPr>
  <dimension ref="A1:L3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/>
    </sheetView>
  </sheetViews>
  <sheetFormatPr defaultRowHeight="15"/>
  <cols>
    <col min="1" max="1" width="46.7109375" customWidth="1"/>
    <col min="2" max="12" width="15.7109375" customWidth="1"/>
  </cols>
  <sheetData>
    <row r="1" spans="1:12" ht="25" customHeight="1">
      <c r="A1" s="1" t="s">
        <v>1230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4" customHeight="1">
      <c r="A3" s="2" t="s">
        <v>1231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spans="1:12">
      <c r="A5" s="9" t="s">
        <v>4</v>
      </c>
    </row>
    <row r="7" spans="1:12" ht="26" customHeight="1">
      <c r="A7" s="9" t="s">
        <v>720</v>
      </c>
    </row>
    <row r="8" spans="1:12" ht="26" customHeight="1">
      <c r="A8" s="9" t="s">
        <v>758</v>
      </c>
    </row>
    <row r="9" spans="1:12" ht="26" customHeight="1">
      <c r="A9" s="9" t="s">
        <v>1232</v>
      </c>
    </row>
    <row r="10" spans="1:12" ht="26" customHeight="1">
      <c r="A10" s="9" t="s">
        <v>1233</v>
      </c>
    </row>
    <row r="11" spans="1:12" ht="26" customHeight="1">
      <c r="A11" s="9" t="s">
        <v>771</v>
      </c>
    </row>
    <row r="12" spans="1:12" ht="26" customHeight="1">
      <c r="A12" s="9" t="s">
        <v>802</v>
      </c>
    </row>
    <row r="13" spans="1:12" ht="26" customHeight="1">
      <c r="A13" s="9" t="s">
        <v>1234</v>
      </c>
    </row>
    <row r="14" spans="1:12" ht="26" customHeight="1">
      <c r="A14" s="9" t="s">
        <v>828</v>
      </c>
    </row>
    <row r="15" spans="1:12" ht="26" customHeight="1">
      <c r="A15" s="9" t="s">
        <v>842</v>
      </c>
    </row>
    <row r="16" spans="1:12" ht="26" customHeight="1">
      <c r="A16" s="9" t="s">
        <v>861</v>
      </c>
    </row>
    <row r="17" spans="1:1" ht="26" customHeight="1">
      <c r="A17" s="9" t="s">
        <v>1235</v>
      </c>
    </row>
    <row r="18" spans="1:1" ht="26" customHeight="1">
      <c r="A18" s="9" t="s">
        <v>888</v>
      </c>
    </row>
    <row r="19" spans="1:1" ht="26" customHeight="1">
      <c r="A19" s="9" t="s">
        <v>1236</v>
      </c>
    </row>
    <row r="20" spans="1:1" ht="26" customHeight="1">
      <c r="A20" s="9" t="s">
        <v>905</v>
      </c>
    </row>
    <row r="21" spans="1:1" ht="26" customHeight="1">
      <c r="A21" s="9" t="s">
        <v>1237</v>
      </c>
    </row>
    <row r="22" spans="1:1" ht="26" customHeight="1">
      <c r="A22" s="9" t="s">
        <v>933</v>
      </c>
    </row>
    <row r="23" spans="1:1" ht="26" customHeight="1">
      <c r="A23" s="9" t="s">
        <v>1238</v>
      </c>
    </row>
    <row r="24" spans="1:1" ht="26" customHeight="1">
      <c r="A24" s="9" t="s">
        <v>18</v>
      </c>
    </row>
    <row r="25" spans="1:1" ht="26" customHeight="1">
      <c r="A25" s="9" t="s">
        <v>19</v>
      </c>
    </row>
    <row r="26" spans="1:1" ht="26" customHeight="1">
      <c r="A26" s="9" t="s">
        <v>20</v>
      </c>
    </row>
    <row r="27" spans="1:1" ht="26" customHeight="1">
      <c r="A27" s="9" t="s">
        <v>21</v>
      </c>
    </row>
    <row r="28" spans="1:1" ht="26" customHeight="1">
      <c r="A28" s="9" t="s">
        <v>22</v>
      </c>
    </row>
    <row r="29" spans="1:1" ht="26" customHeight="1">
      <c r="A29" s="9" t="s">
        <v>23</v>
      </c>
    </row>
    <row r="30" spans="1:1" ht="26" customHeight="1">
      <c r="A30" s="9" t="s">
        <v>1239</v>
      </c>
    </row>
    <row r="31" spans="1:1" ht="26" customHeight="1">
      <c r="A31" s="9" t="s">
        <v>1240</v>
      </c>
    </row>
    <row r="32" spans="1:1" ht="26" customHeight="1">
      <c r="A32" s="9" t="s">
        <v>1241</v>
      </c>
    </row>
    <row r="33" spans="1:1" ht="26" customHeight="1">
      <c r="A33" s="9" t="s">
        <v>1242</v>
      </c>
    </row>
  </sheetData>
  <mergeCells count="2">
    <mergeCell ref="A1:L2"/>
    <mergeCell ref="A3:L4"/>
  </mergeCells>
  <hyperlinks>
    <hyperlink ref="A5" location="'Resumen ejecutivo'!A1" display="Volver al tablero"/>
    <hyperlink ref="A7" location="'Actividad'!A1" display="Actividad"/>
    <hyperlink ref="A8" location="'Ausentismo'!A1" display="Ausentismo"/>
    <hyperlink ref="A9" location="'Focos sectoriales'!A1" display="Focos sectoriales"/>
    <hyperlink ref="A10" location="'Base sectorial'!A1" display="Base sectorial"/>
    <hyperlink ref="A11" location="'Seguimiento BP'!A1" display="Seguimiento BP"/>
    <hyperlink ref="A12" location="'Gestión ART'!A1" display="Gestión ART"/>
    <hyperlink ref="A13" location="'Licencias y calidad'!A1" display="Licencias y calidad"/>
    <hyperlink ref="A14" location="'Accidentalidad'!A1" display="Accidentalidad"/>
    <hyperlink ref="A15" location="'Vacunación'!A1" display="Vacunación"/>
    <hyperlink ref="A16" location="'Equipos emergencia'!A1" display="Equipos emergencia"/>
    <hyperlink ref="A17" location="'Detalle activos'!A1" display="Detalle activos"/>
    <hyperlink ref="A18" location="'Medicamentos'!A1" display="Medicamentos"/>
    <hyperlink ref="A19" location="'Consumo'!A1" display="Consumo"/>
    <hyperlink ref="A20" location="'Capacitación'!A1" display="Capacitación"/>
    <hyperlink ref="A21" location="'Equipo del servicio'!A1" display="Equipo del servicio"/>
    <hyperlink ref="A22" location="'Recorridos de planta'!A1" display="Recorridos de planta"/>
    <hyperlink ref="A23" location="'Mejoras 2S - Aptitudes'!A1" display="Mejoras 2S - Aptitudes"/>
    <hyperlink ref="A24" location="'Enero'!A1" display="Enero"/>
    <hyperlink ref="A25" location="'Febrero'!A1" display="Febrero"/>
    <hyperlink ref="A26" location="'Marzo'!A1" display="Marzo"/>
    <hyperlink ref="A27" location="'Abril'!A1" display="Abril"/>
    <hyperlink ref="A28" location="'Mayo'!A1" display="Mayo"/>
    <hyperlink ref="A29" location="'Junio'!A1" display="Junio"/>
    <hyperlink ref="A30" location="'Catálogo de indicadores'!A1" display="Catálogo de indicadores"/>
    <hyperlink ref="A31" location="'Metas y acciones'!A1" display="Metas y acciones"/>
    <hyperlink ref="A32" location="'Calidad y pendientes'!A1" display="Calidad y pendientes"/>
    <hyperlink ref="A33" location="'Fuentes'!A1" display="Fuentes"/>
  </hyperlinks>
  <pageMargins left="0.3" right="0.3" top="0.4" bottom="0.4" header="0.3" footer="0.3"/>
  <pageSetup paperSize="9" fitToHeight="0" orientation="landscape"/>
  <headerFooter>
    <oddFooter>&amp;LServicio Médico | Gestión integral&amp;C1S2026 + mejoras 2S&amp;R&amp;P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29</vt:i4>
      </vt:variant>
      <vt:variant>
        <vt:lpstr>Named Ranges</vt:lpstr>
      </vt:variant>
      <vt:variant>
        <vt:i4>1</vt:i4>
      </vt:variant>
    </vt:vector>
  </HeadingPairs>
  <TitlesOfParts>
    <vt:vector size="30" baseType="lpstr">
      <vt:lpstr>Resumen ejecutivo</vt:lpstr>
      <vt:lpstr>Actividad</vt:lpstr>
      <vt:lpstr>Ausentismo</vt:lpstr>
      <vt:lpstr>Focos sectoriales</vt:lpstr>
      <vt:lpstr>Base sectorial</vt:lpstr>
      <vt:lpstr>Seguimiento BP</vt:lpstr>
      <vt:lpstr>Gestión ART</vt:lpstr>
      <vt:lpstr>Licencias y calidad</vt:lpstr>
      <vt:lpstr>Accidentalidad</vt:lpstr>
      <vt:lpstr>Vacunación</vt:lpstr>
      <vt:lpstr>Equipos emergencia</vt:lpstr>
      <vt:lpstr>Detalle activos</vt:lpstr>
      <vt:lpstr>Medicamentos</vt:lpstr>
      <vt:lpstr>Consumo</vt:lpstr>
      <vt:lpstr>Capacitación</vt:lpstr>
      <vt:lpstr>Equipo del servicio</vt:lpstr>
      <vt:lpstr>Recorridos de planta</vt:lpstr>
      <vt:lpstr>Mejoras 2S - Aptitudes</vt:lpstr>
      <vt:lpstr>Enero</vt:lpstr>
      <vt:lpstr>Febrero</vt:lpstr>
      <vt:lpstr>Marzo</vt:lpstr>
      <vt:lpstr>Abril</vt:lpstr>
      <vt:lpstr>Mayo</vt:lpstr>
      <vt:lpstr>Junio</vt:lpstr>
      <vt:lpstr>Catálogo de indicadores</vt:lpstr>
      <vt:lpstr>Metas y acciones</vt:lpstr>
      <vt:lpstr>Calidad y pendientes</vt:lpstr>
      <vt:lpstr>Fuentes</vt:lpstr>
      <vt:lpstr>Índice</vt:lpstr>
      <vt:lpstr>'Resumen ejecutivo'!Print_Area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Gestión integral del Servicio Médico | 1S2026 y mejoras 2S</dc:title>
  <dc:subject>Actividad, seguimiento, prevención y capacidad de respuesta</dc:subject>
  <dc:creator>Servicio Médico Tandanor</dc:creator>
  <cp:lastModifiedBy>Servicio Médico Tandanor</cp:lastModifiedBy>
  <dcterms:created xsi:type="dcterms:W3CDTF">2026-10-07T15:16:37Z</dcterms:created>
  <dcterms:modified xsi:type="dcterms:W3CDTF">2026-10-07T15:16:37Z</dcterms:modified>
</cp:coreProperties>
</file>