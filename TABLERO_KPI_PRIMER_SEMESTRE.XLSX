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10" activeTab="9"/>
  </bookViews>
  <sheets>
    <sheet name="Enero" sheetId="1" r:id="rId1"/>
    <sheet name="Febrero" sheetId="2" r:id="rId2"/>
    <sheet name="Marzo" sheetId="3" r:id="rId3"/>
    <sheet name="Abril" sheetId="4" r:id="rId4"/>
    <sheet name="Mayo" sheetId="5" r:id="rId5"/>
    <sheet name="Junio" sheetId="6" r:id="rId6"/>
    <sheet name="Consolidado" sheetId="7" r:id="rId7"/>
    <sheet name="Comparativo 2025" sheetId="8" r:id="rId8"/>
    <sheet name="Fuentes y controles" sheetId="9" r:id="rId9"/>
    <sheet name="Resumen ejecutivo" sheetId="10" r:id="rId10"/>
  </sheets>
  <definedNames>
    <definedName name="_xlnm._FilterDatabase" localSheetId="3" hidden="1">Abril!$A$16:$I$74</definedName>
    <definedName name="_xlnm._FilterDatabase" localSheetId="6" hidden="1">Consolidado!$A$6:$L$12</definedName>
    <definedName name="_xlnm._FilterDatabase" localSheetId="0" hidden="1">Enero!$A$16:$I$74</definedName>
    <definedName name="_xlnm._FilterDatabase" localSheetId="1" hidden="1">Febrero!$A$16:$I$73</definedName>
    <definedName name="_xlnm._FilterDatabase" localSheetId="5" hidden="1">Junio!$A$16:$I$72</definedName>
    <definedName name="_xlnm._FilterDatabase" localSheetId="2" hidden="1">Marzo!$A$16:$I$74</definedName>
    <definedName name="_xlnm._FilterDatabase" localSheetId="4" hidden="1">Mayo!$A$16:$I$73</definedName>
    <definedName name="_xlnm.Print_Area" localSheetId="6">Consolidado!$A$1:$L$19</definedName>
    <definedName name="_xlnm.Print_Area" localSheetId="9">'Resumen ejecutivo'!$A$1:$L$47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8" authorId="0">
      <text>
        <r>
          <rPr>
            <sz val="8"/>
            <color indexed="81"/>
            <rFont val="Tahoma"/>
            <family val="2"/>
          </rPr>
          <t>Indicador Ausentismo ENERO (1).xlsx | Relaciones Industriales | fila 14</t>
        </r>
      </text>
    </comment>
    <comment ref="C8" authorId="0">
      <text>
        <r>
          <rPr>
            <sz val="8"/>
            <color indexed="81"/>
            <rFont val="Tahoma"/>
            <family val="2"/>
          </rPr>
          <t>Indicador Ausentismo ENERO (1).xlsx | Relaciones Industriales | fila 14</t>
        </r>
      </text>
    </comment>
    <comment ref="D8" authorId="0">
      <text>
        <r>
          <rPr>
            <sz val="8"/>
            <color indexed="81"/>
            <rFont val="Tahoma"/>
            <family val="2"/>
          </rPr>
          <t>Indicador Ausentismo ENERO (1).xlsx | Relaciones Industriales | fila 14</t>
        </r>
      </text>
    </comment>
    <comment ref="F8" authorId="0">
      <text>
        <r>
          <rPr>
            <sz val="8"/>
            <color indexed="81"/>
            <rFont val="Tahoma"/>
            <family val="2"/>
          </rPr>
          <t>Indicador Ausentismo ENERO (1).xlsx | Relaciones Industriales | fila 14</t>
        </r>
      </text>
    </comment>
    <comment ref="G8" authorId="0">
      <text>
        <r>
          <rPr>
            <sz val="8"/>
            <color indexed="81"/>
            <rFont val="Tahoma"/>
            <family val="2"/>
          </rPr>
          <t>Indicador Ausentismo ENERO (1).xlsx | Relaciones Industriales | fila 14</t>
        </r>
      </text>
    </comment>
    <comment ref="I8" authorId="0">
      <text>
        <r>
          <rPr>
            <sz val="8"/>
            <color indexed="81"/>
            <rFont val="Tahoma"/>
            <family val="2"/>
          </rPr>
          <t>Indice Enero 2026.xlsx | DATOS | LICENCIA ANUAL, convenio y fuera de convenio.</t>
        </r>
      </text>
    </comment>
    <comment ref="J8" authorId="0">
      <text>
        <r>
          <rPr>
            <sz val="8"/>
            <color indexed="81"/>
            <rFont val="Tahoma"/>
            <family val="2"/>
          </rPr>
          <t>Indicador Ausentismo ENERO (1).xlsx | Relaciones Industriales | fila 14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8" authorId="0">
      <text>
        <r>
          <rPr>
            <sz val="8"/>
            <color indexed="81"/>
            <rFont val="Tahoma"/>
            <family val="2"/>
          </rPr>
          <t>Indicador Ausentismo febrero.xlsx | Relaciones Industriales | fila 15</t>
        </r>
      </text>
    </comment>
    <comment ref="C8" authorId="0">
      <text>
        <r>
          <rPr>
            <sz val="8"/>
            <color indexed="81"/>
            <rFont val="Tahoma"/>
            <family val="2"/>
          </rPr>
          <t>Indicador Ausentismo febrero.xlsx | Relaciones Industriales | fila 15</t>
        </r>
      </text>
    </comment>
    <comment ref="D8" authorId="0">
      <text>
        <r>
          <rPr>
            <sz val="8"/>
            <color indexed="81"/>
            <rFont val="Tahoma"/>
            <family val="2"/>
          </rPr>
          <t>Indicador Ausentismo febrero.xlsx | Relaciones Industriales | fila 15</t>
        </r>
      </text>
    </comment>
    <comment ref="F8" authorId="0">
      <text>
        <r>
          <rPr>
            <sz val="8"/>
            <color indexed="81"/>
            <rFont val="Tahoma"/>
            <family val="2"/>
          </rPr>
          <t>Indicador Ausentismo febrero.xlsx | Relaciones Industriales | fila 15</t>
        </r>
      </text>
    </comment>
    <comment ref="G8" authorId="0">
      <text>
        <r>
          <rPr>
            <sz val="8"/>
            <color indexed="81"/>
            <rFont val="Tahoma"/>
            <family val="2"/>
          </rPr>
          <t>Indicador Ausentismo febrero.xlsx | Relaciones Industriales | fila 15</t>
        </r>
      </text>
    </comment>
    <comment ref="I8" authorId="0">
      <text>
        <r>
          <rPr>
            <sz val="8"/>
            <color indexed="81"/>
            <rFont val="Tahoma"/>
            <family val="2"/>
          </rPr>
          <t>Indice Febrero 2026.xlsx | DATOS | LICENCIA ANUAL, convenio y fuera de convenio.</t>
        </r>
      </text>
    </comment>
    <comment ref="J8" authorId="0">
      <text>
        <r>
          <rPr>
            <sz val="8"/>
            <color indexed="81"/>
            <rFont val="Tahoma"/>
            <family val="2"/>
          </rPr>
          <t>Indicador Ausentismo febrero.xlsx | Relaciones Industriales | fila 15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8" authorId="0">
      <text>
        <r>
          <rPr>
            <sz val="8"/>
            <color indexed="81"/>
            <rFont val="Tahoma"/>
            <family val="2"/>
          </rPr>
          <t>Indicador Ausentismo marzo.xlsx | Relaciones Industriales | fila 16</t>
        </r>
      </text>
    </comment>
    <comment ref="C8" authorId="0">
      <text>
        <r>
          <rPr>
            <sz val="8"/>
            <color indexed="81"/>
            <rFont val="Tahoma"/>
            <family val="2"/>
          </rPr>
          <t>Indicador Ausentismo marzo.xlsx | Relaciones Industriales | fila 16</t>
        </r>
      </text>
    </comment>
    <comment ref="D8" authorId="0">
      <text>
        <r>
          <rPr>
            <sz val="8"/>
            <color indexed="81"/>
            <rFont val="Tahoma"/>
            <family val="2"/>
          </rPr>
          <t>Indicador Ausentismo marzo.xlsx | Relaciones Industriales | fila 16</t>
        </r>
      </text>
    </comment>
    <comment ref="F8" authorId="0">
      <text>
        <r>
          <rPr>
            <sz val="8"/>
            <color indexed="81"/>
            <rFont val="Tahoma"/>
            <family val="2"/>
          </rPr>
          <t>Indicador Ausentismo marzo.xlsx | Relaciones Industriales | fila 16</t>
        </r>
      </text>
    </comment>
    <comment ref="G8" authorId="0">
      <text>
        <r>
          <rPr>
            <sz val="8"/>
            <color indexed="81"/>
            <rFont val="Tahoma"/>
            <family val="2"/>
          </rPr>
          <t>Indicador Ausentismo marzo.xlsx | Relaciones Industriales | fila 16</t>
        </r>
      </text>
    </comment>
    <comment ref="I8" authorId="0">
      <text>
        <r>
          <rPr>
            <sz val="8"/>
            <color indexed="81"/>
            <rFont val="Tahoma"/>
            <family val="2"/>
          </rPr>
          <t>Indice marzo 2026.xlsx | DATOS | LICENCIA ANUAL, convenio y fuera de convenio.</t>
        </r>
      </text>
    </comment>
    <comment ref="J8" authorId="0">
      <text>
        <r>
          <rPr>
            <sz val="8"/>
            <color indexed="81"/>
            <rFont val="Tahoma"/>
            <family val="2"/>
          </rPr>
          <t>Indicador Ausentismo marzo.xlsx | Relaciones Industriales | fila 16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8" authorId="0">
      <text>
        <r>
          <rPr>
            <sz val="8"/>
            <color indexed="81"/>
            <rFont val="Tahoma"/>
            <family val="2"/>
          </rPr>
          <t>Indicador Ausentismo abril.xlsx | Relaciones Industriales | fila 17</t>
        </r>
      </text>
    </comment>
    <comment ref="C8" authorId="0">
      <text>
        <r>
          <rPr>
            <sz val="8"/>
            <color indexed="81"/>
            <rFont val="Tahoma"/>
            <family val="2"/>
          </rPr>
          <t>Indicador Ausentismo abril.xlsx | Relaciones Industriales | fila 17</t>
        </r>
      </text>
    </comment>
    <comment ref="D8" authorId="0">
      <text>
        <r>
          <rPr>
            <sz val="8"/>
            <color indexed="81"/>
            <rFont val="Tahoma"/>
            <family val="2"/>
          </rPr>
          <t>Indicador Ausentismo abril.xlsx | Relaciones Industriales | fila 17</t>
        </r>
      </text>
    </comment>
    <comment ref="F8" authorId="0">
      <text>
        <r>
          <rPr>
            <sz val="8"/>
            <color indexed="81"/>
            <rFont val="Tahoma"/>
            <family val="2"/>
          </rPr>
          <t>Indicador Ausentismo abril.xlsx | Relaciones Industriales | fila 17</t>
        </r>
      </text>
    </comment>
    <comment ref="G8" authorId="0">
      <text>
        <r>
          <rPr>
            <sz val="8"/>
            <color indexed="81"/>
            <rFont val="Tahoma"/>
            <family val="2"/>
          </rPr>
          <t>Indicador Ausentismo abril.xlsx | Relaciones Industriales | fila 17</t>
        </r>
      </text>
    </comment>
    <comment ref="I8" authorId="0">
      <text>
        <r>
          <rPr>
            <sz val="8"/>
            <color indexed="81"/>
            <rFont val="Tahoma"/>
            <family val="2"/>
          </rPr>
          <t>Indice abril 2026.xlsx | DATOS | LICENCIA ANUAL, convenio y fuera de convenio.</t>
        </r>
      </text>
    </comment>
    <comment ref="J8" authorId="0">
      <text>
        <r>
          <rPr>
            <sz val="8"/>
            <color indexed="81"/>
            <rFont val="Tahoma"/>
            <family val="2"/>
          </rPr>
          <t>Indicador Ausentismo abril.xlsx | Relaciones Industriales | fila 17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B8" authorId="0">
      <text>
        <r>
          <rPr>
            <sz val="8"/>
            <color indexed="81"/>
            <rFont val="Tahoma"/>
            <family val="2"/>
          </rPr>
          <t>Indicador Ausentismo mayo.xlsx | Relaciones Industriales | fila 18</t>
        </r>
      </text>
    </comment>
    <comment ref="C8" authorId="0">
      <text>
        <r>
          <rPr>
            <sz val="8"/>
            <color indexed="81"/>
            <rFont val="Tahoma"/>
            <family val="2"/>
          </rPr>
          <t>Indicador Ausentismo mayo.xlsx | Relaciones Industriales | fila 18</t>
        </r>
      </text>
    </comment>
    <comment ref="D8" authorId="0">
      <text>
        <r>
          <rPr>
            <sz val="8"/>
            <color indexed="81"/>
            <rFont val="Tahoma"/>
            <family val="2"/>
          </rPr>
          <t>Indicador Ausentismo mayo.xlsx | Relaciones Industriales | fila 18</t>
        </r>
      </text>
    </comment>
    <comment ref="F8" authorId="0">
      <text>
        <r>
          <rPr>
            <sz val="8"/>
            <color indexed="81"/>
            <rFont val="Tahoma"/>
            <family val="2"/>
          </rPr>
          <t>Indicador Ausentismo mayo.xlsx | Relaciones Industriales | fila 18</t>
        </r>
      </text>
    </comment>
    <comment ref="G8" authorId="0">
      <text>
        <r>
          <rPr>
            <sz val="8"/>
            <color indexed="81"/>
            <rFont val="Tahoma"/>
            <family val="2"/>
          </rPr>
          <t>Indicador Ausentismo mayo.xlsx | Relaciones Industriales | fila 18</t>
        </r>
      </text>
    </comment>
    <comment ref="I8" authorId="0">
      <text>
        <r>
          <rPr>
            <sz val="8"/>
            <color indexed="81"/>
            <rFont val="Tahoma"/>
            <family val="2"/>
          </rPr>
          <t>Indice mayo 2026.xlsx | DATOS | LICENCIA ANUAL, convenio y fuera de convenio.</t>
        </r>
      </text>
    </comment>
    <comment ref="J8" authorId="0">
      <text>
        <r>
          <rPr>
            <sz val="8"/>
            <color indexed="81"/>
            <rFont val="Tahoma"/>
            <family val="2"/>
          </rPr>
          <t>Indicador Ausentismo mayo.xlsx | Relaciones Industriales | fila 18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B8" authorId="0">
      <text>
        <r>
          <rPr>
            <sz val="8"/>
            <color indexed="81"/>
            <rFont val="Tahoma"/>
            <family val="2"/>
          </rPr>
          <t>Indicador Ausentismo junio.xlsx | Relaciones Industriales | fila 19</t>
        </r>
      </text>
    </comment>
    <comment ref="C8" authorId="0">
      <text>
        <r>
          <rPr>
            <sz val="8"/>
            <color indexed="81"/>
            <rFont val="Tahoma"/>
            <family val="2"/>
          </rPr>
          <t>Indicador Ausentismo junio.xlsx | Relaciones Industriales | fila 19</t>
        </r>
      </text>
    </comment>
    <comment ref="D8" authorId="0">
      <text>
        <r>
          <rPr>
            <sz val="8"/>
            <color indexed="81"/>
            <rFont val="Tahoma"/>
            <family val="2"/>
          </rPr>
          <t>Indicador Ausentismo junio.xlsx | Relaciones Industriales | fila 19</t>
        </r>
      </text>
    </comment>
    <comment ref="F8" authorId="0">
      <text>
        <r>
          <rPr>
            <sz val="8"/>
            <color indexed="81"/>
            <rFont val="Tahoma"/>
            <family val="2"/>
          </rPr>
          <t>Indicador Ausentismo junio.xlsx | Relaciones Industriales | fila 19</t>
        </r>
      </text>
    </comment>
    <comment ref="G8" authorId="0">
      <text>
        <r>
          <rPr>
            <sz val="8"/>
            <color indexed="81"/>
            <rFont val="Tahoma"/>
            <family val="2"/>
          </rPr>
          <t>Indicador Ausentismo junio.xlsx | Relaciones Industriales | fila 19</t>
        </r>
      </text>
    </comment>
    <comment ref="I8" authorId="0">
      <text>
        <r>
          <rPr>
            <sz val="8"/>
            <color indexed="81"/>
            <rFont val="Tahoma"/>
            <family val="2"/>
          </rPr>
          <t>Indice junio 2026.xlsx | DATOS | LICENCIA ANUAL, convenio y fuera de convenio.</t>
        </r>
      </text>
    </comment>
    <comment ref="J8" authorId="0">
      <text>
        <r>
          <rPr>
            <sz val="8"/>
            <color indexed="81"/>
            <rFont val="Tahoma"/>
            <family val="2"/>
          </rPr>
          <t>Indicador Ausentismo junio.xlsx | Relaciones Industriales | fila 19</t>
        </r>
      </text>
    </comment>
  </commentList>
</comments>
</file>

<file path=xl/sharedStrings.xml><?xml version="1.0" encoding="utf-8"?>
<sst xmlns="http://schemas.openxmlformats.org/spreadsheetml/2006/main" count="1306" uniqueCount="202">
  <si>
    <t>ENERO 2026 | AUSENTISMO</t>
  </si>
  <si>
    <t>Fuentes: Indicador Ausentismo ENERO (1).xlsx y Indice Enero 2026.xlsx. Valores del mes conciliados con el cierre acumulado de junio.</t>
  </si>
  <si>
    <t>Volver al resumen</t>
  </si>
  <si>
    <t>Mes</t>
  </si>
  <si>
    <t>Horas teóricas</t>
  </si>
  <si>
    <t>Horas enfermedad</t>
  </si>
  <si>
    <t>Horas accidentes/ART</t>
  </si>
  <si>
    <t>Horas médicas</t>
  </si>
  <si>
    <t>Horas compensatorias</t>
  </si>
  <si>
    <t>Otras ausencias</t>
  </si>
  <si>
    <t>Total sin vacaciones (h)</t>
  </si>
  <si>
    <t>Vacaciones (h)</t>
  </si>
  <si>
    <t>Dotación</t>
  </si>
  <si>
    <t>Tasa médica</t>
  </si>
  <si>
    <t>Tasa total sin vacaciones</t>
  </si>
  <si>
    <t>Enero</t>
  </si>
  <si>
    <t>Horas médicas = enfermedad + accidentes/ART. BP forma parte de enfermedad y no debe sumarse otra vez. Tasa médica = horas médicas / horas normales teóricas. Vacaciones se muestran por separado. Dotación corresponde al mes, no a la nómina actual.</t>
  </si>
  <si>
    <t>Régimen</t>
  </si>
  <si>
    <t>Sector</t>
  </si>
  <si>
    <t>Horas ART</t>
  </si>
  <si>
    <t>Referencia</t>
  </si>
  <si>
    <t>Convenio</t>
  </si>
  <si>
    <t>Control Patrimonial</t>
  </si>
  <si>
    <t>DISTRIBUCION DE HORAS C!B7:B13</t>
  </si>
  <si>
    <t>Control de Contratistas</t>
  </si>
  <si>
    <t>DISTRIBUCION DE HORAS C!C7:C13</t>
  </si>
  <si>
    <t>Depto. Almacenes</t>
  </si>
  <si>
    <t>DISTRIBUCION DE HORAS C!D7:D13</t>
  </si>
  <si>
    <t>Depto, Bomberos</t>
  </si>
  <si>
    <t>DISTRIBUCION DE HORAS C!E7:E13</t>
  </si>
  <si>
    <t>Dpto. Carenado</t>
  </si>
  <si>
    <t>DISTRIBUCION DE HORAS C!F7:F13</t>
  </si>
  <si>
    <t>Depto. Casco y Acero</t>
  </si>
  <si>
    <t>DISTRIBUCION DE HORAS C!G7:G13</t>
  </si>
  <si>
    <t>Depto. Habitabilidad</t>
  </si>
  <si>
    <t>DISTRIBUCION DE HORAS C!H7:H13</t>
  </si>
  <si>
    <t>Depto. Cobrería</t>
  </si>
  <si>
    <t>DISTRIBUCION DE HORAS C!I7:I13</t>
  </si>
  <si>
    <t>Depto. Control de Gestión</t>
  </si>
  <si>
    <t>DISTRIBUCION DE HORAS C!J7:J13</t>
  </si>
  <si>
    <t>Depto. Capital Humano</t>
  </si>
  <si>
    <t>DISTRIBUCION DE HORAS C!K7:K13</t>
  </si>
  <si>
    <t>Depto. Electricidad</t>
  </si>
  <si>
    <t>DISTRIBUCION DE HORAS C!L7:L13</t>
  </si>
  <si>
    <t>Depto. Control de Calidad</t>
  </si>
  <si>
    <t>DISTRIBUCION DE HORAS C!M7:M13</t>
  </si>
  <si>
    <t>Gestión de Calidad</t>
  </si>
  <si>
    <t>DISTRIBUCION DE HORAS C!N7:N13</t>
  </si>
  <si>
    <t>Depto. Maniobras y Transportes</t>
  </si>
  <si>
    <t>DISTRIBUCION DE HORAS C!O7:O13</t>
  </si>
  <si>
    <t>Depto. Mecánica</t>
  </si>
  <si>
    <t>DISTRIBUCION DE HORAS C!P7:P13</t>
  </si>
  <si>
    <t>Depto. Relaciones Institucionales</t>
  </si>
  <si>
    <t>DISTRIBUCION DE HORAS C!Q7:Q13</t>
  </si>
  <si>
    <t>Depto. Higiene y Seguridad Industrial</t>
  </si>
  <si>
    <t>DISTRIBUCION DE HORAS C!R7:R13</t>
  </si>
  <si>
    <t>Depto. Syncrolift</t>
  </si>
  <si>
    <t>DISTRIBUCION DE HORAS C!S7:S13</t>
  </si>
  <si>
    <t>Dirección Comercial</t>
  </si>
  <si>
    <t>DISTRIBUCION DE HORAS C!T7:T13</t>
  </si>
  <si>
    <t>Directorio</t>
  </si>
  <si>
    <t>DISTRIBUCION DE HORAS C!U7:U13</t>
  </si>
  <si>
    <t>Dirección de Operaciones</t>
  </si>
  <si>
    <t>DISTRIBUCION DE HORAS C!V7:V13</t>
  </si>
  <si>
    <t>Gcia. Administración y Finanzas</t>
  </si>
  <si>
    <t>DISTRIBUCION DE HORAS C!W7:W13</t>
  </si>
  <si>
    <t>Gcia. Asuntos legales</t>
  </si>
  <si>
    <t>DISTRIBUCION DE HORAS C!X7:X13</t>
  </si>
  <si>
    <t>Gcia de Compras y Contrataciones</t>
  </si>
  <si>
    <t>DISTRIBUCION DE HORAS C!Y7:Y13</t>
  </si>
  <si>
    <t>Gcia de Ingenieria</t>
  </si>
  <si>
    <t>DISTRIBUCION DE HORAS C!Z7:Z13</t>
  </si>
  <si>
    <t>Gcia de Producción</t>
  </si>
  <si>
    <t>DISTRIBUCION DE HORAS C!AA7:AA13</t>
  </si>
  <si>
    <t>Intendencia</t>
  </si>
  <si>
    <t>DISTRIBUCION DE HORAS C!AB7:AB13</t>
  </si>
  <si>
    <t>Jefatura de Proyectos</t>
  </si>
  <si>
    <t>DISTRIBUCION DE HORAS C!AC7:AC13</t>
  </si>
  <si>
    <t>Jefatura de Reparaciones</t>
  </si>
  <si>
    <t>DISTRIBUCION DE HORAS C!AD7:AD13</t>
  </si>
  <si>
    <t>Mantenimiento</t>
  </si>
  <si>
    <t>DISTRIBUCION DE HORAS C!AE7:AE13</t>
  </si>
  <si>
    <t>Mesa de Entrada</t>
  </si>
  <si>
    <t>DISTRIBUCION DE HORAS C!AF7:AF13</t>
  </si>
  <si>
    <t>Servicio Comedor</t>
  </si>
  <si>
    <t>DISTRIBUCION DE HORAS C!AG7:AG13</t>
  </si>
  <si>
    <t>Servicio Médico</t>
  </si>
  <si>
    <t>DISTRIBUCION DE HORAS C!AH7:AH13</t>
  </si>
  <si>
    <t>Fuera de convenio</t>
  </si>
  <si>
    <t>Coordinación de Operaciones</t>
  </si>
  <si>
    <t>DISTRIBUCION DE HORAS FC!B7:B13</t>
  </si>
  <si>
    <t>DISTRIBUCION DE HORAS FC!C7:C13</t>
  </si>
  <si>
    <t>DISTRIBUCION DE HORAS FC!D7:D13</t>
  </si>
  <si>
    <t>DISTRIBUCION DE HORAS FC!E7:E13</t>
  </si>
  <si>
    <t>DISTRIBUCION DE HORAS FC!F7:F13</t>
  </si>
  <si>
    <t>Depto. Desarrollo Tecnológico</t>
  </si>
  <si>
    <t>DISTRIBUCION DE HORAS FC!G7:G13</t>
  </si>
  <si>
    <t>DISTRIBUCION DE HORAS FC!H7:H13</t>
  </si>
  <si>
    <t>DISTRIBUCION DE HORAS FC!I7:I13</t>
  </si>
  <si>
    <t>Depto. Metalmecánica y Gestión de Materi</t>
  </si>
  <si>
    <t>DISTRIBUCION DE HORAS FC!J7:J13</t>
  </si>
  <si>
    <t>DISTRIBUCION DE HORAS FC!K7:K13</t>
  </si>
  <si>
    <t>DISTRIBUCION DE HORAS FC!L7:L13</t>
  </si>
  <si>
    <t>DISTRIBUCION DE HORAS FC!M7:M13</t>
  </si>
  <si>
    <t>Dirección de Administración</t>
  </si>
  <si>
    <t>DISTRIBUCION DE HORAS FC!N7:N13</t>
  </si>
  <si>
    <t>DISTRIBUCION DE HORAS FC!O7:O13</t>
  </si>
  <si>
    <t>Dirección General</t>
  </si>
  <si>
    <t>DISTRIBUCION DE HORAS FC!P7:P13</t>
  </si>
  <si>
    <t>DISTRIBUCION DE HORAS FC!Q7:Q13</t>
  </si>
  <si>
    <t>DISTRIBUCION DE HORAS FC!R7:R13</t>
  </si>
  <si>
    <t>DISTRIBUCION DE HORAS FC!S7:S13</t>
  </si>
  <si>
    <t>DISTRIBUCION DE HORAS FC!T7:T13</t>
  </si>
  <si>
    <t>DISTRIBUCION DE HORAS FC!U7:U13</t>
  </si>
  <si>
    <t>DISTRIBUCION DE HORAS FC!V7:V13</t>
  </si>
  <si>
    <t>DISTRIBUCION DE HORAS FC!W7:W13</t>
  </si>
  <si>
    <t>Planificación y Mantenimiento</t>
  </si>
  <si>
    <t>DISTRIBUCION DE HORAS FC!X7:X13</t>
  </si>
  <si>
    <t>DISTRIBUCION DE HORAS FC!Y7:Y13</t>
  </si>
  <si>
    <t>Unidad de Auditoria Interna</t>
  </si>
  <si>
    <t>DISTRIBUCION DE HORAS FC!Z7:Z13</t>
  </si>
  <si>
    <t>FEBRERO 2026 | AUSENTISMO</t>
  </si>
  <si>
    <t>Fuentes: Indicador Ausentismo febrero.xlsx y Indice Febrero 2026.xlsx. Valores del mes conciliados con el cierre acumulado de junio.</t>
  </si>
  <si>
    <t>Febrero</t>
  </si>
  <si>
    <t>MARZO 2026 | AUSENTISMO</t>
  </si>
  <si>
    <t>Fuentes: Indicador Ausentismo marzo.xlsx y Indice marzo 2026.xlsx. Valores del mes conciliados con el cierre acumulado de junio.</t>
  </si>
  <si>
    <t>Marzo</t>
  </si>
  <si>
    <t>Administración y Finanzas</t>
  </si>
  <si>
    <t>Asuntos legales</t>
  </si>
  <si>
    <t>Compras y Contrataciones</t>
  </si>
  <si>
    <t>Control de Calidad</t>
  </si>
  <si>
    <t>Depto. Bomberos</t>
  </si>
  <si>
    <t>Higiene y Seguridad Industrial</t>
  </si>
  <si>
    <t>Maniobras y Transportes</t>
  </si>
  <si>
    <t>Relaciones Institucionales</t>
  </si>
  <si>
    <t>ABRIL 2026 | AUSENTISMO</t>
  </si>
  <si>
    <t>Fuentes: Indicador Ausentismo abril.xlsx y Indice abril 2026.xlsx. Valores del mes conciliados con el cierre acumulado de junio.</t>
  </si>
  <si>
    <t>Abril</t>
  </si>
  <si>
    <t>MAYO 2026 | AUSENTISMO</t>
  </si>
  <si>
    <t>Fuentes: Indicador Ausentismo mayo.xlsx y Indice mayo 2026.xlsx. Valores del mes conciliados con el cierre acumulado de junio.</t>
  </si>
  <si>
    <t>Mayo</t>
  </si>
  <si>
    <t>Jefatura de Buques</t>
  </si>
  <si>
    <t>Gerencia Comercial</t>
  </si>
  <si>
    <t>JUNIO 2026 | AUSENTISMO</t>
  </si>
  <si>
    <t>Fuentes: Indicador Ausentismo junio.xlsx y Indice junio 2026.xlsx. Valores del mes conciliados con el cierre acumulado de junio.</t>
  </si>
  <si>
    <t>Junio</t>
  </si>
  <si>
    <t>CONSOLIDADO | ENERO A JUNIO 2026</t>
  </si>
  <si>
    <t>Cada fila está vinculada a la hoja mensual correspondiente. El semestre se calcula sumando horas; no se promedian tasas mensuales.</t>
  </si>
  <si>
    <t>1ER SEMESTRE</t>
  </si>
  <si>
    <t>Control de conciliación: enfermedad + ART de los sectores coincide con RRHH en cada uno de los seis meses. Total semestral: 18.895 horas médicas / 400.632 horas teóricas = 4,7163%. Dotación del semestre muestra el promedio mensual. Otras ausencias incluyen licencias varias y otras causas de RRHH; no son todas médicas.</t>
  </si>
  <si>
    <t>BASE COMPARATIVA | PRIMER SEMESTRE 2025</t>
  </si>
  <si>
    <t>Horas históricas extraídas del informe de junio 2026. Se recalcula la tasa médica desde las horas primarias.</t>
  </si>
  <si>
    <t>FUENTES Y CONTROLES</t>
  </si>
  <si>
    <t>Los 12 archivos mensuales se conservan sin modificaciones. No se incluyen nombres, legajos ni diagnósticos individuales.</t>
  </si>
  <si>
    <t>Archivo</t>
  </si>
  <si>
    <t>Uso</t>
  </si>
  <si>
    <t>SHA-256</t>
  </si>
  <si>
    <t>Indicador Ausentismo ENERO (1).xlsx</t>
  </si>
  <si>
    <t>Horas y dotación del mes; conciliado con informe de junio.</t>
  </si>
  <si>
    <t>d4d7a78a011c0ad4060ae53b01bb069898d99b7ee097e3e424db87155f1b5142</t>
  </si>
  <si>
    <t>Indice Enero 2026.xlsx</t>
  </si>
  <si>
    <t>Horas por sector, días hábiles y vacaciones; conciliado con RRHH.</t>
  </si>
  <si>
    <t>d06747e5ce3177e3535bb03b3fbbb21e3a66c20057213e212817411fa355d878</t>
  </si>
  <si>
    <t>Indicador Ausentismo febrero.xlsx</t>
  </si>
  <si>
    <t>7cddf9eada9e7ccb01a4ed01460c58a50e43234551723b9b76fb2ec5468cc6cd</t>
  </si>
  <si>
    <t>Indice Febrero 2026.xlsx</t>
  </si>
  <si>
    <t>0a00c5fea3f9bc0d12733f46f5334e63d2df61a97409d6ce0642f2c89233b6f8</t>
  </si>
  <si>
    <t>Indicador Ausentismo marzo.xlsx</t>
  </si>
  <si>
    <t>8da7782658d64e64f818bb53796f79ac22f387e07e7f281d044ee2c11723a0e9</t>
  </si>
  <si>
    <t>Indice marzo 2026.xlsx</t>
  </si>
  <si>
    <t>2cb3515cf0ba021e36384f1cf4f47f4a196c59ef8e13073a1a4814bce3f3b3a1</t>
  </si>
  <si>
    <t>Indicador Ausentismo abril.xlsx</t>
  </si>
  <si>
    <t>efc4fd0b3f21a36eea8cf8e9a8b309f15e00008ec25e29846e8fec457c87e10d</t>
  </si>
  <si>
    <t>Indice abril 2026.xlsx</t>
  </si>
  <si>
    <t>d0183ac436fd99e577b1e1682c91301b4d56701290ba999530a7ea874f617a8b</t>
  </si>
  <si>
    <t>Indicador Ausentismo mayo.xlsx</t>
  </si>
  <si>
    <t>fe5243655741b8a913c90ca841e86ecafc1ae718bb8e383588f62cf7b55e362e</t>
  </si>
  <si>
    <t>Indice mayo 2026.xlsx</t>
  </si>
  <si>
    <t>f4d2f6b6583ac11ca7f32e39017e1d25fb3b88f2ac84af0c708c49d385d38db1</t>
  </si>
  <si>
    <t>Indicador Ausentismo junio.xlsx</t>
  </si>
  <si>
    <t>cd8189842754e594be021c4e5efa715d53607da789f63205a1ea3add5c1975c7</t>
  </si>
  <si>
    <t>Indice junio 2026.xlsx</t>
  </si>
  <si>
    <t>8458ce1b6e3307adaa71bccd9f7a54b488c148855b59e0fa845589373e0da6b2</t>
  </si>
  <si>
    <t>Los informes de enero a junio contienen historia acumulada: sólo se extrae el mes propio, evitando contar los mismos meses repetidamente.</t>
  </si>
  <si>
    <t>Denominador: horas normales teóricas; no incluye horas extras. Tasa semestral: cociente de sumas.</t>
  </si>
  <si>
    <t>No se usan metas ni semáforos no aprobados. Las variaciones no permiten atribuir causalidad ni medir por sí solas desempeño del servicio.</t>
  </si>
  <si>
    <t>La tasa total publicada para enero 2025 no coincide con sus componentes; la comparación médica usa enfermedad + ART y no esa tasa total.</t>
  </si>
  <si>
    <t>BP se incluye en enfermedad. No se incorpora la tasa BP previa pendiente de validación clínica. Vacunación y aptitudes se dejan fuera de este archivo dedicado a ausentismo.</t>
  </si>
  <si>
    <t>Datos sectoriales: índice mensual, hojas DISTRIBUCION DE HORAS C y FC. Horas teóricas sectoriales = dotación × días hábiles RRHH × 8.</t>
  </si>
  <si>
    <t>TABLERO KPI | PRIMER SEMESTRE 2026</t>
  </si>
  <si>
    <t>Servicio Médico · Resumen ejecutivo de ausentismo · Consolidación de enero a junio, con anexos mensuales.</t>
  </si>
  <si>
    <t>AUSENTISMO MÉDICO</t>
  </si>
  <si>
    <t>HORAS MÉDICAS</t>
  </si>
  <si>
    <t>HORAS TEÓRICAS</t>
  </si>
  <si>
    <t>En 1S2025 la tasa médica fue 3,92%, En 1S2026 aumenta 0,79 puntos porcentuales, Junio presenta la tasa más alta (5,77%), Tasas calculadas con horas sin redondear,</t>
  </si>
  <si>
    <t>Tasa médica 2026</t>
  </si>
  <si>
    <t>Tasa médica 2025</t>
  </si>
  <si>
    <t>Enfermedad (h)</t>
  </si>
  <si>
    <t>ART (h)</t>
  </si>
  <si>
    <t>Lectura para Dirección: enfermedad aporta 14.880 horas y accidentes/ART 4.015 horas. Priorizar seguimiento de casos y revisar el aumento de mayo–junio. BP ya está incluido en enfermedad. El ausentismo médico es un resultado organizacional; no permite atribuir por sí solo causas ni evaluar la calidad de atención.</t>
  </si>
  <si>
    <t>Abrir consolidado</t>
  </si>
  <si>
    <t>Abrir fuentes y controles</t>
  </si>
</sst>
</file>

<file path=xl/styles.xml><?xml version="1.0" encoding="utf-8"?>
<styleSheet xmlns="http://schemas.openxmlformats.org/spreadsheetml/2006/main">
  <numFmts count="3">
    <numFmt numFmtId="164" formatCode="#,##0.##"/>
    <numFmt numFmtId="165" formatCode="0.00%"/>
    <numFmt numFmtId="166" formatCode="#,##0"/>
  </numFmts>
  <fonts count="10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0"/>
      <color rgb="FF596B78"/>
      <name val="Calibri"/>
      <family val="2"/>
      <scheme val="minor"/>
    </font>
    <font>
      <u/>
      <sz val="11"/>
      <color rgb="FF007E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7354D"/>
      <name val="Calibri"/>
      <family val="2"/>
      <scheme val="minor"/>
    </font>
    <font>
      <sz val="11"/>
      <color rgb="FF17354D"/>
      <name val="Calibri"/>
      <family val="2"/>
      <scheme val="minor"/>
    </font>
    <font>
      <b/>
      <sz val="10"/>
      <color rgb="FF007E80"/>
      <name val="Calibri"/>
      <family val="2"/>
      <scheme val="minor"/>
    </font>
    <font>
      <b/>
      <sz val="28"/>
      <color rgb="FF17354D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17354D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EDF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0" xfId="0" applyFont="1" applyFill="1" applyAlignment="1">
      <alignment vertical="center" wrapText="1"/>
    </xf>
    <xf numFmtId="0" fontId="5" fillId="0" borderId="0" xfId="0" applyFont="1" applyAlignment="1">
      <alignment vertical="top" wrapText="1"/>
    </xf>
    <xf numFmtId="164" fontId="6" fillId="0" borderId="0" xfId="0" applyNumberFormat="1" applyFont="1"/>
    <xf numFmtId="165" fontId="6" fillId="0" borderId="0" xfId="0" applyNumberFormat="1" applyFont="1"/>
    <xf numFmtId="0" fontId="5" fillId="3" borderId="0" xfId="0" applyFont="1" applyFill="1" applyAlignment="1">
      <alignment vertical="center" wrapText="1"/>
    </xf>
    <xf numFmtId="0" fontId="7" fillId="4" borderId="0" xfId="0" applyFont="1" applyFill="1" applyAlignment="1">
      <alignment wrapText="1"/>
    </xf>
    <xf numFmtId="165" fontId="8" fillId="4" borderId="0" xfId="0" applyNumberFormat="1" applyFont="1" applyFill="1"/>
    <xf numFmtId="166" fontId="8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mensual del ausentismo médico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2026</c:v>
          </c:tx>
          <c:spPr>
            <a:ln w="31750">
              <a:solidFill>
                <a:srgbClr val="007E80"/>
              </a:solidFill>
            </a:ln>
          </c:spPr>
          <c:marker>
            <c:symbol val="circle"/>
            <c:size val="5"/>
          </c:marker>
          <c:cat>
            <c:strRef>
              <c:f>'Resumen ejecutivo'!$A$17:$A$22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'Resumen ejecutivo'!$B$17:$B$22</c:f>
              <c:numCache>
                <c:formatCode>General</c:formatCode>
                <c:ptCount val="6"/>
                <c:pt idx="0">
                  <c:v>0.043604326976692316</c:v>
                </c:pt>
                <c:pt idx="1">
                  <c:v>0.04348896769109535</c:v>
                </c:pt>
                <c:pt idx="2">
                  <c:v>0.044376491646778045</c:v>
                </c:pt>
                <c:pt idx="3">
                  <c:v>0.042030502392344495</c:v>
                </c:pt>
                <c:pt idx="4">
                  <c:v>0.05137844611528822</c:v>
                </c:pt>
                <c:pt idx="5">
                  <c:v>0.05770107085896559</c:v>
                </c:pt>
              </c:numCache>
            </c:numRef>
          </c:val>
        </c:ser>
        <c:ser>
          <c:idx val="1"/>
          <c:order val="1"/>
          <c:tx>
            <c:v>2025</c:v>
          </c:tx>
          <c:spPr>
            <a:ln w="31750">
              <a:solidFill>
                <a:srgbClr val="6789A7"/>
              </a:solidFill>
            </a:ln>
          </c:spPr>
          <c:marker>
            <c:symbol val="circle"/>
            <c:size val="5"/>
          </c:marker>
          <c:cat>
            <c:strRef>
              <c:f>'Resumen ejecutivo'!$A$17:$A$22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'Resumen ejecutivo'!$C$17:$C$22</c:f>
              <c:numCache>
                <c:formatCode>General</c:formatCode>
                <c:ptCount val="6"/>
                <c:pt idx="0">
                  <c:v>0.03046048369682574</c:v>
                </c:pt>
                <c:pt idx="1">
                  <c:v>0.0389618138424821</c:v>
                </c:pt>
                <c:pt idx="2">
                  <c:v>0.04117063492063492</c:v>
                </c:pt>
                <c:pt idx="3">
                  <c:v>0.04003258293838863</c:v>
                </c:pt>
                <c:pt idx="4">
                  <c:v>0.03835697399527187</c:v>
                </c:pt>
                <c:pt idx="5">
                  <c:v>0.04776346895607814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0.07"/>
          <c:min val="0"/>
        </c:scaling>
        <c:axPos val="l"/>
        <c:majorGridlines/>
        <c:numFmt formatCode="0.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7</xdr:col>
      <xdr:colOff>638175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4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45.7109375" customWidth="1"/>
    <col min="3" max="8" width="15.7109375" customWidth="1"/>
    <col min="9" max="9" width="40.7109375" customWidth="1"/>
    <col min="10" max="12" width="15.7109375" customWidth="1"/>
  </cols>
  <sheetData>
    <row r="1" spans="1:12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3" t="s">
        <v>2</v>
      </c>
    </row>
    <row r="6" spans="1:12" ht="50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8" spans="1:12">
      <c r="A8" s="5" t="s">
        <v>15</v>
      </c>
      <c r="B8" s="6">
        <v>71736</v>
      </c>
      <c r="C8" s="6">
        <v>2208</v>
      </c>
      <c r="D8" s="6">
        <v>920</v>
      </c>
      <c r="E8" s="6">
        <f>C8+D8</f>
        <v>3128.0</v>
      </c>
      <c r="F8" s="6">
        <v>3952</v>
      </c>
      <c r="G8" s="6">
        <v>2287</v>
      </c>
      <c r="H8" s="6">
        <f>E8+F8+G8</f>
        <v>9367.0</v>
      </c>
      <c r="I8" s="6">
        <v>15480</v>
      </c>
      <c r="J8" s="6">
        <v>427</v>
      </c>
      <c r="K8" s="7">
        <f>E8/B8</f>
        <v>0.043604326976692316</v>
      </c>
      <c r="L8" s="7">
        <f>H8/B8</f>
        <v>0.13057600089216015</v>
      </c>
    </row>
    <row r="11" spans="1:12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2" customHeight="1">
      <c r="A16" s="4" t="s">
        <v>17</v>
      </c>
      <c r="B16" s="4" t="s">
        <v>18</v>
      </c>
      <c r="C16" s="4" t="s">
        <v>5</v>
      </c>
      <c r="D16" s="4" t="s">
        <v>19</v>
      </c>
      <c r="E16" s="4" t="s">
        <v>7</v>
      </c>
      <c r="F16" s="4" t="s">
        <v>12</v>
      </c>
      <c r="G16" s="4" t="s">
        <v>4</v>
      </c>
      <c r="H16" s="4" t="s">
        <v>13</v>
      </c>
      <c r="I16" s="4" t="s">
        <v>20</v>
      </c>
    </row>
    <row r="17" spans="1:9" ht="28" customHeight="1">
      <c r="A17" s="5" t="s">
        <v>21</v>
      </c>
      <c r="B17" s="5" t="s">
        <v>22</v>
      </c>
      <c r="C17" s="6">
        <v>112</v>
      </c>
      <c r="D17" s="6">
        <v>0</v>
      </c>
      <c r="E17" s="6">
        <f>C17+D17</f>
        <v>112.0</v>
      </c>
      <c r="F17" s="6">
        <v>8</v>
      </c>
      <c r="G17" s="6">
        <v>1344</v>
      </c>
      <c r="H17" s="7">
        <f>IFERROR(E17/G17,0)</f>
        <v>0.08333333333333333</v>
      </c>
      <c r="I17" s="5" t="s">
        <v>23</v>
      </c>
    </row>
    <row r="18" spans="1:9" ht="28" customHeight="1">
      <c r="A18" s="5" t="s">
        <v>21</v>
      </c>
      <c r="B18" s="5" t="s">
        <v>24</v>
      </c>
      <c r="C18" s="6">
        <v>3</v>
      </c>
      <c r="D18" s="6">
        <v>0</v>
      </c>
      <c r="E18" s="6">
        <f>C18+D18</f>
        <v>3.0</v>
      </c>
      <c r="F18" s="6">
        <v>2</v>
      </c>
      <c r="G18" s="6">
        <v>336</v>
      </c>
      <c r="H18" s="7">
        <f>IFERROR(E18/G18,0)</f>
        <v>0.008928571428571428</v>
      </c>
      <c r="I18" s="5" t="s">
        <v>25</v>
      </c>
    </row>
    <row r="19" spans="1:9" ht="28" customHeight="1">
      <c r="A19" s="5" t="s">
        <v>21</v>
      </c>
      <c r="B19" s="5" t="s">
        <v>26</v>
      </c>
      <c r="C19" s="6">
        <v>2</v>
      </c>
      <c r="D19" s="6">
        <v>0</v>
      </c>
      <c r="E19" s="6">
        <f>C19+D19</f>
        <v>2.0</v>
      </c>
      <c r="F19" s="6">
        <v>6</v>
      </c>
      <c r="G19" s="6">
        <v>1008</v>
      </c>
      <c r="H19" s="7">
        <f>IFERROR(E19/G19,0)</f>
        <v>0.001984126984126984</v>
      </c>
      <c r="I19" s="5" t="s">
        <v>27</v>
      </c>
    </row>
    <row r="20" spans="1:9" ht="28" customHeight="1">
      <c r="A20" s="5" t="s">
        <v>21</v>
      </c>
      <c r="B20" s="5" t="s">
        <v>28</v>
      </c>
      <c r="C20" s="6">
        <v>8</v>
      </c>
      <c r="D20" s="6">
        <v>0</v>
      </c>
      <c r="E20" s="6">
        <f>C20+D20</f>
        <v>8.0</v>
      </c>
      <c r="F20" s="6">
        <v>15</v>
      </c>
      <c r="G20" s="6">
        <v>2520</v>
      </c>
      <c r="H20" s="7">
        <f>IFERROR(E20/G20,0)</f>
        <v>0.0031746031746031746</v>
      </c>
      <c r="I20" s="5" t="s">
        <v>29</v>
      </c>
    </row>
    <row r="21" spans="1:9" ht="28" customHeight="1">
      <c r="A21" s="5" t="s">
        <v>21</v>
      </c>
      <c r="B21" s="5" t="s">
        <v>30</v>
      </c>
      <c r="C21" s="6">
        <v>254</v>
      </c>
      <c r="D21" s="6">
        <v>0</v>
      </c>
      <c r="E21" s="6">
        <f>C21+D21</f>
        <v>254.0</v>
      </c>
      <c r="F21" s="6">
        <v>29</v>
      </c>
      <c r="G21" s="6">
        <v>4872</v>
      </c>
      <c r="H21" s="7">
        <f>IFERROR(E21/G21,0)</f>
        <v>0.05213464696223317</v>
      </c>
      <c r="I21" s="5" t="s">
        <v>31</v>
      </c>
    </row>
    <row r="22" spans="1:9" ht="28" customHeight="1">
      <c r="A22" s="5" t="s">
        <v>21</v>
      </c>
      <c r="B22" s="5" t="s">
        <v>32</v>
      </c>
      <c r="C22" s="6">
        <v>626</v>
      </c>
      <c r="D22" s="6">
        <v>232</v>
      </c>
      <c r="E22" s="6">
        <f>C22+D22</f>
        <v>858.0</v>
      </c>
      <c r="F22" s="6">
        <v>65</v>
      </c>
      <c r="G22" s="6">
        <v>10920</v>
      </c>
      <c r="H22" s="7">
        <f>IFERROR(E22/G22,0)</f>
        <v>0.07857142857142857</v>
      </c>
      <c r="I22" s="5" t="s">
        <v>33</v>
      </c>
    </row>
    <row r="23" spans="1:9" ht="28" customHeight="1">
      <c r="A23" s="5" t="s">
        <v>21</v>
      </c>
      <c r="B23" s="5" t="s">
        <v>34</v>
      </c>
      <c r="C23" s="6">
        <v>18</v>
      </c>
      <c r="D23" s="6">
        <v>0</v>
      </c>
      <c r="E23" s="6">
        <f>C23+D23</f>
        <v>18.0</v>
      </c>
      <c r="F23" s="6">
        <v>9</v>
      </c>
      <c r="G23" s="6">
        <v>1512</v>
      </c>
      <c r="H23" s="7">
        <f>IFERROR(E23/G23,0)</f>
        <v>0.011904761904761904</v>
      </c>
      <c r="I23" s="5" t="s">
        <v>35</v>
      </c>
    </row>
    <row r="24" spans="1:9" ht="28" customHeight="1">
      <c r="A24" s="5" t="s">
        <v>21</v>
      </c>
      <c r="B24" s="5" t="s">
        <v>36</v>
      </c>
      <c r="C24" s="6">
        <v>381</v>
      </c>
      <c r="D24" s="6">
        <v>224</v>
      </c>
      <c r="E24" s="6">
        <f>C24+D24</f>
        <v>605.0</v>
      </c>
      <c r="F24" s="6">
        <v>31</v>
      </c>
      <c r="G24" s="6">
        <v>5208</v>
      </c>
      <c r="H24" s="7">
        <f>IFERROR(E24/G24,0)</f>
        <v>0.11616743471582182</v>
      </c>
      <c r="I24" s="5" t="s">
        <v>37</v>
      </c>
    </row>
    <row r="25" spans="1:9" ht="28" customHeight="1">
      <c r="A25" s="5" t="s">
        <v>21</v>
      </c>
      <c r="B25" s="5" t="s">
        <v>38</v>
      </c>
      <c r="C25" s="6">
        <v>0</v>
      </c>
      <c r="D25" s="6">
        <v>0</v>
      </c>
      <c r="E25" s="6">
        <f>C25+D25</f>
        <v>0.0</v>
      </c>
      <c r="F25" s="6">
        <v>1</v>
      </c>
      <c r="G25" s="6">
        <v>168</v>
      </c>
      <c r="H25" s="7">
        <f>IFERROR(E25/G25,0)</f>
        <v>0.0</v>
      </c>
      <c r="I25" s="5" t="s">
        <v>39</v>
      </c>
    </row>
    <row r="26" spans="1:9" ht="28" customHeight="1">
      <c r="A26" s="5" t="s">
        <v>21</v>
      </c>
      <c r="B26" s="5" t="s">
        <v>40</v>
      </c>
      <c r="C26" s="6">
        <v>5</v>
      </c>
      <c r="D26" s="6">
        <v>0</v>
      </c>
      <c r="E26" s="6">
        <f>C26+D26</f>
        <v>5.0</v>
      </c>
      <c r="F26" s="6">
        <v>7</v>
      </c>
      <c r="G26" s="6">
        <v>1176</v>
      </c>
      <c r="H26" s="7">
        <f>IFERROR(E26/G26,0)</f>
        <v>0.004251700680272109</v>
      </c>
      <c r="I26" s="5" t="s">
        <v>41</v>
      </c>
    </row>
    <row r="27" spans="1:9" ht="28" customHeight="1">
      <c r="A27" s="5" t="s">
        <v>21</v>
      </c>
      <c r="B27" s="5" t="s">
        <v>42</v>
      </c>
      <c r="C27" s="6">
        <v>29</v>
      </c>
      <c r="D27" s="6">
        <v>0</v>
      </c>
      <c r="E27" s="6">
        <f>C27+D27</f>
        <v>29.0</v>
      </c>
      <c r="F27" s="6">
        <v>22</v>
      </c>
      <c r="G27" s="6">
        <v>3696</v>
      </c>
      <c r="H27" s="7">
        <f>IFERROR(E27/G27,0)</f>
        <v>0.007846320346320346</v>
      </c>
      <c r="I27" s="5" t="s">
        <v>43</v>
      </c>
    </row>
    <row r="28" spans="1:9" ht="28" customHeight="1">
      <c r="A28" s="5" t="s">
        <v>21</v>
      </c>
      <c r="B28" s="5" t="s">
        <v>44</v>
      </c>
      <c r="C28" s="6">
        <v>2</v>
      </c>
      <c r="D28" s="6">
        <v>0</v>
      </c>
      <c r="E28" s="6">
        <f>C28+D28</f>
        <v>2.0</v>
      </c>
      <c r="F28" s="6">
        <v>8</v>
      </c>
      <c r="G28" s="6">
        <v>1344</v>
      </c>
      <c r="H28" s="7">
        <f>IFERROR(E28/G28,0)</f>
        <v>0.001488095238095238</v>
      </c>
      <c r="I28" s="5" t="s">
        <v>45</v>
      </c>
    </row>
    <row r="29" spans="1:9" ht="28" customHeight="1">
      <c r="A29" s="5" t="s">
        <v>21</v>
      </c>
      <c r="B29" s="5" t="s">
        <v>46</v>
      </c>
      <c r="C29" s="6">
        <v>0</v>
      </c>
      <c r="D29" s="6">
        <v>0</v>
      </c>
      <c r="E29" s="6">
        <f>C29+D29</f>
        <v>0.0</v>
      </c>
      <c r="F29" s="6">
        <v>1</v>
      </c>
      <c r="G29" s="6">
        <v>168</v>
      </c>
      <c r="H29" s="7">
        <f>IFERROR(E29/G29,0)</f>
        <v>0.0</v>
      </c>
      <c r="I29" s="5" t="s">
        <v>47</v>
      </c>
    </row>
    <row r="30" spans="1:9" ht="28" customHeight="1">
      <c r="A30" s="5" t="s">
        <v>21</v>
      </c>
      <c r="B30" s="5" t="s">
        <v>48</v>
      </c>
      <c r="C30" s="6">
        <v>26</v>
      </c>
      <c r="D30" s="6">
        <v>56</v>
      </c>
      <c r="E30" s="6">
        <f>C30+D30</f>
        <v>82.0</v>
      </c>
      <c r="F30" s="6">
        <v>21</v>
      </c>
      <c r="G30" s="6">
        <v>3528</v>
      </c>
      <c r="H30" s="7">
        <f>IFERROR(E30/G30,0)</f>
        <v>0.023242630385487528</v>
      </c>
      <c r="I30" s="5" t="s">
        <v>49</v>
      </c>
    </row>
    <row r="31" spans="1:9" ht="28" customHeight="1">
      <c r="A31" s="5" t="s">
        <v>21</v>
      </c>
      <c r="B31" s="5" t="s">
        <v>50</v>
      </c>
      <c r="C31" s="6">
        <v>375</v>
      </c>
      <c r="D31" s="6">
        <v>240</v>
      </c>
      <c r="E31" s="6">
        <f>C31+D31</f>
        <v>615.0</v>
      </c>
      <c r="F31" s="6">
        <v>56</v>
      </c>
      <c r="G31" s="6">
        <v>9408</v>
      </c>
      <c r="H31" s="7">
        <f>IFERROR(E31/G31,0)</f>
        <v>0.06536989795918367</v>
      </c>
      <c r="I31" s="5" t="s">
        <v>51</v>
      </c>
    </row>
    <row r="32" spans="1:9" ht="28" customHeight="1">
      <c r="A32" s="5" t="s">
        <v>21</v>
      </c>
      <c r="B32" s="5" t="s">
        <v>52</v>
      </c>
      <c r="C32" s="6">
        <v>35</v>
      </c>
      <c r="D32" s="6">
        <v>0</v>
      </c>
      <c r="E32" s="6">
        <f>C32+D32</f>
        <v>35.0</v>
      </c>
      <c r="F32" s="6">
        <v>3</v>
      </c>
      <c r="G32" s="6">
        <v>504</v>
      </c>
      <c r="H32" s="7">
        <f>IFERROR(E32/G32,0)</f>
        <v>0.06944444444444445</v>
      </c>
      <c r="I32" s="5" t="s">
        <v>53</v>
      </c>
    </row>
    <row r="33" spans="1:9" ht="28" customHeight="1">
      <c r="A33" s="5" t="s">
        <v>21</v>
      </c>
      <c r="B33" s="5" t="s">
        <v>54</v>
      </c>
      <c r="C33" s="6">
        <v>11</v>
      </c>
      <c r="D33" s="6">
        <v>0</v>
      </c>
      <c r="E33" s="6">
        <f>C33+D33</f>
        <v>11.0</v>
      </c>
      <c r="F33" s="6">
        <v>10</v>
      </c>
      <c r="G33" s="6">
        <v>1680</v>
      </c>
      <c r="H33" s="7">
        <f>IFERROR(E33/G33,0)</f>
        <v>0.006547619047619048</v>
      </c>
      <c r="I33" s="5" t="s">
        <v>55</v>
      </c>
    </row>
    <row r="34" spans="1:9" ht="28" customHeight="1">
      <c r="A34" s="5" t="s">
        <v>21</v>
      </c>
      <c r="B34" s="5" t="s">
        <v>56</v>
      </c>
      <c r="C34" s="6">
        <v>64</v>
      </c>
      <c r="D34" s="6">
        <v>168</v>
      </c>
      <c r="E34" s="6">
        <f>C34+D34</f>
        <v>232.0</v>
      </c>
      <c r="F34" s="6">
        <v>20</v>
      </c>
      <c r="G34" s="6">
        <v>3360</v>
      </c>
      <c r="H34" s="7">
        <f>IFERROR(E34/G34,0)</f>
        <v>0.06904761904761905</v>
      </c>
      <c r="I34" s="5" t="s">
        <v>57</v>
      </c>
    </row>
    <row r="35" spans="1:9" ht="28" customHeight="1">
      <c r="A35" s="5" t="s">
        <v>21</v>
      </c>
      <c r="B35" s="5" t="s">
        <v>58</v>
      </c>
      <c r="C35" s="6">
        <v>0</v>
      </c>
      <c r="D35" s="6">
        <v>0</v>
      </c>
      <c r="E35" s="6">
        <f>C35+D35</f>
        <v>0.0</v>
      </c>
      <c r="F35" s="6">
        <v>2</v>
      </c>
      <c r="G35" s="6">
        <v>336</v>
      </c>
      <c r="H35" s="7">
        <f>IFERROR(E35/G35,0)</f>
        <v>0.0</v>
      </c>
      <c r="I35" s="5" t="s">
        <v>59</v>
      </c>
    </row>
    <row r="36" spans="1:9" ht="28" customHeight="1">
      <c r="A36" s="5" t="s">
        <v>21</v>
      </c>
      <c r="B36" s="5" t="s">
        <v>60</v>
      </c>
      <c r="C36" s="6">
        <v>2</v>
      </c>
      <c r="D36" s="6">
        <v>0</v>
      </c>
      <c r="E36" s="6">
        <f>C36+D36</f>
        <v>2.0</v>
      </c>
      <c r="F36" s="6">
        <v>1</v>
      </c>
      <c r="G36" s="6">
        <v>168</v>
      </c>
      <c r="H36" s="7">
        <f>IFERROR(E36/G36,0)</f>
        <v>0.011904761904761904</v>
      </c>
      <c r="I36" s="5" t="s">
        <v>61</v>
      </c>
    </row>
    <row r="37" spans="1:9" ht="28" customHeight="1">
      <c r="A37" s="5" t="s">
        <v>21</v>
      </c>
      <c r="B37" s="5" t="s">
        <v>62</v>
      </c>
      <c r="C37" s="6">
        <v>0</v>
      </c>
      <c r="D37" s="6">
        <v>0</v>
      </c>
      <c r="E37" s="6">
        <f>C37+D37</f>
        <v>0.0</v>
      </c>
      <c r="F37" s="6">
        <v>1</v>
      </c>
      <c r="G37" s="6">
        <v>168</v>
      </c>
      <c r="H37" s="7">
        <f>IFERROR(E37/G37,0)</f>
        <v>0.0</v>
      </c>
      <c r="I37" s="5" t="s">
        <v>63</v>
      </c>
    </row>
    <row r="38" spans="1:9" ht="28" customHeight="1">
      <c r="A38" s="5" t="s">
        <v>21</v>
      </c>
      <c r="B38" s="5" t="s">
        <v>64</v>
      </c>
      <c r="C38" s="6">
        <v>7</v>
      </c>
      <c r="D38" s="6">
        <v>0</v>
      </c>
      <c r="E38" s="6">
        <f>C38+D38</f>
        <v>7.0</v>
      </c>
      <c r="F38" s="6">
        <v>7</v>
      </c>
      <c r="G38" s="6">
        <v>1176</v>
      </c>
      <c r="H38" s="7">
        <f>IFERROR(E38/G38,0)</f>
        <v>0.005952380952380952</v>
      </c>
      <c r="I38" s="5" t="s">
        <v>65</v>
      </c>
    </row>
    <row r="39" spans="1:9" ht="28" customHeight="1">
      <c r="A39" s="5" t="s">
        <v>21</v>
      </c>
      <c r="B39" s="5" t="s">
        <v>66</v>
      </c>
      <c r="C39" s="6">
        <v>0</v>
      </c>
      <c r="D39" s="6">
        <v>0</v>
      </c>
      <c r="E39" s="6">
        <f>C39+D39</f>
        <v>0.0</v>
      </c>
      <c r="F39" s="6">
        <v>1</v>
      </c>
      <c r="G39" s="6">
        <v>168</v>
      </c>
      <c r="H39" s="7">
        <f>IFERROR(E39/G39,0)</f>
        <v>0.0</v>
      </c>
      <c r="I39" s="5" t="s">
        <v>67</v>
      </c>
    </row>
    <row r="40" spans="1:9" ht="28" customHeight="1">
      <c r="A40" s="5" t="s">
        <v>21</v>
      </c>
      <c r="B40" s="5" t="s">
        <v>68</v>
      </c>
      <c r="C40" s="6">
        <v>120</v>
      </c>
      <c r="D40" s="6">
        <v>0</v>
      </c>
      <c r="E40" s="6">
        <f>C40+D40</f>
        <v>120.0</v>
      </c>
      <c r="F40" s="6">
        <v>6</v>
      </c>
      <c r="G40" s="6">
        <v>1008</v>
      </c>
      <c r="H40" s="7">
        <f>IFERROR(E40/G40,0)</f>
        <v>0.11904761904761904</v>
      </c>
      <c r="I40" s="5" t="s">
        <v>69</v>
      </c>
    </row>
    <row r="41" spans="1:9" ht="28" customHeight="1">
      <c r="A41" s="5" t="s">
        <v>21</v>
      </c>
      <c r="B41" s="5" t="s">
        <v>70</v>
      </c>
      <c r="C41" s="6">
        <v>0</v>
      </c>
      <c r="D41" s="6">
        <v>0</v>
      </c>
      <c r="E41" s="6">
        <f>C41+D41</f>
        <v>0.0</v>
      </c>
      <c r="F41" s="6">
        <v>1</v>
      </c>
      <c r="G41" s="6">
        <v>168</v>
      </c>
      <c r="H41" s="7">
        <f>IFERROR(E41/G41,0)</f>
        <v>0.0</v>
      </c>
      <c r="I41" s="5" t="s">
        <v>71</v>
      </c>
    </row>
    <row r="42" spans="1:9" ht="28" customHeight="1">
      <c r="A42" s="5" t="s">
        <v>21</v>
      </c>
      <c r="B42" s="5" t="s">
        <v>72</v>
      </c>
      <c r="C42" s="6">
        <v>16</v>
      </c>
      <c r="D42" s="6">
        <v>0</v>
      </c>
      <c r="E42" s="6">
        <f>C42+D42</f>
        <v>16.0</v>
      </c>
      <c r="F42" s="6">
        <v>6</v>
      </c>
      <c r="G42" s="6">
        <v>1008</v>
      </c>
      <c r="H42" s="7">
        <f>IFERROR(E42/G42,0)</f>
        <v>0.015873015873015872</v>
      </c>
      <c r="I42" s="5" t="s">
        <v>73</v>
      </c>
    </row>
    <row r="43" spans="1:9" ht="28" customHeight="1">
      <c r="A43" s="5" t="s">
        <v>21</v>
      </c>
      <c r="B43" s="5" t="s">
        <v>74</v>
      </c>
      <c r="C43" s="6">
        <v>0</v>
      </c>
      <c r="D43" s="6">
        <v>0</v>
      </c>
      <c r="E43" s="6">
        <f>C43+D43</f>
        <v>0.0</v>
      </c>
      <c r="F43" s="6">
        <v>7</v>
      </c>
      <c r="G43" s="6">
        <v>1176</v>
      </c>
      <c r="H43" s="7">
        <f>IFERROR(E43/G43,0)</f>
        <v>0.0</v>
      </c>
      <c r="I43" s="5" t="s">
        <v>75</v>
      </c>
    </row>
    <row r="44" spans="1:9" ht="28" customHeight="1">
      <c r="A44" s="5" t="s">
        <v>21</v>
      </c>
      <c r="B44" s="5" t="s">
        <v>76</v>
      </c>
      <c r="C44" s="6">
        <v>0</v>
      </c>
      <c r="D44" s="6">
        <v>0</v>
      </c>
      <c r="E44" s="6">
        <f>C44+D44</f>
        <v>0.0</v>
      </c>
      <c r="F44" s="6">
        <v>2</v>
      </c>
      <c r="G44" s="6">
        <v>336</v>
      </c>
      <c r="H44" s="7">
        <f>IFERROR(E44/G44,0)</f>
        <v>0.0</v>
      </c>
      <c r="I44" s="5" t="s">
        <v>77</v>
      </c>
    </row>
    <row r="45" spans="1:9" ht="28" customHeight="1">
      <c r="A45" s="5" t="s">
        <v>21</v>
      </c>
      <c r="B45" s="5" t="s">
        <v>78</v>
      </c>
      <c r="C45" s="6">
        <v>0</v>
      </c>
      <c r="D45" s="6">
        <v>0</v>
      </c>
      <c r="E45" s="6">
        <f>C45+D45</f>
        <v>0.0</v>
      </c>
      <c r="F45" s="6">
        <v>8</v>
      </c>
      <c r="G45" s="6">
        <v>1344</v>
      </c>
      <c r="H45" s="7">
        <f>IFERROR(E45/G45,0)</f>
        <v>0.0</v>
      </c>
      <c r="I45" s="5" t="s">
        <v>79</v>
      </c>
    </row>
    <row r="46" spans="1:9" ht="28" customHeight="1">
      <c r="A46" s="5" t="s">
        <v>21</v>
      </c>
      <c r="B46" s="5" t="s">
        <v>80</v>
      </c>
      <c r="C46" s="6">
        <v>33</v>
      </c>
      <c r="D46" s="6">
        <v>0</v>
      </c>
      <c r="E46" s="6">
        <f>C46+D46</f>
        <v>33.0</v>
      </c>
      <c r="F46" s="6">
        <v>20</v>
      </c>
      <c r="G46" s="6">
        <v>3360</v>
      </c>
      <c r="H46" s="7">
        <f>IFERROR(E46/G46,0)</f>
        <v>0.009821428571428571</v>
      </c>
      <c r="I46" s="5" t="s">
        <v>81</v>
      </c>
    </row>
    <row r="47" spans="1:9" ht="28" customHeight="1">
      <c r="A47" s="5" t="s">
        <v>21</v>
      </c>
      <c r="B47" s="5" t="s">
        <v>82</v>
      </c>
      <c r="C47" s="6">
        <v>8</v>
      </c>
      <c r="D47" s="6">
        <v>0</v>
      </c>
      <c r="E47" s="6">
        <f>C47+D47</f>
        <v>8.0</v>
      </c>
      <c r="F47" s="6">
        <v>1</v>
      </c>
      <c r="G47" s="6">
        <v>168</v>
      </c>
      <c r="H47" s="7">
        <f>IFERROR(E47/G47,0)</f>
        <v>0.047619047619047616</v>
      </c>
      <c r="I47" s="5" t="s">
        <v>83</v>
      </c>
    </row>
    <row r="48" spans="1:9" ht="28" customHeight="1">
      <c r="A48" s="5" t="s">
        <v>21</v>
      </c>
      <c r="B48" s="5" t="s">
        <v>84</v>
      </c>
      <c r="C48" s="6">
        <v>24</v>
      </c>
      <c r="D48" s="6">
        <v>0</v>
      </c>
      <c r="E48" s="6">
        <f>C48+D48</f>
        <v>24.0</v>
      </c>
      <c r="F48" s="6">
        <v>7</v>
      </c>
      <c r="G48" s="6">
        <v>1176</v>
      </c>
      <c r="H48" s="7">
        <f>IFERROR(E48/G48,0)</f>
        <v>0.02040816326530612</v>
      </c>
      <c r="I48" s="5" t="s">
        <v>85</v>
      </c>
    </row>
    <row r="49" spans="1:9" ht="28" customHeight="1">
      <c r="A49" s="5" t="s">
        <v>21</v>
      </c>
      <c r="B49" s="5" t="s">
        <v>86</v>
      </c>
      <c r="C49" s="6">
        <v>0</v>
      </c>
      <c r="D49" s="6">
        <v>0</v>
      </c>
      <c r="E49" s="6">
        <f>C49+D49</f>
        <v>0.0</v>
      </c>
      <c r="F49" s="6">
        <v>3</v>
      </c>
      <c r="G49" s="6">
        <v>504</v>
      </c>
      <c r="H49" s="7">
        <f>IFERROR(E49/G49,0)</f>
        <v>0.0</v>
      </c>
      <c r="I49" s="5" t="s">
        <v>87</v>
      </c>
    </row>
    <row r="50" spans="1:9" ht="28" customHeight="1">
      <c r="A50" s="5" t="s">
        <v>88</v>
      </c>
      <c r="B50" s="5" t="s">
        <v>89</v>
      </c>
      <c r="C50" s="6">
        <v>0</v>
      </c>
      <c r="D50" s="6">
        <v>0</v>
      </c>
      <c r="E50" s="6">
        <f>C50+D50</f>
        <v>0.0</v>
      </c>
      <c r="F50" s="6">
        <v>1</v>
      </c>
      <c r="G50" s="6">
        <v>168</v>
      </c>
      <c r="H50" s="7">
        <f>IFERROR(E50/G50,0)</f>
        <v>0.0</v>
      </c>
      <c r="I50" s="5" t="s">
        <v>90</v>
      </c>
    </row>
    <row r="51" spans="1:9" ht="28" customHeight="1">
      <c r="A51" s="5" t="s">
        <v>88</v>
      </c>
      <c r="B51" s="5" t="s">
        <v>30</v>
      </c>
      <c r="C51" s="6">
        <v>0</v>
      </c>
      <c r="D51" s="6">
        <v>0</v>
      </c>
      <c r="E51" s="6">
        <f>C51+D51</f>
        <v>0.0</v>
      </c>
      <c r="F51" s="6">
        <v>1</v>
      </c>
      <c r="G51" s="6">
        <v>168</v>
      </c>
      <c r="H51" s="7">
        <f>IFERROR(E51/G51,0)</f>
        <v>0.0</v>
      </c>
      <c r="I51" s="5" t="s">
        <v>91</v>
      </c>
    </row>
    <row r="52" spans="1:9" ht="28" customHeight="1">
      <c r="A52" s="5" t="s">
        <v>88</v>
      </c>
      <c r="B52" s="5" t="s">
        <v>32</v>
      </c>
      <c r="C52" s="6">
        <v>0</v>
      </c>
      <c r="D52" s="6">
        <v>0</v>
      </c>
      <c r="E52" s="6">
        <f>C52+D52</f>
        <v>0.0</v>
      </c>
      <c r="F52" s="6">
        <v>1</v>
      </c>
      <c r="G52" s="6">
        <v>168</v>
      </c>
      <c r="H52" s="7">
        <f>IFERROR(E52/G52,0)</f>
        <v>0.0</v>
      </c>
      <c r="I52" s="5" t="s">
        <v>92</v>
      </c>
    </row>
    <row r="53" spans="1:9" ht="28" customHeight="1">
      <c r="A53" s="5" t="s">
        <v>88</v>
      </c>
      <c r="B53" s="5" t="s">
        <v>36</v>
      </c>
      <c r="C53" s="6">
        <v>0</v>
      </c>
      <c r="D53" s="6">
        <v>0</v>
      </c>
      <c r="E53" s="6">
        <f>C53+D53</f>
        <v>0.0</v>
      </c>
      <c r="F53" s="6">
        <v>1</v>
      </c>
      <c r="G53" s="6">
        <v>168</v>
      </c>
      <c r="H53" s="7">
        <f>IFERROR(E53/G53,0)</f>
        <v>0.0</v>
      </c>
      <c r="I53" s="5" t="s">
        <v>93</v>
      </c>
    </row>
    <row r="54" spans="1:9" ht="28" customHeight="1">
      <c r="A54" s="5" t="s">
        <v>88</v>
      </c>
      <c r="B54" s="5" t="s">
        <v>38</v>
      </c>
      <c r="C54" s="6">
        <v>0</v>
      </c>
      <c r="D54" s="6">
        <v>0</v>
      </c>
      <c r="E54" s="6">
        <f>C54+D54</f>
        <v>0.0</v>
      </c>
      <c r="F54" s="6">
        <v>1</v>
      </c>
      <c r="G54" s="6">
        <v>168</v>
      </c>
      <c r="H54" s="7">
        <f>IFERROR(E54/G54,0)</f>
        <v>0.0</v>
      </c>
      <c r="I54" s="5" t="s">
        <v>94</v>
      </c>
    </row>
    <row r="55" spans="1:9" ht="28" customHeight="1">
      <c r="A55" s="5" t="s">
        <v>88</v>
      </c>
      <c r="B55" s="5" t="s">
        <v>95</v>
      </c>
      <c r="C55" s="6">
        <v>4</v>
      </c>
      <c r="D55" s="6">
        <v>0</v>
      </c>
      <c r="E55" s="6">
        <f>C55+D55</f>
        <v>4.0</v>
      </c>
      <c r="F55" s="6">
        <v>3</v>
      </c>
      <c r="G55" s="6">
        <v>504</v>
      </c>
      <c r="H55" s="7">
        <f>IFERROR(E55/G55,0)</f>
        <v>0.007936507936507936</v>
      </c>
      <c r="I55" s="5" t="s">
        <v>96</v>
      </c>
    </row>
    <row r="56" spans="1:9" ht="28" customHeight="1">
      <c r="A56" s="5" t="s">
        <v>88</v>
      </c>
      <c r="B56" s="5" t="s">
        <v>44</v>
      </c>
      <c r="C56" s="6">
        <v>6</v>
      </c>
      <c r="D56" s="6">
        <v>0</v>
      </c>
      <c r="E56" s="6">
        <f>C56+D56</f>
        <v>6.0</v>
      </c>
      <c r="F56" s="6">
        <v>1</v>
      </c>
      <c r="G56" s="6">
        <v>168</v>
      </c>
      <c r="H56" s="7">
        <f>IFERROR(E56/G56,0)</f>
        <v>0.03571428571428571</v>
      </c>
      <c r="I56" s="5" t="s">
        <v>97</v>
      </c>
    </row>
    <row r="57" spans="1:9" ht="28" customHeight="1">
      <c r="A57" s="5" t="s">
        <v>88</v>
      </c>
      <c r="B57" s="5" t="s">
        <v>48</v>
      </c>
      <c r="C57" s="6">
        <v>0</v>
      </c>
      <c r="D57" s="6">
        <v>0</v>
      </c>
      <c r="E57" s="6">
        <f>C57+D57</f>
        <v>0.0</v>
      </c>
      <c r="F57" s="6">
        <v>1</v>
      </c>
      <c r="G57" s="6">
        <v>168</v>
      </c>
      <c r="H57" s="7">
        <f>IFERROR(E57/G57,0)</f>
        <v>0.0</v>
      </c>
      <c r="I57" s="5" t="s">
        <v>98</v>
      </c>
    </row>
    <row r="58" spans="1:9" ht="28" customHeight="1">
      <c r="A58" s="5" t="s">
        <v>88</v>
      </c>
      <c r="B58" s="5" t="s">
        <v>99</v>
      </c>
      <c r="C58" s="6">
        <v>0</v>
      </c>
      <c r="D58" s="6">
        <v>0</v>
      </c>
      <c r="E58" s="6">
        <f>C58+D58</f>
        <v>0.0</v>
      </c>
      <c r="F58" s="6">
        <v>1</v>
      </c>
      <c r="G58" s="6">
        <v>168</v>
      </c>
      <c r="H58" s="7">
        <f>IFERROR(E58/G58,0)</f>
        <v>0.0</v>
      </c>
      <c r="I58" s="5" t="s">
        <v>100</v>
      </c>
    </row>
    <row r="59" spans="1:9" ht="28" customHeight="1">
      <c r="A59" s="5" t="s">
        <v>88</v>
      </c>
      <c r="B59" s="5" t="s">
        <v>54</v>
      </c>
      <c r="C59" s="6">
        <v>6</v>
      </c>
      <c r="D59" s="6">
        <v>0</v>
      </c>
      <c r="E59" s="6">
        <f>C59+D59</f>
        <v>6.0</v>
      </c>
      <c r="F59" s="6">
        <v>1</v>
      </c>
      <c r="G59" s="6">
        <v>168</v>
      </c>
      <c r="H59" s="7">
        <f>IFERROR(E59/G59,0)</f>
        <v>0.03571428571428571</v>
      </c>
      <c r="I59" s="5" t="s">
        <v>101</v>
      </c>
    </row>
    <row r="60" spans="1:9" ht="28" customHeight="1">
      <c r="A60" s="5" t="s">
        <v>88</v>
      </c>
      <c r="B60" s="5" t="s">
        <v>56</v>
      </c>
      <c r="C60" s="6">
        <v>0</v>
      </c>
      <c r="D60" s="6">
        <v>0</v>
      </c>
      <c r="E60" s="6">
        <f>C60+D60</f>
        <v>0.0</v>
      </c>
      <c r="F60" s="6">
        <v>1</v>
      </c>
      <c r="G60" s="6">
        <v>168</v>
      </c>
      <c r="H60" s="7">
        <f>IFERROR(E60/G60,0)</f>
        <v>0.0</v>
      </c>
      <c r="I60" s="5" t="s">
        <v>102</v>
      </c>
    </row>
    <row r="61" spans="1:9" ht="28" customHeight="1">
      <c r="A61" s="5" t="s">
        <v>88</v>
      </c>
      <c r="B61" s="5" t="s">
        <v>58</v>
      </c>
      <c r="C61" s="6">
        <v>0</v>
      </c>
      <c r="D61" s="6">
        <v>0</v>
      </c>
      <c r="E61" s="6">
        <f>C61+D61</f>
        <v>0.0</v>
      </c>
      <c r="F61" s="6">
        <v>4</v>
      </c>
      <c r="G61" s="6">
        <v>672</v>
      </c>
      <c r="H61" s="7">
        <f>IFERROR(E61/G61,0)</f>
        <v>0.0</v>
      </c>
      <c r="I61" s="5" t="s">
        <v>103</v>
      </c>
    </row>
    <row r="62" spans="1:9" ht="28" customHeight="1">
      <c r="A62" s="5" t="s">
        <v>88</v>
      </c>
      <c r="B62" s="5" t="s">
        <v>104</v>
      </c>
      <c r="C62" s="6">
        <v>0</v>
      </c>
      <c r="D62" s="6">
        <v>0</v>
      </c>
      <c r="E62" s="6">
        <f>C62+D62</f>
        <v>0.0</v>
      </c>
      <c r="F62" s="6">
        <v>1</v>
      </c>
      <c r="G62" s="6">
        <v>168</v>
      </c>
      <c r="H62" s="7">
        <f>IFERROR(E62/G62,0)</f>
        <v>0.0</v>
      </c>
      <c r="I62" s="5" t="s">
        <v>105</v>
      </c>
    </row>
    <row r="63" spans="1:9" ht="28" customHeight="1">
      <c r="A63" s="5" t="s">
        <v>88</v>
      </c>
      <c r="B63" s="5" t="s">
        <v>62</v>
      </c>
      <c r="C63" s="6">
        <v>0</v>
      </c>
      <c r="D63" s="6">
        <v>0</v>
      </c>
      <c r="E63" s="6">
        <f>C63+D63</f>
        <v>0.0</v>
      </c>
      <c r="F63" s="6">
        <v>1</v>
      </c>
      <c r="G63" s="6">
        <v>168</v>
      </c>
      <c r="H63" s="7">
        <f>IFERROR(E63/G63,0)</f>
        <v>0.0</v>
      </c>
      <c r="I63" s="5" t="s">
        <v>106</v>
      </c>
    </row>
    <row r="64" spans="1:9" ht="28" customHeight="1">
      <c r="A64" s="5" t="s">
        <v>88</v>
      </c>
      <c r="B64" s="5" t="s">
        <v>107</v>
      </c>
      <c r="C64" s="6">
        <v>0</v>
      </c>
      <c r="D64" s="6">
        <v>0</v>
      </c>
      <c r="E64" s="6">
        <f>C64+D64</f>
        <v>0.0</v>
      </c>
      <c r="F64" s="6">
        <v>2</v>
      </c>
      <c r="G64" s="6">
        <v>336</v>
      </c>
      <c r="H64" s="7">
        <f>IFERROR(E64/G64,0)</f>
        <v>0.0</v>
      </c>
      <c r="I64" s="5" t="s">
        <v>108</v>
      </c>
    </row>
    <row r="65" spans="1:9" ht="28" customHeight="1">
      <c r="A65" s="5" t="s">
        <v>88</v>
      </c>
      <c r="B65" s="5" t="s">
        <v>64</v>
      </c>
      <c r="C65" s="6">
        <v>28</v>
      </c>
      <c r="D65" s="6">
        <v>0</v>
      </c>
      <c r="E65" s="6">
        <f>C65+D65</f>
        <v>28.0</v>
      </c>
      <c r="F65" s="6">
        <v>2</v>
      </c>
      <c r="G65" s="6">
        <v>336</v>
      </c>
      <c r="H65" s="7">
        <f>IFERROR(E65/G65,0)</f>
        <v>0.08333333333333333</v>
      </c>
      <c r="I65" s="5" t="s">
        <v>109</v>
      </c>
    </row>
    <row r="66" spans="1:9" ht="28" customHeight="1">
      <c r="A66" s="5" t="s">
        <v>88</v>
      </c>
      <c r="B66" s="5" t="s">
        <v>66</v>
      </c>
      <c r="C66" s="6">
        <v>0</v>
      </c>
      <c r="D66" s="6">
        <v>0</v>
      </c>
      <c r="E66" s="6">
        <f>C66+D66</f>
        <v>0.0</v>
      </c>
      <c r="F66" s="6">
        <v>2</v>
      </c>
      <c r="G66" s="6">
        <v>336</v>
      </c>
      <c r="H66" s="7">
        <f>IFERROR(E66/G66,0)</f>
        <v>0.0</v>
      </c>
      <c r="I66" s="5" t="s">
        <v>110</v>
      </c>
    </row>
    <row r="67" spans="1:9" ht="28" customHeight="1">
      <c r="A67" s="5" t="s">
        <v>88</v>
      </c>
      <c r="B67" s="5" t="s">
        <v>68</v>
      </c>
      <c r="C67" s="6">
        <v>0</v>
      </c>
      <c r="D67" s="6">
        <v>0</v>
      </c>
      <c r="E67" s="6">
        <f>C67+D67</f>
        <v>0.0</v>
      </c>
      <c r="F67" s="6">
        <v>2</v>
      </c>
      <c r="G67" s="6">
        <v>336</v>
      </c>
      <c r="H67" s="7">
        <f>IFERROR(E67/G67,0)</f>
        <v>0.0</v>
      </c>
      <c r="I67" s="5" t="s">
        <v>111</v>
      </c>
    </row>
    <row r="68" spans="1:9" ht="28" customHeight="1">
      <c r="A68" s="5" t="s">
        <v>88</v>
      </c>
      <c r="B68" s="5" t="s">
        <v>70</v>
      </c>
      <c r="C68" s="6">
        <v>0</v>
      </c>
      <c r="D68" s="6">
        <v>0</v>
      </c>
      <c r="E68" s="6">
        <f>C68+D68</f>
        <v>0.0</v>
      </c>
      <c r="F68" s="6">
        <v>2</v>
      </c>
      <c r="G68" s="6">
        <v>336</v>
      </c>
      <c r="H68" s="7">
        <f>IFERROR(E68/G68,0)</f>
        <v>0.0</v>
      </c>
      <c r="I68" s="5" t="s">
        <v>112</v>
      </c>
    </row>
    <row r="69" spans="1:9" ht="28" customHeight="1">
      <c r="A69" s="5" t="s">
        <v>88</v>
      </c>
      <c r="B69" s="5" t="s">
        <v>72</v>
      </c>
      <c r="C69" s="6">
        <v>3</v>
      </c>
      <c r="D69" s="6">
        <v>0</v>
      </c>
      <c r="E69" s="6">
        <f>C69+D69</f>
        <v>3.0</v>
      </c>
      <c r="F69" s="6">
        <v>3</v>
      </c>
      <c r="G69" s="6">
        <v>504</v>
      </c>
      <c r="H69" s="7">
        <f>IFERROR(E69/G69,0)</f>
        <v>0.005952380952380952</v>
      </c>
      <c r="I69" s="5" t="s">
        <v>113</v>
      </c>
    </row>
    <row r="70" spans="1:9" ht="28" customHeight="1">
      <c r="A70" s="5" t="s">
        <v>88</v>
      </c>
      <c r="B70" s="5" t="s">
        <v>76</v>
      </c>
      <c r="C70" s="6">
        <v>0</v>
      </c>
      <c r="D70" s="6">
        <v>0</v>
      </c>
      <c r="E70" s="6">
        <f>C70+D70</f>
        <v>0.0</v>
      </c>
      <c r="F70" s="6">
        <v>4</v>
      </c>
      <c r="G70" s="6">
        <v>672</v>
      </c>
      <c r="H70" s="7">
        <f>IFERROR(E70/G70,0)</f>
        <v>0.0</v>
      </c>
      <c r="I70" s="5" t="s">
        <v>114</v>
      </c>
    </row>
    <row r="71" spans="1:9" ht="28" customHeight="1">
      <c r="A71" s="5" t="s">
        <v>88</v>
      </c>
      <c r="B71" s="5" t="s">
        <v>78</v>
      </c>
      <c r="C71" s="6">
        <v>0</v>
      </c>
      <c r="D71" s="6">
        <v>0</v>
      </c>
      <c r="E71" s="6">
        <f>C71+D71</f>
        <v>0.0</v>
      </c>
      <c r="F71" s="6">
        <v>1</v>
      </c>
      <c r="G71" s="6">
        <v>168</v>
      </c>
      <c r="H71" s="7">
        <f>IFERROR(E71/G71,0)</f>
        <v>0.0</v>
      </c>
      <c r="I71" s="5" t="s">
        <v>115</v>
      </c>
    </row>
    <row r="72" spans="1:9" ht="28" customHeight="1">
      <c r="A72" s="5" t="s">
        <v>88</v>
      </c>
      <c r="B72" s="5" t="s">
        <v>116</v>
      </c>
      <c r="C72" s="6">
        <v>0</v>
      </c>
      <c r="D72" s="6">
        <v>0</v>
      </c>
      <c r="E72" s="6">
        <f>C72+D72</f>
        <v>0.0</v>
      </c>
      <c r="F72" s="6">
        <v>1</v>
      </c>
      <c r="G72" s="6">
        <v>168</v>
      </c>
      <c r="H72" s="7">
        <f>IFERROR(E72/G72,0)</f>
        <v>0.0</v>
      </c>
      <c r="I72" s="5" t="s">
        <v>117</v>
      </c>
    </row>
    <row r="73" spans="1:9" ht="28" customHeight="1">
      <c r="A73" s="5" t="s">
        <v>88</v>
      </c>
      <c r="B73" s="5" t="s">
        <v>86</v>
      </c>
      <c r="C73" s="6">
        <v>0</v>
      </c>
      <c r="D73" s="6">
        <v>0</v>
      </c>
      <c r="E73" s="6">
        <f>C73+D73</f>
        <v>0.0</v>
      </c>
      <c r="F73" s="6">
        <v>1</v>
      </c>
      <c r="G73" s="6">
        <v>168</v>
      </c>
      <c r="H73" s="7">
        <f>IFERROR(E73/G73,0)</f>
        <v>0.0</v>
      </c>
      <c r="I73" s="5" t="s">
        <v>118</v>
      </c>
    </row>
    <row r="74" spans="1:9" ht="28" customHeight="1">
      <c r="A74" s="5" t="s">
        <v>88</v>
      </c>
      <c r="B74" s="5" t="s">
        <v>119</v>
      </c>
      <c r="C74" s="6">
        <v>0</v>
      </c>
      <c r="D74" s="6">
        <v>0</v>
      </c>
      <c r="E74" s="6">
        <f>C74+D74</f>
        <v>0.0</v>
      </c>
      <c r="F74" s="6">
        <v>1</v>
      </c>
      <c r="G74" s="6">
        <v>168</v>
      </c>
      <c r="H74" s="7">
        <f>IFERROR(E74/G74,0)</f>
        <v>0.0</v>
      </c>
      <c r="I74" s="5" t="s">
        <v>120</v>
      </c>
    </row>
  </sheetData>
  <autoFilter ref="A16:I74"/>
  <mergeCells count="3">
    <mergeCell ref="A1:L2"/>
    <mergeCell ref="A3:L4"/>
    <mergeCell ref="A11:L13"/>
  </mergeCells>
  <hyperlinks>
    <hyperlink ref="A5" location="'Resumen ejecutivo'!A1" display="Volver al resumen"/>
  </hyperlinks>
  <pageMargins left="0.3" right="0.3" top="0.4" bottom="0.4" header="0.3" footer="0.3"/>
  <pageSetup paperSize="9" fitToHeight="0" orientation="landscape"/>
  <headerFooter>
    <oddFooter>&amp;LServicio Médico | 1S2026&amp;R&amp;P de 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45.7109375" customWidth="1"/>
    <col min="3" max="8" width="15.7109375" customWidth="1"/>
    <col min="9" max="9" width="40.7109375" customWidth="1"/>
    <col min="10" max="12" width="15.7109375" customWidth="1"/>
  </cols>
  <sheetData>
    <row r="1" spans="1:12" ht="24" customHeight="1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122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3" t="s">
        <v>2</v>
      </c>
    </row>
    <row r="6" spans="1:12" ht="50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8" spans="1:12">
      <c r="A8" s="5" t="s">
        <v>123</v>
      </c>
      <c r="B8" s="6">
        <v>60912</v>
      </c>
      <c r="C8" s="6">
        <v>1881</v>
      </c>
      <c r="D8" s="6">
        <v>768</v>
      </c>
      <c r="E8" s="6">
        <f>C8+D8</f>
        <v>2649.0</v>
      </c>
      <c r="F8" s="6">
        <v>5021</v>
      </c>
      <c r="G8" s="6">
        <v>2201</v>
      </c>
      <c r="H8" s="6">
        <f>E8+F8+G8</f>
        <v>9871.0</v>
      </c>
      <c r="I8" s="6">
        <v>12240</v>
      </c>
      <c r="J8" s="6">
        <v>423</v>
      </c>
      <c r="K8" s="7">
        <f>E8/B8</f>
        <v>0.04348896769109535</v>
      </c>
      <c r="L8" s="7">
        <f>H8/B8</f>
        <v>0.16205345416338324</v>
      </c>
    </row>
    <row r="11" spans="1:12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2" customHeight="1">
      <c r="A16" s="4" t="s">
        <v>17</v>
      </c>
      <c r="B16" s="4" t="s">
        <v>18</v>
      </c>
      <c r="C16" s="4" t="s">
        <v>5</v>
      </c>
      <c r="D16" s="4" t="s">
        <v>19</v>
      </c>
      <c r="E16" s="4" t="s">
        <v>7</v>
      </c>
      <c r="F16" s="4" t="s">
        <v>12</v>
      </c>
      <c r="G16" s="4" t="s">
        <v>4</v>
      </c>
      <c r="H16" s="4" t="s">
        <v>13</v>
      </c>
      <c r="I16" s="4" t="s">
        <v>20</v>
      </c>
    </row>
    <row r="17" spans="1:9" ht="28" customHeight="1">
      <c r="A17" s="5" t="s">
        <v>21</v>
      </c>
      <c r="B17" s="5" t="s">
        <v>22</v>
      </c>
      <c r="C17" s="6">
        <v>26</v>
      </c>
      <c r="D17" s="6">
        <v>0</v>
      </c>
      <c r="E17" s="6">
        <f>C17+D17</f>
        <v>26.0</v>
      </c>
      <c r="F17" s="6">
        <v>8</v>
      </c>
      <c r="G17" s="6">
        <v>1152</v>
      </c>
      <c r="H17" s="7">
        <f>IFERROR(E17/G17,0)</f>
        <v>0.022569444444444444</v>
      </c>
      <c r="I17" s="5" t="s">
        <v>23</v>
      </c>
    </row>
    <row r="18" spans="1:9" ht="28" customHeight="1">
      <c r="A18" s="5" t="s">
        <v>21</v>
      </c>
      <c r="B18" s="5" t="s">
        <v>24</v>
      </c>
      <c r="C18" s="6">
        <v>0</v>
      </c>
      <c r="D18" s="6">
        <v>0</v>
      </c>
      <c r="E18" s="6">
        <f>C18+D18</f>
        <v>0.0</v>
      </c>
      <c r="F18" s="6">
        <v>2</v>
      </c>
      <c r="G18" s="6">
        <v>288</v>
      </c>
      <c r="H18" s="7">
        <f>IFERROR(E18/G18,0)</f>
        <v>0.0</v>
      </c>
      <c r="I18" s="5" t="s">
        <v>25</v>
      </c>
    </row>
    <row r="19" spans="1:9" ht="28" customHeight="1">
      <c r="A19" s="5" t="s">
        <v>21</v>
      </c>
      <c r="B19" s="5" t="s">
        <v>26</v>
      </c>
      <c r="C19" s="6">
        <v>0</v>
      </c>
      <c r="D19" s="6">
        <v>0</v>
      </c>
      <c r="E19" s="6">
        <f>C19+D19</f>
        <v>0.0</v>
      </c>
      <c r="F19" s="6">
        <v>6</v>
      </c>
      <c r="G19" s="6">
        <v>864</v>
      </c>
      <c r="H19" s="7">
        <f>IFERROR(E19/G19,0)</f>
        <v>0.0</v>
      </c>
      <c r="I19" s="5" t="s">
        <v>27</v>
      </c>
    </row>
    <row r="20" spans="1:9" ht="28" customHeight="1">
      <c r="A20" s="5" t="s">
        <v>21</v>
      </c>
      <c r="B20" s="5" t="s">
        <v>28</v>
      </c>
      <c r="C20" s="6">
        <v>16</v>
      </c>
      <c r="D20" s="6">
        <v>0</v>
      </c>
      <c r="E20" s="6">
        <f>C20+D20</f>
        <v>16.0</v>
      </c>
      <c r="F20" s="6">
        <v>15</v>
      </c>
      <c r="G20" s="6">
        <v>2160</v>
      </c>
      <c r="H20" s="7">
        <f>IFERROR(E20/G20,0)</f>
        <v>0.007407407407407408</v>
      </c>
      <c r="I20" s="5" t="s">
        <v>29</v>
      </c>
    </row>
    <row r="21" spans="1:9" ht="28" customHeight="1">
      <c r="A21" s="5" t="s">
        <v>21</v>
      </c>
      <c r="B21" s="5" t="s">
        <v>30</v>
      </c>
      <c r="C21" s="6">
        <v>347</v>
      </c>
      <c r="D21" s="6">
        <v>0</v>
      </c>
      <c r="E21" s="6">
        <f>C21+D21</f>
        <v>347.0</v>
      </c>
      <c r="F21" s="6">
        <v>29</v>
      </c>
      <c r="G21" s="6">
        <v>4176</v>
      </c>
      <c r="H21" s="7">
        <f>IFERROR(E21/G21,0)</f>
        <v>0.08309386973180076</v>
      </c>
      <c r="I21" s="5" t="s">
        <v>31</v>
      </c>
    </row>
    <row r="22" spans="1:9" ht="28" customHeight="1">
      <c r="A22" s="5" t="s">
        <v>21</v>
      </c>
      <c r="B22" s="5" t="s">
        <v>32</v>
      </c>
      <c r="C22" s="6">
        <v>425</v>
      </c>
      <c r="D22" s="6">
        <v>144</v>
      </c>
      <c r="E22" s="6">
        <f>C22+D22</f>
        <v>569.0</v>
      </c>
      <c r="F22" s="6">
        <v>65</v>
      </c>
      <c r="G22" s="6">
        <v>9360</v>
      </c>
      <c r="H22" s="7">
        <f>IFERROR(E22/G22,0)</f>
        <v>0.06079059829059829</v>
      </c>
      <c r="I22" s="5" t="s">
        <v>33</v>
      </c>
    </row>
    <row r="23" spans="1:9" ht="28" customHeight="1">
      <c r="A23" s="5" t="s">
        <v>21</v>
      </c>
      <c r="B23" s="5" t="s">
        <v>34</v>
      </c>
      <c r="C23" s="6">
        <v>12</v>
      </c>
      <c r="D23" s="6">
        <v>0</v>
      </c>
      <c r="E23" s="6">
        <f>C23+D23</f>
        <v>12.0</v>
      </c>
      <c r="F23" s="6">
        <v>9</v>
      </c>
      <c r="G23" s="6">
        <v>1296</v>
      </c>
      <c r="H23" s="7">
        <f>IFERROR(E23/G23,0)</f>
        <v>0.009259259259259259</v>
      </c>
      <c r="I23" s="5" t="s">
        <v>35</v>
      </c>
    </row>
    <row r="24" spans="1:9" ht="28" customHeight="1">
      <c r="A24" s="5" t="s">
        <v>21</v>
      </c>
      <c r="B24" s="5" t="s">
        <v>36</v>
      </c>
      <c r="C24" s="6">
        <v>313</v>
      </c>
      <c r="D24" s="6">
        <v>88</v>
      </c>
      <c r="E24" s="6">
        <f>C24+D24</f>
        <v>401.0</v>
      </c>
      <c r="F24" s="6">
        <v>32</v>
      </c>
      <c r="G24" s="6">
        <v>4608</v>
      </c>
      <c r="H24" s="7">
        <f>IFERROR(E24/G24,0)</f>
        <v>0.08702256944444445</v>
      </c>
      <c r="I24" s="5" t="s">
        <v>37</v>
      </c>
    </row>
    <row r="25" spans="1:9" ht="28" customHeight="1">
      <c r="A25" s="5" t="s">
        <v>21</v>
      </c>
      <c r="B25" s="5" t="s">
        <v>38</v>
      </c>
      <c r="C25" s="6">
        <v>0</v>
      </c>
      <c r="D25" s="6">
        <v>0</v>
      </c>
      <c r="E25" s="6">
        <f>C25+D25</f>
        <v>0.0</v>
      </c>
      <c r="F25" s="6">
        <v>1</v>
      </c>
      <c r="G25" s="6">
        <v>144</v>
      </c>
      <c r="H25" s="7">
        <f>IFERROR(E25/G25,0)</f>
        <v>0.0</v>
      </c>
      <c r="I25" s="5" t="s">
        <v>39</v>
      </c>
    </row>
    <row r="26" spans="1:9" ht="28" customHeight="1">
      <c r="A26" s="5" t="s">
        <v>21</v>
      </c>
      <c r="B26" s="5" t="s">
        <v>40</v>
      </c>
      <c r="C26" s="6">
        <v>19</v>
      </c>
      <c r="D26" s="6">
        <v>0</v>
      </c>
      <c r="E26" s="6">
        <f>C26+D26</f>
        <v>19.0</v>
      </c>
      <c r="F26" s="6">
        <v>7</v>
      </c>
      <c r="G26" s="6">
        <v>1008</v>
      </c>
      <c r="H26" s="7">
        <f>IFERROR(E26/G26,0)</f>
        <v>0.018849206349206348</v>
      </c>
      <c r="I26" s="5" t="s">
        <v>41</v>
      </c>
    </row>
    <row r="27" spans="1:9" ht="28" customHeight="1">
      <c r="A27" s="5" t="s">
        <v>21</v>
      </c>
      <c r="B27" s="5" t="s">
        <v>42</v>
      </c>
      <c r="C27" s="6">
        <v>14</v>
      </c>
      <c r="D27" s="6">
        <v>0</v>
      </c>
      <c r="E27" s="6">
        <f>C27+D27</f>
        <v>14.0</v>
      </c>
      <c r="F27" s="6">
        <v>22</v>
      </c>
      <c r="G27" s="6">
        <v>3168</v>
      </c>
      <c r="H27" s="7">
        <f>IFERROR(E27/G27,0)</f>
        <v>0.004419191919191919</v>
      </c>
      <c r="I27" s="5" t="s">
        <v>43</v>
      </c>
    </row>
    <row r="28" spans="1:9" ht="28" customHeight="1">
      <c r="A28" s="5" t="s">
        <v>21</v>
      </c>
      <c r="B28" s="5" t="s">
        <v>44</v>
      </c>
      <c r="C28" s="6">
        <v>4</v>
      </c>
      <c r="D28" s="6">
        <v>0</v>
      </c>
      <c r="E28" s="6">
        <f>C28+D28</f>
        <v>4.0</v>
      </c>
      <c r="F28" s="6">
        <v>8</v>
      </c>
      <c r="G28" s="6">
        <v>1152</v>
      </c>
      <c r="H28" s="7">
        <f>IFERROR(E28/G28,0)</f>
        <v>0.003472222222222222</v>
      </c>
      <c r="I28" s="5" t="s">
        <v>45</v>
      </c>
    </row>
    <row r="29" spans="1:9" ht="28" customHeight="1">
      <c r="A29" s="5" t="s">
        <v>21</v>
      </c>
      <c r="B29" s="5" t="s">
        <v>46</v>
      </c>
      <c r="C29" s="6">
        <v>0</v>
      </c>
      <c r="D29" s="6">
        <v>0</v>
      </c>
      <c r="E29" s="6">
        <f>C29+D29</f>
        <v>0.0</v>
      </c>
      <c r="F29" s="6">
        <v>1</v>
      </c>
      <c r="G29" s="6">
        <v>144</v>
      </c>
      <c r="H29" s="7">
        <f>IFERROR(E29/G29,0)</f>
        <v>0.0</v>
      </c>
      <c r="I29" s="5" t="s">
        <v>47</v>
      </c>
    </row>
    <row r="30" spans="1:9" ht="28" customHeight="1">
      <c r="A30" s="5" t="s">
        <v>21</v>
      </c>
      <c r="B30" s="5" t="s">
        <v>48</v>
      </c>
      <c r="C30" s="6">
        <v>95</v>
      </c>
      <c r="D30" s="6">
        <v>144</v>
      </c>
      <c r="E30" s="6">
        <f>C30+D30</f>
        <v>239.0</v>
      </c>
      <c r="F30" s="6">
        <v>21</v>
      </c>
      <c r="G30" s="6">
        <v>3024</v>
      </c>
      <c r="H30" s="7">
        <f>IFERROR(E30/G30,0)</f>
        <v>0.07903439153439154</v>
      </c>
      <c r="I30" s="5" t="s">
        <v>49</v>
      </c>
    </row>
    <row r="31" spans="1:9" ht="28" customHeight="1">
      <c r="A31" s="5" t="s">
        <v>21</v>
      </c>
      <c r="B31" s="5" t="s">
        <v>50</v>
      </c>
      <c r="C31" s="6">
        <v>393</v>
      </c>
      <c r="D31" s="6">
        <v>248</v>
      </c>
      <c r="E31" s="6">
        <f>C31+D31</f>
        <v>641.0</v>
      </c>
      <c r="F31" s="6">
        <v>57</v>
      </c>
      <c r="G31" s="6">
        <v>8208</v>
      </c>
      <c r="H31" s="7">
        <f>IFERROR(E31/G31,0)</f>
        <v>0.07809454191033138</v>
      </c>
      <c r="I31" s="5" t="s">
        <v>51</v>
      </c>
    </row>
    <row r="32" spans="1:9" ht="28" customHeight="1">
      <c r="A32" s="5" t="s">
        <v>21</v>
      </c>
      <c r="B32" s="5" t="s">
        <v>52</v>
      </c>
      <c r="C32" s="6">
        <v>16</v>
      </c>
      <c r="D32" s="6">
        <v>0</v>
      </c>
      <c r="E32" s="6">
        <f>C32+D32</f>
        <v>16.0</v>
      </c>
      <c r="F32" s="6">
        <v>3</v>
      </c>
      <c r="G32" s="6">
        <v>432</v>
      </c>
      <c r="H32" s="7">
        <f>IFERROR(E32/G32,0)</f>
        <v>0.037037037037037035</v>
      </c>
      <c r="I32" s="5" t="s">
        <v>53</v>
      </c>
    </row>
    <row r="33" spans="1:9" ht="28" customHeight="1">
      <c r="A33" s="5" t="s">
        <v>21</v>
      </c>
      <c r="B33" s="5" t="s">
        <v>54</v>
      </c>
      <c r="C33" s="6">
        <v>9</v>
      </c>
      <c r="D33" s="6">
        <v>0</v>
      </c>
      <c r="E33" s="6">
        <f>C33+D33</f>
        <v>9.0</v>
      </c>
      <c r="F33" s="6">
        <v>10</v>
      </c>
      <c r="G33" s="6">
        <v>1440</v>
      </c>
      <c r="H33" s="7">
        <f>IFERROR(E33/G33,0)</f>
        <v>0.00625</v>
      </c>
      <c r="I33" s="5" t="s">
        <v>55</v>
      </c>
    </row>
    <row r="34" spans="1:9" ht="28" customHeight="1">
      <c r="A34" s="5" t="s">
        <v>21</v>
      </c>
      <c r="B34" s="5" t="s">
        <v>56</v>
      </c>
      <c r="C34" s="6">
        <v>72</v>
      </c>
      <c r="D34" s="6">
        <v>144</v>
      </c>
      <c r="E34" s="6">
        <f>C34+D34</f>
        <v>216.0</v>
      </c>
      <c r="F34" s="6">
        <v>20</v>
      </c>
      <c r="G34" s="6">
        <v>2880</v>
      </c>
      <c r="H34" s="7">
        <f>IFERROR(E34/G34,0)</f>
        <v>0.075</v>
      </c>
      <c r="I34" s="5" t="s">
        <v>57</v>
      </c>
    </row>
    <row r="35" spans="1:9" ht="28" customHeight="1">
      <c r="A35" s="5" t="s">
        <v>21</v>
      </c>
      <c r="B35" s="5" t="s">
        <v>58</v>
      </c>
      <c r="C35" s="6">
        <v>0</v>
      </c>
      <c r="D35" s="6">
        <v>0</v>
      </c>
      <c r="E35" s="6">
        <f>C35+D35</f>
        <v>0.0</v>
      </c>
      <c r="F35" s="6">
        <v>2</v>
      </c>
      <c r="G35" s="6">
        <v>288</v>
      </c>
      <c r="H35" s="7">
        <f>IFERROR(E35/G35,0)</f>
        <v>0.0</v>
      </c>
      <c r="I35" s="5" t="s">
        <v>59</v>
      </c>
    </row>
    <row r="36" spans="1:9" ht="28" customHeight="1">
      <c r="A36" s="5" t="s">
        <v>21</v>
      </c>
      <c r="B36" s="5" t="s">
        <v>60</v>
      </c>
      <c r="C36" s="6">
        <v>0</v>
      </c>
      <c r="D36" s="6">
        <v>0</v>
      </c>
      <c r="E36" s="6">
        <f>C36+D36</f>
        <v>0.0</v>
      </c>
      <c r="F36" s="6">
        <v>1</v>
      </c>
      <c r="G36" s="6">
        <v>144</v>
      </c>
      <c r="H36" s="7">
        <f>IFERROR(E36/G36,0)</f>
        <v>0.0</v>
      </c>
      <c r="I36" s="5" t="s">
        <v>61</v>
      </c>
    </row>
    <row r="37" spans="1:9" ht="28" customHeight="1">
      <c r="A37" s="5" t="s">
        <v>21</v>
      </c>
      <c r="B37" s="5" t="s">
        <v>62</v>
      </c>
      <c r="C37" s="6">
        <v>0</v>
      </c>
      <c r="D37" s="6">
        <v>0</v>
      </c>
      <c r="E37" s="6">
        <f>C37+D37</f>
        <v>0.0</v>
      </c>
      <c r="F37" s="6">
        <v>1</v>
      </c>
      <c r="G37" s="6">
        <v>144</v>
      </c>
      <c r="H37" s="7">
        <f>IFERROR(E37/G37,0)</f>
        <v>0.0</v>
      </c>
      <c r="I37" s="5" t="s">
        <v>63</v>
      </c>
    </row>
    <row r="38" spans="1:9" ht="28" customHeight="1">
      <c r="A38" s="5" t="s">
        <v>21</v>
      </c>
      <c r="B38" s="5" t="s">
        <v>64</v>
      </c>
      <c r="C38" s="6">
        <v>0</v>
      </c>
      <c r="D38" s="6">
        <v>0</v>
      </c>
      <c r="E38" s="6">
        <f>C38+D38</f>
        <v>0.0</v>
      </c>
      <c r="F38" s="6">
        <v>3</v>
      </c>
      <c r="G38" s="6">
        <v>432</v>
      </c>
      <c r="H38" s="7">
        <f>IFERROR(E38/G38,0)</f>
        <v>0.0</v>
      </c>
      <c r="I38" s="5" t="s">
        <v>65</v>
      </c>
    </row>
    <row r="39" spans="1:9" ht="28" customHeight="1">
      <c r="A39" s="5" t="s">
        <v>21</v>
      </c>
      <c r="B39" s="5" t="s">
        <v>66</v>
      </c>
      <c r="C39" s="6">
        <v>1</v>
      </c>
      <c r="D39" s="6">
        <v>0</v>
      </c>
      <c r="E39" s="6">
        <f>C39+D39</f>
        <v>1.0</v>
      </c>
      <c r="F39" s="6">
        <v>1</v>
      </c>
      <c r="G39" s="6">
        <v>144</v>
      </c>
      <c r="H39" s="7">
        <f>IFERROR(E39/G39,0)</f>
        <v>0.006944444444444444</v>
      </c>
      <c r="I39" s="5" t="s">
        <v>67</v>
      </c>
    </row>
    <row r="40" spans="1:9" ht="28" customHeight="1">
      <c r="A40" s="5" t="s">
        <v>21</v>
      </c>
      <c r="B40" s="5" t="s">
        <v>68</v>
      </c>
      <c r="C40" s="6">
        <v>2</v>
      </c>
      <c r="D40" s="6">
        <v>0</v>
      </c>
      <c r="E40" s="6">
        <f>C40+D40</f>
        <v>2.0</v>
      </c>
      <c r="F40" s="6">
        <v>5</v>
      </c>
      <c r="G40" s="6">
        <v>720</v>
      </c>
      <c r="H40" s="7">
        <f>IFERROR(E40/G40,0)</f>
        <v>0.002777777777777778</v>
      </c>
      <c r="I40" s="5" t="s">
        <v>69</v>
      </c>
    </row>
    <row r="41" spans="1:9" ht="28" customHeight="1">
      <c r="A41" s="5" t="s">
        <v>21</v>
      </c>
      <c r="B41" s="5" t="s">
        <v>70</v>
      </c>
      <c r="C41" s="6">
        <v>0</v>
      </c>
      <c r="D41" s="6">
        <v>0</v>
      </c>
      <c r="E41" s="6">
        <f>C41+D41</f>
        <v>0.0</v>
      </c>
      <c r="F41" s="6">
        <v>1</v>
      </c>
      <c r="G41" s="6">
        <v>144</v>
      </c>
      <c r="H41" s="7">
        <f>IFERROR(E41/G41,0)</f>
        <v>0.0</v>
      </c>
      <c r="I41" s="5" t="s">
        <v>71</v>
      </c>
    </row>
    <row r="42" spans="1:9" ht="28" customHeight="1">
      <c r="A42" s="5" t="s">
        <v>21</v>
      </c>
      <c r="B42" s="5" t="s">
        <v>72</v>
      </c>
      <c r="C42" s="6">
        <v>19</v>
      </c>
      <c r="D42" s="6">
        <v>0</v>
      </c>
      <c r="E42" s="6">
        <f>C42+D42</f>
        <v>19.0</v>
      </c>
      <c r="F42" s="6">
        <v>5</v>
      </c>
      <c r="G42" s="6">
        <v>720</v>
      </c>
      <c r="H42" s="7">
        <f>IFERROR(E42/G42,0)</f>
        <v>0.02638888888888889</v>
      </c>
      <c r="I42" s="5" t="s">
        <v>73</v>
      </c>
    </row>
    <row r="43" spans="1:9" ht="28" customHeight="1">
      <c r="A43" s="5" t="s">
        <v>21</v>
      </c>
      <c r="B43" s="5" t="s">
        <v>74</v>
      </c>
      <c r="C43" s="6">
        <v>21</v>
      </c>
      <c r="D43" s="6">
        <v>0</v>
      </c>
      <c r="E43" s="6">
        <f>C43+D43</f>
        <v>21.0</v>
      </c>
      <c r="F43" s="6">
        <v>7</v>
      </c>
      <c r="G43" s="6">
        <v>1008</v>
      </c>
      <c r="H43" s="7">
        <f>IFERROR(E43/G43,0)</f>
        <v>0.020833333333333332</v>
      </c>
      <c r="I43" s="5" t="s">
        <v>75</v>
      </c>
    </row>
    <row r="44" spans="1:9" ht="28" customHeight="1">
      <c r="A44" s="5" t="s">
        <v>21</v>
      </c>
      <c r="B44" s="5" t="s">
        <v>76</v>
      </c>
      <c r="C44" s="6">
        <v>0</v>
      </c>
      <c r="D44" s="6">
        <v>0</v>
      </c>
      <c r="E44" s="6">
        <f>C44+D44</f>
        <v>0.0</v>
      </c>
      <c r="F44" s="6">
        <v>2</v>
      </c>
      <c r="G44" s="6">
        <v>288</v>
      </c>
      <c r="H44" s="7">
        <f>IFERROR(E44/G44,0)</f>
        <v>0.0</v>
      </c>
      <c r="I44" s="5" t="s">
        <v>77</v>
      </c>
    </row>
    <row r="45" spans="1:9" ht="28" customHeight="1">
      <c r="A45" s="5" t="s">
        <v>21</v>
      </c>
      <c r="B45" s="5" t="s">
        <v>78</v>
      </c>
      <c r="C45" s="6">
        <v>0</v>
      </c>
      <c r="D45" s="6">
        <v>0</v>
      </c>
      <c r="E45" s="6">
        <f>C45+D45</f>
        <v>0.0</v>
      </c>
      <c r="F45" s="6">
        <v>8</v>
      </c>
      <c r="G45" s="6">
        <v>1152</v>
      </c>
      <c r="H45" s="7">
        <f>IFERROR(E45/G45,0)</f>
        <v>0.0</v>
      </c>
      <c r="I45" s="5" t="s">
        <v>79</v>
      </c>
    </row>
    <row r="46" spans="1:9" ht="28" customHeight="1">
      <c r="A46" s="5" t="s">
        <v>21</v>
      </c>
      <c r="B46" s="5" t="s">
        <v>80</v>
      </c>
      <c r="C46" s="6">
        <v>43</v>
      </c>
      <c r="D46" s="6">
        <v>0</v>
      </c>
      <c r="E46" s="6">
        <f>C46+D46</f>
        <v>43.0</v>
      </c>
      <c r="F46" s="6">
        <v>20</v>
      </c>
      <c r="G46" s="6">
        <v>2880</v>
      </c>
      <c r="H46" s="7">
        <f>IFERROR(E46/G46,0)</f>
        <v>0.014930555555555556</v>
      </c>
      <c r="I46" s="5" t="s">
        <v>81</v>
      </c>
    </row>
    <row r="47" spans="1:9" ht="28" customHeight="1">
      <c r="A47" s="5" t="s">
        <v>21</v>
      </c>
      <c r="B47" s="5" t="s">
        <v>82</v>
      </c>
      <c r="C47" s="6">
        <v>9</v>
      </c>
      <c r="D47" s="6">
        <v>0</v>
      </c>
      <c r="E47" s="6">
        <f>C47+D47</f>
        <v>9.0</v>
      </c>
      <c r="F47" s="6">
        <v>1</v>
      </c>
      <c r="G47" s="6">
        <v>144</v>
      </c>
      <c r="H47" s="7">
        <f>IFERROR(E47/G47,0)</f>
        <v>0.0625</v>
      </c>
      <c r="I47" s="5" t="s">
        <v>83</v>
      </c>
    </row>
    <row r="48" spans="1:9" ht="28" customHeight="1">
      <c r="A48" s="5" t="s">
        <v>21</v>
      </c>
      <c r="B48" s="5" t="s">
        <v>84</v>
      </c>
      <c r="C48" s="6">
        <v>15</v>
      </c>
      <c r="D48" s="6">
        <v>0</v>
      </c>
      <c r="E48" s="6">
        <f>C48+D48</f>
        <v>15.0</v>
      </c>
      <c r="F48" s="6">
        <v>7</v>
      </c>
      <c r="G48" s="6">
        <v>1008</v>
      </c>
      <c r="H48" s="7">
        <f>IFERROR(E48/G48,0)</f>
        <v>0.01488095238095238</v>
      </c>
      <c r="I48" s="5" t="s">
        <v>85</v>
      </c>
    </row>
    <row r="49" spans="1:9" ht="28" customHeight="1">
      <c r="A49" s="5" t="s">
        <v>21</v>
      </c>
      <c r="B49" s="5" t="s">
        <v>86</v>
      </c>
      <c r="C49" s="6">
        <v>0</v>
      </c>
      <c r="D49" s="6">
        <v>0</v>
      </c>
      <c r="E49" s="6">
        <f>C49+D49</f>
        <v>0.0</v>
      </c>
      <c r="F49" s="6">
        <v>3</v>
      </c>
      <c r="G49" s="6">
        <v>432</v>
      </c>
      <c r="H49" s="7">
        <f>IFERROR(E49/G49,0)</f>
        <v>0.0</v>
      </c>
      <c r="I49" s="5" t="s">
        <v>87</v>
      </c>
    </row>
    <row r="50" spans="1:9" ht="28" customHeight="1">
      <c r="A50" s="5" t="s">
        <v>88</v>
      </c>
      <c r="B50" s="5" t="s">
        <v>30</v>
      </c>
      <c r="C50" s="6">
        <v>0</v>
      </c>
      <c r="D50" s="6">
        <v>0</v>
      </c>
      <c r="E50" s="6">
        <f>C50+D50</f>
        <v>0.0</v>
      </c>
      <c r="F50" s="6">
        <v>1</v>
      </c>
      <c r="G50" s="6">
        <v>144</v>
      </c>
      <c r="H50" s="7">
        <f>IFERROR(E50/G50,0)</f>
        <v>0.0</v>
      </c>
      <c r="I50" s="5" t="s">
        <v>90</v>
      </c>
    </row>
    <row r="51" spans="1:9" ht="28" customHeight="1">
      <c r="A51" s="5" t="s">
        <v>88</v>
      </c>
      <c r="B51" s="5" t="s">
        <v>32</v>
      </c>
      <c r="C51" s="6">
        <v>0</v>
      </c>
      <c r="D51" s="6">
        <v>0</v>
      </c>
      <c r="E51" s="6">
        <f>C51+D51</f>
        <v>0.0</v>
      </c>
      <c r="F51" s="6">
        <v>1</v>
      </c>
      <c r="G51" s="6">
        <v>144</v>
      </c>
      <c r="H51" s="7">
        <f>IFERROR(E51/G51,0)</f>
        <v>0.0</v>
      </c>
      <c r="I51" s="5" t="s">
        <v>91</v>
      </c>
    </row>
    <row r="52" spans="1:9" ht="28" customHeight="1">
      <c r="A52" s="5" t="s">
        <v>88</v>
      </c>
      <c r="B52" s="5" t="s">
        <v>36</v>
      </c>
      <c r="C52" s="6">
        <v>0</v>
      </c>
      <c r="D52" s="6">
        <v>0</v>
      </c>
      <c r="E52" s="6">
        <f>C52+D52</f>
        <v>0.0</v>
      </c>
      <c r="F52" s="6">
        <v>1</v>
      </c>
      <c r="G52" s="6">
        <v>144</v>
      </c>
      <c r="H52" s="7">
        <f>IFERROR(E52/G52,0)</f>
        <v>0.0</v>
      </c>
      <c r="I52" s="5" t="s">
        <v>92</v>
      </c>
    </row>
    <row r="53" spans="1:9" ht="28" customHeight="1">
      <c r="A53" s="5" t="s">
        <v>88</v>
      </c>
      <c r="B53" s="5" t="s">
        <v>38</v>
      </c>
      <c r="C53" s="6">
        <v>0</v>
      </c>
      <c r="D53" s="6">
        <v>0</v>
      </c>
      <c r="E53" s="6">
        <f>C53+D53</f>
        <v>0.0</v>
      </c>
      <c r="F53" s="6">
        <v>1</v>
      </c>
      <c r="G53" s="6">
        <v>144</v>
      </c>
      <c r="H53" s="7">
        <f>IFERROR(E53/G53,0)</f>
        <v>0.0</v>
      </c>
      <c r="I53" s="5" t="s">
        <v>93</v>
      </c>
    </row>
    <row r="54" spans="1:9" ht="28" customHeight="1">
      <c r="A54" s="5" t="s">
        <v>88</v>
      </c>
      <c r="B54" s="5" t="s">
        <v>95</v>
      </c>
      <c r="C54" s="6">
        <v>0</v>
      </c>
      <c r="D54" s="6">
        <v>0</v>
      </c>
      <c r="E54" s="6">
        <f>C54+D54</f>
        <v>0.0</v>
      </c>
      <c r="F54" s="6">
        <v>3</v>
      </c>
      <c r="G54" s="6">
        <v>432</v>
      </c>
      <c r="H54" s="7">
        <f>IFERROR(E54/G54,0)</f>
        <v>0.0</v>
      </c>
      <c r="I54" s="5" t="s">
        <v>94</v>
      </c>
    </row>
    <row r="55" spans="1:9" ht="28" customHeight="1">
      <c r="A55" s="5" t="s">
        <v>88</v>
      </c>
      <c r="B55" s="5" t="s">
        <v>44</v>
      </c>
      <c r="C55" s="6">
        <v>0</v>
      </c>
      <c r="D55" s="6">
        <v>0</v>
      </c>
      <c r="E55" s="6">
        <f>C55+D55</f>
        <v>0.0</v>
      </c>
      <c r="F55" s="6">
        <v>1</v>
      </c>
      <c r="G55" s="6">
        <v>144</v>
      </c>
      <c r="H55" s="7">
        <f>IFERROR(E55/G55,0)</f>
        <v>0.0</v>
      </c>
      <c r="I55" s="5" t="s">
        <v>96</v>
      </c>
    </row>
    <row r="56" spans="1:9" ht="28" customHeight="1">
      <c r="A56" s="5" t="s">
        <v>88</v>
      </c>
      <c r="B56" s="5" t="s">
        <v>48</v>
      </c>
      <c r="C56" s="6">
        <v>0</v>
      </c>
      <c r="D56" s="6">
        <v>0</v>
      </c>
      <c r="E56" s="6">
        <f>C56+D56</f>
        <v>0.0</v>
      </c>
      <c r="F56" s="6">
        <v>1</v>
      </c>
      <c r="G56" s="6">
        <v>144</v>
      </c>
      <c r="H56" s="7">
        <f>IFERROR(E56/G56,0)</f>
        <v>0.0</v>
      </c>
      <c r="I56" s="5" t="s">
        <v>97</v>
      </c>
    </row>
    <row r="57" spans="1:9" ht="28" customHeight="1">
      <c r="A57" s="5" t="s">
        <v>88</v>
      </c>
      <c r="B57" s="5" t="s">
        <v>99</v>
      </c>
      <c r="C57" s="6">
        <v>1</v>
      </c>
      <c r="D57" s="6">
        <v>0</v>
      </c>
      <c r="E57" s="6">
        <f>C57+D57</f>
        <v>1.0</v>
      </c>
      <c r="F57" s="6">
        <v>1</v>
      </c>
      <c r="G57" s="6">
        <v>144</v>
      </c>
      <c r="H57" s="7">
        <f>IFERROR(E57/G57,0)</f>
        <v>0.006944444444444444</v>
      </c>
      <c r="I57" s="5" t="s">
        <v>98</v>
      </c>
    </row>
    <row r="58" spans="1:9" ht="28" customHeight="1">
      <c r="A58" s="5" t="s">
        <v>88</v>
      </c>
      <c r="B58" s="5" t="s">
        <v>54</v>
      </c>
      <c r="C58" s="6">
        <v>0</v>
      </c>
      <c r="D58" s="6">
        <v>0</v>
      </c>
      <c r="E58" s="6">
        <f>C58+D58</f>
        <v>0.0</v>
      </c>
      <c r="F58" s="6">
        <v>1</v>
      </c>
      <c r="G58" s="6">
        <v>144</v>
      </c>
      <c r="H58" s="7">
        <f>IFERROR(E58/G58,0)</f>
        <v>0.0</v>
      </c>
      <c r="I58" s="5" t="s">
        <v>100</v>
      </c>
    </row>
    <row r="59" spans="1:9" ht="28" customHeight="1">
      <c r="A59" s="5" t="s">
        <v>88</v>
      </c>
      <c r="B59" s="5" t="s">
        <v>56</v>
      </c>
      <c r="C59" s="6">
        <v>0</v>
      </c>
      <c r="D59" s="6">
        <v>0</v>
      </c>
      <c r="E59" s="6">
        <f>C59+D59</f>
        <v>0.0</v>
      </c>
      <c r="F59" s="6">
        <v>1</v>
      </c>
      <c r="G59" s="6">
        <v>144</v>
      </c>
      <c r="H59" s="7">
        <f>IFERROR(E59/G59,0)</f>
        <v>0.0</v>
      </c>
      <c r="I59" s="5" t="s">
        <v>101</v>
      </c>
    </row>
    <row r="60" spans="1:9" ht="28" customHeight="1">
      <c r="A60" s="5" t="s">
        <v>88</v>
      </c>
      <c r="B60" s="5" t="s">
        <v>58</v>
      </c>
      <c r="C60" s="6">
        <v>0</v>
      </c>
      <c r="D60" s="6">
        <v>0</v>
      </c>
      <c r="E60" s="6">
        <f>C60+D60</f>
        <v>0.0</v>
      </c>
      <c r="F60" s="6">
        <v>4</v>
      </c>
      <c r="G60" s="6">
        <v>576</v>
      </c>
      <c r="H60" s="7">
        <f>IFERROR(E60/G60,0)</f>
        <v>0.0</v>
      </c>
      <c r="I60" s="5" t="s">
        <v>102</v>
      </c>
    </row>
    <row r="61" spans="1:9" ht="28" customHeight="1">
      <c r="A61" s="5" t="s">
        <v>88</v>
      </c>
      <c r="B61" s="5" t="s">
        <v>104</v>
      </c>
      <c r="C61" s="6">
        <v>0</v>
      </c>
      <c r="D61" s="6">
        <v>0</v>
      </c>
      <c r="E61" s="6">
        <f>C61+D61</f>
        <v>0.0</v>
      </c>
      <c r="F61" s="6">
        <v>1</v>
      </c>
      <c r="G61" s="6">
        <v>144</v>
      </c>
      <c r="H61" s="7">
        <f>IFERROR(E61/G61,0)</f>
        <v>0.0</v>
      </c>
      <c r="I61" s="5" t="s">
        <v>103</v>
      </c>
    </row>
    <row r="62" spans="1:9" ht="28" customHeight="1">
      <c r="A62" s="5" t="s">
        <v>88</v>
      </c>
      <c r="B62" s="5" t="s">
        <v>62</v>
      </c>
      <c r="C62" s="6">
        <v>0</v>
      </c>
      <c r="D62" s="6">
        <v>0</v>
      </c>
      <c r="E62" s="6">
        <f>C62+D62</f>
        <v>0.0</v>
      </c>
      <c r="F62" s="6">
        <v>1</v>
      </c>
      <c r="G62" s="6">
        <v>144</v>
      </c>
      <c r="H62" s="7">
        <f>IFERROR(E62/G62,0)</f>
        <v>0.0</v>
      </c>
      <c r="I62" s="5" t="s">
        <v>105</v>
      </c>
    </row>
    <row r="63" spans="1:9" ht="28" customHeight="1">
      <c r="A63" s="5" t="s">
        <v>88</v>
      </c>
      <c r="B63" s="5" t="s">
        <v>107</v>
      </c>
      <c r="C63" s="6">
        <v>0</v>
      </c>
      <c r="D63" s="6">
        <v>0</v>
      </c>
      <c r="E63" s="6">
        <f>C63+D63</f>
        <v>0.0</v>
      </c>
      <c r="F63" s="6">
        <v>2</v>
      </c>
      <c r="G63" s="6">
        <v>288</v>
      </c>
      <c r="H63" s="7">
        <f>IFERROR(E63/G63,0)</f>
        <v>0.0</v>
      </c>
      <c r="I63" s="5" t="s">
        <v>106</v>
      </c>
    </row>
    <row r="64" spans="1:9" ht="28" customHeight="1">
      <c r="A64" s="5" t="s">
        <v>88</v>
      </c>
      <c r="B64" s="5" t="s">
        <v>64</v>
      </c>
      <c r="C64" s="6">
        <v>0</v>
      </c>
      <c r="D64" s="6">
        <v>0</v>
      </c>
      <c r="E64" s="6">
        <f>C64+D64</f>
        <v>0.0</v>
      </c>
      <c r="F64" s="6">
        <v>3</v>
      </c>
      <c r="G64" s="6">
        <v>432</v>
      </c>
      <c r="H64" s="7">
        <f>IFERROR(E64/G64,0)</f>
        <v>0.0</v>
      </c>
      <c r="I64" s="5" t="s">
        <v>108</v>
      </c>
    </row>
    <row r="65" spans="1:9" ht="28" customHeight="1">
      <c r="A65" s="5" t="s">
        <v>88</v>
      </c>
      <c r="B65" s="5" t="s">
        <v>66</v>
      </c>
      <c r="C65" s="6">
        <v>0</v>
      </c>
      <c r="D65" s="6">
        <v>0</v>
      </c>
      <c r="E65" s="6">
        <f>C65+D65</f>
        <v>0.0</v>
      </c>
      <c r="F65" s="6">
        <v>2</v>
      </c>
      <c r="G65" s="6">
        <v>288</v>
      </c>
      <c r="H65" s="7">
        <f>IFERROR(E65/G65,0)</f>
        <v>0.0</v>
      </c>
      <c r="I65" s="5" t="s">
        <v>109</v>
      </c>
    </row>
    <row r="66" spans="1:9" ht="28" customHeight="1">
      <c r="A66" s="5" t="s">
        <v>88</v>
      </c>
      <c r="B66" s="5" t="s">
        <v>68</v>
      </c>
      <c r="C66" s="6">
        <v>0</v>
      </c>
      <c r="D66" s="6">
        <v>0</v>
      </c>
      <c r="E66" s="6">
        <f>C66+D66</f>
        <v>0.0</v>
      </c>
      <c r="F66" s="6">
        <v>2</v>
      </c>
      <c r="G66" s="6">
        <v>288</v>
      </c>
      <c r="H66" s="7">
        <f>IFERROR(E66/G66,0)</f>
        <v>0.0</v>
      </c>
      <c r="I66" s="5" t="s">
        <v>110</v>
      </c>
    </row>
    <row r="67" spans="1:9" ht="28" customHeight="1">
      <c r="A67" s="5" t="s">
        <v>88</v>
      </c>
      <c r="B67" s="5" t="s">
        <v>70</v>
      </c>
      <c r="C67" s="6">
        <v>3</v>
      </c>
      <c r="D67" s="6">
        <v>0</v>
      </c>
      <c r="E67" s="6">
        <f>C67+D67</f>
        <v>3.0</v>
      </c>
      <c r="F67" s="6">
        <v>2</v>
      </c>
      <c r="G67" s="6">
        <v>288</v>
      </c>
      <c r="H67" s="7">
        <f>IFERROR(E67/G67,0)</f>
        <v>0.010416666666666666</v>
      </c>
      <c r="I67" s="5" t="s">
        <v>111</v>
      </c>
    </row>
    <row r="68" spans="1:9" ht="28" customHeight="1">
      <c r="A68" s="5" t="s">
        <v>88</v>
      </c>
      <c r="B68" s="5" t="s">
        <v>72</v>
      </c>
      <c r="C68" s="6">
        <v>5</v>
      </c>
      <c r="D68" s="6">
        <v>0</v>
      </c>
      <c r="E68" s="6">
        <f>C68+D68</f>
        <v>5.0</v>
      </c>
      <c r="F68" s="6">
        <v>3</v>
      </c>
      <c r="G68" s="6">
        <v>432</v>
      </c>
      <c r="H68" s="7">
        <f>IFERROR(E68/G68,0)</f>
        <v>0.011574074074074073</v>
      </c>
      <c r="I68" s="5" t="s">
        <v>112</v>
      </c>
    </row>
    <row r="69" spans="1:9" ht="28" customHeight="1">
      <c r="A69" s="5" t="s">
        <v>88</v>
      </c>
      <c r="B69" s="5" t="s">
        <v>76</v>
      </c>
      <c r="C69" s="6">
        <v>0</v>
      </c>
      <c r="D69" s="6">
        <v>0</v>
      </c>
      <c r="E69" s="6">
        <f>C69+D69</f>
        <v>0.0</v>
      </c>
      <c r="F69" s="6">
        <v>4</v>
      </c>
      <c r="G69" s="6">
        <v>576</v>
      </c>
      <c r="H69" s="7">
        <f>IFERROR(E69/G69,0)</f>
        <v>0.0</v>
      </c>
      <c r="I69" s="5" t="s">
        <v>113</v>
      </c>
    </row>
    <row r="70" spans="1:9" ht="28" customHeight="1">
      <c r="A70" s="5" t="s">
        <v>88</v>
      </c>
      <c r="B70" s="5" t="s">
        <v>78</v>
      </c>
      <c r="C70" s="6">
        <v>1</v>
      </c>
      <c r="D70" s="6">
        <v>0</v>
      </c>
      <c r="E70" s="6">
        <f>C70+D70</f>
        <v>1.0</v>
      </c>
      <c r="F70" s="6">
        <v>1</v>
      </c>
      <c r="G70" s="6">
        <v>144</v>
      </c>
      <c r="H70" s="7">
        <f>IFERROR(E70/G70,0)</f>
        <v>0.006944444444444444</v>
      </c>
      <c r="I70" s="5" t="s">
        <v>114</v>
      </c>
    </row>
    <row r="71" spans="1:9" ht="28" customHeight="1">
      <c r="A71" s="5" t="s">
        <v>88</v>
      </c>
      <c r="B71" s="5" t="s">
        <v>116</v>
      </c>
      <c r="C71" s="6">
        <v>0</v>
      </c>
      <c r="D71" s="6">
        <v>0</v>
      </c>
      <c r="E71" s="6">
        <f>C71+D71</f>
        <v>0.0</v>
      </c>
      <c r="F71" s="6">
        <v>1</v>
      </c>
      <c r="G71" s="6">
        <v>144</v>
      </c>
      <c r="H71" s="7">
        <f>IFERROR(E71/G71,0)</f>
        <v>0.0</v>
      </c>
      <c r="I71" s="5" t="s">
        <v>115</v>
      </c>
    </row>
    <row r="72" spans="1:9" ht="28" customHeight="1">
      <c r="A72" s="5" t="s">
        <v>88</v>
      </c>
      <c r="B72" s="5" t="s">
        <v>86</v>
      </c>
      <c r="C72" s="6">
        <v>0</v>
      </c>
      <c r="D72" s="6">
        <v>0</v>
      </c>
      <c r="E72" s="6">
        <f>C72+D72</f>
        <v>0.0</v>
      </c>
      <c r="F72" s="6">
        <v>1</v>
      </c>
      <c r="G72" s="6">
        <v>144</v>
      </c>
      <c r="H72" s="7">
        <f>IFERROR(E72/G72,0)</f>
        <v>0.0</v>
      </c>
      <c r="I72" s="5" t="s">
        <v>117</v>
      </c>
    </row>
    <row r="73" spans="1:9" ht="28" customHeight="1">
      <c r="A73" s="5" t="s">
        <v>88</v>
      </c>
      <c r="B73" s="5" t="s">
        <v>119</v>
      </c>
      <c r="C73" s="6">
        <v>0</v>
      </c>
      <c r="D73" s="6">
        <v>0</v>
      </c>
      <c r="E73" s="6">
        <f>C73+D73</f>
        <v>0.0</v>
      </c>
      <c r="F73" s="6">
        <v>1</v>
      </c>
      <c r="G73" s="6">
        <v>144</v>
      </c>
      <c r="H73" s="7">
        <f>IFERROR(E73/G73,0)</f>
        <v>0.0</v>
      </c>
      <c r="I73" s="5" t="s">
        <v>118</v>
      </c>
    </row>
  </sheetData>
  <autoFilter ref="A16:I73"/>
  <mergeCells count="3">
    <mergeCell ref="A1:L2"/>
    <mergeCell ref="A3:L4"/>
    <mergeCell ref="A11:L13"/>
  </mergeCells>
  <hyperlinks>
    <hyperlink ref="A5" location="'Resumen ejecutivo'!A1" display="Volver al resumen"/>
  </hyperlinks>
  <pageMargins left="0.3" right="0.3" top="0.4" bottom="0.4" header="0.3" footer="0.3"/>
  <pageSetup paperSize="9" fitToHeight="0" orientation="landscape"/>
  <headerFooter>
    <oddFooter>&amp;LServicio Médico | 1S2026&amp;R&amp;P de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4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45.7109375" customWidth="1"/>
    <col min="3" max="8" width="15.7109375" customWidth="1"/>
    <col min="9" max="9" width="40.7109375" customWidth="1"/>
    <col min="10" max="12" width="15.7109375" customWidth="1"/>
  </cols>
  <sheetData>
    <row r="1" spans="1:12" ht="24" customHeight="1">
      <c r="A1" s="1" t="s">
        <v>124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125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3" t="s">
        <v>2</v>
      </c>
    </row>
    <row r="6" spans="1:12" ht="50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8" spans="1:12">
      <c r="A8" s="5" t="s">
        <v>126</v>
      </c>
      <c r="B8" s="6">
        <v>67040</v>
      </c>
      <c r="C8" s="6">
        <v>2095</v>
      </c>
      <c r="D8" s="6">
        <v>880</v>
      </c>
      <c r="E8" s="6">
        <f>C8+D8</f>
        <v>2975</v>
      </c>
      <c r="F8" s="6">
        <v>4398</v>
      </c>
      <c r="G8" s="6">
        <v>3105</v>
      </c>
      <c r="H8" s="6">
        <f>E8+F8+G8</f>
        <v>10478</v>
      </c>
      <c r="I8" s="6">
        <v>5848</v>
      </c>
      <c r="J8" s="6">
        <v>419</v>
      </c>
      <c r="K8" s="7">
        <f>E8/B8</f>
        <v>0.044376491646778045</v>
      </c>
      <c r="L8" s="7">
        <f>H8/B8</f>
        <v>0.1562947494033413</v>
      </c>
    </row>
    <row r="11" spans="1:12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2" customHeight="1">
      <c r="A16" s="4" t="s">
        <v>17</v>
      </c>
      <c r="B16" s="4" t="s">
        <v>18</v>
      </c>
      <c r="C16" s="4" t="s">
        <v>5</v>
      </c>
      <c r="D16" s="4" t="s">
        <v>19</v>
      </c>
      <c r="E16" s="4" t="s">
        <v>7</v>
      </c>
      <c r="F16" s="4" t="s">
        <v>12</v>
      </c>
      <c r="G16" s="4" t="s">
        <v>4</v>
      </c>
      <c r="H16" s="4" t="s">
        <v>13</v>
      </c>
      <c r="I16" s="4" t="s">
        <v>20</v>
      </c>
    </row>
    <row r="17" spans="1:9" ht="28" customHeight="1">
      <c r="A17" s="5" t="s">
        <v>21</v>
      </c>
      <c r="B17" s="5" t="s">
        <v>127</v>
      </c>
      <c r="C17" s="6">
        <v>0</v>
      </c>
      <c r="D17" s="6">
        <v>0</v>
      </c>
      <c r="E17" s="6">
        <f>C17+D17</f>
        <v>0.0</v>
      </c>
      <c r="F17" s="6">
        <v>3</v>
      </c>
      <c r="G17" s="6">
        <v>480</v>
      </c>
      <c r="H17" s="7">
        <f>IFERROR(E17/G17,0)</f>
        <v>0.0</v>
      </c>
      <c r="I17" s="5" t="s">
        <v>23</v>
      </c>
    </row>
    <row r="18" spans="1:9" ht="28" customHeight="1">
      <c r="A18" s="5" t="s">
        <v>21</v>
      </c>
      <c r="B18" s="5" t="s">
        <v>128</v>
      </c>
      <c r="C18" s="6">
        <v>0</v>
      </c>
      <c r="D18" s="6">
        <v>0</v>
      </c>
      <c r="E18" s="6">
        <f>C18+D18</f>
        <v>0.0</v>
      </c>
      <c r="F18" s="6">
        <v>1</v>
      </c>
      <c r="G18" s="6">
        <v>160</v>
      </c>
      <c r="H18" s="7">
        <f>IFERROR(E18/G18,0)</f>
        <v>0.0</v>
      </c>
      <c r="I18" s="5" t="s">
        <v>25</v>
      </c>
    </row>
    <row r="19" spans="1:9" ht="28" customHeight="1">
      <c r="A19" s="5" t="s">
        <v>21</v>
      </c>
      <c r="B19" s="5" t="s">
        <v>129</v>
      </c>
      <c r="C19" s="6">
        <v>2</v>
      </c>
      <c r="D19" s="6">
        <v>0</v>
      </c>
      <c r="E19" s="6">
        <f>C19+D19</f>
        <v>2.0</v>
      </c>
      <c r="F19" s="6">
        <v>5</v>
      </c>
      <c r="G19" s="6">
        <v>800</v>
      </c>
      <c r="H19" s="7">
        <f>IFERROR(E19/G19,0)</f>
        <v>0.0025</v>
      </c>
      <c r="I19" s="5" t="s">
        <v>27</v>
      </c>
    </row>
    <row r="20" spans="1:9" ht="28" customHeight="1">
      <c r="A20" s="5" t="s">
        <v>21</v>
      </c>
      <c r="B20" s="5" t="s">
        <v>130</v>
      </c>
      <c r="C20" s="6">
        <v>0</v>
      </c>
      <c r="D20" s="6">
        <v>0</v>
      </c>
      <c r="E20" s="6">
        <f>C20+D20</f>
        <v>0.0</v>
      </c>
      <c r="F20" s="6">
        <v>7</v>
      </c>
      <c r="G20" s="6">
        <v>1120</v>
      </c>
      <c r="H20" s="7">
        <f>IFERROR(E20/G20,0)</f>
        <v>0.0</v>
      </c>
      <c r="I20" s="5" t="s">
        <v>29</v>
      </c>
    </row>
    <row r="21" spans="1:9" ht="28" customHeight="1">
      <c r="A21" s="5" t="s">
        <v>21</v>
      </c>
      <c r="B21" s="5" t="s">
        <v>24</v>
      </c>
      <c r="C21" s="6">
        <v>11</v>
      </c>
      <c r="D21" s="6">
        <v>0</v>
      </c>
      <c r="E21" s="6">
        <f>C21+D21</f>
        <v>11.0</v>
      </c>
      <c r="F21" s="6">
        <v>2</v>
      </c>
      <c r="G21" s="6">
        <v>320</v>
      </c>
      <c r="H21" s="7">
        <f>IFERROR(E21/G21,0)</f>
        <v>0.034375</v>
      </c>
      <c r="I21" s="5" t="s">
        <v>31</v>
      </c>
    </row>
    <row r="22" spans="1:9" ht="28" customHeight="1">
      <c r="A22" s="5" t="s">
        <v>21</v>
      </c>
      <c r="B22" s="5" t="s">
        <v>22</v>
      </c>
      <c r="C22" s="6">
        <v>30</v>
      </c>
      <c r="D22" s="6">
        <v>0</v>
      </c>
      <c r="E22" s="6">
        <f>C22+D22</f>
        <v>30.0</v>
      </c>
      <c r="F22" s="6">
        <v>9</v>
      </c>
      <c r="G22" s="6">
        <v>1440</v>
      </c>
      <c r="H22" s="7">
        <f>IFERROR(E22/G22,0)</f>
        <v>0.020833333333333332</v>
      </c>
      <c r="I22" s="5" t="s">
        <v>33</v>
      </c>
    </row>
    <row r="23" spans="1:9" ht="28" customHeight="1">
      <c r="A23" s="5" t="s">
        <v>21</v>
      </c>
      <c r="B23" s="5" t="s">
        <v>26</v>
      </c>
      <c r="C23" s="6">
        <v>0</v>
      </c>
      <c r="D23" s="6">
        <v>0</v>
      </c>
      <c r="E23" s="6">
        <f>C23+D23</f>
        <v>0.0</v>
      </c>
      <c r="F23" s="6">
        <v>8</v>
      </c>
      <c r="G23" s="6">
        <v>1280</v>
      </c>
      <c r="H23" s="7">
        <f>IFERROR(E23/G23,0)</f>
        <v>0.0</v>
      </c>
      <c r="I23" s="5" t="s">
        <v>35</v>
      </c>
    </row>
    <row r="24" spans="1:9" ht="28" customHeight="1">
      <c r="A24" s="5" t="s">
        <v>21</v>
      </c>
      <c r="B24" s="5" t="s">
        <v>131</v>
      </c>
      <c r="C24" s="6">
        <v>23</v>
      </c>
      <c r="D24" s="6">
        <v>0</v>
      </c>
      <c r="E24" s="6">
        <f>C24+D24</f>
        <v>23.0</v>
      </c>
      <c r="F24" s="6">
        <v>14</v>
      </c>
      <c r="G24" s="6">
        <v>2240</v>
      </c>
      <c r="H24" s="7">
        <f>IFERROR(E24/G24,0)</f>
        <v>0.010267857142857143</v>
      </c>
      <c r="I24" s="5" t="s">
        <v>37</v>
      </c>
    </row>
    <row r="25" spans="1:9" ht="28" customHeight="1">
      <c r="A25" s="5" t="s">
        <v>21</v>
      </c>
      <c r="B25" s="5" t="s">
        <v>30</v>
      </c>
      <c r="C25" s="6">
        <v>288</v>
      </c>
      <c r="D25" s="6">
        <v>0</v>
      </c>
      <c r="E25" s="6">
        <f>C25+D25</f>
        <v>288.0</v>
      </c>
      <c r="F25" s="6">
        <v>29</v>
      </c>
      <c r="G25" s="6">
        <v>4640</v>
      </c>
      <c r="H25" s="7">
        <f>IFERROR(E25/G25,0)</f>
        <v>0.06206896551724138</v>
      </c>
      <c r="I25" s="5" t="s">
        <v>39</v>
      </c>
    </row>
    <row r="26" spans="1:9" ht="28" customHeight="1">
      <c r="A26" s="5" t="s">
        <v>21</v>
      </c>
      <c r="B26" s="5" t="s">
        <v>32</v>
      </c>
      <c r="C26" s="6">
        <v>398</v>
      </c>
      <c r="D26" s="6">
        <v>219</v>
      </c>
      <c r="E26" s="6">
        <f>C26+D26</f>
        <v>617.0</v>
      </c>
      <c r="F26" s="6">
        <v>65</v>
      </c>
      <c r="G26" s="6">
        <v>10400</v>
      </c>
      <c r="H26" s="7">
        <f>IFERROR(E26/G26,0)</f>
        <v>0.059326923076923076</v>
      </c>
      <c r="I26" s="5" t="s">
        <v>41</v>
      </c>
    </row>
    <row r="27" spans="1:9" ht="28" customHeight="1">
      <c r="A27" s="5" t="s">
        <v>21</v>
      </c>
      <c r="B27" s="5" t="s">
        <v>36</v>
      </c>
      <c r="C27" s="6">
        <v>205</v>
      </c>
      <c r="D27" s="6">
        <v>0</v>
      </c>
      <c r="E27" s="6">
        <f>C27+D27</f>
        <v>205.0</v>
      </c>
      <c r="F27" s="6">
        <v>31</v>
      </c>
      <c r="G27" s="6">
        <v>4960</v>
      </c>
      <c r="H27" s="7">
        <f>IFERROR(E27/G27,0)</f>
        <v>0.04133064516129032</v>
      </c>
      <c r="I27" s="5" t="s">
        <v>43</v>
      </c>
    </row>
    <row r="28" spans="1:9" ht="28" customHeight="1">
      <c r="A28" s="5" t="s">
        <v>21</v>
      </c>
      <c r="B28" s="5" t="s">
        <v>38</v>
      </c>
      <c r="C28" s="6">
        <v>0</v>
      </c>
      <c r="D28" s="6">
        <v>0</v>
      </c>
      <c r="E28" s="6">
        <f>C28+D28</f>
        <v>0.0</v>
      </c>
      <c r="F28" s="6">
        <v>1</v>
      </c>
      <c r="G28" s="6">
        <v>160</v>
      </c>
      <c r="H28" s="7">
        <f>IFERROR(E28/G28,0)</f>
        <v>0.0</v>
      </c>
      <c r="I28" s="5" t="s">
        <v>45</v>
      </c>
    </row>
    <row r="29" spans="1:9" ht="28" customHeight="1">
      <c r="A29" s="5" t="s">
        <v>21</v>
      </c>
      <c r="B29" s="5" t="s">
        <v>40</v>
      </c>
      <c r="C29" s="6">
        <v>25</v>
      </c>
      <c r="D29" s="6">
        <v>0</v>
      </c>
      <c r="E29" s="6">
        <f>C29+D29</f>
        <v>25.0</v>
      </c>
      <c r="F29" s="6">
        <v>6</v>
      </c>
      <c r="G29" s="6">
        <v>960</v>
      </c>
      <c r="H29" s="7">
        <f>IFERROR(E29/G29,0)</f>
        <v>0.026041666666666668</v>
      </c>
      <c r="I29" s="5" t="s">
        <v>47</v>
      </c>
    </row>
    <row r="30" spans="1:9" ht="28" customHeight="1">
      <c r="A30" s="5" t="s">
        <v>21</v>
      </c>
      <c r="B30" s="5" t="s">
        <v>42</v>
      </c>
      <c r="C30" s="6">
        <v>79</v>
      </c>
      <c r="D30" s="6">
        <v>0</v>
      </c>
      <c r="E30" s="6">
        <f>C30+D30</f>
        <v>79.0</v>
      </c>
      <c r="F30" s="6">
        <v>22</v>
      </c>
      <c r="G30" s="6">
        <v>3520</v>
      </c>
      <c r="H30" s="7">
        <f>IFERROR(E30/G30,0)</f>
        <v>0.022443181818181817</v>
      </c>
      <c r="I30" s="5" t="s">
        <v>49</v>
      </c>
    </row>
    <row r="31" spans="1:9" ht="28" customHeight="1">
      <c r="A31" s="5" t="s">
        <v>21</v>
      </c>
      <c r="B31" s="5" t="s">
        <v>34</v>
      </c>
      <c r="C31" s="6">
        <v>8</v>
      </c>
      <c r="D31" s="6">
        <v>0</v>
      </c>
      <c r="E31" s="6">
        <f>C31+D31</f>
        <v>8.0</v>
      </c>
      <c r="F31" s="6">
        <v>10</v>
      </c>
      <c r="G31" s="6">
        <v>1600</v>
      </c>
      <c r="H31" s="7">
        <f>IFERROR(E31/G31,0)</f>
        <v>0.005</v>
      </c>
      <c r="I31" s="5" t="s">
        <v>51</v>
      </c>
    </row>
    <row r="32" spans="1:9" ht="28" customHeight="1">
      <c r="A32" s="5" t="s">
        <v>21</v>
      </c>
      <c r="B32" s="5" t="s">
        <v>50</v>
      </c>
      <c r="C32" s="6">
        <v>381</v>
      </c>
      <c r="D32" s="6">
        <v>320</v>
      </c>
      <c r="E32" s="6">
        <f>C32+D32</f>
        <v>701.0</v>
      </c>
      <c r="F32" s="6">
        <v>57</v>
      </c>
      <c r="G32" s="6">
        <v>9120</v>
      </c>
      <c r="H32" s="7">
        <f>IFERROR(E32/G32,0)</f>
        <v>0.0768640350877193</v>
      </c>
      <c r="I32" s="5" t="s">
        <v>53</v>
      </c>
    </row>
    <row r="33" spans="1:9" ht="28" customHeight="1">
      <c r="A33" s="5" t="s">
        <v>21</v>
      </c>
      <c r="B33" s="5" t="s">
        <v>56</v>
      </c>
      <c r="C33" s="6">
        <v>160</v>
      </c>
      <c r="D33" s="6">
        <v>96</v>
      </c>
      <c r="E33" s="6">
        <f>C33+D33</f>
        <v>256.0</v>
      </c>
      <c r="F33" s="6">
        <v>19</v>
      </c>
      <c r="G33" s="6">
        <v>3040</v>
      </c>
      <c r="H33" s="7">
        <f>IFERROR(E33/G33,0)</f>
        <v>0.08421052631578947</v>
      </c>
      <c r="I33" s="5" t="s">
        <v>55</v>
      </c>
    </row>
    <row r="34" spans="1:9" ht="28" customHeight="1">
      <c r="A34" s="5" t="s">
        <v>21</v>
      </c>
      <c r="B34" s="5" t="s">
        <v>60</v>
      </c>
      <c r="C34" s="6">
        <v>0</v>
      </c>
      <c r="D34" s="6">
        <v>0</v>
      </c>
      <c r="E34" s="6">
        <f>C34+D34</f>
        <v>0.0</v>
      </c>
      <c r="F34" s="6">
        <v>1</v>
      </c>
      <c r="G34" s="6">
        <v>160</v>
      </c>
      <c r="H34" s="7">
        <f>IFERROR(E34/G34,0)</f>
        <v>0.0</v>
      </c>
      <c r="I34" s="5" t="s">
        <v>57</v>
      </c>
    </row>
    <row r="35" spans="1:9" ht="28" customHeight="1">
      <c r="A35" s="5" t="s">
        <v>21</v>
      </c>
      <c r="B35" s="5" t="s">
        <v>58</v>
      </c>
      <c r="C35" s="6">
        <v>7</v>
      </c>
      <c r="D35" s="6">
        <v>0</v>
      </c>
      <c r="E35" s="6">
        <f>C35+D35</f>
        <v>7.0</v>
      </c>
      <c r="F35" s="6">
        <v>2</v>
      </c>
      <c r="G35" s="6">
        <v>320</v>
      </c>
      <c r="H35" s="7">
        <f>IFERROR(E35/G35,0)</f>
        <v>0.021875</v>
      </c>
      <c r="I35" s="5" t="s">
        <v>59</v>
      </c>
    </row>
    <row r="36" spans="1:9" ht="28" customHeight="1">
      <c r="A36" s="5" t="s">
        <v>21</v>
      </c>
      <c r="B36" s="5" t="s">
        <v>62</v>
      </c>
      <c r="C36" s="6">
        <v>0</v>
      </c>
      <c r="D36" s="6">
        <v>0</v>
      </c>
      <c r="E36" s="6">
        <f>C36+D36</f>
        <v>0.0</v>
      </c>
      <c r="F36" s="6">
        <v>1</v>
      </c>
      <c r="G36" s="6">
        <v>160</v>
      </c>
      <c r="H36" s="7">
        <f>IFERROR(E36/G36,0)</f>
        <v>0.0</v>
      </c>
      <c r="I36" s="5" t="s">
        <v>61</v>
      </c>
    </row>
    <row r="37" spans="1:9" ht="28" customHeight="1">
      <c r="A37" s="5" t="s">
        <v>21</v>
      </c>
      <c r="B37" s="5" t="s">
        <v>46</v>
      </c>
      <c r="C37" s="6">
        <v>0</v>
      </c>
      <c r="D37" s="6">
        <v>0</v>
      </c>
      <c r="E37" s="6">
        <f>C37+D37</f>
        <v>0.0</v>
      </c>
      <c r="F37" s="6">
        <v>1</v>
      </c>
      <c r="G37" s="6">
        <v>160</v>
      </c>
      <c r="H37" s="7">
        <f>IFERROR(E37/G37,0)</f>
        <v>0.0</v>
      </c>
      <c r="I37" s="5" t="s">
        <v>63</v>
      </c>
    </row>
    <row r="38" spans="1:9" ht="28" customHeight="1">
      <c r="A38" s="5" t="s">
        <v>21</v>
      </c>
      <c r="B38" s="5" t="s">
        <v>70</v>
      </c>
      <c r="C38" s="6">
        <v>0</v>
      </c>
      <c r="D38" s="6">
        <v>0</v>
      </c>
      <c r="E38" s="6">
        <f>C38+D38</f>
        <v>0.0</v>
      </c>
      <c r="F38" s="6">
        <v>1</v>
      </c>
      <c r="G38" s="6">
        <v>160</v>
      </c>
      <c r="H38" s="7">
        <f>IFERROR(E38/G38,0)</f>
        <v>0.0</v>
      </c>
      <c r="I38" s="5" t="s">
        <v>65</v>
      </c>
    </row>
    <row r="39" spans="1:9" ht="28" customHeight="1">
      <c r="A39" s="5" t="s">
        <v>21</v>
      </c>
      <c r="B39" s="5" t="s">
        <v>72</v>
      </c>
      <c r="C39" s="6">
        <v>7</v>
      </c>
      <c r="D39" s="6">
        <v>0</v>
      </c>
      <c r="E39" s="6">
        <f>C39+D39</f>
        <v>7.0</v>
      </c>
      <c r="F39" s="6">
        <v>1</v>
      </c>
      <c r="G39" s="6">
        <v>160</v>
      </c>
      <c r="H39" s="7">
        <f>IFERROR(E39/G39,0)</f>
        <v>0.04375</v>
      </c>
      <c r="I39" s="5" t="s">
        <v>67</v>
      </c>
    </row>
    <row r="40" spans="1:9" ht="28" customHeight="1">
      <c r="A40" s="5" t="s">
        <v>21</v>
      </c>
      <c r="B40" s="5" t="s">
        <v>132</v>
      </c>
      <c r="C40" s="6">
        <v>13</v>
      </c>
      <c r="D40" s="6">
        <v>0</v>
      </c>
      <c r="E40" s="6">
        <f>C40+D40</f>
        <v>13.0</v>
      </c>
      <c r="F40" s="6">
        <v>10</v>
      </c>
      <c r="G40" s="6">
        <v>1600</v>
      </c>
      <c r="H40" s="7">
        <f>IFERROR(E40/G40,0)</f>
        <v>0.008125</v>
      </c>
      <c r="I40" s="5" t="s">
        <v>69</v>
      </c>
    </row>
    <row r="41" spans="1:9" ht="28" customHeight="1">
      <c r="A41" s="5" t="s">
        <v>21</v>
      </c>
      <c r="B41" s="5" t="s">
        <v>74</v>
      </c>
      <c r="C41" s="6">
        <v>11</v>
      </c>
      <c r="D41" s="6">
        <v>0</v>
      </c>
      <c r="E41" s="6">
        <f>C41+D41</f>
        <v>11.0</v>
      </c>
      <c r="F41" s="6">
        <v>7</v>
      </c>
      <c r="G41" s="6">
        <v>1120</v>
      </c>
      <c r="H41" s="7">
        <f>IFERROR(E41/G41,0)</f>
        <v>0.009821428571428571</v>
      </c>
      <c r="I41" s="5" t="s">
        <v>71</v>
      </c>
    </row>
    <row r="42" spans="1:9" ht="28" customHeight="1">
      <c r="A42" s="5" t="s">
        <v>21</v>
      </c>
      <c r="B42" s="5" t="s">
        <v>76</v>
      </c>
      <c r="C42" s="6">
        <v>0</v>
      </c>
      <c r="D42" s="6">
        <v>0</v>
      </c>
      <c r="E42" s="6">
        <f>C42+D42</f>
        <v>0.0</v>
      </c>
      <c r="F42" s="6">
        <v>2</v>
      </c>
      <c r="G42" s="6">
        <v>320</v>
      </c>
      <c r="H42" s="7">
        <f>IFERROR(E42/G42,0)</f>
        <v>0.0</v>
      </c>
      <c r="I42" s="5" t="s">
        <v>73</v>
      </c>
    </row>
    <row r="43" spans="1:9" ht="28" customHeight="1">
      <c r="A43" s="5" t="s">
        <v>21</v>
      </c>
      <c r="B43" s="5" t="s">
        <v>78</v>
      </c>
      <c r="C43" s="6">
        <v>0</v>
      </c>
      <c r="D43" s="6">
        <v>0</v>
      </c>
      <c r="E43" s="6">
        <f>C43+D43</f>
        <v>0.0</v>
      </c>
      <c r="F43" s="6">
        <v>8</v>
      </c>
      <c r="G43" s="6">
        <v>1280</v>
      </c>
      <c r="H43" s="7">
        <f>IFERROR(E43/G43,0)</f>
        <v>0.0</v>
      </c>
      <c r="I43" s="5" t="s">
        <v>75</v>
      </c>
    </row>
    <row r="44" spans="1:9" ht="28" customHeight="1">
      <c r="A44" s="5" t="s">
        <v>21</v>
      </c>
      <c r="B44" s="5" t="s">
        <v>133</v>
      </c>
      <c r="C44" s="6">
        <v>53</v>
      </c>
      <c r="D44" s="6">
        <v>245</v>
      </c>
      <c r="E44" s="6">
        <f>C44+D44</f>
        <v>298.0</v>
      </c>
      <c r="F44" s="6">
        <v>21</v>
      </c>
      <c r="G44" s="6">
        <v>3360</v>
      </c>
      <c r="H44" s="7">
        <f>IFERROR(E44/G44,0)</f>
        <v>0.0886904761904762</v>
      </c>
      <c r="I44" s="5" t="s">
        <v>77</v>
      </c>
    </row>
    <row r="45" spans="1:9" ht="28" customHeight="1">
      <c r="A45" s="5" t="s">
        <v>21</v>
      </c>
      <c r="B45" s="5" t="s">
        <v>80</v>
      </c>
      <c r="C45" s="6">
        <v>159</v>
      </c>
      <c r="D45" s="6">
        <v>0</v>
      </c>
      <c r="E45" s="6">
        <f>C45+D45</f>
        <v>159.0</v>
      </c>
      <c r="F45" s="6">
        <v>20</v>
      </c>
      <c r="G45" s="6">
        <v>3200</v>
      </c>
      <c r="H45" s="7">
        <f>IFERROR(E45/G45,0)</f>
        <v>0.0496875</v>
      </c>
      <c r="I45" s="5" t="s">
        <v>79</v>
      </c>
    </row>
    <row r="46" spans="1:9" ht="28" customHeight="1">
      <c r="A46" s="5" t="s">
        <v>21</v>
      </c>
      <c r="B46" s="5" t="s">
        <v>82</v>
      </c>
      <c r="C46" s="6">
        <v>20</v>
      </c>
      <c r="D46" s="6">
        <v>0</v>
      </c>
      <c r="E46" s="6">
        <f>C46+D46</f>
        <v>20.0</v>
      </c>
      <c r="F46" s="6">
        <v>1</v>
      </c>
      <c r="G46" s="6">
        <v>160</v>
      </c>
      <c r="H46" s="7">
        <f>IFERROR(E46/G46,0)</f>
        <v>0.125</v>
      </c>
      <c r="I46" s="5" t="s">
        <v>81</v>
      </c>
    </row>
    <row r="47" spans="1:9" ht="28" customHeight="1">
      <c r="A47" s="5" t="s">
        <v>21</v>
      </c>
      <c r="B47" s="5" t="s">
        <v>134</v>
      </c>
      <c r="C47" s="6">
        <v>9</v>
      </c>
      <c r="D47" s="6">
        <v>0</v>
      </c>
      <c r="E47" s="6">
        <f>C47+D47</f>
        <v>9.0</v>
      </c>
      <c r="F47" s="6">
        <v>3</v>
      </c>
      <c r="G47" s="6">
        <v>480</v>
      </c>
      <c r="H47" s="7">
        <f>IFERROR(E47/G47,0)</f>
        <v>0.01875</v>
      </c>
      <c r="I47" s="5" t="s">
        <v>83</v>
      </c>
    </row>
    <row r="48" spans="1:9" ht="28" customHeight="1">
      <c r="A48" s="5" t="s">
        <v>21</v>
      </c>
      <c r="B48" s="5" t="s">
        <v>84</v>
      </c>
      <c r="C48" s="6">
        <v>116</v>
      </c>
      <c r="D48" s="6">
        <v>0</v>
      </c>
      <c r="E48" s="6">
        <f>C48+D48</f>
        <v>116.0</v>
      </c>
      <c r="F48" s="6">
        <v>7</v>
      </c>
      <c r="G48" s="6">
        <v>1120</v>
      </c>
      <c r="H48" s="7">
        <f>IFERROR(E48/G48,0)</f>
        <v>0.10357142857142858</v>
      </c>
      <c r="I48" s="5" t="s">
        <v>85</v>
      </c>
    </row>
    <row r="49" spans="1:9" ht="28" customHeight="1">
      <c r="A49" s="5" t="s">
        <v>21</v>
      </c>
      <c r="B49" s="5" t="s">
        <v>86</v>
      </c>
      <c r="C49" s="6">
        <v>0</v>
      </c>
      <c r="D49" s="6">
        <v>0</v>
      </c>
      <c r="E49" s="6">
        <f>C49+D49</f>
        <v>0.0</v>
      </c>
      <c r="F49" s="6">
        <v>3</v>
      </c>
      <c r="G49" s="6">
        <v>480</v>
      </c>
      <c r="H49" s="7">
        <f>IFERROR(E49/G49,0)</f>
        <v>0.0</v>
      </c>
      <c r="I49" s="5" t="s">
        <v>87</v>
      </c>
    </row>
    <row r="50" spans="1:9" ht="28" customHeight="1">
      <c r="A50" s="5" t="s">
        <v>88</v>
      </c>
      <c r="B50" s="5" t="s">
        <v>30</v>
      </c>
      <c r="C50" s="6">
        <v>0</v>
      </c>
      <c r="D50" s="6">
        <v>0</v>
      </c>
      <c r="E50" s="6">
        <f>C50+D50</f>
        <v>0.0</v>
      </c>
      <c r="F50" s="6">
        <v>1</v>
      </c>
      <c r="G50" s="6">
        <v>160</v>
      </c>
      <c r="H50" s="7">
        <f>IFERROR(E50/G50,0)</f>
        <v>0.0</v>
      </c>
      <c r="I50" s="5" t="s">
        <v>90</v>
      </c>
    </row>
    <row r="51" spans="1:9" ht="28" customHeight="1">
      <c r="A51" s="5" t="s">
        <v>88</v>
      </c>
      <c r="B51" s="5" t="s">
        <v>32</v>
      </c>
      <c r="C51" s="6">
        <v>0</v>
      </c>
      <c r="D51" s="6">
        <v>0</v>
      </c>
      <c r="E51" s="6">
        <f>C51+D51</f>
        <v>0.0</v>
      </c>
      <c r="F51" s="6">
        <v>1</v>
      </c>
      <c r="G51" s="6">
        <v>160</v>
      </c>
      <c r="H51" s="7">
        <f>IFERROR(E51/G51,0)</f>
        <v>0.0</v>
      </c>
      <c r="I51" s="5" t="s">
        <v>91</v>
      </c>
    </row>
    <row r="52" spans="1:9" ht="28" customHeight="1">
      <c r="A52" s="5" t="s">
        <v>88</v>
      </c>
      <c r="B52" s="5" t="s">
        <v>36</v>
      </c>
      <c r="C52" s="6">
        <v>0</v>
      </c>
      <c r="D52" s="6">
        <v>0</v>
      </c>
      <c r="E52" s="6">
        <f>C52+D52</f>
        <v>0.0</v>
      </c>
      <c r="F52" s="6">
        <v>1</v>
      </c>
      <c r="G52" s="6">
        <v>160</v>
      </c>
      <c r="H52" s="7">
        <f>IFERROR(E52/G52,0)</f>
        <v>0.0</v>
      </c>
      <c r="I52" s="5" t="s">
        <v>92</v>
      </c>
    </row>
    <row r="53" spans="1:9" ht="28" customHeight="1">
      <c r="A53" s="5" t="s">
        <v>88</v>
      </c>
      <c r="B53" s="5" t="s">
        <v>38</v>
      </c>
      <c r="C53" s="6">
        <v>0</v>
      </c>
      <c r="D53" s="6">
        <v>0</v>
      </c>
      <c r="E53" s="6">
        <f>C53+D53</f>
        <v>0.0</v>
      </c>
      <c r="F53" s="6">
        <v>1</v>
      </c>
      <c r="G53" s="6">
        <v>160</v>
      </c>
      <c r="H53" s="7">
        <f>IFERROR(E53/G53,0)</f>
        <v>0.0</v>
      </c>
      <c r="I53" s="5" t="s">
        <v>93</v>
      </c>
    </row>
    <row r="54" spans="1:9" ht="28" customHeight="1">
      <c r="A54" s="5" t="s">
        <v>88</v>
      </c>
      <c r="B54" s="5" t="s">
        <v>95</v>
      </c>
      <c r="C54" s="6">
        <v>0</v>
      </c>
      <c r="D54" s="6">
        <v>0</v>
      </c>
      <c r="E54" s="6">
        <f>C54+D54</f>
        <v>0.0</v>
      </c>
      <c r="F54" s="6">
        <v>3</v>
      </c>
      <c r="G54" s="6">
        <v>480</v>
      </c>
      <c r="H54" s="7">
        <f>IFERROR(E54/G54,0)</f>
        <v>0.0</v>
      </c>
      <c r="I54" s="5" t="s">
        <v>94</v>
      </c>
    </row>
    <row r="55" spans="1:9" ht="28" customHeight="1">
      <c r="A55" s="5" t="s">
        <v>88</v>
      </c>
      <c r="B55" s="5" t="s">
        <v>44</v>
      </c>
      <c r="C55" s="6">
        <v>4</v>
      </c>
      <c r="D55" s="6">
        <v>0</v>
      </c>
      <c r="E55" s="6">
        <f>C55+D55</f>
        <v>4.0</v>
      </c>
      <c r="F55" s="6">
        <v>1</v>
      </c>
      <c r="G55" s="6">
        <v>160</v>
      </c>
      <c r="H55" s="7">
        <f>IFERROR(E55/G55,0)</f>
        <v>0.025</v>
      </c>
      <c r="I55" s="5" t="s">
        <v>96</v>
      </c>
    </row>
    <row r="56" spans="1:9" ht="28" customHeight="1">
      <c r="A56" s="5" t="s">
        <v>88</v>
      </c>
      <c r="B56" s="5" t="s">
        <v>48</v>
      </c>
      <c r="C56" s="6">
        <v>0</v>
      </c>
      <c r="D56" s="6">
        <v>0</v>
      </c>
      <c r="E56" s="6">
        <f>C56+D56</f>
        <v>0.0</v>
      </c>
      <c r="F56" s="6">
        <v>1</v>
      </c>
      <c r="G56" s="6">
        <v>160</v>
      </c>
      <c r="H56" s="7">
        <f>IFERROR(E56/G56,0)</f>
        <v>0.0</v>
      </c>
      <c r="I56" s="5" t="s">
        <v>97</v>
      </c>
    </row>
    <row r="57" spans="1:9" ht="28" customHeight="1">
      <c r="A57" s="5" t="s">
        <v>88</v>
      </c>
      <c r="B57" s="5" t="s">
        <v>99</v>
      </c>
      <c r="C57" s="6">
        <v>0</v>
      </c>
      <c r="D57" s="6">
        <v>0</v>
      </c>
      <c r="E57" s="6">
        <f>C57+D57</f>
        <v>0.0</v>
      </c>
      <c r="F57" s="6">
        <v>1</v>
      </c>
      <c r="G57" s="6">
        <v>160</v>
      </c>
      <c r="H57" s="7">
        <f>IFERROR(E57/G57,0)</f>
        <v>0.0</v>
      </c>
      <c r="I57" s="5" t="s">
        <v>98</v>
      </c>
    </row>
    <row r="58" spans="1:9" ht="28" customHeight="1">
      <c r="A58" s="5" t="s">
        <v>88</v>
      </c>
      <c r="B58" s="5" t="s">
        <v>54</v>
      </c>
      <c r="C58" s="6">
        <v>0</v>
      </c>
      <c r="D58" s="6">
        <v>0</v>
      </c>
      <c r="E58" s="6">
        <f>C58+D58</f>
        <v>0.0</v>
      </c>
      <c r="F58" s="6">
        <v>1</v>
      </c>
      <c r="G58" s="6">
        <v>160</v>
      </c>
      <c r="H58" s="7">
        <f>IFERROR(E58/G58,0)</f>
        <v>0.0</v>
      </c>
      <c r="I58" s="5" t="s">
        <v>100</v>
      </c>
    </row>
    <row r="59" spans="1:9" ht="28" customHeight="1">
      <c r="A59" s="5" t="s">
        <v>88</v>
      </c>
      <c r="B59" s="5" t="s">
        <v>56</v>
      </c>
      <c r="C59" s="6">
        <v>0</v>
      </c>
      <c r="D59" s="6">
        <v>0</v>
      </c>
      <c r="E59" s="6">
        <f>C59+D59</f>
        <v>0.0</v>
      </c>
      <c r="F59" s="6">
        <v>1</v>
      </c>
      <c r="G59" s="6">
        <v>160</v>
      </c>
      <c r="H59" s="7">
        <f>IFERROR(E59/G59,0)</f>
        <v>0.0</v>
      </c>
      <c r="I59" s="5" t="s">
        <v>101</v>
      </c>
    </row>
    <row r="60" spans="1:9" ht="28" customHeight="1">
      <c r="A60" s="5" t="s">
        <v>88</v>
      </c>
      <c r="B60" s="5" t="s">
        <v>58</v>
      </c>
      <c r="C60" s="6">
        <v>0</v>
      </c>
      <c r="D60" s="6">
        <v>0</v>
      </c>
      <c r="E60" s="6">
        <f>C60+D60</f>
        <v>0.0</v>
      </c>
      <c r="F60" s="6">
        <v>4</v>
      </c>
      <c r="G60" s="6">
        <v>640</v>
      </c>
      <c r="H60" s="7">
        <f>IFERROR(E60/G60,0)</f>
        <v>0.0</v>
      </c>
      <c r="I60" s="5" t="s">
        <v>102</v>
      </c>
    </row>
    <row r="61" spans="1:9" ht="28" customHeight="1">
      <c r="A61" s="5" t="s">
        <v>88</v>
      </c>
      <c r="B61" s="5" t="s">
        <v>104</v>
      </c>
      <c r="C61" s="6">
        <v>0</v>
      </c>
      <c r="D61" s="6">
        <v>0</v>
      </c>
      <c r="E61" s="6">
        <f>C61+D61</f>
        <v>0.0</v>
      </c>
      <c r="F61" s="6">
        <v>1</v>
      </c>
      <c r="G61" s="6">
        <v>160</v>
      </c>
      <c r="H61" s="7">
        <f>IFERROR(E61/G61,0)</f>
        <v>0.0</v>
      </c>
      <c r="I61" s="5" t="s">
        <v>103</v>
      </c>
    </row>
    <row r="62" spans="1:9" ht="28" customHeight="1">
      <c r="A62" s="5" t="s">
        <v>88</v>
      </c>
      <c r="B62" s="5" t="s">
        <v>62</v>
      </c>
      <c r="C62" s="6">
        <v>0</v>
      </c>
      <c r="D62" s="6">
        <v>0</v>
      </c>
      <c r="E62" s="6">
        <f>C62+D62</f>
        <v>0.0</v>
      </c>
      <c r="F62" s="6">
        <v>1</v>
      </c>
      <c r="G62" s="6">
        <v>160</v>
      </c>
      <c r="H62" s="7">
        <f>IFERROR(E62/G62,0)</f>
        <v>0.0</v>
      </c>
      <c r="I62" s="5" t="s">
        <v>105</v>
      </c>
    </row>
    <row r="63" spans="1:9" ht="28" customHeight="1">
      <c r="A63" s="5" t="s">
        <v>88</v>
      </c>
      <c r="B63" s="5" t="s">
        <v>107</v>
      </c>
      <c r="C63" s="6">
        <v>0</v>
      </c>
      <c r="D63" s="6">
        <v>0</v>
      </c>
      <c r="E63" s="6">
        <f>C63+D63</f>
        <v>0.0</v>
      </c>
      <c r="F63" s="6">
        <v>2</v>
      </c>
      <c r="G63" s="6">
        <v>320</v>
      </c>
      <c r="H63" s="7">
        <f>IFERROR(E63/G63,0)</f>
        <v>0.0</v>
      </c>
      <c r="I63" s="5" t="s">
        <v>106</v>
      </c>
    </row>
    <row r="64" spans="1:9" ht="28" customHeight="1">
      <c r="A64" s="5" t="s">
        <v>88</v>
      </c>
      <c r="B64" s="5" t="s">
        <v>64</v>
      </c>
      <c r="C64" s="6">
        <v>4</v>
      </c>
      <c r="D64" s="6">
        <v>0</v>
      </c>
      <c r="E64" s="6">
        <f>C64+D64</f>
        <v>4.0</v>
      </c>
      <c r="F64" s="6">
        <v>3</v>
      </c>
      <c r="G64" s="6">
        <v>480</v>
      </c>
      <c r="H64" s="7">
        <f>IFERROR(E64/G64,0)</f>
        <v>0.008333333333333333</v>
      </c>
      <c r="I64" s="5" t="s">
        <v>108</v>
      </c>
    </row>
    <row r="65" spans="1:9" ht="28" customHeight="1">
      <c r="A65" s="5" t="s">
        <v>88</v>
      </c>
      <c r="B65" s="5" t="s">
        <v>66</v>
      </c>
      <c r="C65" s="6">
        <v>0</v>
      </c>
      <c r="D65" s="6">
        <v>0</v>
      </c>
      <c r="E65" s="6">
        <f>C65+D65</f>
        <v>0.0</v>
      </c>
      <c r="F65" s="6">
        <v>2</v>
      </c>
      <c r="G65" s="6">
        <v>320</v>
      </c>
      <c r="H65" s="7">
        <f>IFERROR(E65/G65,0)</f>
        <v>0.0</v>
      </c>
      <c r="I65" s="5" t="s">
        <v>109</v>
      </c>
    </row>
    <row r="66" spans="1:9" ht="28" customHeight="1">
      <c r="A66" s="5" t="s">
        <v>88</v>
      </c>
      <c r="B66" s="5" t="s">
        <v>68</v>
      </c>
      <c r="C66" s="6">
        <v>21</v>
      </c>
      <c r="D66" s="6">
        <v>0</v>
      </c>
      <c r="E66" s="6">
        <f>C66+D66</f>
        <v>21.0</v>
      </c>
      <c r="F66" s="6">
        <v>2</v>
      </c>
      <c r="G66" s="6">
        <v>320</v>
      </c>
      <c r="H66" s="7">
        <f>IFERROR(E66/G66,0)</f>
        <v>0.065625</v>
      </c>
      <c r="I66" s="5" t="s">
        <v>110</v>
      </c>
    </row>
    <row r="67" spans="1:9" ht="28" customHeight="1">
      <c r="A67" s="5" t="s">
        <v>88</v>
      </c>
      <c r="B67" s="5" t="s">
        <v>70</v>
      </c>
      <c r="C67" s="6">
        <v>0</v>
      </c>
      <c r="D67" s="6">
        <v>0</v>
      </c>
      <c r="E67" s="6">
        <f>C67+D67</f>
        <v>0.0</v>
      </c>
      <c r="F67" s="6">
        <v>2</v>
      </c>
      <c r="G67" s="6">
        <v>320</v>
      </c>
      <c r="H67" s="7">
        <f>IFERROR(E67/G67,0)</f>
        <v>0.0</v>
      </c>
      <c r="I67" s="5" t="s">
        <v>111</v>
      </c>
    </row>
    <row r="68" spans="1:9" ht="28" customHeight="1">
      <c r="A68" s="5" t="s">
        <v>88</v>
      </c>
      <c r="B68" s="5" t="s">
        <v>72</v>
      </c>
      <c r="C68" s="6">
        <v>5</v>
      </c>
      <c r="D68" s="6">
        <v>0</v>
      </c>
      <c r="E68" s="6">
        <f>C68+D68</f>
        <v>5.0</v>
      </c>
      <c r="F68" s="6">
        <v>3</v>
      </c>
      <c r="G68" s="6">
        <v>480</v>
      </c>
      <c r="H68" s="7">
        <f>IFERROR(E68/G68,0)</f>
        <v>0.010416666666666666</v>
      </c>
      <c r="I68" s="5" t="s">
        <v>112</v>
      </c>
    </row>
    <row r="69" spans="1:9" ht="28" customHeight="1">
      <c r="A69" s="5" t="s">
        <v>88</v>
      </c>
      <c r="B69" s="5" t="s">
        <v>76</v>
      </c>
      <c r="C69" s="6">
        <v>0</v>
      </c>
      <c r="D69" s="6">
        <v>0</v>
      </c>
      <c r="E69" s="6">
        <f>C69+D69</f>
        <v>0.0</v>
      </c>
      <c r="F69" s="6">
        <v>4</v>
      </c>
      <c r="G69" s="6">
        <v>640</v>
      </c>
      <c r="H69" s="7">
        <f>IFERROR(E69/G69,0)</f>
        <v>0.0</v>
      </c>
      <c r="I69" s="5" t="s">
        <v>113</v>
      </c>
    </row>
    <row r="70" spans="1:9" ht="28" customHeight="1">
      <c r="A70" s="5" t="s">
        <v>88</v>
      </c>
      <c r="B70" s="5" t="s">
        <v>78</v>
      </c>
      <c r="C70" s="6">
        <v>40</v>
      </c>
      <c r="D70" s="6">
        <v>0</v>
      </c>
      <c r="E70" s="6">
        <f>C70+D70</f>
        <v>40.0</v>
      </c>
      <c r="F70" s="6">
        <v>1</v>
      </c>
      <c r="G70" s="6">
        <v>160</v>
      </c>
      <c r="H70" s="7">
        <f>IFERROR(E70/G70,0)</f>
        <v>0.25</v>
      </c>
      <c r="I70" s="5" t="s">
        <v>114</v>
      </c>
    </row>
    <row r="71" spans="1:9" ht="28" customHeight="1">
      <c r="A71" s="5" t="s">
        <v>88</v>
      </c>
      <c r="B71" s="5" t="s">
        <v>80</v>
      </c>
      <c r="C71" s="6">
        <v>16</v>
      </c>
      <c r="D71" s="6">
        <v>0</v>
      </c>
      <c r="E71" s="6">
        <f>C71+D71</f>
        <v>16.0</v>
      </c>
      <c r="F71" s="6">
        <v>1</v>
      </c>
      <c r="G71" s="6">
        <v>160</v>
      </c>
      <c r="H71" s="7">
        <f>IFERROR(E71/G71,0)</f>
        <v>0.1</v>
      </c>
      <c r="I71" s="5" t="s">
        <v>115</v>
      </c>
    </row>
    <row r="72" spans="1:9" ht="28" customHeight="1">
      <c r="A72" s="5" t="s">
        <v>88</v>
      </c>
      <c r="B72" s="5" t="s">
        <v>116</v>
      </c>
      <c r="C72" s="6">
        <v>0</v>
      </c>
      <c r="D72" s="6">
        <v>0</v>
      </c>
      <c r="E72" s="6">
        <f>C72+D72</f>
        <v>0.0</v>
      </c>
      <c r="F72" s="6">
        <v>1</v>
      </c>
      <c r="G72" s="6">
        <v>160</v>
      </c>
      <c r="H72" s="7">
        <f>IFERROR(E72/G72,0)</f>
        <v>0.0</v>
      </c>
      <c r="I72" s="5" t="s">
        <v>117</v>
      </c>
    </row>
    <row r="73" spans="1:9" ht="28" customHeight="1">
      <c r="A73" s="5" t="s">
        <v>88</v>
      </c>
      <c r="B73" s="5" t="s">
        <v>86</v>
      </c>
      <c r="C73" s="6">
        <v>0</v>
      </c>
      <c r="D73" s="6">
        <v>0</v>
      </c>
      <c r="E73" s="6">
        <f>C73+D73</f>
        <v>0.0</v>
      </c>
      <c r="F73" s="6">
        <v>1</v>
      </c>
      <c r="G73" s="6">
        <v>160</v>
      </c>
      <c r="H73" s="7">
        <f>IFERROR(E73/G73,0)</f>
        <v>0.0</v>
      </c>
      <c r="I73" s="5" t="s">
        <v>118</v>
      </c>
    </row>
    <row r="74" spans="1:9" ht="28" customHeight="1">
      <c r="A74" s="5" t="s">
        <v>88</v>
      </c>
      <c r="B74" s="5" t="s">
        <v>119</v>
      </c>
      <c r="C74" s="6">
        <v>0</v>
      </c>
      <c r="D74" s="6">
        <v>0</v>
      </c>
      <c r="E74" s="6">
        <f>C74+D74</f>
        <v>0.0</v>
      </c>
      <c r="F74" s="6">
        <v>1</v>
      </c>
      <c r="G74" s="6">
        <v>160</v>
      </c>
      <c r="H74" s="7">
        <f>IFERROR(E74/G74,0)</f>
        <v>0.0</v>
      </c>
      <c r="I74" s="5" t="s">
        <v>120</v>
      </c>
    </row>
  </sheetData>
  <autoFilter ref="A16:I74"/>
  <mergeCells count="3">
    <mergeCell ref="A1:L2"/>
    <mergeCell ref="A3:L4"/>
    <mergeCell ref="A11:L13"/>
  </mergeCells>
  <hyperlinks>
    <hyperlink ref="A5" location="'Resumen ejecutivo'!A1" display="Volver al resumen"/>
  </hyperlinks>
  <pageMargins left="0.3" right="0.3" top="0.4" bottom="0.4" header="0.3" footer="0.3"/>
  <pageSetup paperSize="9" fitToHeight="0" orientation="landscape"/>
  <headerFooter>
    <oddFooter>&amp;LServicio Médico | 1S2026&amp;R&amp;P de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4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45.7109375" customWidth="1"/>
    <col min="3" max="8" width="15.7109375" customWidth="1"/>
    <col min="9" max="9" width="40.7109375" customWidth="1"/>
    <col min="10" max="12" width="15.7109375" customWidth="1"/>
  </cols>
  <sheetData>
    <row r="1" spans="1:12" ht="24" customHeight="1">
      <c r="A1" s="1" t="s">
        <v>135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136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3" t="s">
        <v>2</v>
      </c>
    </row>
    <row r="6" spans="1:12" ht="50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8" spans="1:12">
      <c r="A8" s="5" t="s">
        <v>137</v>
      </c>
      <c r="B8" s="6">
        <v>66880</v>
      </c>
      <c r="C8" s="6">
        <v>2467</v>
      </c>
      <c r="D8" s="6">
        <v>344</v>
      </c>
      <c r="E8" s="6">
        <f>C8+D8</f>
        <v>2811.0</v>
      </c>
      <c r="F8" s="6">
        <v>4182</v>
      </c>
      <c r="G8" s="6">
        <v>3219</v>
      </c>
      <c r="H8" s="6">
        <f>E8+F8+G8</f>
        <v>10212.0</v>
      </c>
      <c r="I8" s="6">
        <v>2776</v>
      </c>
      <c r="J8" s="6">
        <v>418</v>
      </c>
      <c r="K8" s="7">
        <f>E8/B8</f>
        <v>0.042030502392344495</v>
      </c>
      <c r="L8" s="7">
        <f>H8/B8</f>
        <v>0.1526913875598086</v>
      </c>
    </row>
    <row r="11" spans="1:12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2" customHeight="1">
      <c r="A16" s="4" t="s">
        <v>17</v>
      </c>
      <c r="B16" s="4" t="s">
        <v>18</v>
      </c>
      <c r="C16" s="4" t="s">
        <v>5</v>
      </c>
      <c r="D16" s="4" t="s">
        <v>19</v>
      </c>
      <c r="E16" s="4" t="s">
        <v>7</v>
      </c>
      <c r="F16" s="4" t="s">
        <v>12</v>
      </c>
      <c r="G16" s="4" t="s">
        <v>4</v>
      </c>
      <c r="H16" s="4" t="s">
        <v>13</v>
      </c>
      <c r="I16" s="4" t="s">
        <v>20</v>
      </c>
    </row>
    <row r="17" spans="1:9" ht="28" customHeight="1">
      <c r="A17" s="5" t="s">
        <v>21</v>
      </c>
      <c r="B17" s="5" t="s">
        <v>127</v>
      </c>
      <c r="C17" s="6">
        <v>10</v>
      </c>
      <c r="D17" s="6">
        <v>0</v>
      </c>
      <c r="E17" s="6">
        <f>C17+D17</f>
        <v>10.0</v>
      </c>
      <c r="F17" s="6">
        <v>3</v>
      </c>
      <c r="G17" s="6">
        <v>480</v>
      </c>
      <c r="H17" s="7">
        <f>IFERROR(E17/G17,0)</f>
        <v>0.020833333333333332</v>
      </c>
      <c r="I17" s="5" t="s">
        <v>23</v>
      </c>
    </row>
    <row r="18" spans="1:9" ht="28" customHeight="1">
      <c r="A18" s="5" t="s">
        <v>21</v>
      </c>
      <c r="B18" s="5" t="s">
        <v>128</v>
      </c>
      <c r="C18" s="6">
        <v>0</v>
      </c>
      <c r="D18" s="6">
        <v>0</v>
      </c>
      <c r="E18" s="6">
        <f>C18+D18</f>
        <v>0.0</v>
      </c>
      <c r="F18" s="6">
        <v>1</v>
      </c>
      <c r="G18" s="6">
        <v>160</v>
      </c>
      <c r="H18" s="7">
        <f>IFERROR(E18/G18,0)</f>
        <v>0.0</v>
      </c>
      <c r="I18" s="5" t="s">
        <v>25</v>
      </c>
    </row>
    <row r="19" spans="1:9" ht="28" customHeight="1">
      <c r="A19" s="5" t="s">
        <v>21</v>
      </c>
      <c r="B19" s="5" t="s">
        <v>129</v>
      </c>
      <c r="C19" s="6">
        <v>0</v>
      </c>
      <c r="D19" s="6">
        <v>0</v>
      </c>
      <c r="E19" s="6">
        <f>C19+D19</f>
        <v>0.0</v>
      </c>
      <c r="F19" s="6">
        <v>5</v>
      </c>
      <c r="G19" s="6">
        <v>800</v>
      </c>
      <c r="H19" s="7">
        <f>IFERROR(E19/G19,0)</f>
        <v>0.0</v>
      </c>
      <c r="I19" s="5" t="s">
        <v>27</v>
      </c>
    </row>
    <row r="20" spans="1:9" ht="28" customHeight="1">
      <c r="A20" s="5" t="s">
        <v>21</v>
      </c>
      <c r="B20" s="5" t="s">
        <v>130</v>
      </c>
      <c r="C20" s="6">
        <v>3</v>
      </c>
      <c r="D20" s="6">
        <v>0</v>
      </c>
      <c r="E20" s="6">
        <f>C20+D20</f>
        <v>3.0</v>
      </c>
      <c r="F20" s="6">
        <v>7</v>
      </c>
      <c r="G20" s="6">
        <v>1120</v>
      </c>
      <c r="H20" s="7">
        <f>IFERROR(E20/G20,0)</f>
        <v>0.0026785714285714286</v>
      </c>
      <c r="I20" s="5" t="s">
        <v>29</v>
      </c>
    </row>
    <row r="21" spans="1:9" ht="28" customHeight="1">
      <c r="A21" s="5" t="s">
        <v>21</v>
      </c>
      <c r="B21" s="5" t="s">
        <v>24</v>
      </c>
      <c r="C21" s="6">
        <v>0</v>
      </c>
      <c r="D21" s="6">
        <v>0</v>
      </c>
      <c r="E21" s="6">
        <f>C21+D21</f>
        <v>0.0</v>
      </c>
      <c r="F21" s="6">
        <v>2</v>
      </c>
      <c r="G21" s="6">
        <v>320</v>
      </c>
      <c r="H21" s="7">
        <f>IFERROR(E21/G21,0)</f>
        <v>0.0</v>
      </c>
      <c r="I21" s="5" t="s">
        <v>31</v>
      </c>
    </row>
    <row r="22" spans="1:9" ht="28" customHeight="1">
      <c r="A22" s="5" t="s">
        <v>21</v>
      </c>
      <c r="B22" s="5" t="s">
        <v>22</v>
      </c>
      <c r="C22" s="6">
        <v>136</v>
      </c>
      <c r="D22" s="6">
        <v>0</v>
      </c>
      <c r="E22" s="6">
        <f>C22+D22</f>
        <v>136.0</v>
      </c>
      <c r="F22" s="6">
        <v>9</v>
      </c>
      <c r="G22" s="6">
        <v>1440</v>
      </c>
      <c r="H22" s="7">
        <f>IFERROR(E22/G22,0)</f>
        <v>0.09444444444444444</v>
      </c>
      <c r="I22" s="5" t="s">
        <v>33</v>
      </c>
    </row>
    <row r="23" spans="1:9" ht="28" customHeight="1">
      <c r="A23" s="5" t="s">
        <v>21</v>
      </c>
      <c r="B23" s="5" t="s">
        <v>26</v>
      </c>
      <c r="C23" s="6">
        <v>12</v>
      </c>
      <c r="D23" s="6">
        <v>0</v>
      </c>
      <c r="E23" s="6">
        <f>C23+D23</f>
        <v>12.0</v>
      </c>
      <c r="F23" s="6">
        <v>8</v>
      </c>
      <c r="G23" s="6">
        <v>1280</v>
      </c>
      <c r="H23" s="7">
        <f>IFERROR(E23/G23,0)</f>
        <v>0.009375</v>
      </c>
      <c r="I23" s="5" t="s">
        <v>35</v>
      </c>
    </row>
    <row r="24" spans="1:9" ht="28" customHeight="1">
      <c r="A24" s="5" t="s">
        <v>21</v>
      </c>
      <c r="B24" s="5" t="s">
        <v>131</v>
      </c>
      <c r="C24" s="6">
        <v>8</v>
      </c>
      <c r="D24" s="6">
        <v>0</v>
      </c>
      <c r="E24" s="6">
        <f>C24+D24</f>
        <v>8.0</v>
      </c>
      <c r="F24" s="6">
        <v>14</v>
      </c>
      <c r="G24" s="6">
        <v>2240</v>
      </c>
      <c r="H24" s="7">
        <f>IFERROR(E24/G24,0)</f>
        <v>0.0035714285714285713</v>
      </c>
      <c r="I24" s="5" t="s">
        <v>37</v>
      </c>
    </row>
    <row r="25" spans="1:9" ht="28" customHeight="1">
      <c r="A25" s="5" t="s">
        <v>21</v>
      </c>
      <c r="B25" s="5" t="s">
        <v>30</v>
      </c>
      <c r="C25" s="6">
        <v>199</v>
      </c>
      <c r="D25" s="6">
        <v>0</v>
      </c>
      <c r="E25" s="6">
        <f>C25+D25</f>
        <v>199.0</v>
      </c>
      <c r="F25" s="6">
        <v>29</v>
      </c>
      <c r="G25" s="6">
        <v>4640</v>
      </c>
      <c r="H25" s="7">
        <f>IFERROR(E25/G25,0)</f>
        <v>0.04288793103448276</v>
      </c>
      <c r="I25" s="5" t="s">
        <v>39</v>
      </c>
    </row>
    <row r="26" spans="1:9" ht="28" customHeight="1">
      <c r="A26" s="5" t="s">
        <v>21</v>
      </c>
      <c r="B26" s="5" t="s">
        <v>32</v>
      </c>
      <c r="C26" s="6">
        <v>527</v>
      </c>
      <c r="D26" s="6">
        <v>64</v>
      </c>
      <c r="E26" s="6">
        <f>C26+D26</f>
        <v>591.0</v>
      </c>
      <c r="F26" s="6">
        <v>65</v>
      </c>
      <c r="G26" s="6">
        <v>10400</v>
      </c>
      <c r="H26" s="7">
        <f>IFERROR(E26/G26,0)</f>
        <v>0.056826923076923073</v>
      </c>
      <c r="I26" s="5" t="s">
        <v>41</v>
      </c>
    </row>
    <row r="27" spans="1:9" ht="28" customHeight="1">
      <c r="A27" s="5" t="s">
        <v>21</v>
      </c>
      <c r="B27" s="5" t="s">
        <v>36</v>
      </c>
      <c r="C27" s="6">
        <v>283</v>
      </c>
      <c r="D27" s="6">
        <v>0</v>
      </c>
      <c r="E27" s="6">
        <f>C27+D27</f>
        <v>283.0</v>
      </c>
      <c r="F27" s="6">
        <v>31</v>
      </c>
      <c r="G27" s="6">
        <v>4960</v>
      </c>
      <c r="H27" s="7">
        <f>IFERROR(E27/G27,0)</f>
        <v>0.05705645161290323</v>
      </c>
      <c r="I27" s="5" t="s">
        <v>43</v>
      </c>
    </row>
    <row r="28" spans="1:9" ht="28" customHeight="1">
      <c r="A28" s="5" t="s">
        <v>21</v>
      </c>
      <c r="B28" s="5" t="s">
        <v>38</v>
      </c>
      <c r="C28" s="6">
        <v>0</v>
      </c>
      <c r="D28" s="6">
        <v>0</v>
      </c>
      <c r="E28" s="6">
        <f>C28+D28</f>
        <v>0.0</v>
      </c>
      <c r="F28" s="6">
        <v>1</v>
      </c>
      <c r="G28" s="6">
        <v>160</v>
      </c>
      <c r="H28" s="7">
        <f>IFERROR(E28/G28,0)</f>
        <v>0.0</v>
      </c>
      <c r="I28" s="5" t="s">
        <v>45</v>
      </c>
    </row>
    <row r="29" spans="1:9" ht="28" customHeight="1">
      <c r="A29" s="5" t="s">
        <v>21</v>
      </c>
      <c r="B29" s="5" t="s">
        <v>40</v>
      </c>
      <c r="C29" s="6">
        <v>2</v>
      </c>
      <c r="D29" s="6">
        <v>0</v>
      </c>
      <c r="E29" s="6">
        <f>C29+D29</f>
        <v>2.0</v>
      </c>
      <c r="F29" s="6">
        <v>6</v>
      </c>
      <c r="G29" s="6">
        <v>960</v>
      </c>
      <c r="H29" s="7">
        <f>IFERROR(E29/G29,0)</f>
        <v>0.0020833333333333333</v>
      </c>
      <c r="I29" s="5" t="s">
        <v>47</v>
      </c>
    </row>
    <row r="30" spans="1:9" ht="28" customHeight="1">
      <c r="A30" s="5" t="s">
        <v>21</v>
      </c>
      <c r="B30" s="5" t="s">
        <v>42</v>
      </c>
      <c r="C30" s="6">
        <v>62</v>
      </c>
      <c r="D30" s="6">
        <v>0</v>
      </c>
      <c r="E30" s="6">
        <f>C30+D30</f>
        <v>62.0</v>
      </c>
      <c r="F30" s="6">
        <v>22</v>
      </c>
      <c r="G30" s="6">
        <v>3520</v>
      </c>
      <c r="H30" s="7">
        <f>IFERROR(E30/G30,0)</f>
        <v>0.017613636363636363</v>
      </c>
      <c r="I30" s="5" t="s">
        <v>49</v>
      </c>
    </row>
    <row r="31" spans="1:9" ht="28" customHeight="1">
      <c r="A31" s="5" t="s">
        <v>21</v>
      </c>
      <c r="B31" s="5" t="s">
        <v>34</v>
      </c>
      <c r="C31" s="6">
        <v>29</v>
      </c>
      <c r="D31" s="6">
        <v>0</v>
      </c>
      <c r="E31" s="6">
        <f>C31+D31</f>
        <v>29.0</v>
      </c>
      <c r="F31" s="6">
        <v>10</v>
      </c>
      <c r="G31" s="6">
        <v>1600</v>
      </c>
      <c r="H31" s="7">
        <f>IFERROR(E31/G31,0)</f>
        <v>0.018125</v>
      </c>
      <c r="I31" s="5" t="s">
        <v>51</v>
      </c>
    </row>
    <row r="32" spans="1:9" ht="28" customHeight="1">
      <c r="A32" s="5" t="s">
        <v>21</v>
      </c>
      <c r="B32" s="5" t="s">
        <v>50</v>
      </c>
      <c r="C32" s="6">
        <v>306</v>
      </c>
      <c r="D32" s="6">
        <v>256</v>
      </c>
      <c r="E32" s="6">
        <f>C32+D32</f>
        <v>562.0</v>
      </c>
      <c r="F32" s="6">
        <v>56</v>
      </c>
      <c r="G32" s="6">
        <v>8960</v>
      </c>
      <c r="H32" s="7">
        <f>IFERROR(E32/G32,0)</f>
        <v>0.06272321428571428</v>
      </c>
      <c r="I32" s="5" t="s">
        <v>53</v>
      </c>
    </row>
    <row r="33" spans="1:9" ht="28" customHeight="1">
      <c r="A33" s="5" t="s">
        <v>21</v>
      </c>
      <c r="B33" s="5" t="s">
        <v>56</v>
      </c>
      <c r="C33" s="6">
        <v>121</v>
      </c>
      <c r="D33" s="6">
        <v>0</v>
      </c>
      <c r="E33" s="6">
        <f>C33+D33</f>
        <v>121.0</v>
      </c>
      <c r="F33" s="6">
        <v>19</v>
      </c>
      <c r="G33" s="6">
        <v>3040</v>
      </c>
      <c r="H33" s="7">
        <f>IFERROR(E33/G33,0)</f>
        <v>0.03980263157894737</v>
      </c>
      <c r="I33" s="5" t="s">
        <v>55</v>
      </c>
    </row>
    <row r="34" spans="1:9" ht="28" customHeight="1">
      <c r="A34" s="5" t="s">
        <v>21</v>
      </c>
      <c r="B34" s="5" t="s">
        <v>60</v>
      </c>
      <c r="C34" s="6">
        <v>0</v>
      </c>
      <c r="D34" s="6">
        <v>0</v>
      </c>
      <c r="E34" s="6">
        <f>C34+D34</f>
        <v>0.0</v>
      </c>
      <c r="F34" s="6">
        <v>1</v>
      </c>
      <c r="G34" s="6">
        <v>160</v>
      </c>
      <c r="H34" s="7">
        <f>IFERROR(E34/G34,0)</f>
        <v>0.0</v>
      </c>
      <c r="I34" s="5" t="s">
        <v>57</v>
      </c>
    </row>
    <row r="35" spans="1:9" ht="28" customHeight="1">
      <c r="A35" s="5" t="s">
        <v>21</v>
      </c>
      <c r="B35" s="5" t="s">
        <v>58</v>
      </c>
      <c r="C35" s="6">
        <v>0</v>
      </c>
      <c r="D35" s="6">
        <v>0</v>
      </c>
      <c r="E35" s="6">
        <f>C35+D35</f>
        <v>0.0</v>
      </c>
      <c r="F35" s="6">
        <v>2</v>
      </c>
      <c r="G35" s="6">
        <v>320</v>
      </c>
      <c r="H35" s="7">
        <f>IFERROR(E35/G35,0)</f>
        <v>0.0</v>
      </c>
      <c r="I35" s="5" t="s">
        <v>59</v>
      </c>
    </row>
    <row r="36" spans="1:9" ht="28" customHeight="1">
      <c r="A36" s="5" t="s">
        <v>21</v>
      </c>
      <c r="B36" s="5" t="s">
        <v>62</v>
      </c>
      <c r="C36" s="6">
        <v>0</v>
      </c>
      <c r="D36" s="6">
        <v>0</v>
      </c>
      <c r="E36" s="6">
        <f>C36+D36</f>
        <v>0.0</v>
      </c>
      <c r="F36" s="6">
        <v>1</v>
      </c>
      <c r="G36" s="6">
        <v>160</v>
      </c>
      <c r="H36" s="7">
        <f>IFERROR(E36/G36,0)</f>
        <v>0.0</v>
      </c>
      <c r="I36" s="5" t="s">
        <v>61</v>
      </c>
    </row>
    <row r="37" spans="1:9" ht="28" customHeight="1">
      <c r="A37" s="5" t="s">
        <v>21</v>
      </c>
      <c r="B37" s="5" t="s">
        <v>46</v>
      </c>
      <c r="C37" s="6">
        <v>0</v>
      </c>
      <c r="D37" s="6">
        <v>0</v>
      </c>
      <c r="E37" s="6">
        <f>C37+D37</f>
        <v>0.0</v>
      </c>
      <c r="F37" s="6">
        <v>1</v>
      </c>
      <c r="G37" s="6">
        <v>160</v>
      </c>
      <c r="H37" s="7">
        <f>IFERROR(E37/G37,0)</f>
        <v>0.0</v>
      </c>
      <c r="I37" s="5" t="s">
        <v>63</v>
      </c>
    </row>
    <row r="38" spans="1:9" ht="28" customHeight="1">
      <c r="A38" s="5" t="s">
        <v>21</v>
      </c>
      <c r="B38" s="5" t="s">
        <v>70</v>
      </c>
      <c r="C38" s="6">
        <v>0</v>
      </c>
      <c r="D38" s="6">
        <v>0</v>
      </c>
      <c r="E38" s="6">
        <f>C38+D38</f>
        <v>0.0</v>
      </c>
      <c r="F38" s="6">
        <v>1</v>
      </c>
      <c r="G38" s="6">
        <v>160</v>
      </c>
      <c r="H38" s="7">
        <f>IFERROR(E38/G38,0)</f>
        <v>0.0</v>
      </c>
      <c r="I38" s="5" t="s">
        <v>65</v>
      </c>
    </row>
    <row r="39" spans="1:9" ht="28" customHeight="1">
      <c r="A39" s="5" t="s">
        <v>21</v>
      </c>
      <c r="B39" s="5" t="s">
        <v>72</v>
      </c>
      <c r="C39" s="6">
        <v>7</v>
      </c>
      <c r="D39" s="6">
        <v>0</v>
      </c>
      <c r="E39" s="6">
        <f>C39+D39</f>
        <v>7.0</v>
      </c>
      <c r="F39" s="6">
        <v>1</v>
      </c>
      <c r="G39" s="6">
        <v>160</v>
      </c>
      <c r="H39" s="7">
        <f>IFERROR(E39/G39,0)</f>
        <v>0.04375</v>
      </c>
      <c r="I39" s="5" t="s">
        <v>67</v>
      </c>
    </row>
    <row r="40" spans="1:9" ht="28" customHeight="1">
      <c r="A40" s="5" t="s">
        <v>21</v>
      </c>
      <c r="B40" s="5" t="s">
        <v>132</v>
      </c>
      <c r="C40" s="6">
        <v>16</v>
      </c>
      <c r="D40" s="6">
        <v>0</v>
      </c>
      <c r="E40" s="6">
        <f>C40+D40</f>
        <v>16.0</v>
      </c>
      <c r="F40" s="6">
        <v>10</v>
      </c>
      <c r="G40" s="6">
        <v>1600</v>
      </c>
      <c r="H40" s="7">
        <f>IFERROR(E40/G40,0)</f>
        <v>0.01</v>
      </c>
      <c r="I40" s="5" t="s">
        <v>69</v>
      </c>
    </row>
    <row r="41" spans="1:9" ht="28" customHeight="1">
      <c r="A41" s="5" t="s">
        <v>21</v>
      </c>
      <c r="B41" s="5" t="s">
        <v>74</v>
      </c>
      <c r="C41" s="6">
        <v>7</v>
      </c>
      <c r="D41" s="6">
        <v>0</v>
      </c>
      <c r="E41" s="6">
        <f>C41+D41</f>
        <v>7.0</v>
      </c>
      <c r="F41" s="6">
        <v>7</v>
      </c>
      <c r="G41" s="6">
        <v>1120</v>
      </c>
      <c r="H41" s="7">
        <f>IFERROR(E41/G41,0)</f>
        <v>0.00625</v>
      </c>
      <c r="I41" s="5" t="s">
        <v>71</v>
      </c>
    </row>
    <row r="42" spans="1:9" ht="28" customHeight="1">
      <c r="A42" s="5" t="s">
        <v>21</v>
      </c>
      <c r="B42" s="5" t="s">
        <v>76</v>
      </c>
      <c r="C42" s="6">
        <v>2</v>
      </c>
      <c r="D42" s="6">
        <v>0</v>
      </c>
      <c r="E42" s="6">
        <f>C42+D42</f>
        <v>2.0</v>
      </c>
      <c r="F42" s="6">
        <v>2</v>
      </c>
      <c r="G42" s="6">
        <v>320</v>
      </c>
      <c r="H42" s="7">
        <f>IFERROR(E42/G42,0)</f>
        <v>0.00625</v>
      </c>
      <c r="I42" s="5" t="s">
        <v>73</v>
      </c>
    </row>
    <row r="43" spans="1:9" ht="28" customHeight="1">
      <c r="A43" s="5" t="s">
        <v>21</v>
      </c>
      <c r="B43" s="5" t="s">
        <v>78</v>
      </c>
      <c r="C43" s="6">
        <v>11</v>
      </c>
      <c r="D43" s="6">
        <v>0</v>
      </c>
      <c r="E43" s="6">
        <f>C43+D43</f>
        <v>11.0</v>
      </c>
      <c r="F43" s="6">
        <v>8</v>
      </c>
      <c r="G43" s="6">
        <v>1280</v>
      </c>
      <c r="H43" s="7">
        <f>IFERROR(E43/G43,0)</f>
        <v>0.00859375</v>
      </c>
      <c r="I43" s="5" t="s">
        <v>75</v>
      </c>
    </row>
    <row r="44" spans="1:9" ht="28" customHeight="1">
      <c r="A44" s="5" t="s">
        <v>21</v>
      </c>
      <c r="B44" s="5" t="s">
        <v>133</v>
      </c>
      <c r="C44" s="6">
        <v>213</v>
      </c>
      <c r="D44" s="6">
        <v>8</v>
      </c>
      <c r="E44" s="6">
        <f>C44+D44</f>
        <v>221.0</v>
      </c>
      <c r="F44" s="6">
        <v>21</v>
      </c>
      <c r="G44" s="6">
        <v>3360</v>
      </c>
      <c r="H44" s="7">
        <f>IFERROR(E44/G44,0)</f>
        <v>0.06577380952380953</v>
      </c>
      <c r="I44" s="5" t="s">
        <v>77</v>
      </c>
    </row>
    <row r="45" spans="1:9" ht="28" customHeight="1">
      <c r="A45" s="5" t="s">
        <v>21</v>
      </c>
      <c r="B45" s="5" t="s">
        <v>80</v>
      </c>
      <c r="C45" s="6">
        <v>285</v>
      </c>
      <c r="D45" s="6">
        <v>0</v>
      </c>
      <c r="E45" s="6">
        <f>C45+D45</f>
        <v>285.0</v>
      </c>
      <c r="F45" s="6">
        <v>20</v>
      </c>
      <c r="G45" s="6">
        <v>3200</v>
      </c>
      <c r="H45" s="7">
        <f>IFERROR(E45/G45,0)</f>
        <v>0.0890625</v>
      </c>
      <c r="I45" s="5" t="s">
        <v>79</v>
      </c>
    </row>
    <row r="46" spans="1:9" ht="28" customHeight="1">
      <c r="A46" s="5" t="s">
        <v>21</v>
      </c>
      <c r="B46" s="5" t="s">
        <v>82</v>
      </c>
      <c r="C46" s="6">
        <v>40</v>
      </c>
      <c r="D46" s="6">
        <v>0</v>
      </c>
      <c r="E46" s="6">
        <f>C46+D46</f>
        <v>40.0</v>
      </c>
      <c r="F46" s="6">
        <v>1</v>
      </c>
      <c r="G46" s="6">
        <v>160</v>
      </c>
      <c r="H46" s="7">
        <f>IFERROR(E46/G46,0)</f>
        <v>0.25</v>
      </c>
      <c r="I46" s="5" t="s">
        <v>81</v>
      </c>
    </row>
    <row r="47" spans="1:9" ht="28" customHeight="1">
      <c r="A47" s="5" t="s">
        <v>21</v>
      </c>
      <c r="B47" s="5" t="s">
        <v>134</v>
      </c>
      <c r="C47" s="6">
        <v>29</v>
      </c>
      <c r="D47" s="6">
        <v>0</v>
      </c>
      <c r="E47" s="6">
        <f>C47+D47</f>
        <v>29.0</v>
      </c>
      <c r="F47" s="6">
        <v>3</v>
      </c>
      <c r="G47" s="6">
        <v>480</v>
      </c>
      <c r="H47" s="7">
        <f>IFERROR(E47/G47,0)</f>
        <v>0.06041666666666667</v>
      </c>
      <c r="I47" s="5" t="s">
        <v>83</v>
      </c>
    </row>
    <row r="48" spans="1:9" ht="28" customHeight="1">
      <c r="A48" s="5" t="s">
        <v>21</v>
      </c>
      <c r="B48" s="5" t="s">
        <v>84</v>
      </c>
      <c r="C48" s="6">
        <v>56</v>
      </c>
      <c r="D48" s="6">
        <v>16</v>
      </c>
      <c r="E48" s="6">
        <f>C48+D48</f>
        <v>72.0</v>
      </c>
      <c r="F48" s="6">
        <v>7</v>
      </c>
      <c r="G48" s="6">
        <v>1120</v>
      </c>
      <c r="H48" s="7">
        <f>IFERROR(E48/G48,0)</f>
        <v>0.06428571428571428</v>
      </c>
      <c r="I48" s="5" t="s">
        <v>85</v>
      </c>
    </row>
    <row r="49" spans="1:9" ht="28" customHeight="1">
      <c r="A49" s="5" t="s">
        <v>21</v>
      </c>
      <c r="B49" s="5" t="s">
        <v>86</v>
      </c>
      <c r="C49" s="6">
        <v>16</v>
      </c>
      <c r="D49" s="6">
        <v>0</v>
      </c>
      <c r="E49" s="6">
        <f>C49+D49</f>
        <v>16.0</v>
      </c>
      <c r="F49" s="6">
        <v>3</v>
      </c>
      <c r="G49" s="6">
        <v>480</v>
      </c>
      <c r="H49" s="7">
        <f>IFERROR(E49/G49,0)</f>
        <v>0.03333333333333333</v>
      </c>
      <c r="I49" s="5" t="s">
        <v>87</v>
      </c>
    </row>
    <row r="50" spans="1:9" ht="28" customHeight="1">
      <c r="A50" s="5" t="s">
        <v>88</v>
      </c>
      <c r="B50" s="5" t="s">
        <v>30</v>
      </c>
      <c r="C50" s="6">
        <v>5</v>
      </c>
      <c r="D50" s="6">
        <v>0</v>
      </c>
      <c r="E50" s="6">
        <f>C50+D50</f>
        <v>5.0</v>
      </c>
      <c r="F50" s="6">
        <v>1</v>
      </c>
      <c r="G50" s="6">
        <v>160</v>
      </c>
      <c r="H50" s="7">
        <f>IFERROR(E50/G50,0)</f>
        <v>0.03125</v>
      </c>
      <c r="I50" s="5" t="s">
        <v>90</v>
      </c>
    </row>
    <row r="51" spans="1:9" ht="28" customHeight="1">
      <c r="A51" s="5" t="s">
        <v>88</v>
      </c>
      <c r="B51" s="5" t="s">
        <v>32</v>
      </c>
      <c r="C51" s="6">
        <v>0</v>
      </c>
      <c r="D51" s="6">
        <v>0</v>
      </c>
      <c r="E51" s="6">
        <f>C51+D51</f>
        <v>0.0</v>
      </c>
      <c r="F51" s="6">
        <v>1</v>
      </c>
      <c r="G51" s="6">
        <v>160</v>
      </c>
      <c r="H51" s="7">
        <f>IFERROR(E51/G51,0)</f>
        <v>0.0</v>
      </c>
      <c r="I51" s="5" t="s">
        <v>91</v>
      </c>
    </row>
    <row r="52" spans="1:9" ht="28" customHeight="1">
      <c r="A52" s="5" t="s">
        <v>88</v>
      </c>
      <c r="B52" s="5" t="s">
        <v>36</v>
      </c>
      <c r="C52" s="6">
        <v>0</v>
      </c>
      <c r="D52" s="6">
        <v>0</v>
      </c>
      <c r="E52" s="6">
        <f>C52+D52</f>
        <v>0.0</v>
      </c>
      <c r="F52" s="6">
        <v>1</v>
      </c>
      <c r="G52" s="6">
        <v>160</v>
      </c>
      <c r="H52" s="7">
        <f>IFERROR(E52/G52,0)</f>
        <v>0.0</v>
      </c>
      <c r="I52" s="5" t="s">
        <v>92</v>
      </c>
    </row>
    <row r="53" spans="1:9" ht="28" customHeight="1">
      <c r="A53" s="5" t="s">
        <v>88</v>
      </c>
      <c r="B53" s="5" t="s">
        <v>38</v>
      </c>
      <c r="C53" s="6">
        <v>3</v>
      </c>
      <c r="D53" s="6">
        <v>0</v>
      </c>
      <c r="E53" s="6">
        <f>C53+D53</f>
        <v>3.0</v>
      </c>
      <c r="F53" s="6">
        <v>1</v>
      </c>
      <c r="G53" s="6">
        <v>160</v>
      </c>
      <c r="H53" s="7">
        <f>IFERROR(E53/G53,0)</f>
        <v>0.01875</v>
      </c>
      <c r="I53" s="5" t="s">
        <v>93</v>
      </c>
    </row>
    <row r="54" spans="1:9" ht="28" customHeight="1">
      <c r="A54" s="5" t="s">
        <v>88</v>
      </c>
      <c r="B54" s="5" t="s">
        <v>95</v>
      </c>
      <c r="C54" s="6">
        <v>0</v>
      </c>
      <c r="D54" s="6">
        <v>0</v>
      </c>
      <c r="E54" s="6">
        <f>C54+D54</f>
        <v>0.0</v>
      </c>
      <c r="F54" s="6">
        <v>3</v>
      </c>
      <c r="G54" s="6">
        <v>480</v>
      </c>
      <c r="H54" s="7">
        <f>IFERROR(E54/G54,0)</f>
        <v>0.0</v>
      </c>
      <c r="I54" s="5" t="s">
        <v>94</v>
      </c>
    </row>
    <row r="55" spans="1:9" ht="28" customHeight="1">
      <c r="A55" s="5" t="s">
        <v>88</v>
      </c>
      <c r="B55" s="5" t="s">
        <v>44</v>
      </c>
      <c r="C55" s="6">
        <v>11</v>
      </c>
      <c r="D55" s="6">
        <v>0</v>
      </c>
      <c r="E55" s="6">
        <f>C55+D55</f>
        <v>11.0</v>
      </c>
      <c r="F55" s="6">
        <v>1</v>
      </c>
      <c r="G55" s="6">
        <v>160</v>
      </c>
      <c r="H55" s="7">
        <f>IFERROR(E55/G55,0)</f>
        <v>0.06875</v>
      </c>
      <c r="I55" s="5" t="s">
        <v>96</v>
      </c>
    </row>
    <row r="56" spans="1:9" ht="28" customHeight="1">
      <c r="A56" s="5" t="s">
        <v>88</v>
      </c>
      <c r="B56" s="5" t="s">
        <v>48</v>
      </c>
      <c r="C56" s="6">
        <v>0</v>
      </c>
      <c r="D56" s="6">
        <v>0</v>
      </c>
      <c r="E56" s="6">
        <f>C56+D56</f>
        <v>0.0</v>
      </c>
      <c r="F56" s="6">
        <v>1</v>
      </c>
      <c r="G56" s="6">
        <v>160</v>
      </c>
      <c r="H56" s="7">
        <f>IFERROR(E56/G56,0)</f>
        <v>0.0</v>
      </c>
      <c r="I56" s="5" t="s">
        <v>97</v>
      </c>
    </row>
    <row r="57" spans="1:9" ht="28" customHeight="1">
      <c r="A57" s="5" t="s">
        <v>88</v>
      </c>
      <c r="B57" s="5" t="s">
        <v>99</v>
      </c>
      <c r="C57" s="6">
        <v>0</v>
      </c>
      <c r="D57" s="6">
        <v>0</v>
      </c>
      <c r="E57" s="6">
        <f>C57+D57</f>
        <v>0.0</v>
      </c>
      <c r="F57" s="6">
        <v>1</v>
      </c>
      <c r="G57" s="6">
        <v>160</v>
      </c>
      <c r="H57" s="7">
        <f>IFERROR(E57/G57,0)</f>
        <v>0.0</v>
      </c>
      <c r="I57" s="5" t="s">
        <v>98</v>
      </c>
    </row>
    <row r="58" spans="1:9" ht="28" customHeight="1">
      <c r="A58" s="5" t="s">
        <v>88</v>
      </c>
      <c r="B58" s="5" t="s">
        <v>54</v>
      </c>
      <c r="C58" s="6">
        <v>0</v>
      </c>
      <c r="D58" s="6">
        <v>0</v>
      </c>
      <c r="E58" s="6">
        <f>C58+D58</f>
        <v>0.0</v>
      </c>
      <c r="F58" s="6">
        <v>1</v>
      </c>
      <c r="G58" s="6">
        <v>160</v>
      </c>
      <c r="H58" s="7">
        <f>IFERROR(E58/G58,0)</f>
        <v>0.0</v>
      </c>
      <c r="I58" s="5" t="s">
        <v>100</v>
      </c>
    </row>
    <row r="59" spans="1:9" ht="28" customHeight="1">
      <c r="A59" s="5" t="s">
        <v>88</v>
      </c>
      <c r="B59" s="5" t="s">
        <v>56</v>
      </c>
      <c r="C59" s="6">
        <v>0</v>
      </c>
      <c r="D59" s="6">
        <v>0</v>
      </c>
      <c r="E59" s="6">
        <f>C59+D59</f>
        <v>0.0</v>
      </c>
      <c r="F59" s="6">
        <v>1</v>
      </c>
      <c r="G59" s="6">
        <v>160</v>
      </c>
      <c r="H59" s="7">
        <f>IFERROR(E59/G59,0)</f>
        <v>0.0</v>
      </c>
      <c r="I59" s="5" t="s">
        <v>101</v>
      </c>
    </row>
    <row r="60" spans="1:9" ht="28" customHeight="1">
      <c r="A60" s="5" t="s">
        <v>88</v>
      </c>
      <c r="B60" s="5" t="s">
        <v>58</v>
      </c>
      <c r="C60" s="6">
        <v>0</v>
      </c>
      <c r="D60" s="6">
        <v>0</v>
      </c>
      <c r="E60" s="6">
        <f>C60+D60</f>
        <v>0.0</v>
      </c>
      <c r="F60" s="6">
        <v>4</v>
      </c>
      <c r="G60" s="6">
        <v>640</v>
      </c>
      <c r="H60" s="7">
        <f>IFERROR(E60/G60,0)</f>
        <v>0.0</v>
      </c>
      <c r="I60" s="5" t="s">
        <v>102</v>
      </c>
    </row>
    <row r="61" spans="1:9" ht="28" customHeight="1">
      <c r="A61" s="5" t="s">
        <v>88</v>
      </c>
      <c r="B61" s="5" t="s">
        <v>104</v>
      </c>
      <c r="C61" s="6">
        <v>8</v>
      </c>
      <c r="D61" s="6">
        <v>0</v>
      </c>
      <c r="E61" s="6">
        <f>C61+D61</f>
        <v>8.0</v>
      </c>
      <c r="F61" s="6">
        <v>1</v>
      </c>
      <c r="G61" s="6">
        <v>160</v>
      </c>
      <c r="H61" s="7">
        <f>IFERROR(E61/G61,0)</f>
        <v>0.05</v>
      </c>
      <c r="I61" s="5" t="s">
        <v>103</v>
      </c>
    </row>
    <row r="62" spans="1:9" ht="28" customHeight="1">
      <c r="A62" s="5" t="s">
        <v>88</v>
      </c>
      <c r="B62" s="5" t="s">
        <v>62</v>
      </c>
      <c r="C62" s="6">
        <v>0</v>
      </c>
      <c r="D62" s="6">
        <v>0</v>
      </c>
      <c r="E62" s="6">
        <f>C62+D62</f>
        <v>0.0</v>
      </c>
      <c r="F62" s="6">
        <v>1</v>
      </c>
      <c r="G62" s="6">
        <v>160</v>
      </c>
      <c r="H62" s="7">
        <f>IFERROR(E62/G62,0)</f>
        <v>0.0</v>
      </c>
      <c r="I62" s="5" t="s">
        <v>105</v>
      </c>
    </row>
    <row r="63" spans="1:9" ht="28" customHeight="1">
      <c r="A63" s="5" t="s">
        <v>88</v>
      </c>
      <c r="B63" s="5" t="s">
        <v>107</v>
      </c>
      <c r="C63" s="6">
        <v>0</v>
      </c>
      <c r="D63" s="6">
        <v>0</v>
      </c>
      <c r="E63" s="6">
        <f>C63+D63</f>
        <v>0.0</v>
      </c>
      <c r="F63" s="6">
        <v>2</v>
      </c>
      <c r="G63" s="6">
        <v>320</v>
      </c>
      <c r="H63" s="7">
        <f>IFERROR(E63/G63,0)</f>
        <v>0.0</v>
      </c>
      <c r="I63" s="5" t="s">
        <v>106</v>
      </c>
    </row>
    <row r="64" spans="1:9" ht="28" customHeight="1">
      <c r="A64" s="5" t="s">
        <v>88</v>
      </c>
      <c r="B64" s="5" t="s">
        <v>64</v>
      </c>
      <c r="C64" s="6">
        <v>3</v>
      </c>
      <c r="D64" s="6">
        <v>0</v>
      </c>
      <c r="E64" s="6">
        <f>C64+D64</f>
        <v>3.0</v>
      </c>
      <c r="F64" s="6">
        <v>3</v>
      </c>
      <c r="G64" s="6">
        <v>480</v>
      </c>
      <c r="H64" s="7">
        <f>IFERROR(E64/G64,0)</f>
        <v>0.00625</v>
      </c>
      <c r="I64" s="5" t="s">
        <v>108</v>
      </c>
    </row>
    <row r="65" spans="1:9" ht="28" customHeight="1">
      <c r="A65" s="5" t="s">
        <v>88</v>
      </c>
      <c r="B65" s="5" t="s">
        <v>66</v>
      </c>
      <c r="C65" s="6">
        <v>0</v>
      </c>
      <c r="D65" s="6">
        <v>0</v>
      </c>
      <c r="E65" s="6">
        <f>C65+D65</f>
        <v>0.0</v>
      </c>
      <c r="F65" s="6">
        <v>2</v>
      </c>
      <c r="G65" s="6">
        <v>320</v>
      </c>
      <c r="H65" s="7">
        <f>IFERROR(E65/G65,0)</f>
        <v>0.0</v>
      </c>
      <c r="I65" s="5" t="s">
        <v>109</v>
      </c>
    </row>
    <row r="66" spans="1:9" ht="28" customHeight="1">
      <c r="A66" s="5" t="s">
        <v>88</v>
      </c>
      <c r="B66" s="5" t="s">
        <v>68</v>
      </c>
      <c r="C66" s="6">
        <v>0</v>
      </c>
      <c r="D66" s="6">
        <v>0</v>
      </c>
      <c r="E66" s="6">
        <f>C66+D66</f>
        <v>0.0</v>
      </c>
      <c r="F66" s="6">
        <v>2</v>
      </c>
      <c r="G66" s="6">
        <v>320</v>
      </c>
      <c r="H66" s="7">
        <f>IFERROR(E66/G66,0)</f>
        <v>0.0</v>
      </c>
      <c r="I66" s="5" t="s">
        <v>110</v>
      </c>
    </row>
    <row r="67" spans="1:9" ht="28" customHeight="1">
      <c r="A67" s="5" t="s">
        <v>88</v>
      </c>
      <c r="B67" s="5" t="s">
        <v>70</v>
      </c>
      <c r="C67" s="6">
        <v>0</v>
      </c>
      <c r="D67" s="6">
        <v>0</v>
      </c>
      <c r="E67" s="6">
        <f>C67+D67</f>
        <v>0.0</v>
      </c>
      <c r="F67" s="6">
        <v>2</v>
      </c>
      <c r="G67" s="6">
        <v>320</v>
      </c>
      <c r="H67" s="7">
        <f>IFERROR(E67/G67,0)</f>
        <v>0.0</v>
      </c>
      <c r="I67" s="5" t="s">
        <v>111</v>
      </c>
    </row>
    <row r="68" spans="1:9" ht="28" customHeight="1">
      <c r="A68" s="5" t="s">
        <v>88</v>
      </c>
      <c r="B68" s="5" t="s">
        <v>72</v>
      </c>
      <c r="C68" s="6">
        <v>1</v>
      </c>
      <c r="D68" s="6">
        <v>0</v>
      </c>
      <c r="E68" s="6">
        <f>C68+D68</f>
        <v>1.0</v>
      </c>
      <c r="F68" s="6">
        <v>3</v>
      </c>
      <c r="G68" s="6">
        <v>480</v>
      </c>
      <c r="H68" s="7">
        <f>IFERROR(E68/G68,0)</f>
        <v>0.0020833333333333333</v>
      </c>
      <c r="I68" s="5" t="s">
        <v>112</v>
      </c>
    </row>
    <row r="69" spans="1:9" ht="28" customHeight="1">
      <c r="A69" s="5" t="s">
        <v>88</v>
      </c>
      <c r="B69" s="5" t="s">
        <v>76</v>
      </c>
      <c r="C69" s="6">
        <v>8</v>
      </c>
      <c r="D69" s="6">
        <v>0</v>
      </c>
      <c r="E69" s="6">
        <f>C69+D69</f>
        <v>8.0</v>
      </c>
      <c r="F69" s="6">
        <v>4</v>
      </c>
      <c r="G69" s="6">
        <v>640</v>
      </c>
      <c r="H69" s="7">
        <f>IFERROR(E69/G69,0)</f>
        <v>0.0125</v>
      </c>
      <c r="I69" s="5" t="s">
        <v>113</v>
      </c>
    </row>
    <row r="70" spans="1:9" ht="28" customHeight="1">
      <c r="A70" s="5" t="s">
        <v>88</v>
      </c>
      <c r="B70" s="5" t="s">
        <v>78</v>
      </c>
      <c r="C70" s="6">
        <v>40</v>
      </c>
      <c r="D70" s="6">
        <v>0</v>
      </c>
      <c r="E70" s="6">
        <f>C70+D70</f>
        <v>40.0</v>
      </c>
      <c r="F70" s="6">
        <v>1</v>
      </c>
      <c r="G70" s="6">
        <v>160</v>
      </c>
      <c r="H70" s="7">
        <f>IFERROR(E70/G70,0)</f>
        <v>0.25</v>
      </c>
      <c r="I70" s="5" t="s">
        <v>114</v>
      </c>
    </row>
    <row r="71" spans="1:9" ht="28" customHeight="1">
      <c r="A71" s="5" t="s">
        <v>88</v>
      </c>
      <c r="B71" s="5" t="s">
        <v>80</v>
      </c>
      <c r="C71" s="6">
        <v>8</v>
      </c>
      <c r="D71" s="6">
        <v>0</v>
      </c>
      <c r="E71" s="6">
        <f>C71+D71</f>
        <v>8.0</v>
      </c>
      <c r="F71" s="6">
        <v>1</v>
      </c>
      <c r="G71" s="6">
        <v>160</v>
      </c>
      <c r="H71" s="7">
        <f>IFERROR(E71/G71,0)</f>
        <v>0.05</v>
      </c>
      <c r="I71" s="5" t="s">
        <v>115</v>
      </c>
    </row>
    <row r="72" spans="1:9" ht="28" customHeight="1">
      <c r="A72" s="5" t="s">
        <v>88</v>
      </c>
      <c r="B72" s="5" t="s">
        <v>116</v>
      </c>
      <c r="C72" s="6">
        <v>0</v>
      </c>
      <c r="D72" s="6">
        <v>0</v>
      </c>
      <c r="E72" s="6">
        <f>C72+D72</f>
        <v>0.0</v>
      </c>
      <c r="F72" s="6">
        <v>1</v>
      </c>
      <c r="G72" s="6">
        <v>160</v>
      </c>
      <c r="H72" s="7">
        <f>IFERROR(E72/G72,0)</f>
        <v>0.0</v>
      </c>
      <c r="I72" s="5" t="s">
        <v>117</v>
      </c>
    </row>
    <row r="73" spans="1:9" ht="28" customHeight="1">
      <c r="A73" s="5" t="s">
        <v>88</v>
      </c>
      <c r="B73" s="5" t="s">
        <v>86</v>
      </c>
      <c r="C73" s="6">
        <v>0</v>
      </c>
      <c r="D73" s="6">
        <v>0</v>
      </c>
      <c r="E73" s="6">
        <f>C73+D73</f>
        <v>0.0</v>
      </c>
      <c r="F73" s="6">
        <v>1</v>
      </c>
      <c r="G73" s="6">
        <v>160</v>
      </c>
      <c r="H73" s="7">
        <f>IFERROR(E73/G73,0)</f>
        <v>0.0</v>
      </c>
      <c r="I73" s="5" t="s">
        <v>118</v>
      </c>
    </row>
    <row r="74" spans="1:9" ht="28" customHeight="1">
      <c r="A74" s="5" t="s">
        <v>88</v>
      </c>
      <c r="B74" s="5" t="s">
        <v>119</v>
      </c>
      <c r="C74" s="6">
        <v>0</v>
      </c>
      <c r="D74" s="6">
        <v>0</v>
      </c>
      <c r="E74" s="6">
        <f>C74+D74</f>
        <v>0.0</v>
      </c>
      <c r="F74" s="6">
        <v>1</v>
      </c>
      <c r="G74" s="6">
        <v>160</v>
      </c>
      <c r="H74" s="7">
        <f>IFERROR(E74/G74,0)</f>
        <v>0.0</v>
      </c>
      <c r="I74" s="5" t="s">
        <v>120</v>
      </c>
    </row>
  </sheetData>
  <autoFilter ref="A16:I74"/>
  <mergeCells count="3">
    <mergeCell ref="A1:L2"/>
    <mergeCell ref="A3:L4"/>
    <mergeCell ref="A11:L13"/>
  </mergeCells>
  <hyperlinks>
    <hyperlink ref="A5" location="'Resumen ejecutivo'!A1" display="Volver al resumen"/>
  </hyperlinks>
  <pageMargins left="0.3" right="0.3" top="0.4" bottom="0.4" header="0.3" footer="0.3"/>
  <pageSetup paperSize="9" fitToHeight="0" orientation="landscape"/>
  <headerFooter>
    <oddFooter>&amp;LServicio Médico | 1S2026&amp;R&amp;P de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45.7109375" customWidth="1"/>
    <col min="3" max="8" width="15.7109375" customWidth="1"/>
    <col min="9" max="9" width="40.7109375" customWidth="1"/>
    <col min="10" max="12" width="15.7109375" customWidth="1"/>
  </cols>
  <sheetData>
    <row r="1" spans="1:12" ht="24" customHeight="1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139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3" t="s">
        <v>2</v>
      </c>
    </row>
    <row r="6" spans="1:12" ht="50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8" spans="1:12">
      <c r="A8" s="5" t="s">
        <v>140</v>
      </c>
      <c r="B8" s="6">
        <v>63840</v>
      </c>
      <c r="C8" s="6">
        <v>2871</v>
      </c>
      <c r="D8" s="6">
        <v>409</v>
      </c>
      <c r="E8" s="6">
        <f>C8+D8</f>
        <v>3280</v>
      </c>
      <c r="F8" s="6">
        <v>2825</v>
      </c>
      <c r="G8" s="6">
        <v>2166</v>
      </c>
      <c r="H8" s="6">
        <f>E8+F8+G8</f>
        <v>8271</v>
      </c>
      <c r="I8" s="6">
        <v>1800</v>
      </c>
      <c r="J8" s="6">
        <v>420</v>
      </c>
      <c r="K8" s="7">
        <f>E8/B8</f>
        <v>0.05137844611528822</v>
      </c>
      <c r="L8" s="7">
        <f>H8/B8</f>
        <v>0.12955827067669173</v>
      </c>
    </row>
    <row r="11" spans="1:12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2" customHeight="1">
      <c r="A16" s="4" t="s">
        <v>17</v>
      </c>
      <c r="B16" s="4" t="s">
        <v>18</v>
      </c>
      <c r="C16" s="4" t="s">
        <v>5</v>
      </c>
      <c r="D16" s="4" t="s">
        <v>19</v>
      </c>
      <c r="E16" s="4" t="s">
        <v>7</v>
      </c>
      <c r="F16" s="4" t="s">
        <v>12</v>
      </c>
      <c r="G16" s="4" t="s">
        <v>4</v>
      </c>
      <c r="H16" s="4" t="s">
        <v>13</v>
      </c>
      <c r="I16" s="4" t="s">
        <v>20</v>
      </c>
    </row>
    <row r="17" spans="1:9" ht="28" customHeight="1">
      <c r="A17" s="5" t="s">
        <v>21</v>
      </c>
      <c r="B17" s="5" t="s">
        <v>127</v>
      </c>
      <c r="C17" s="6">
        <v>4</v>
      </c>
      <c r="D17" s="6">
        <v>0</v>
      </c>
      <c r="E17" s="6">
        <f>C17+D17</f>
        <v>4.0</v>
      </c>
      <c r="F17" s="6">
        <v>3</v>
      </c>
      <c r="G17" s="6">
        <v>456</v>
      </c>
      <c r="H17" s="7">
        <f>IFERROR(E17/G17,0)</f>
        <v>0.008771929824561403</v>
      </c>
      <c r="I17" s="5" t="s">
        <v>23</v>
      </c>
    </row>
    <row r="18" spans="1:9" ht="28" customHeight="1">
      <c r="A18" s="5" t="s">
        <v>21</v>
      </c>
      <c r="B18" s="5" t="s">
        <v>128</v>
      </c>
      <c r="C18" s="6">
        <v>2</v>
      </c>
      <c r="D18" s="6">
        <v>0</v>
      </c>
      <c r="E18" s="6">
        <f>C18+D18</f>
        <v>2.0</v>
      </c>
      <c r="F18" s="6">
        <v>1</v>
      </c>
      <c r="G18" s="6">
        <v>152</v>
      </c>
      <c r="H18" s="7">
        <f>IFERROR(E18/G18,0)</f>
        <v>0.013157894736842105</v>
      </c>
      <c r="I18" s="5" t="s">
        <v>25</v>
      </c>
    </row>
    <row r="19" spans="1:9" ht="28" customHeight="1">
      <c r="A19" s="5" t="s">
        <v>21</v>
      </c>
      <c r="B19" s="5" t="s">
        <v>129</v>
      </c>
      <c r="C19" s="6">
        <v>0</v>
      </c>
      <c r="D19" s="6">
        <v>0</v>
      </c>
      <c r="E19" s="6">
        <f>C19+D19</f>
        <v>0.0</v>
      </c>
      <c r="F19" s="6">
        <v>5</v>
      </c>
      <c r="G19" s="6">
        <v>760</v>
      </c>
      <c r="H19" s="7">
        <f>IFERROR(E19/G19,0)</f>
        <v>0.0</v>
      </c>
      <c r="I19" s="5" t="s">
        <v>27</v>
      </c>
    </row>
    <row r="20" spans="1:9" ht="28" customHeight="1">
      <c r="A20" s="5" t="s">
        <v>21</v>
      </c>
      <c r="B20" s="5" t="s">
        <v>130</v>
      </c>
      <c r="C20" s="6">
        <v>6</v>
      </c>
      <c r="D20" s="6">
        <v>0</v>
      </c>
      <c r="E20" s="6">
        <f>C20+D20</f>
        <v>6.0</v>
      </c>
      <c r="F20" s="6">
        <v>7</v>
      </c>
      <c r="G20" s="6">
        <v>1064</v>
      </c>
      <c r="H20" s="7">
        <f>IFERROR(E20/G20,0)</f>
        <v>0.005639097744360902</v>
      </c>
      <c r="I20" s="5" t="s">
        <v>29</v>
      </c>
    </row>
    <row r="21" spans="1:9" ht="28" customHeight="1">
      <c r="A21" s="5" t="s">
        <v>21</v>
      </c>
      <c r="B21" s="5" t="s">
        <v>24</v>
      </c>
      <c r="C21" s="6">
        <v>3</v>
      </c>
      <c r="D21" s="6">
        <v>0</v>
      </c>
      <c r="E21" s="6">
        <f>C21+D21</f>
        <v>3.0</v>
      </c>
      <c r="F21" s="6">
        <v>2</v>
      </c>
      <c r="G21" s="6">
        <v>304</v>
      </c>
      <c r="H21" s="7">
        <f>IFERROR(E21/G21,0)</f>
        <v>0.009868421052631578</v>
      </c>
      <c r="I21" s="5" t="s">
        <v>31</v>
      </c>
    </row>
    <row r="22" spans="1:9" ht="28" customHeight="1">
      <c r="A22" s="5" t="s">
        <v>21</v>
      </c>
      <c r="B22" s="5" t="s">
        <v>22</v>
      </c>
      <c r="C22" s="6">
        <v>204</v>
      </c>
      <c r="D22" s="6">
        <v>0</v>
      </c>
      <c r="E22" s="6">
        <f>C22+D22</f>
        <v>204.0</v>
      </c>
      <c r="F22" s="6">
        <v>9</v>
      </c>
      <c r="G22" s="6">
        <v>1368</v>
      </c>
      <c r="H22" s="7">
        <f>IFERROR(E22/G22,0)</f>
        <v>0.14912280701754385</v>
      </c>
      <c r="I22" s="5" t="s">
        <v>33</v>
      </c>
    </row>
    <row r="23" spans="1:9" ht="28" customHeight="1">
      <c r="A23" s="5" t="s">
        <v>21</v>
      </c>
      <c r="B23" s="5" t="s">
        <v>26</v>
      </c>
      <c r="C23" s="6">
        <v>38</v>
      </c>
      <c r="D23" s="6">
        <v>0</v>
      </c>
      <c r="E23" s="6">
        <f>C23+D23</f>
        <v>38.0</v>
      </c>
      <c r="F23" s="6">
        <v>8</v>
      </c>
      <c r="G23" s="6">
        <v>1216</v>
      </c>
      <c r="H23" s="7">
        <f>IFERROR(E23/G23,0)</f>
        <v>0.03125</v>
      </c>
      <c r="I23" s="5" t="s">
        <v>35</v>
      </c>
    </row>
    <row r="24" spans="1:9" ht="28" customHeight="1">
      <c r="A24" s="5" t="s">
        <v>21</v>
      </c>
      <c r="B24" s="5" t="s">
        <v>131</v>
      </c>
      <c r="C24" s="6">
        <v>12</v>
      </c>
      <c r="D24" s="6">
        <v>0</v>
      </c>
      <c r="E24" s="6">
        <f>C24+D24</f>
        <v>12.0</v>
      </c>
      <c r="F24" s="6">
        <v>14</v>
      </c>
      <c r="G24" s="6">
        <v>2128</v>
      </c>
      <c r="H24" s="7">
        <f>IFERROR(E24/G24,0)</f>
        <v>0.005639097744360902</v>
      </c>
      <c r="I24" s="5" t="s">
        <v>37</v>
      </c>
    </row>
    <row r="25" spans="1:9" ht="28" customHeight="1">
      <c r="A25" s="5" t="s">
        <v>21</v>
      </c>
      <c r="B25" s="5" t="s">
        <v>30</v>
      </c>
      <c r="C25" s="6">
        <v>390</v>
      </c>
      <c r="D25" s="6">
        <v>0</v>
      </c>
      <c r="E25" s="6">
        <f>C25+D25</f>
        <v>390.0</v>
      </c>
      <c r="F25" s="6">
        <v>29</v>
      </c>
      <c r="G25" s="6">
        <v>4408</v>
      </c>
      <c r="H25" s="7">
        <f>IFERROR(E25/G25,0)</f>
        <v>0.08847549909255899</v>
      </c>
      <c r="I25" s="5" t="s">
        <v>39</v>
      </c>
    </row>
    <row r="26" spans="1:9" ht="28" customHeight="1">
      <c r="A26" s="5" t="s">
        <v>21</v>
      </c>
      <c r="B26" s="5" t="s">
        <v>32</v>
      </c>
      <c r="C26" s="6">
        <v>499</v>
      </c>
      <c r="D26" s="6">
        <v>12</v>
      </c>
      <c r="E26" s="6">
        <f>C26+D26</f>
        <v>511.0</v>
      </c>
      <c r="F26" s="6">
        <v>65</v>
      </c>
      <c r="G26" s="6">
        <v>9880</v>
      </c>
      <c r="H26" s="7">
        <f>IFERROR(E26/G26,0)</f>
        <v>0.05172064777327935</v>
      </c>
      <c r="I26" s="5" t="s">
        <v>41</v>
      </c>
    </row>
    <row r="27" spans="1:9" ht="28" customHeight="1">
      <c r="A27" s="5" t="s">
        <v>21</v>
      </c>
      <c r="B27" s="5" t="s">
        <v>36</v>
      </c>
      <c r="C27" s="6">
        <v>362</v>
      </c>
      <c r="D27" s="6">
        <v>32</v>
      </c>
      <c r="E27" s="6">
        <f>C27+D27</f>
        <v>394.0</v>
      </c>
      <c r="F27" s="6">
        <v>31</v>
      </c>
      <c r="G27" s="6">
        <v>4712</v>
      </c>
      <c r="H27" s="7">
        <f>IFERROR(E27/G27,0)</f>
        <v>0.08361629881154499</v>
      </c>
      <c r="I27" s="5" t="s">
        <v>43</v>
      </c>
    </row>
    <row r="28" spans="1:9" ht="28" customHeight="1">
      <c r="A28" s="5" t="s">
        <v>21</v>
      </c>
      <c r="B28" s="5" t="s">
        <v>38</v>
      </c>
      <c r="C28" s="6">
        <v>0</v>
      </c>
      <c r="D28" s="6">
        <v>0</v>
      </c>
      <c r="E28" s="6">
        <f>C28+D28</f>
        <v>0.0</v>
      </c>
      <c r="F28" s="6">
        <v>1</v>
      </c>
      <c r="G28" s="6">
        <v>152</v>
      </c>
      <c r="H28" s="7">
        <f>IFERROR(E28/G28,0)</f>
        <v>0.0</v>
      </c>
      <c r="I28" s="5" t="s">
        <v>45</v>
      </c>
    </row>
    <row r="29" spans="1:9" ht="28" customHeight="1">
      <c r="A29" s="5" t="s">
        <v>21</v>
      </c>
      <c r="B29" s="5" t="s">
        <v>40</v>
      </c>
      <c r="C29" s="6">
        <v>13</v>
      </c>
      <c r="D29" s="6">
        <v>0</v>
      </c>
      <c r="E29" s="6">
        <f>C29+D29</f>
        <v>13.0</v>
      </c>
      <c r="F29" s="6">
        <v>6</v>
      </c>
      <c r="G29" s="6">
        <v>912</v>
      </c>
      <c r="H29" s="7">
        <f>IFERROR(E29/G29,0)</f>
        <v>0.01425438596491228</v>
      </c>
      <c r="I29" s="5" t="s">
        <v>47</v>
      </c>
    </row>
    <row r="30" spans="1:9" ht="28" customHeight="1">
      <c r="A30" s="5" t="s">
        <v>21</v>
      </c>
      <c r="B30" s="5" t="s">
        <v>42</v>
      </c>
      <c r="C30" s="6">
        <v>64</v>
      </c>
      <c r="D30" s="6">
        <v>0</v>
      </c>
      <c r="E30" s="6">
        <f>C30+D30</f>
        <v>64.0</v>
      </c>
      <c r="F30" s="6">
        <v>22</v>
      </c>
      <c r="G30" s="6">
        <v>3344</v>
      </c>
      <c r="H30" s="7">
        <f>IFERROR(E30/G30,0)</f>
        <v>0.019138755980861243</v>
      </c>
      <c r="I30" s="5" t="s">
        <v>49</v>
      </c>
    </row>
    <row r="31" spans="1:9" ht="28" customHeight="1">
      <c r="A31" s="5" t="s">
        <v>21</v>
      </c>
      <c r="B31" s="5" t="s">
        <v>34</v>
      </c>
      <c r="C31" s="6">
        <v>97</v>
      </c>
      <c r="D31" s="6">
        <v>0</v>
      </c>
      <c r="E31" s="6">
        <f>C31+D31</f>
        <v>97.0</v>
      </c>
      <c r="F31" s="6">
        <v>10</v>
      </c>
      <c r="G31" s="6">
        <v>1520</v>
      </c>
      <c r="H31" s="7">
        <f>IFERROR(E31/G31,0)</f>
        <v>0.06381578947368421</v>
      </c>
      <c r="I31" s="5" t="s">
        <v>51</v>
      </c>
    </row>
    <row r="32" spans="1:9" ht="28" customHeight="1">
      <c r="A32" s="5" t="s">
        <v>21</v>
      </c>
      <c r="B32" s="5" t="s">
        <v>50</v>
      </c>
      <c r="C32" s="6">
        <v>397</v>
      </c>
      <c r="D32" s="6">
        <v>269</v>
      </c>
      <c r="E32" s="6">
        <f>C32+D32</f>
        <v>666.0</v>
      </c>
      <c r="F32" s="6">
        <v>56</v>
      </c>
      <c r="G32" s="6">
        <v>8512</v>
      </c>
      <c r="H32" s="7">
        <f>IFERROR(E32/G32,0)</f>
        <v>0.07824248120300752</v>
      </c>
      <c r="I32" s="5" t="s">
        <v>53</v>
      </c>
    </row>
    <row r="33" spans="1:9" ht="28" customHeight="1">
      <c r="A33" s="5" t="s">
        <v>21</v>
      </c>
      <c r="B33" s="5" t="s">
        <v>56</v>
      </c>
      <c r="C33" s="6">
        <v>56</v>
      </c>
      <c r="D33" s="6">
        <v>0</v>
      </c>
      <c r="E33" s="6">
        <f>C33+D33</f>
        <v>56.0</v>
      </c>
      <c r="F33" s="6">
        <v>19</v>
      </c>
      <c r="G33" s="6">
        <v>2888</v>
      </c>
      <c r="H33" s="7">
        <f>IFERROR(E33/G33,0)</f>
        <v>0.019390581717451522</v>
      </c>
      <c r="I33" s="5" t="s">
        <v>55</v>
      </c>
    </row>
    <row r="34" spans="1:9" ht="28" customHeight="1">
      <c r="A34" s="5" t="s">
        <v>21</v>
      </c>
      <c r="B34" s="5" t="s">
        <v>60</v>
      </c>
      <c r="C34" s="6">
        <v>8</v>
      </c>
      <c r="D34" s="6">
        <v>0</v>
      </c>
      <c r="E34" s="6">
        <f>C34+D34</f>
        <v>8.0</v>
      </c>
      <c r="F34" s="6">
        <v>1</v>
      </c>
      <c r="G34" s="6">
        <v>152</v>
      </c>
      <c r="H34" s="7">
        <f>IFERROR(E34/G34,0)</f>
        <v>0.05263157894736842</v>
      </c>
      <c r="I34" s="5" t="s">
        <v>57</v>
      </c>
    </row>
    <row r="35" spans="1:9" ht="28" customHeight="1">
      <c r="A35" s="5" t="s">
        <v>21</v>
      </c>
      <c r="B35" s="5" t="s">
        <v>58</v>
      </c>
      <c r="C35" s="6">
        <v>0</v>
      </c>
      <c r="D35" s="6">
        <v>0</v>
      </c>
      <c r="E35" s="6">
        <f>C35+D35</f>
        <v>0.0</v>
      </c>
      <c r="F35" s="6">
        <v>2</v>
      </c>
      <c r="G35" s="6">
        <v>304</v>
      </c>
      <c r="H35" s="7">
        <f>IFERROR(E35/G35,0)</f>
        <v>0.0</v>
      </c>
      <c r="I35" s="5" t="s">
        <v>59</v>
      </c>
    </row>
    <row r="36" spans="1:9" ht="28" customHeight="1">
      <c r="A36" s="5" t="s">
        <v>21</v>
      </c>
      <c r="B36" s="5" t="s">
        <v>62</v>
      </c>
      <c r="C36" s="6">
        <v>0</v>
      </c>
      <c r="D36" s="6">
        <v>0</v>
      </c>
      <c r="E36" s="6">
        <f>C36+D36</f>
        <v>0.0</v>
      </c>
      <c r="F36" s="6">
        <v>1</v>
      </c>
      <c r="G36" s="6">
        <v>152</v>
      </c>
      <c r="H36" s="7">
        <f>IFERROR(E36/G36,0)</f>
        <v>0.0</v>
      </c>
      <c r="I36" s="5" t="s">
        <v>61</v>
      </c>
    </row>
    <row r="37" spans="1:9" ht="28" customHeight="1">
      <c r="A37" s="5" t="s">
        <v>21</v>
      </c>
      <c r="B37" s="5" t="s">
        <v>46</v>
      </c>
      <c r="C37" s="6">
        <v>0</v>
      </c>
      <c r="D37" s="6">
        <v>0</v>
      </c>
      <c r="E37" s="6">
        <f>C37+D37</f>
        <v>0.0</v>
      </c>
      <c r="F37" s="6">
        <v>1</v>
      </c>
      <c r="G37" s="6">
        <v>152</v>
      </c>
      <c r="H37" s="7">
        <f>IFERROR(E37/G37,0)</f>
        <v>0.0</v>
      </c>
      <c r="I37" s="5" t="s">
        <v>63</v>
      </c>
    </row>
    <row r="38" spans="1:9" ht="28" customHeight="1">
      <c r="A38" s="5" t="s">
        <v>21</v>
      </c>
      <c r="B38" s="5" t="s">
        <v>70</v>
      </c>
      <c r="C38" s="6">
        <v>0</v>
      </c>
      <c r="D38" s="6">
        <v>0</v>
      </c>
      <c r="E38" s="6">
        <f>C38+D38</f>
        <v>0.0</v>
      </c>
      <c r="F38" s="6">
        <v>1</v>
      </c>
      <c r="G38" s="6">
        <v>152</v>
      </c>
      <c r="H38" s="7">
        <f>IFERROR(E38/G38,0)</f>
        <v>0.0</v>
      </c>
      <c r="I38" s="5" t="s">
        <v>65</v>
      </c>
    </row>
    <row r="39" spans="1:9" ht="28" customHeight="1">
      <c r="A39" s="5" t="s">
        <v>21</v>
      </c>
      <c r="B39" s="5" t="s">
        <v>72</v>
      </c>
      <c r="C39" s="6">
        <v>2</v>
      </c>
      <c r="D39" s="6">
        <v>0</v>
      </c>
      <c r="E39" s="6">
        <f>C39+D39</f>
        <v>2.0</v>
      </c>
      <c r="F39" s="6">
        <v>1</v>
      </c>
      <c r="G39" s="6">
        <v>152</v>
      </c>
      <c r="H39" s="7">
        <f>IFERROR(E39/G39,0)</f>
        <v>0.013157894736842105</v>
      </c>
      <c r="I39" s="5" t="s">
        <v>67</v>
      </c>
    </row>
    <row r="40" spans="1:9" ht="28" customHeight="1">
      <c r="A40" s="5" t="s">
        <v>21</v>
      </c>
      <c r="B40" s="5" t="s">
        <v>132</v>
      </c>
      <c r="C40" s="6">
        <v>18</v>
      </c>
      <c r="D40" s="6">
        <v>0</v>
      </c>
      <c r="E40" s="6">
        <f>C40+D40</f>
        <v>18.0</v>
      </c>
      <c r="F40" s="6">
        <v>10</v>
      </c>
      <c r="G40" s="6">
        <v>1520</v>
      </c>
      <c r="H40" s="7">
        <f>IFERROR(E40/G40,0)</f>
        <v>0.011842105263157895</v>
      </c>
      <c r="I40" s="5" t="s">
        <v>69</v>
      </c>
    </row>
    <row r="41" spans="1:9" ht="28" customHeight="1">
      <c r="A41" s="5" t="s">
        <v>21</v>
      </c>
      <c r="B41" s="5" t="s">
        <v>74</v>
      </c>
      <c r="C41" s="6">
        <v>12</v>
      </c>
      <c r="D41" s="6">
        <v>0</v>
      </c>
      <c r="E41" s="6">
        <f>C41+D41</f>
        <v>12.0</v>
      </c>
      <c r="F41" s="6">
        <v>7</v>
      </c>
      <c r="G41" s="6">
        <v>1064</v>
      </c>
      <c r="H41" s="7">
        <f>IFERROR(E41/G41,0)</f>
        <v>0.011278195488721804</v>
      </c>
      <c r="I41" s="5" t="s">
        <v>71</v>
      </c>
    </row>
    <row r="42" spans="1:9" ht="28" customHeight="1">
      <c r="A42" s="5" t="s">
        <v>21</v>
      </c>
      <c r="B42" s="5" t="s">
        <v>76</v>
      </c>
      <c r="C42" s="6">
        <v>3</v>
      </c>
      <c r="D42" s="6">
        <v>0</v>
      </c>
      <c r="E42" s="6">
        <f>C42+D42</f>
        <v>3.0</v>
      </c>
      <c r="F42" s="6">
        <v>3</v>
      </c>
      <c r="G42" s="6">
        <v>456</v>
      </c>
      <c r="H42" s="7">
        <f>IFERROR(E42/G42,0)</f>
        <v>0.006578947368421052</v>
      </c>
      <c r="I42" s="5" t="s">
        <v>73</v>
      </c>
    </row>
    <row r="43" spans="1:9" ht="28" customHeight="1">
      <c r="A43" s="5" t="s">
        <v>21</v>
      </c>
      <c r="B43" s="5" t="s">
        <v>141</v>
      </c>
      <c r="C43" s="6">
        <v>19</v>
      </c>
      <c r="D43" s="6">
        <v>0</v>
      </c>
      <c r="E43" s="6">
        <f>C43+D43</f>
        <v>19.0</v>
      </c>
      <c r="F43" s="6">
        <v>8</v>
      </c>
      <c r="G43" s="6">
        <v>1216</v>
      </c>
      <c r="H43" s="7">
        <f>IFERROR(E43/G43,0)</f>
        <v>0.015625</v>
      </c>
      <c r="I43" s="5" t="s">
        <v>75</v>
      </c>
    </row>
    <row r="44" spans="1:9" ht="28" customHeight="1">
      <c r="A44" s="5" t="s">
        <v>21</v>
      </c>
      <c r="B44" s="5" t="s">
        <v>133</v>
      </c>
      <c r="C44" s="6">
        <v>38</v>
      </c>
      <c r="D44" s="6">
        <v>16</v>
      </c>
      <c r="E44" s="6">
        <f>C44+D44</f>
        <v>54.0</v>
      </c>
      <c r="F44" s="6">
        <v>21</v>
      </c>
      <c r="G44" s="6">
        <v>3192</v>
      </c>
      <c r="H44" s="7">
        <f>IFERROR(E44/G44,0)</f>
        <v>0.016917293233082706</v>
      </c>
      <c r="I44" s="5" t="s">
        <v>77</v>
      </c>
    </row>
    <row r="45" spans="1:9" ht="28" customHeight="1">
      <c r="A45" s="5" t="s">
        <v>21</v>
      </c>
      <c r="B45" s="5" t="s">
        <v>80</v>
      </c>
      <c r="C45" s="6">
        <v>404</v>
      </c>
      <c r="D45" s="6">
        <v>0</v>
      </c>
      <c r="E45" s="6">
        <f>C45+D45</f>
        <v>404.0</v>
      </c>
      <c r="F45" s="6">
        <v>20</v>
      </c>
      <c r="G45" s="6">
        <v>3040</v>
      </c>
      <c r="H45" s="7">
        <f>IFERROR(E45/G45,0)</f>
        <v>0.13289473684210526</v>
      </c>
      <c r="I45" s="5" t="s">
        <v>79</v>
      </c>
    </row>
    <row r="46" spans="1:9" ht="28" customHeight="1">
      <c r="A46" s="5" t="s">
        <v>21</v>
      </c>
      <c r="B46" s="5" t="s">
        <v>82</v>
      </c>
      <c r="C46" s="6">
        <v>160</v>
      </c>
      <c r="D46" s="6">
        <v>0</v>
      </c>
      <c r="E46" s="6">
        <f>C46+D46</f>
        <v>160.0</v>
      </c>
      <c r="F46" s="6">
        <v>2</v>
      </c>
      <c r="G46" s="6">
        <v>304</v>
      </c>
      <c r="H46" s="7">
        <f>IFERROR(E46/G46,0)</f>
        <v>0.5263157894736842</v>
      </c>
      <c r="I46" s="5" t="s">
        <v>81</v>
      </c>
    </row>
    <row r="47" spans="1:9" ht="28" customHeight="1">
      <c r="A47" s="5" t="s">
        <v>21</v>
      </c>
      <c r="B47" s="5" t="s">
        <v>134</v>
      </c>
      <c r="C47" s="6">
        <v>19</v>
      </c>
      <c r="D47" s="6">
        <v>0</v>
      </c>
      <c r="E47" s="6">
        <f>C47+D47</f>
        <v>19.0</v>
      </c>
      <c r="F47" s="6">
        <v>3</v>
      </c>
      <c r="G47" s="6">
        <v>456</v>
      </c>
      <c r="H47" s="7">
        <f>IFERROR(E47/G47,0)</f>
        <v>0.041666666666666664</v>
      </c>
      <c r="I47" s="5" t="s">
        <v>83</v>
      </c>
    </row>
    <row r="48" spans="1:9" ht="28" customHeight="1">
      <c r="A48" s="5" t="s">
        <v>21</v>
      </c>
      <c r="B48" s="5" t="s">
        <v>84</v>
      </c>
      <c r="C48" s="6">
        <v>2</v>
      </c>
      <c r="D48" s="6">
        <v>80</v>
      </c>
      <c r="E48" s="6">
        <f>C48+D48</f>
        <v>82.0</v>
      </c>
      <c r="F48" s="6">
        <v>7</v>
      </c>
      <c r="G48" s="6">
        <v>1064</v>
      </c>
      <c r="H48" s="7">
        <f>IFERROR(E48/G48,0)</f>
        <v>0.07706766917293233</v>
      </c>
      <c r="I48" s="5" t="s">
        <v>85</v>
      </c>
    </row>
    <row r="49" spans="1:9" ht="28" customHeight="1">
      <c r="A49" s="5" t="s">
        <v>21</v>
      </c>
      <c r="B49" s="5" t="s">
        <v>86</v>
      </c>
      <c r="C49" s="6">
        <v>0</v>
      </c>
      <c r="D49" s="6">
        <v>0</v>
      </c>
      <c r="E49" s="6">
        <f>C49+D49</f>
        <v>0.0</v>
      </c>
      <c r="F49" s="6">
        <v>4</v>
      </c>
      <c r="G49" s="6">
        <v>608</v>
      </c>
      <c r="H49" s="7">
        <f>IFERROR(E49/G49,0)</f>
        <v>0.0</v>
      </c>
      <c r="I49" s="5" t="s">
        <v>87</v>
      </c>
    </row>
    <row r="50" spans="1:9" ht="28" customHeight="1">
      <c r="A50" s="5" t="s">
        <v>88</v>
      </c>
      <c r="B50" s="5" t="s">
        <v>30</v>
      </c>
      <c r="C50" s="6">
        <v>9</v>
      </c>
      <c r="D50" s="6">
        <v>0</v>
      </c>
      <c r="E50" s="6">
        <f>C50+D50</f>
        <v>9.0</v>
      </c>
      <c r="F50" s="6">
        <v>1</v>
      </c>
      <c r="G50" s="6">
        <v>152</v>
      </c>
      <c r="H50" s="7">
        <f>IFERROR(E50/G50,0)</f>
        <v>0.05921052631578947</v>
      </c>
      <c r="I50" s="5" t="s">
        <v>90</v>
      </c>
    </row>
    <row r="51" spans="1:9" ht="28" customHeight="1">
      <c r="A51" s="5" t="s">
        <v>88</v>
      </c>
      <c r="B51" s="5" t="s">
        <v>32</v>
      </c>
      <c r="C51" s="6">
        <v>0</v>
      </c>
      <c r="D51" s="6">
        <v>0</v>
      </c>
      <c r="E51" s="6">
        <f>C51+D51</f>
        <v>0.0</v>
      </c>
      <c r="F51" s="6">
        <v>1</v>
      </c>
      <c r="G51" s="6">
        <v>152</v>
      </c>
      <c r="H51" s="7">
        <f>IFERROR(E51/G51,0)</f>
        <v>0.0</v>
      </c>
      <c r="I51" s="5" t="s">
        <v>91</v>
      </c>
    </row>
    <row r="52" spans="1:9" ht="28" customHeight="1">
      <c r="A52" s="5" t="s">
        <v>88</v>
      </c>
      <c r="B52" s="5" t="s">
        <v>36</v>
      </c>
      <c r="C52" s="6">
        <v>0</v>
      </c>
      <c r="D52" s="6">
        <v>0</v>
      </c>
      <c r="E52" s="6">
        <f>C52+D52</f>
        <v>0.0</v>
      </c>
      <c r="F52" s="6">
        <v>1</v>
      </c>
      <c r="G52" s="6">
        <v>152</v>
      </c>
      <c r="H52" s="7">
        <f>IFERROR(E52/G52,0)</f>
        <v>0.0</v>
      </c>
      <c r="I52" s="5" t="s">
        <v>92</v>
      </c>
    </row>
    <row r="53" spans="1:9" ht="28" customHeight="1">
      <c r="A53" s="5" t="s">
        <v>88</v>
      </c>
      <c r="B53" s="5" t="s">
        <v>38</v>
      </c>
      <c r="C53" s="6">
        <v>2</v>
      </c>
      <c r="D53" s="6">
        <v>0</v>
      </c>
      <c r="E53" s="6">
        <f>C53+D53</f>
        <v>2.0</v>
      </c>
      <c r="F53" s="6">
        <v>1</v>
      </c>
      <c r="G53" s="6">
        <v>152</v>
      </c>
      <c r="H53" s="7">
        <f>IFERROR(E53/G53,0)</f>
        <v>0.013157894736842105</v>
      </c>
      <c r="I53" s="5" t="s">
        <v>93</v>
      </c>
    </row>
    <row r="54" spans="1:9" ht="28" customHeight="1">
      <c r="A54" s="5" t="s">
        <v>88</v>
      </c>
      <c r="B54" s="5" t="s">
        <v>95</v>
      </c>
      <c r="C54" s="6">
        <v>0</v>
      </c>
      <c r="D54" s="6">
        <v>0</v>
      </c>
      <c r="E54" s="6">
        <f>C54+D54</f>
        <v>0.0</v>
      </c>
      <c r="F54" s="6">
        <v>3</v>
      </c>
      <c r="G54" s="6">
        <v>456</v>
      </c>
      <c r="H54" s="7">
        <f>IFERROR(E54/G54,0)</f>
        <v>0.0</v>
      </c>
      <c r="I54" s="5" t="s">
        <v>94</v>
      </c>
    </row>
    <row r="55" spans="1:9" ht="28" customHeight="1">
      <c r="A55" s="5" t="s">
        <v>88</v>
      </c>
      <c r="B55" s="5" t="s">
        <v>44</v>
      </c>
      <c r="C55" s="6">
        <v>0</v>
      </c>
      <c r="D55" s="6">
        <v>0</v>
      </c>
      <c r="E55" s="6">
        <f>C55+D55</f>
        <v>0.0</v>
      </c>
      <c r="F55" s="6">
        <v>1</v>
      </c>
      <c r="G55" s="6">
        <v>152</v>
      </c>
      <c r="H55" s="7">
        <f>IFERROR(E55/G55,0)</f>
        <v>0.0</v>
      </c>
      <c r="I55" s="5" t="s">
        <v>96</v>
      </c>
    </row>
    <row r="56" spans="1:9" ht="28" customHeight="1">
      <c r="A56" s="5" t="s">
        <v>88</v>
      </c>
      <c r="B56" s="5" t="s">
        <v>48</v>
      </c>
      <c r="C56" s="6">
        <v>0</v>
      </c>
      <c r="D56" s="6">
        <v>0</v>
      </c>
      <c r="E56" s="6">
        <f>C56+D56</f>
        <v>0.0</v>
      </c>
      <c r="F56" s="6">
        <v>1</v>
      </c>
      <c r="G56" s="6">
        <v>152</v>
      </c>
      <c r="H56" s="7">
        <f>IFERROR(E56/G56,0)</f>
        <v>0.0</v>
      </c>
      <c r="I56" s="5" t="s">
        <v>97</v>
      </c>
    </row>
    <row r="57" spans="1:9" ht="28" customHeight="1">
      <c r="A57" s="5" t="s">
        <v>88</v>
      </c>
      <c r="B57" s="5" t="s">
        <v>99</v>
      </c>
      <c r="C57" s="6">
        <v>0</v>
      </c>
      <c r="D57" s="6">
        <v>0</v>
      </c>
      <c r="E57" s="6">
        <f>C57+D57</f>
        <v>0.0</v>
      </c>
      <c r="F57" s="6">
        <v>1</v>
      </c>
      <c r="G57" s="6">
        <v>152</v>
      </c>
      <c r="H57" s="7">
        <f>IFERROR(E57/G57,0)</f>
        <v>0.0</v>
      </c>
      <c r="I57" s="5" t="s">
        <v>98</v>
      </c>
    </row>
    <row r="58" spans="1:9" ht="28" customHeight="1">
      <c r="A58" s="5" t="s">
        <v>88</v>
      </c>
      <c r="B58" s="5" t="s">
        <v>54</v>
      </c>
      <c r="C58" s="6">
        <v>10</v>
      </c>
      <c r="D58" s="6">
        <v>0</v>
      </c>
      <c r="E58" s="6">
        <f>C58+D58</f>
        <v>10.0</v>
      </c>
      <c r="F58" s="6">
        <v>1</v>
      </c>
      <c r="G58" s="6">
        <v>152</v>
      </c>
      <c r="H58" s="7">
        <f>IFERROR(E58/G58,0)</f>
        <v>0.06578947368421052</v>
      </c>
      <c r="I58" s="5" t="s">
        <v>100</v>
      </c>
    </row>
    <row r="59" spans="1:9" ht="28" customHeight="1">
      <c r="A59" s="5" t="s">
        <v>88</v>
      </c>
      <c r="B59" s="5" t="s">
        <v>142</v>
      </c>
      <c r="C59" s="6">
        <v>2</v>
      </c>
      <c r="D59" s="6">
        <v>0</v>
      </c>
      <c r="E59" s="6">
        <f>C59+D59</f>
        <v>2.0</v>
      </c>
      <c r="F59" s="6">
        <v>4</v>
      </c>
      <c r="G59" s="6">
        <v>608</v>
      </c>
      <c r="H59" s="7">
        <f>IFERROR(E59/G59,0)</f>
        <v>0.003289473684210526</v>
      </c>
      <c r="I59" s="5" t="s">
        <v>101</v>
      </c>
    </row>
    <row r="60" spans="1:9" ht="28" customHeight="1">
      <c r="A60" s="5" t="s">
        <v>88</v>
      </c>
      <c r="B60" s="5" t="s">
        <v>104</v>
      </c>
      <c r="C60" s="6">
        <v>0</v>
      </c>
      <c r="D60" s="6">
        <v>0</v>
      </c>
      <c r="E60" s="6">
        <f>C60+D60</f>
        <v>0.0</v>
      </c>
      <c r="F60" s="6">
        <v>1</v>
      </c>
      <c r="G60" s="6">
        <v>152</v>
      </c>
      <c r="H60" s="7">
        <f>IFERROR(E60/G60,0)</f>
        <v>0.0</v>
      </c>
      <c r="I60" s="5" t="s">
        <v>102</v>
      </c>
    </row>
    <row r="61" spans="1:9" ht="28" customHeight="1">
      <c r="A61" s="5" t="s">
        <v>88</v>
      </c>
      <c r="B61" s="5" t="s">
        <v>62</v>
      </c>
      <c r="C61" s="6">
        <v>0</v>
      </c>
      <c r="D61" s="6">
        <v>0</v>
      </c>
      <c r="E61" s="6">
        <f>C61+D61</f>
        <v>0.0</v>
      </c>
      <c r="F61" s="6">
        <v>1</v>
      </c>
      <c r="G61" s="6">
        <v>152</v>
      </c>
      <c r="H61" s="7">
        <f>IFERROR(E61/G61,0)</f>
        <v>0.0</v>
      </c>
      <c r="I61" s="5" t="s">
        <v>103</v>
      </c>
    </row>
    <row r="62" spans="1:9" ht="28" customHeight="1">
      <c r="A62" s="5" t="s">
        <v>88</v>
      </c>
      <c r="B62" s="5" t="s">
        <v>107</v>
      </c>
      <c r="C62" s="6">
        <v>0</v>
      </c>
      <c r="D62" s="6">
        <v>0</v>
      </c>
      <c r="E62" s="6">
        <f>C62+D62</f>
        <v>0.0</v>
      </c>
      <c r="F62" s="6">
        <v>2</v>
      </c>
      <c r="G62" s="6">
        <v>304</v>
      </c>
      <c r="H62" s="7">
        <f>IFERROR(E62/G62,0)</f>
        <v>0.0</v>
      </c>
      <c r="I62" s="5" t="s">
        <v>105</v>
      </c>
    </row>
    <row r="63" spans="1:9" ht="28" customHeight="1">
      <c r="A63" s="5" t="s">
        <v>88</v>
      </c>
      <c r="B63" s="5" t="s">
        <v>64</v>
      </c>
      <c r="C63" s="6">
        <v>0</v>
      </c>
      <c r="D63" s="6">
        <v>0</v>
      </c>
      <c r="E63" s="6">
        <f>C63+D63</f>
        <v>0.0</v>
      </c>
      <c r="F63" s="6">
        <v>3</v>
      </c>
      <c r="G63" s="6">
        <v>456</v>
      </c>
      <c r="H63" s="7">
        <f>IFERROR(E63/G63,0)</f>
        <v>0.0</v>
      </c>
      <c r="I63" s="5" t="s">
        <v>106</v>
      </c>
    </row>
    <row r="64" spans="1:9" ht="28" customHeight="1">
      <c r="A64" s="5" t="s">
        <v>88</v>
      </c>
      <c r="B64" s="5" t="s">
        <v>66</v>
      </c>
      <c r="C64" s="6">
        <v>0</v>
      </c>
      <c r="D64" s="6">
        <v>0</v>
      </c>
      <c r="E64" s="6">
        <f>C64+D64</f>
        <v>0.0</v>
      </c>
      <c r="F64" s="6">
        <v>2</v>
      </c>
      <c r="G64" s="6">
        <v>304</v>
      </c>
      <c r="H64" s="7">
        <f>IFERROR(E64/G64,0)</f>
        <v>0.0</v>
      </c>
      <c r="I64" s="5" t="s">
        <v>108</v>
      </c>
    </row>
    <row r="65" spans="1:9" ht="28" customHeight="1">
      <c r="A65" s="5" t="s">
        <v>88</v>
      </c>
      <c r="B65" s="5" t="s">
        <v>68</v>
      </c>
      <c r="C65" s="6">
        <v>0</v>
      </c>
      <c r="D65" s="6">
        <v>0</v>
      </c>
      <c r="E65" s="6">
        <f>C65+D65</f>
        <v>0.0</v>
      </c>
      <c r="F65" s="6">
        <v>2</v>
      </c>
      <c r="G65" s="6">
        <v>304</v>
      </c>
      <c r="H65" s="7">
        <f>IFERROR(E65/G65,0)</f>
        <v>0.0</v>
      </c>
      <c r="I65" s="5" t="s">
        <v>109</v>
      </c>
    </row>
    <row r="66" spans="1:9" ht="28" customHeight="1">
      <c r="A66" s="5" t="s">
        <v>88</v>
      </c>
      <c r="B66" s="5" t="s">
        <v>70</v>
      </c>
      <c r="C66" s="6">
        <v>0</v>
      </c>
      <c r="D66" s="6">
        <v>0</v>
      </c>
      <c r="E66" s="6">
        <f>C66+D66</f>
        <v>0.0</v>
      </c>
      <c r="F66" s="6">
        <v>2</v>
      </c>
      <c r="G66" s="6">
        <v>304</v>
      </c>
      <c r="H66" s="7">
        <f>IFERROR(E66/G66,0)</f>
        <v>0.0</v>
      </c>
      <c r="I66" s="5" t="s">
        <v>110</v>
      </c>
    </row>
    <row r="67" spans="1:9" ht="28" customHeight="1">
      <c r="A67" s="5" t="s">
        <v>88</v>
      </c>
      <c r="B67" s="5" t="s">
        <v>72</v>
      </c>
      <c r="C67" s="6">
        <v>0</v>
      </c>
      <c r="D67" s="6">
        <v>0</v>
      </c>
      <c r="E67" s="6">
        <f>C67+D67</f>
        <v>0.0</v>
      </c>
      <c r="F67" s="6">
        <v>3</v>
      </c>
      <c r="G67" s="6">
        <v>456</v>
      </c>
      <c r="H67" s="7">
        <f>IFERROR(E67/G67,0)</f>
        <v>0.0</v>
      </c>
      <c r="I67" s="5" t="s">
        <v>111</v>
      </c>
    </row>
    <row r="68" spans="1:9" ht="28" customHeight="1">
      <c r="A68" s="5" t="s">
        <v>88</v>
      </c>
      <c r="B68" s="5" t="s">
        <v>76</v>
      </c>
      <c r="C68" s="6">
        <v>0</v>
      </c>
      <c r="D68" s="6">
        <v>0</v>
      </c>
      <c r="E68" s="6">
        <f>C68+D68</f>
        <v>0.0</v>
      </c>
      <c r="F68" s="6">
        <v>4</v>
      </c>
      <c r="G68" s="6">
        <v>608</v>
      </c>
      <c r="H68" s="7">
        <f>IFERROR(E68/G68,0)</f>
        <v>0.0</v>
      </c>
      <c r="I68" s="5" t="s">
        <v>112</v>
      </c>
    </row>
    <row r="69" spans="1:9" ht="28" customHeight="1">
      <c r="A69" s="5" t="s">
        <v>88</v>
      </c>
      <c r="B69" s="5" t="s">
        <v>78</v>
      </c>
      <c r="C69" s="6">
        <v>0</v>
      </c>
      <c r="D69" s="6">
        <v>0</v>
      </c>
      <c r="E69" s="6">
        <f>C69+D69</f>
        <v>0.0</v>
      </c>
      <c r="F69" s="6">
        <v>1</v>
      </c>
      <c r="G69" s="6">
        <v>152</v>
      </c>
      <c r="H69" s="7">
        <f>IFERROR(E69/G69,0)</f>
        <v>0.0</v>
      </c>
      <c r="I69" s="5" t="s">
        <v>113</v>
      </c>
    </row>
    <row r="70" spans="1:9" ht="28" customHeight="1">
      <c r="A70" s="5" t="s">
        <v>88</v>
      </c>
      <c r="B70" s="5" t="s">
        <v>80</v>
      </c>
      <c r="C70" s="6">
        <v>0</v>
      </c>
      <c r="D70" s="6">
        <v>0</v>
      </c>
      <c r="E70" s="6">
        <f>C70+D70</f>
        <v>0.0</v>
      </c>
      <c r="F70" s="6">
        <v>1</v>
      </c>
      <c r="G70" s="6">
        <v>152</v>
      </c>
      <c r="H70" s="7">
        <f>IFERROR(E70/G70,0)</f>
        <v>0.0</v>
      </c>
      <c r="I70" s="5" t="s">
        <v>114</v>
      </c>
    </row>
    <row r="71" spans="1:9" ht="28" customHeight="1">
      <c r="A71" s="5" t="s">
        <v>88</v>
      </c>
      <c r="B71" s="5" t="s">
        <v>116</v>
      </c>
      <c r="C71" s="6">
        <v>0</v>
      </c>
      <c r="D71" s="6">
        <v>0</v>
      </c>
      <c r="E71" s="6">
        <f>C71+D71</f>
        <v>0.0</v>
      </c>
      <c r="F71" s="6">
        <v>1</v>
      </c>
      <c r="G71" s="6">
        <v>152</v>
      </c>
      <c r="H71" s="7">
        <f>IFERROR(E71/G71,0)</f>
        <v>0.0</v>
      </c>
      <c r="I71" s="5" t="s">
        <v>115</v>
      </c>
    </row>
    <row r="72" spans="1:9" ht="28" customHeight="1">
      <c r="A72" s="5" t="s">
        <v>88</v>
      </c>
      <c r="B72" s="5" t="s">
        <v>86</v>
      </c>
      <c r="C72" s="6">
        <v>0</v>
      </c>
      <c r="D72" s="6">
        <v>0</v>
      </c>
      <c r="E72" s="6">
        <f>C72+D72</f>
        <v>0.0</v>
      </c>
      <c r="F72" s="6">
        <v>1</v>
      </c>
      <c r="G72" s="6">
        <v>152</v>
      </c>
      <c r="H72" s="7">
        <f>IFERROR(E72/G72,0)</f>
        <v>0.0</v>
      </c>
      <c r="I72" s="5" t="s">
        <v>117</v>
      </c>
    </row>
    <row r="73" spans="1:9" ht="28" customHeight="1">
      <c r="A73" s="5" t="s">
        <v>88</v>
      </c>
      <c r="B73" s="5" t="s">
        <v>119</v>
      </c>
      <c r="C73" s="6">
        <v>16</v>
      </c>
      <c r="D73" s="6">
        <v>0</v>
      </c>
      <c r="E73" s="6">
        <f>C73+D73</f>
        <v>16.0</v>
      </c>
      <c r="F73" s="6">
        <v>1</v>
      </c>
      <c r="G73" s="6">
        <v>152</v>
      </c>
      <c r="H73" s="7">
        <f>IFERROR(E73/G73,0)</f>
        <v>0.10526315789473684</v>
      </c>
      <c r="I73" s="5" t="s">
        <v>118</v>
      </c>
    </row>
  </sheetData>
  <autoFilter ref="A16:I73"/>
  <mergeCells count="3">
    <mergeCell ref="A1:L2"/>
    <mergeCell ref="A3:L4"/>
    <mergeCell ref="A11:L13"/>
  </mergeCells>
  <hyperlinks>
    <hyperlink ref="A5" location="'Resumen ejecutivo'!A1" display="Volver al resumen"/>
  </hyperlinks>
  <pageMargins left="0.3" right="0.3" top="0.4" bottom="0.4" header="0.3" footer="0.3"/>
  <pageSetup paperSize="9" fitToHeight="0" orientation="landscape"/>
  <headerFooter>
    <oddFooter>&amp;LServicio Médico | 1S2026&amp;R&amp;P de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45.7109375" customWidth="1"/>
    <col min="3" max="8" width="15.7109375" customWidth="1"/>
    <col min="9" max="9" width="40.7109375" customWidth="1"/>
    <col min="10" max="12" width="15.7109375" customWidth="1"/>
  </cols>
  <sheetData>
    <row r="1" spans="1:12" ht="24" customHeight="1">
      <c r="A1" s="1" t="s">
        <v>143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3" t="s">
        <v>2</v>
      </c>
    </row>
    <row r="6" spans="1:12" ht="50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8" spans="1:12">
      <c r="A8" s="5" t="s">
        <v>145</v>
      </c>
      <c r="B8" s="6">
        <v>70224</v>
      </c>
      <c r="C8" s="6">
        <v>3358</v>
      </c>
      <c r="D8" s="6">
        <v>694</v>
      </c>
      <c r="E8" s="6">
        <f>C8+D8</f>
        <v>4052</v>
      </c>
      <c r="F8" s="6">
        <v>2778</v>
      </c>
      <c r="G8" s="6">
        <v>3985</v>
      </c>
      <c r="H8" s="6">
        <f>E8+F8+G8</f>
        <v>10815</v>
      </c>
      <c r="I8" s="6">
        <v>1144</v>
      </c>
      <c r="J8" s="6">
        <v>418</v>
      </c>
      <c r="K8" s="7">
        <f>E8/B8</f>
        <v>0.05770107085896559</v>
      </c>
      <c r="L8" s="7">
        <f>H8/B8</f>
        <v>0.15400717703349281</v>
      </c>
    </row>
    <row r="11" spans="1:12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2" customHeight="1">
      <c r="A16" s="4" t="s">
        <v>17</v>
      </c>
      <c r="B16" s="4" t="s">
        <v>18</v>
      </c>
      <c r="C16" s="4" t="s">
        <v>5</v>
      </c>
      <c r="D16" s="4" t="s">
        <v>19</v>
      </c>
      <c r="E16" s="4" t="s">
        <v>7</v>
      </c>
      <c r="F16" s="4" t="s">
        <v>12</v>
      </c>
      <c r="G16" s="4" t="s">
        <v>4</v>
      </c>
      <c r="H16" s="4" t="s">
        <v>13</v>
      </c>
      <c r="I16" s="4" t="s">
        <v>20</v>
      </c>
    </row>
    <row r="17" spans="1:9" ht="28" customHeight="1">
      <c r="A17" s="5" t="s">
        <v>21</v>
      </c>
      <c r="B17" s="5" t="s">
        <v>127</v>
      </c>
      <c r="C17" s="6">
        <v>2</v>
      </c>
      <c r="D17" s="6">
        <v>0</v>
      </c>
      <c r="E17" s="6">
        <f>C17+D17</f>
        <v>2.0</v>
      </c>
      <c r="F17" s="6">
        <v>3</v>
      </c>
      <c r="G17" s="6">
        <v>504</v>
      </c>
      <c r="H17" s="7">
        <f>IFERROR(E17/G17,0)</f>
        <v>0.003968253968253968</v>
      </c>
      <c r="I17" s="5" t="s">
        <v>23</v>
      </c>
    </row>
    <row r="18" spans="1:9" ht="28" customHeight="1">
      <c r="A18" s="5" t="s">
        <v>21</v>
      </c>
      <c r="B18" s="5" t="s">
        <v>128</v>
      </c>
      <c r="C18" s="6">
        <v>3</v>
      </c>
      <c r="D18" s="6">
        <v>0</v>
      </c>
      <c r="E18" s="6">
        <f>C18+D18</f>
        <v>3.0</v>
      </c>
      <c r="F18" s="6">
        <v>1</v>
      </c>
      <c r="G18" s="6">
        <v>168</v>
      </c>
      <c r="H18" s="7">
        <f>IFERROR(E18/G18,0)</f>
        <v>0.017857142857142856</v>
      </c>
      <c r="I18" s="5" t="s">
        <v>25</v>
      </c>
    </row>
    <row r="19" spans="1:9" ht="28" customHeight="1">
      <c r="A19" s="5" t="s">
        <v>21</v>
      </c>
      <c r="B19" s="5" t="s">
        <v>129</v>
      </c>
      <c r="C19" s="6">
        <v>0</v>
      </c>
      <c r="D19" s="6">
        <v>0</v>
      </c>
      <c r="E19" s="6">
        <f>C19+D19</f>
        <v>0.0</v>
      </c>
      <c r="F19" s="6">
        <v>5</v>
      </c>
      <c r="G19" s="6">
        <v>840</v>
      </c>
      <c r="H19" s="7">
        <f>IFERROR(E19/G19,0)</f>
        <v>0.0</v>
      </c>
      <c r="I19" s="5" t="s">
        <v>27</v>
      </c>
    </row>
    <row r="20" spans="1:9" ht="28" customHeight="1">
      <c r="A20" s="5" t="s">
        <v>21</v>
      </c>
      <c r="B20" s="5" t="s">
        <v>130</v>
      </c>
      <c r="C20" s="6">
        <v>3</v>
      </c>
      <c r="D20" s="6">
        <v>0</v>
      </c>
      <c r="E20" s="6">
        <f>C20+D20</f>
        <v>3.0</v>
      </c>
      <c r="F20" s="6">
        <v>7</v>
      </c>
      <c r="G20" s="6">
        <v>1176</v>
      </c>
      <c r="H20" s="7">
        <f>IFERROR(E20/G20,0)</f>
        <v>0.002551020408163265</v>
      </c>
      <c r="I20" s="5" t="s">
        <v>29</v>
      </c>
    </row>
    <row r="21" spans="1:9" ht="28" customHeight="1">
      <c r="A21" s="5" t="s">
        <v>21</v>
      </c>
      <c r="B21" s="5" t="s">
        <v>24</v>
      </c>
      <c r="C21" s="6">
        <v>0</v>
      </c>
      <c r="D21" s="6">
        <v>0</v>
      </c>
      <c r="E21" s="6">
        <f>C21+D21</f>
        <v>0.0</v>
      </c>
      <c r="F21" s="6">
        <v>2</v>
      </c>
      <c r="G21" s="6">
        <v>336</v>
      </c>
      <c r="H21" s="7">
        <f>IFERROR(E21/G21,0)</f>
        <v>0.0</v>
      </c>
      <c r="I21" s="5" t="s">
        <v>31</v>
      </c>
    </row>
    <row r="22" spans="1:9" ht="28" customHeight="1">
      <c r="A22" s="5" t="s">
        <v>21</v>
      </c>
      <c r="B22" s="5" t="s">
        <v>22</v>
      </c>
      <c r="C22" s="6">
        <v>189</v>
      </c>
      <c r="D22" s="6">
        <v>0</v>
      </c>
      <c r="E22" s="6">
        <f>C22+D22</f>
        <v>189.0</v>
      </c>
      <c r="F22" s="6">
        <v>9</v>
      </c>
      <c r="G22" s="6">
        <v>1512</v>
      </c>
      <c r="H22" s="7">
        <f>IFERROR(E22/G22,0)</f>
        <v>0.125</v>
      </c>
      <c r="I22" s="5" t="s">
        <v>33</v>
      </c>
    </row>
    <row r="23" spans="1:9" ht="28" customHeight="1">
      <c r="A23" s="5" t="s">
        <v>21</v>
      </c>
      <c r="B23" s="5" t="s">
        <v>26</v>
      </c>
      <c r="C23" s="6">
        <v>10</v>
      </c>
      <c r="D23" s="6">
        <v>0</v>
      </c>
      <c r="E23" s="6">
        <f>C23+D23</f>
        <v>10.0</v>
      </c>
      <c r="F23" s="6">
        <v>8</v>
      </c>
      <c r="G23" s="6">
        <v>1344</v>
      </c>
      <c r="H23" s="7">
        <f>IFERROR(E23/G23,0)</f>
        <v>0.00744047619047619</v>
      </c>
      <c r="I23" s="5" t="s">
        <v>35</v>
      </c>
    </row>
    <row r="24" spans="1:9" ht="28" customHeight="1">
      <c r="A24" s="5" t="s">
        <v>21</v>
      </c>
      <c r="B24" s="5" t="s">
        <v>131</v>
      </c>
      <c r="C24" s="6">
        <v>24</v>
      </c>
      <c r="D24" s="6">
        <v>0</v>
      </c>
      <c r="E24" s="6">
        <f>C24+D24</f>
        <v>24.0</v>
      </c>
      <c r="F24" s="6">
        <v>14</v>
      </c>
      <c r="G24" s="6">
        <v>2352</v>
      </c>
      <c r="H24" s="7">
        <f>IFERROR(E24/G24,0)</f>
        <v>0.01020408163265306</v>
      </c>
      <c r="I24" s="5" t="s">
        <v>37</v>
      </c>
    </row>
    <row r="25" spans="1:9" ht="28" customHeight="1">
      <c r="A25" s="5" t="s">
        <v>21</v>
      </c>
      <c r="B25" s="5" t="s">
        <v>30</v>
      </c>
      <c r="C25" s="6">
        <v>325</v>
      </c>
      <c r="D25" s="6">
        <v>0</v>
      </c>
      <c r="E25" s="6">
        <f>C25+D25</f>
        <v>325.0</v>
      </c>
      <c r="F25" s="6">
        <v>29</v>
      </c>
      <c r="G25" s="6">
        <v>4872</v>
      </c>
      <c r="H25" s="7">
        <f>IFERROR(E25/G25,0)</f>
        <v>0.06670771756978654</v>
      </c>
      <c r="I25" s="5" t="s">
        <v>39</v>
      </c>
    </row>
    <row r="26" spans="1:9" ht="28" customHeight="1">
      <c r="A26" s="5" t="s">
        <v>21</v>
      </c>
      <c r="B26" s="5" t="s">
        <v>32</v>
      </c>
      <c r="C26" s="6">
        <v>531</v>
      </c>
      <c r="D26" s="6">
        <v>89</v>
      </c>
      <c r="E26" s="6">
        <f>C26+D26</f>
        <v>620.0</v>
      </c>
      <c r="F26" s="6">
        <v>65</v>
      </c>
      <c r="G26" s="6">
        <v>10920</v>
      </c>
      <c r="H26" s="7">
        <f>IFERROR(E26/G26,0)</f>
        <v>0.056776556776556776</v>
      </c>
      <c r="I26" s="5" t="s">
        <v>41</v>
      </c>
    </row>
    <row r="27" spans="1:9" ht="28" customHeight="1">
      <c r="A27" s="5" t="s">
        <v>21</v>
      </c>
      <c r="B27" s="5" t="s">
        <v>36</v>
      </c>
      <c r="C27" s="6">
        <v>168</v>
      </c>
      <c r="D27" s="6">
        <v>0</v>
      </c>
      <c r="E27" s="6">
        <f>C27+D27</f>
        <v>168.0</v>
      </c>
      <c r="F27" s="6">
        <v>31</v>
      </c>
      <c r="G27" s="6">
        <v>5208</v>
      </c>
      <c r="H27" s="7">
        <f>IFERROR(E27/G27,0)</f>
        <v>0.03225806451612903</v>
      </c>
      <c r="I27" s="5" t="s">
        <v>43</v>
      </c>
    </row>
    <row r="28" spans="1:9" ht="28" customHeight="1">
      <c r="A28" s="5" t="s">
        <v>21</v>
      </c>
      <c r="B28" s="5" t="s">
        <v>38</v>
      </c>
      <c r="C28" s="6">
        <v>0</v>
      </c>
      <c r="D28" s="6">
        <v>0</v>
      </c>
      <c r="E28" s="6">
        <f>C28+D28</f>
        <v>0.0</v>
      </c>
      <c r="F28" s="6">
        <v>1</v>
      </c>
      <c r="G28" s="6">
        <v>168</v>
      </c>
      <c r="H28" s="7">
        <f>IFERROR(E28/G28,0)</f>
        <v>0.0</v>
      </c>
      <c r="I28" s="5" t="s">
        <v>45</v>
      </c>
    </row>
    <row r="29" spans="1:9" ht="28" customHeight="1">
      <c r="A29" s="5" t="s">
        <v>21</v>
      </c>
      <c r="B29" s="5" t="s">
        <v>40</v>
      </c>
      <c r="C29" s="6">
        <v>5</v>
      </c>
      <c r="D29" s="6">
        <v>0</v>
      </c>
      <c r="E29" s="6">
        <f>C29+D29</f>
        <v>5.0</v>
      </c>
      <c r="F29" s="6">
        <v>6</v>
      </c>
      <c r="G29" s="6">
        <v>1008</v>
      </c>
      <c r="H29" s="7">
        <f>IFERROR(E29/G29,0)</f>
        <v>0.00496031746031746</v>
      </c>
      <c r="I29" s="5" t="s">
        <v>47</v>
      </c>
    </row>
    <row r="30" spans="1:9" ht="28" customHeight="1">
      <c r="A30" s="5" t="s">
        <v>21</v>
      </c>
      <c r="B30" s="5" t="s">
        <v>42</v>
      </c>
      <c r="C30" s="6">
        <v>66</v>
      </c>
      <c r="D30" s="6">
        <v>0</v>
      </c>
      <c r="E30" s="6">
        <f>C30+D30</f>
        <v>66.0</v>
      </c>
      <c r="F30" s="6">
        <v>22</v>
      </c>
      <c r="G30" s="6">
        <v>3696</v>
      </c>
      <c r="H30" s="7">
        <f>IFERROR(E30/G30,0)</f>
        <v>0.017857142857142856</v>
      </c>
      <c r="I30" s="5" t="s">
        <v>49</v>
      </c>
    </row>
    <row r="31" spans="1:9" ht="28" customHeight="1">
      <c r="A31" s="5" t="s">
        <v>21</v>
      </c>
      <c r="B31" s="5" t="s">
        <v>34</v>
      </c>
      <c r="C31" s="6">
        <v>42</v>
      </c>
      <c r="D31" s="6">
        <v>0</v>
      </c>
      <c r="E31" s="6">
        <f>C31+D31</f>
        <v>42.0</v>
      </c>
      <c r="F31" s="6">
        <v>10</v>
      </c>
      <c r="G31" s="6">
        <v>1680</v>
      </c>
      <c r="H31" s="7">
        <f>IFERROR(E31/G31,0)</f>
        <v>0.025</v>
      </c>
      <c r="I31" s="5" t="s">
        <v>51</v>
      </c>
    </row>
    <row r="32" spans="1:9" ht="28" customHeight="1">
      <c r="A32" s="5" t="s">
        <v>21</v>
      </c>
      <c r="B32" s="5" t="s">
        <v>50</v>
      </c>
      <c r="C32" s="6">
        <v>846</v>
      </c>
      <c r="D32" s="6">
        <v>280</v>
      </c>
      <c r="E32" s="6">
        <f>C32+D32</f>
        <v>1126.0</v>
      </c>
      <c r="F32" s="6">
        <v>56</v>
      </c>
      <c r="G32" s="6">
        <v>9408</v>
      </c>
      <c r="H32" s="7">
        <f>IFERROR(E32/G32,0)</f>
        <v>0.11968537414965986</v>
      </c>
      <c r="I32" s="5" t="s">
        <v>53</v>
      </c>
    </row>
    <row r="33" spans="1:9" ht="28" customHeight="1">
      <c r="A33" s="5" t="s">
        <v>21</v>
      </c>
      <c r="B33" s="5" t="s">
        <v>56</v>
      </c>
      <c r="C33" s="6">
        <v>88</v>
      </c>
      <c r="D33" s="6">
        <v>0</v>
      </c>
      <c r="E33" s="6">
        <f>C33+D33</f>
        <v>88.0</v>
      </c>
      <c r="F33" s="6">
        <v>18</v>
      </c>
      <c r="G33" s="6">
        <v>3024</v>
      </c>
      <c r="H33" s="7">
        <f>IFERROR(E33/G33,0)</f>
        <v>0.0291005291005291</v>
      </c>
      <c r="I33" s="5" t="s">
        <v>55</v>
      </c>
    </row>
    <row r="34" spans="1:9" ht="28" customHeight="1">
      <c r="A34" s="5" t="s">
        <v>21</v>
      </c>
      <c r="B34" s="5" t="s">
        <v>60</v>
      </c>
      <c r="C34" s="6">
        <v>0</v>
      </c>
      <c r="D34" s="6">
        <v>0</v>
      </c>
      <c r="E34" s="6">
        <f>C34+D34</f>
        <v>0.0</v>
      </c>
      <c r="F34" s="6">
        <v>1</v>
      </c>
      <c r="G34" s="6">
        <v>168</v>
      </c>
      <c r="H34" s="7">
        <f>IFERROR(E34/G34,0)</f>
        <v>0.0</v>
      </c>
      <c r="I34" s="5" t="s">
        <v>57</v>
      </c>
    </row>
    <row r="35" spans="1:9" ht="28" customHeight="1">
      <c r="A35" s="5" t="s">
        <v>21</v>
      </c>
      <c r="B35" s="5" t="s">
        <v>142</v>
      </c>
      <c r="C35" s="6">
        <v>1</v>
      </c>
      <c r="D35" s="6">
        <v>0</v>
      </c>
      <c r="E35" s="6">
        <f>C35+D35</f>
        <v>1.0</v>
      </c>
      <c r="F35" s="6">
        <v>2</v>
      </c>
      <c r="G35" s="6">
        <v>336</v>
      </c>
      <c r="H35" s="7">
        <f>IFERROR(E35/G35,0)</f>
        <v>0.002976190476190476</v>
      </c>
      <c r="I35" s="5" t="s">
        <v>59</v>
      </c>
    </row>
    <row r="36" spans="1:9" ht="28" customHeight="1">
      <c r="A36" s="5" t="s">
        <v>21</v>
      </c>
      <c r="B36" s="5" t="s">
        <v>62</v>
      </c>
      <c r="C36" s="6">
        <v>0</v>
      </c>
      <c r="D36" s="6">
        <v>0</v>
      </c>
      <c r="E36" s="6">
        <f>C36+D36</f>
        <v>0.0</v>
      </c>
      <c r="F36" s="6">
        <v>1</v>
      </c>
      <c r="G36" s="6">
        <v>168</v>
      </c>
      <c r="H36" s="7">
        <f>IFERROR(E36/G36,0)</f>
        <v>0.0</v>
      </c>
      <c r="I36" s="5" t="s">
        <v>61</v>
      </c>
    </row>
    <row r="37" spans="1:9" ht="28" customHeight="1">
      <c r="A37" s="5" t="s">
        <v>21</v>
      </c>
      <c r="B37" s="5" t="s">
        <v>46</v>
      </c>
      <c r="C37" s="6">
        <v>0</v>
      </c>
      <c r="D37" s="6">
        <v>0</v>
      </c>
      <c r="E37" s="6">
        <f>C37+D37</f>
        <v>0.0</v>
      </c>
      <c r="F37" s="6">
        <v>1</v>
      </c>
      <c r="G37" s="6">
        <v>168</v>
      </c>
      <c r="H37" s="7">
        <f>IFERROR(E37/G37,0)</f>
        <v>0.0</v>
      </c>
      <c r="I37" s="5" t="s">
        <v>63</v>
      </c>
    </row>
    <row r="38" spans="1:9" ht="28" customHeight="1">
      <c r="A38" s="5" t="s">
        <v>21</v>
      </c>
      <c r="B38" s="5" t="s">
        <v>72</v>
      </c>
      <c r="C38" s="6">
        <v>14</v>
      </c>
      <c r="D38" s="6">
        <v>0</v>
      </c>
      <c r="E38" s="6">
        <f>C38+D38</f>
        <v>14.0</v>
      </c>
      <c r="F38" s="6">
        <v>1</v>
      </c>
      <c r="G38" s="6">
        <v>168</v>
      </c>
      <c r="H38" s="7">
        <f>IFERROR(E38/G38,0)</f>
        <v>0.08333333333333333</v>
      </c>
      <c r="I38" s="5" t="s">
        <v>65</v>
      </c>
    </row>
    <row r="39" spans="1:9" ht="28" customHeight="1">
      <c r="A39" s="5" t="s">
        <v>21</v>
      </c>
      <c r="B39" s="5" t="s">
        <v>132</v>
      </c>
      <c r="C39" s="6">
        <v>27</v>
      </c>
      <c r="D39" s="6">
        <v>0</v>
      </c>
      <c r="E39" s="6">
        <f>C39+D39</f>
        <v>27.0</v>
      </c>
      <c r="F39" s="6">
        <v>10</v>
      </c>
      <c r="G39" s="6">
        <v>1680</v>
      </c>
      <c r="H39" s="7">
        <f>IFERROR(E39/G39,0)</f>
        <v>0.01607142857142857</v>
      </c>
      <c r="I39" s="5" t="s">
        <v>67</v>
      </c>
    </row>
    <row r="40" spans="1:9" ht="28" customHeight="1">
      <c r="A40" s="5" t="s">
        <v>21</v>
      </c>
      <c r="B40" s="5" t="s">
        <v>74</v>
      </c>
      <c r="C40" s="6">
        <v>103</v>
      </c>
      <c r="D40" s="6">
        <v>0</v>
      </c>
      <c r="E40" s="6">
        <f>C40+D40</f>
        <v>103.0</v>
      </c>
      <c r="F40" s="6">
        <v>7</v>
      </c>
      <c r="G40" s="6">
        <v>1176</v>
      </c>
      <c r="H40" s="7">
        <f>IFERROR(E40/G40,0)</f>
        <v>0.08758503401360544</v>
      </c>
      <c r="I40" s="5" t="s">
        <v>69</v>
      </c>
    </row>
    <row r="41" spans="1:9" ht="28" customHeight="1">
      <c r="A41" s="5" t="s">
        <v>21</v>
      </c>
      <c r="B41" s="5" t="s">
        <v>76</v>
      </c>
      <c r="C41" s="6">
        <v>44</v>
      </c>
      <c r="D41" s="6">
        <v>0</v>
      </c>
      <c r="E41" s="6">
        <f>C41+D41</f>
        <v>44.0</v>
      </c>
      <c r="F41" s="6">
        <v>3</v>
      </c>
      <c r="G41" s="6">
        <v>504</v>
      </c>
      <c r="H41" s="7">
        <f>IFERROR(E41/G41,0)</f>
        <v>0.0873015873015873</v>
      </c>
      <c r="I41" s="5" t="s">
        <v>71</v>
      </c>
    </row>
    <row r="42" spans="1:9" ht="28" customHeight="1">
      <c r="A42" s="5" t="s">
        <v>21</v>
      </c>
      <c r="B42" s="5" t="s">
        <v>141</v>
      </c>
      <c r="C42" s="6">
        <v>22</v>
      </c>
      <c r="D42" s="6">
        <v>0</v>
      </c>
      <c r="E42" s="6">
        <f>C42+D42</f>
        <v>22.0</v>
      </c>
      <c r="F42" s="6">
        <v>8</v>
      </c>
      <c r="G42" s="6">
        <v>1344</v>
      </c>
      <c r="H42" s="7">
        <f>IFERROR(E42/G42,0)</f>
        <v>0.01636904761904762</v>
      </c>
      <c r="I42" s="5" t="s">
        <v>73</v>
      </c>
    </row>
    <row r="43" spans="1:9" ht="28" customHeight="1">
      <c r="A43" s="5" t="s">
        <v>21</v>
      </c>
      <c r="B43" s="5" t="s">
        <v>133</v>
      </c>
      <c r="C43" s="6">
        <v>98</v>
      </c>
      <c r="D43" s="6">
        <v>168</v>
      </c>
      <c r="E43" s="6">
        <f>C43+D43</f>
        <v>266.0</v>
      </c>
      <c r="F43" s="6">
        <v>21</v>
      </c>
      <c r="G43" s="6">
        <v>3528</v>
      </c>
      <c r="H43" s="7">
        <f>IFERROR(E43/G43,0)</f>
        <v>0.07539682539682539</v>
      </c>
      <c r="I43" s="5" t="s">
        <v>75</v>
      </c>
    </row>
    <row r="44" spans="1:9" ht="28" customHeight="1">
      <c r="A44" s="5" t="s">
        <v>21</v>
      </c>
      <c r="B44" s="5" t="s">
        <v>80</v>
      </c>
      <c r="C44" s="6">
        <v>532</v>
      </c>
      <c r="D44" s="6">
        <v>157</v>
      </c>
      <c r="E44" s="6">
        <f>C44+D44</f>
        <v>689.0</v>
      </c>
      <c r="F44" s="6">
        <v>20</v>
      </c>
      <c r="G44" s="6">
        <v>3360</v>
      </c>
      <c r="H44" s="7">
        <f>IFERROR(E44/G44,0)</f>
        <v>0.2050595238095238</v>
      </c>
      <c r="I44" s="5" t="s">
        <v>77</v>
      </c>
    </row>
    <row r="45" spans="1:9" ht="28" customHeight="1">
      <c r="A45" s="5" t="s">
        <v>21</v>
      </c>
      <c r="B45" s="5" t="s">
        <v>82</v>
      </c>
      <c r="C45" s="6">
        <v>27</v>
      </c>
      <c r="D45" s="6">
        <v>0</v>
      </c>
      <c r="E45" s="6">
        <f>C45+D45</f>
        <v>27.0</v>
      </c>
      <c r="F45" s="6">
        <v>2</v>
      </c>
      <c r="G45" s="6">
        <v>336</v>
      </c>
      <c r="H45" s="7">
        <f>IFERROR(E45/G45,0)</f>
        <v>0.08035714285714286</v>
      </c>
      <c r="I45" s="5" t="s">
        <v>79</v>
      </c>
    </row>
    <row r="46" spans="1:9" ht="28" customHeight="1">
      <c r="A46" s="5" t="s">
        <v>21</v>
      </c>
      <c r="B46" s="5" t="s">
        <v>134</v>
      </c>
      <c r="C46" s="6">
        <v>30</v>
      </c>
      <c r="D46" s="6">
        <v>0</v>
      </c>
      <c r="E46" s="6">
        <f>C46+D46</f>
        <v>30.0</v>
      </c>
      <c r="F46" s="6">
        <v>3</v>
      </c>
      <c r="G46" s="6">
        <v>504</v>
      </c>
      <c r="H46" s="7">
        <f>IFERROR(E46/G46,0)</f>
        <v>0.05952380952380952</v>
      </c>
      <c r="I46" s="5" t="s">
        <v>81</v>
      </c>
    </row>
    <row r="47" spans="1:9" ht="28" customHeight="1">
      <c r="A47" s="5" t="s">
        <v>21</v>
      </c>
      <c r="B47" s="5" t="s">
        <v>84</v>
      </c>
      <c r="C47" s="6">
        <v>8</v>
      </c>
      <c r="D47" s="6">
        <v>0</v>
      </c>
      <c r="E47" s="6">
        <f>C47+D47</f>
        <v>8.0</v>
      </c>
      <c r="F47" s="6">
        <v>7</v>
      </c>
      <c r="G47" s="6">
        <v>1176</v>
      </c>
      <c r="H47" s="7">
        <f>IFERROR(E47/G47,0)</f>
        <v>0.006802721088435374</v>
      </c>
      <c r="I47" s="5" t="s">
        <v>83</v>
      </c>
    </row>
    <row r="48" spans="1:9" ht="28" customHeight="1">
      <c r="A48" s="5" t="s">
        <v>21</v>
      </c>
      <c r="B48" s="5" t="s">
        <v>86</v>
      </c>
      <c r="C48" s="6">
        <v>0</v>
      </c>
      <c r="D48" s="6">
        <v>0</v>
      </c>
      <c r="E48" s="6">
        <f>C48+D48</f>
        <v>0.0</v>
      </c>
      <c r="F48" s="6">
        <v>4</v>
      </c>
      <c r="G48" s="6">
        <v>672</v>
      </c>
      <c r="H48" s="7">
        <f>IFERROR(E48/G48,0)</f>
        <v>0.0</v>
      </c>
      <c r="I48" s="5" t="s">
        <v>85</v>
      </c>
    </row>
    <row r="49" spans="1:9" ht="28" customHeight="1">
      <c r="A49" s="5" t="s">
        <v>88</v>
      </c>
      <c r="B49" s="5" t="s">
        <v>30</v>
      </c>
      <c r="C49" s="6">
        <v>0</v>
      </c>
      <c r="D49" s="6">
        <v>0</v>
      </c>
      <c r="E49" s="6">
        <f>C49+D49</f>
        <v>0.0</v>
      </c>
      <c r="F49" s="6">
        <v>1</v>
      </c>
      <c r="G49" s="6">
        <v>168</v>
      </c>
      <c r="H49" s="7">
        <f>IFERROR(E49/G49,0)</f>
        <v>0.0</v>
      </c>
      <c r="I49" s="5" t="s">
        <v>90</v>
      </c>
    </row>
    <row r="50" spans="1:9" ht="28" customHeight="1">
      <c r="A50" s="5" t="s">
        <v>88</v>
      </c>
      <c r="B50" s="5" t="s">
        <v>32</v>
      </c>
      <c r="C50" s="6">
        <v>0</v>
      </c>
      <c r="D50" s="6">
        <v>0</v>
      </c>
      <c r="E50" s="6">
        <f>C50+D50</f>
        <v>0.0</v>
      </c>
      <c r="F50" s="6">
        <v>1</v>
      </c>
      <c r="G50" s="6">
        <v>168</v>
      </c>
      <c r="H50" s="7">
        <f>IFERROR(E50/G50,0)</f>
        <v>0.0</v>
      </c>
      <c r="I50" s="5" t="s">
        <v>91</v>
      </c>
    </row>
    <row r="51" spans="1:9" ht="28" customHeight="1">
      <c r="A51" s="5" t="s">
        <v>88</v>
      </c>
      <c r="B51" s="5" t="s">
        <v>36</v>
      </c>
      <c r="C51" s="6">
        <v>0</v>
      </c>
      <c r="D51" s="6">
        <v>0</v>
      </c>
      <c r="E51" s="6">
        <f>C51+D51</f>
        <v>0.0</v>
      </c>
      <c r="F51" s="6">
        <v>1</v>
      </c>
      <c r="G51" s="6">
        <v>168</v>
      </c>
      <c r="H51" s="7">
        <f>IFERROR(E51/G51,0)</f>
        <v>0.0</v>
      </c>
      <c r="I51" s="5" t="s">
        <v>92</v>
      </c>
    </row>
    <row r="52" spans="1:9" ht="28" customHeight="1">
      <c r="A52" s="5" t="s">
        <v>88</v>
      </c>
      <c r="B52" s="5" t="s">
        <v>38</v>
      </c>
      <c r="C52" s="6">
        <v>0</v>
      </c>
      <c r="D52" s="6">
        <v>0</v>
      </c>
      <c r="E52" s="6">
        <f>C52+D52</f>
        <v>0.0</v>
      </c>
      <c r="F52" s="6">
        <v>1</v>
      </c>
      <c r="G52" s="6">
        <v>168</v>
      </c>
      <c r="H52" s="7">
        <f>IFERROR(E52/G52,0)</f>
        <v>0.0</v>
      </c>
      <c r="I52" s="5" t="s">
        <v>93</v>
      </c>
    </row>
    <row r="53" spans="1:9" ht="28" customHeight="1">
      <c r="A53" s="5" t="s">
        <v>88</v>
      </c>
      <c r="B53" s="5" t="s">
        <v>95</v>
      </c>
      <c r="C53" s="6">
        <v>0</v>
      </c>
      <c r="D53" s="6">
        <v>0</v>
      </c>
      <c r="E53" s="6">
        <f>C53+D53</f>
        <v>0.0</v>
      </c>
      <c r="F53" s="6">
        <v>3</v>
      </c>
      <c r="G53" s="6">
        <v>504</v>
      </c>
      <c r="H53" s="7">
        <f>IFERROR(E53/G53,0)</f>
        <v>0.0</v>
      </c>
      <c r="I53" s="5" t="s">
        <v>94</v>
      </c>
    </row>
    <row r="54" spans="1:9" ht="28" customHeight="1">
      <c r="A54" s="5" t="s">
        <v>88</v>
      </c>
      <c r="B54" s="5" t="s">
        <v>44</v>
      </c>
      <c r="C54" s="6">
        <v>9</v>
      </c>
      <c r="D54" s="6">
        <v>0</v>
      </c>
      <c r="E54" s="6">
        <f>C54+D54</f>
        <v>9.0</v>
      </c>
      <c r="F54" s="6">
        <v>1</v>
      </c>
      <c r="G54" s="6">
        <v>168</v>
      </c>
      <c r="H54" s="7">
        <f>IFERROR(E54/G54,0)</f>
        <v>0.05357142857142857</v>
      </c>
      <c r="I54" s="5" t="s">
        <v>96</v>
      </c>
    </row>
    <row r="55" spans="1:9" ht="28" customHeight="1">
      <c r="A55" s="5" t="s">
        <v>88</v>
      </c>
      <c r="B55" s="5" t="s">
        <v>48</v>
      </c>
      <c r="C55" s="6">
        <v>0</v>
      </c>
      <c r="D55" s="6">
        <v>0</v>
      </c>
      <c r="E55" s="6">
        <f>C55+D55</f>
        <v>0.0</v>
      </c>
      <c r="F55" s="6">
        <v>1</v>
      </c>
      <c r="G55" s="6">
        <v>168</v>
      </c>
      <c r="H55" s="7">
        <f>IFERROR(E55/G55,0)</f>
        <v>0.0</v>
      </c>
      <c r="I55" s="5" t="s">
        <v>97</v>
      </c>
    </row>
    <row r="56" spans="1:9" ht="28" customHeight="1">
      <c r="A56" s="5" t="s">
        <v>88</v>
      </c>
      <c r="B56" s="5" t="s">
        <v>99</v>
      </c>
      <c r="C56" s="6">
        <v>0</v>
      </c>
      <c r="D56" s="6">
        <v>0</v>
      </c>
      <c r="E56" s="6">
        <f>C56+D56</f>
        <v>0.0</v>
      </c>
      <c r="F56" s="6">
        <v>1</v>
      </c>
      <c r="G56" s="6">
        <v>168</v>
      </c>
      <c r="H56" s="7">
        <f>IFERROR(E56/G56,0)</f>
        <v>0.0</v>
      </c>
      <c r="I56" s="5" t="s">
        <v>98</v>
      </c>
    </row>
    <row r="57" spans="1:9" ht="28" customHeight="1">
      <c r="A57" s="5" t="s">
        <v>88</v>
      </c>
      <c r="B57" s="5" t="s">
        <v>54</v>
      </c>
      <c r="C57" s="6">
        <v>8</v>
      </c>
      <c r="D57" s="6">
        <v>0</v>
      </c>
      <c r="E57" s="6">
        <f>C57+D57</f>
        <v>8.0</v>
      </c>
      <c r="F57" s="6">
        <v>1</v>
      </c>
      <c r="G57" s="6">
        <v>168</v>
      </c>
      <c r="H57" s="7">
        <f>IFERROR(E57/G57,0)</f>
        <v>0.047619047619047616</v>
      </c>
      <c r="I57" s="5" t="s">
        <v>100</v>
      </c>
    </row>
    <row r="58" spans="1:9" ht="28" customHeight="1">
      <c r="A58" s="5" t="s">
        <v>88</v>
      </c>
      <c r="B58" s="5" t="s">
        <v>142</v>
      </c>
      <c r="C58" s="6">
        <v>8</v>
      </c>
      <c r="D58" s="6">
        <v>0</v>
      </c>
      <c r="E58" s="6">
        <f>C58+D58</f>
        <v>8.0</v>
      </c>
      <c r="F58" s="6">
        <v>4</v>
      </c>
      <c r="G58" s="6">
        <v>672</v>
      </c>
      <c r="H58" s="7">
        <f>IFERROR(E58/G58,0)</f>
        <v>0.011904761904761904</v>
      </c>
      <c r="I58" s="5" t="s">
        <v>101</v>
      </c>
    </row>
    <row r="59" spans="1:9" ht="28" customHeight="1">
      <c r="A59" s="5" t="s">
        <v>88</v>
      </c>
      <c r="B59" s="5" t="s">
        <v>104</v>
      </c>
      <c r="C59" s="6">
        <v>0</v>
      </c>
      <c r="D59" s="6">
        <v>0</v>
      </c>
      <c r="E59" s="6">
        <f>C59+D59</f>
        <v>0.0</v>
      </c>
      <c r="F59" s="6">
        <v>1</v>
      </c>
      <c r="G59" s="6">
        <v>168</v>
      </c>
      <c r="H59" s="7">
        <f>IFERROR(E59/G59,0)</f>
        <v>0.0</v>
      </c>
      <c r="I59" s="5" t="s">
        <v>102</v>
      </c>
    </row>
    <row r="60" spans="1:9" ht="28" customHeight="1">
      <c r="A60" s="5" t="s">
        <v>88</v>
      </c>
      <c r="B60" s="5" t="s">
        <v>62</v>
      </c>
      <c r="C60" s="6">
        <v>0</v>
      </c>
      <c r="D60" s="6">
        <v>0</v>
      </c>
      <c r="E60" s="6">
        <f>C60+D60</f>
        <v>0.0</v>
      </c>
      <c r="F60" s="6">
        <v>1</v>
      </c>
      <c r="G60" s="6">
        <v>168</v>
      </c>
      <c r="H60" s="7">
        <f>IFERROR(E60/G60,0)</f>
        <v>0.0</v>
      </c>
      <c r="I60" s="5" t="s">
        <v>103</v>
      </c>
    </row>
    <row r="61" spans="1:9" ht="28" customHeight="1">
      <c r="A61" s="5" t="s">
        <v>88</v>
      </c>
      <c r="B61" s="5" t="s">
        <v>107</v>
      </c>
      <c r="C61" s="6">
        <v>0</v>
      </c>
      <c r="D61" s="6">
        <v>0</v>
      </c>
      <c r="E61" s="6">
        <f>C61+D61</f>
        <v>0.0</v>
      </c>
      <c r="F61" s="6">
        <v>2</v>
      </c>
      <c r="G61" s="6">
        <v>336</v>
      </c>
      <c r="H61" s="7">
        <f>IFERROR(E61/G61,0)</f>
        <v>0.0</v>
      </c>
      <c r="I61" s="5" t="s">
        <v>105</v>
      </c>
    </row>
    <row r="62" spans="1:9" ht="28" customHeight="1">
      <c r="A62" s="5" t="s">
        <v>88</v>
      </c>
      <c r="B62" s="5" t="s">
        <v>64</v>
      </c>
      <c r="C62" s="6">
        <v>8</v>
      </c>
      <c r="D62" s="6">
        <v>0</v>
      </c>
      <c r="E62" s="6">
        <f>C62+D62</f>
        <v>8.0</v>
      </c>
      <c r="F62" s="6">
        <v>3</v>
      </c>
      <c r="G62" s="6">
        <v>504</v>
      </c>
      <c r="H62" s="7">
        <f>IFERROR(E62/G62,0)</f>
        <v>0.015873015873015872</v>
      </c>
      <c r="I62" s="5" t="s">
        <v>106</v>
      </c>
    </row>
    <row r="63" spans="1:9" ht="28" customHeight="1">
      <c r="A63" s="5" t="s">
        <v>88</v>
      </c>
      <c r="B63" s="5" t="s">
        <v>66</v>
      </c>
      <c r="C63" s="6">
        <v>0</v>
      </c>
      <c r="D63" s="6">
        <v>0</v>
      </c>
      <c r="E63" s="6">
        <f>C63+D63</f>
        <v>0.0</v>
      </c>
      <c r="F63" s="6">
        <v>2</v>
      </c>
      <c r="G63" s="6">
        <v>336</v>
      </c>
      <c r="H63" s="7">
        <f>IFERROR(E63/G63,0)</f>
        <v>0.0</v>
      </c>
      <c r="I63" s="5" t="s">
        <v>108</v>
      </c>
    </row>
    <row r="64" spans="1:9" ht="28" customHeight="1">
      <c r="A64" s="5" t="s">
        <v>88</v>
      </c>
      <c r="B64" s="5" t="s">
        <v>68</v>
      </c>
      <c r="C64" s="6">
        <v>24</v>
      </c>
      <c r="D64" s="6">
        <v>0</v>
      </c>
      <c r="E64" s="6">
        <f>C64+D64</f>
        <v>24.0</v>
      </c>
      <c r="F64" s="6">
        <v>2</v>
      </c>
      <c r="G64" s="6">
        <v>336</v>
      </c>
      <c r="H64" s="7">
        <f>IFERROR(E64/G64,0)</f>
        <v>0.07142857142857142</v>
      </c>
      <c r="I64" s="5" t="s">
        <v>109</v>
      </c>
    </row>
    <row r="65" spans="1:9" ht="28" customHeight="1">
      <c r="A65" s="5" t="s">
        <v>88</v>
      </c>
      <c r="B65" s="5" t="s">
        <v>70</v>
      </c>
      <c r="C65" s="6">
        <v>0</v>
      </c>
      <c r="D65" s="6">
        <v>0</v>
      </c>
      <c r="E65" s="6">
        <f>C65+D65</f>
        <v>0.0</v>
      </c>
      <c r="F65" s="6">
        <v>2</v>
      </c>
      <c r="G65" s="6">
        <v>336</v>
      </c>
      <c r="H65" s="7">
        <f>IFERROR(E65/G65,0)</f>
        <v>0.0</v>
      </c>
      <c r="I65" s="5" t="s">
        <v>110</v>
      </c>
    </row>
    <row r="66" spans="1:9" ht="28" customHeight="1">
      <c r="A66" s="5" t="s">
        <v>88</v>
      </c>
      <c r="B66" s="5" t="s">
        <v>72</v>
      </c>
      <c r="C66" s="6">
        <v>5</v>
      </c>
      <c r="D66" s="6">
        <v>0</v>
      </c>
      <c r="E66" s="6">
        <f>C66+D66</f>
        <v>5.0</v>
      </c>
      <c r="F66" s="6">
        <v>3</v>
      </c>
      <c r="G66" s="6">
        <v>504</v>
      </c>
      <c r="H66" s="7">
        <f>IFERROR(E66/G66,0)</f>
        <v>0.00992063492063492</v>
      </c>
      <c r="I66" s="5" t="s">
        <v>111</v>
      </c>
    </row>
    <row r="67" spans="1:9" ht="28" customHeight="1">
      <c r="A67" s="5" t="s">
        <v>88</v>
      </c>
      <c r="B67" s="5" t="s">
        <v>76</v>
      </c>
      <c r="C67" s="6">
        <v>48</v>
      </c>
      <c r="D67" s="6">
        <v>0</v>
      </c>
      <c r="E67" s="6">
        <f>C67+D67</f>
        <v>48.0</v>
      </c>
      <c r="F67" s="6">
        <v>4</v>
      </c>
      <c r="G67" s="6">
        <v>672</v>
      </c>
      <c r="H67" s="7">
        <f>IFERROR(E67/G67,0)</f>
        <v>0.07142857142857142</v>
      </c>
      <c r="I67" s="5" t="s">
        <v>112</v>
      </c>
    </row>
    <row r="68" spans="1:9" ht="28" customHeight="1">
      <c r="A68" s="5" t="s">
        <v>88</v>
      </c>
      <c r="B68" s="5" t="s">
        <v>141</v>
      </c>
      <c r="C68" s="6">
        <v>8</v>
      </c>
      <c r="D68" s="6">
        <v>0</v>
      </c>
      <c r="E68" s="6">
        <f>C68+D68</f>
        <v>8.0</v>
      </c>
      <c r="F68" s="6">
        <v>1</v>
      </c>
      <c r="G68" s="6">
        <v>168</v>
      </c>
      <c r="H68" s="7">
        <f>IFERROR(E68/G68,0)</f>
        <v>0.047619047619047616</v>
      </c>
      <c r="I68" s="5" t="s">
        <v>113</v>
      </c>
    </row>
    <row r="69" spans="1:9" ht="28" customHeight="1">
      <c r="A69" s="5" t="s">
        <v>88</v>
      </c>
      <c r="B69" s="5" t="s">
        <v>80</v>
      </c>
      <c r="C69" s="6">
        <v>32</v>
      </c>
      <c r="D69" s="6">
        <v>0</v>
      </c>
      <c r="E69" s="6">
        <f>C69+D69</f>
        <v>32.0</v>
      </c>
      <c r="F69" s="6">
        <v>1</v>
      </c>
      <c r="G69" s="6">
        <v>168</v>
      </c>
      <c r="H69" s="7">
        <f>IFERROR(E69/G69,0)</f>
        <v>0.19047619047619047</v>
      </c>
      <c r="I69" s="5" t="s">
        <v>114</v>
      </c>
    </row>
    <row r="70" spans="1:9" ht="28" customHeight="1">
      <c r="A70" s="5" t="s">
        <v>88</v>
      </c>
      <c r="B70" s="5" t="s">
        <v>116</v>
      </c>
      <c r="C70" s="6">
        <v>0</v>
      </c>
      <c r="D70" s="6">
        <v>0</v>
      </c>
      <c r="E70" s="6">
        <f>C70+D70</f>
        <v>0.0</v>
      </c>
      <c r="F70" s="6">
        <v>1</v>
      </c>
      <c r="G70" s="6">
        <v>168</v>
      </c>
      <c r="H70" s="7">
        <f>IFERROR(E70/G70,0)</f>
        <v>0.0</v>
      </c>
      <c r="I70" s="5" t="s">
        <v>115</v>
      </c>
    </row>
    <row r="71" spans="1:9" ht="28" customHeight="1">
      <c r="A71" s="5" t="s">
        <v>88</v>
      </c>
      <c r="B71" s="5" t="s">
        <v>86</v>
      </c>
      <c r="C71" s="6">
        <v>0</v>
      </c>
      <c r="D71" s="6">
        <v>0</v>
      </c>
      <c r="E71" s="6">
        <f>C71+D71</f>
        <v>0.0</v>
      </c>
      <c r="F71" s="6">
        <v>1</v>
      </c>
      <c r="G71" s="6">
        <v>168</v>
      </c>
      <c r="H71" s="7">
        <f>IFERROR(E71/G71,0)</f>
        <v>0.0</v>
      </c>
      <c r="I71" s="5" t="s">
        <v>117</v>
      </c>
    </row>
    <row r="72" spans="1:9" ht="28" customHeight="1">
      <c r="A72" s="5" t="s">
        <v>88</v>
      </c>
      <c r="B72" s="5" t="s">
        <v>119</v>
      </c>
      <c r="C72" s="6">
        <v>0</v>
      </c>
      <c r="D72" s="6">
        <v>0</v>
      </c>
      <c r="E72" s="6">
        <f>C72+D72</f>
        <v>0.0</v>
      </c>
      <c r="F72" s="6">
        <v>1</v>
      </c>
      <c r="G72" s="6">
        <v>168</v>
      </c>
      <c r="H72" s="7">
        <f>IFERROR(E72/G72,0)</f>
        <v>0.0</v>
      </c>
      <c r="I72" s="5" t="s">
        <v>118</v>
      </c>
    </row>
  </sheetData>
  <autoFilter ref="A16:I72"/>
  <mergeCells count="3">
    <mergeCell ref="A1:L2"/>
    <mergeCell ref="A3:L4"/>
    <mergeCell ref="A11:L13"/>
  </mergeCells>
  <hyperlinks>
    <hyperlink ref="A5" location="'Resumen ejecutivo'!A1" display="Volver al resumen"/>
  </hyperlinks>
  <pageMargins left="0.3" right="0.3" top="0.4" bottom="0.4" header="0.3" footer="0.3"/>
  <pageSetup paperSize="9" fitToHeight="0" orientation="landscape"/>
  <headerFooter>
    <oddFooter>&amp;LServicio Médico | 1S2026&amp;R&amp;P de 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2" width="15.7109375" customWidth="1"/>
  </cols>
  <sheetData>
    <row r="1" spans="1:12" ht="24" customHeight="1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147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spans="1:12" ht="48" customHeight="1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</row>
    <row r="7" spans="1:12" ht="26" customHeight="1">
      <c r="A7" s="5" t="s">
        <v>15</v>
      </c>
      <c r="B7" s="6">
        <f>'Enero'!B8</f>
        <v>71736.0</v>
      </c>
      <c r="C7" s="6">
        <f>'Enero'!C8</f>
        <v>2208.0</v>
      </c>
      <c r="D7" s="6">
        <f>'Enero'!D8</f>
        <v>920.0</v>
      </c>
      <c r="E7" s="6">
        <f>'Enero'!E8</f>
        <v>3128.0</v>
      </c>
      <c r="F7" s="6">
        <f>'Enero'!F8</f>
        <v>3952.0</v>
      </c>
      <c r="G7" s="6">
        <f>'Enero'!G8</f>
        <v>2287.0</v>
      </c>
      <c r="H7" s="6">
        <f>'Enero'!H8</f>
        <v>9367.0</v>
      </c>
      <c r="I7" s="6">
        <f>'Enero'!I8</f>
        <v>15480.0</v>
      </c>
      <c r="J7" s="6">
        <f>'Enero'!J8</f>
        <v>427.0</v>
      </c>
      <c r="K7" s="7">
        <f>'Enero'!K8</f>
        <v>0.043604326976692316</v>
      </c>
      <c r="L7" s="7">
        <f>'Enero'!L8</f>
        <v>0.13057600089216015</v>
      </c>
    </row>
    <row r="8" spans="1:12" ht="26" customHeight="1">
      <c r="A8" s="5" t="s">
        <v>123</v>
      </c>
      <c r="B8" s="6">
        <f>'Febrero'!B8</f>
        <v>60912.0</v>
      </c>
      <c r="C8" s="6">
        <f>'Febrero'!C8</f>
        <v>1881.0</v>
      </c>
      <c r="D8" s="6">
        <f>'Febrero'!D8</f>
        <v>768.0</v>
      </c>
      <c r="E8" s="6">
        <f>'Febrero'!E8</f>
        <v>2649.0</v>
      </c>
      <c r="F8" s="6">
        <f>'Febrero'!F8</f>
        <v>5021.0</v>
      </c>
      <c r="G8" s="6">
        <f>'Febrero'!G8</f>
        <v>2201.0</v>
      </c>
      <c r="H8" s="6">
        <f>'Febrero'!H8</f>
        <v>9871.0</v>
      </c>
      <c r="I8" s="6">
        <f>'Febrero'!I8</f>
        <v>12240.0</v>
      </c>
      <c r="J8" s="6">
        <f>'Febrero'!J8</f>
        <v>423.0</v>
      </c>
      <c r="K8" s="7">
        <f>'Febrero'!K8</f>
        <v>0.04348896769109535</v>
      </c>
      <c r="L8" s="7">
        <f>'Febrero'!L8</f>
        <v>0.16205345416338324</v>
      </c>
    </row>
    <row r="9" spans="1:12" ht="26" customHeight="1">
      <c r="A9" s="5" t="s">
        <v>126</v>
      </c>
      <c r="B9" s="6">
        <f>'Marzo'!B8</f>
        <v>67040</v>
      </c>
      <c r="C9" s="6">
        <f>'Marzo'!C8</f>
        <v>2095</v>
      </c>
      <c r="D9" s="6">
        <f>'Marzo'!D8</f>
        <v>880</v>
      </c>
      <c r="E9" s="6">
        <f>'Marzo'!E8</f>
        <v>2975</v>
      </c>
      <c r="F9" s="6">
        <f>'Marzo'!F8</f>
        <v>4398</v>
      </c>
      <c r="G9" s="6">
        <f>'Marzo'!G8</f>
        <v>3105</v>
      </c>
      <c r="H9" s="6">
        <f>'Marzo'!H8</f>
        <v>10478</v>
      </c>
      <c r="I9" s="6">
        <f>'Marzo'!I8</f>
        <v>5848.0</v>
      </c>
      <c r="J9" s="6">
        <f>'Marzo'!J8</f>
        <v>419</v>
      </c>
      <c r="K9" s="7">
        <f>'Marzo'!K8</f>
        <v>0.044376491646778045</v>
      </c>
      <c r="L9" s="7">
        <f>'Marzo'!L8</f>
        <v>0.1562947494033413</v>
      </c>
    </row>
    <row r="10" spans="1:12" ht="26" customHeight="1">
      <c r="A10" s="5" t="s">
        <v>137</v>
      </c>
      <c r="B10" s="6">
        <f>'Abril'!B8</f>
        <v>66880.0</v>
      </c>
      <c r="C10" s="6">
        <f>'Abril'!C8</f>
        <v>2467.0</v>
      </c>
      <c r="D10" s="6">
        <f>'Abril'!D8</f>
        <v>344.0</v>
      </c>
      <c r="E10" s="6">
        <f>'Abril'!E8</f>
        <v>2811.0</v>
      </c>
      <c r="F10" s="6">
        <f>'Abril'!F8</f>
        <v>4182.0</v>
      </c>
      <c r="G10" s="6">
        <f>'Abril'!G8</f>
        <v>3219.0</v>
      </c>
      <c r="H10" s="6">
        <f>'Abril'!H8</f>
        <v>10212.0</v>
      </c>
      <c r="I10" s="6">
        <f>'Abril'!I8</f>
        <v>2776.0</v>
      </c>
      <c r="J10" s="6">
        <f>'Abril'!J8</f>
        <v>418.0</v>
      </c>
      <c r="K10" s="7">
        <f>'Abril'!K8</f>
        <v>0.042030502392344495</v>
      </c>
      <c r="L10" s="7">
        <f>'Abril'!L8</f>
        <v>0.1526913875598086</v>
      </c>
    </row>
    <row r="11" spans="1:12" ht="26" customHeight="1">
      <c r="A11" s="5" t="s">
        <v>140</v>
      </c>
      <c r="B11" s="6">
        <f>'Mayo'!B8</f>
        <v>63840</v>
      </c>
      <c r="C11" s="6">
        <f>'Mayo'!C8</f>
        <v>2871</v>
      </c>
      <c r="D11" s="6">
        <f>'Mayo'!D8</f>
        <v>409</v>
      </c>
      <c r="E11" s="6">
        <f>'Mayo'!E8</f>
        <v>3280</v>
      </c>
      <c r="F11" s="6">
        <f>'Mayo'!F8</f>
        <v>2825</v>
      </c>
      <c r="G11" s="6">
        <f>'Mayo'!G8</f>
        <v>2166</v>
      </c>
      <c r="H11" s="6">
        <f>'Mayo'!H8</f>
        <v>8271</v>
      </c>
      <c r="I11" s="6">
        <f>'Mayo'!I8</f>
        <v>1800.0</v>
      </c>
      <c r="J11" s="6">
        <f>'Mayo'!J8</f>
        <v>420</v>
      </c>
      <c r="K11" s="7">
        <f>'Mayo'!K8</f>
        <v>0.05137844611528822</v>
      </c>
      <c r="L11" s="7">
        <f>'Mayo'!L8</f>
        <v>0.12955827067669173</v>
      </c>
    </row>
    <row r="12" spans="1:12" ht="26" customHeight="1">
      <c r="A12" s="5" t="s">
        <v>145</v>
      </c>
      <c r="B12" s="6">
        <f>'Junio'!B8</f>
        <v>70224</v>
      </c>
      <c r="C12" s="6">
        <f>'Junio'!C8</f>
        <v>3358</v>
      </c>
      <c r="D12" s="6">
        <f>'Junio'!D8</f>
        <v>694</v>
      </c>
      <c r="E12" s="6">
        <f>'Junio'!E8</f>
        <v>4052</v>
      </c>
      <c r="F12" s="6">
        <f>'Junio'!F8</f>
        <v>2778</v>
      </c>
      <c r="G12" s="6">
        <f>'Junio'!G8</f>
        <v>3985</v>
      </c>
      <c r="H12" s="6">
        <f>'Junio'!H8</f>
        <v>10815</v>
      </c>
      <c r="I12" s="6">
        <f>'Junio'!I8</f>
        <v>1144.0</v>
      </c>
      <c r="J12" s="6">
        <f>'Junio'!J8</f>
        <v>418</v>
      </c>
      <c r="K12" s="7">
        <f>'Junio'!K8</f>
        <v>0.05770107085896559</v>
      </c>
      <c r="L12" s="7">
        <f>'Junio'!L8</f>
        <v>0.15400717703349281</v>
      </c>
    </row>
    <row r="13" spans="1:12">
      <c r="A13" s="4" t="s">
        <v>148</v>
      </c>
      <c r="B13" s="6">
        <f>SUM(B7:B12)</f>
        <v>400632.0</v>
      </c>
      <c r="C13" s="6">
        <f>SUM(C7:C12)</f>
        <v>14880.0</v>
      </c>
      <c r="D13" s="6">
        <f>SUM(D7:D12)</f>
        <v>4015.0</v>
      </c>
      <c r="E13" s="6">
        <f>SUM(E7:E12)</f>
        <v>18895.0</v>
      </c>
      <c r="F13" s="6">
        <f>SUM(F7:F12)</f>
        <v>23156.0</v>
      </c>
      <c r="G13" s="6">
        <f>SUM(G7:G12)</f>
        <v>16963.0</v>
      </c>
      <c r="H13" s="6">
        <f>SUM(H7:H12)</f>
        <v>59014.0</v>
      </c>
      <c r="I13" s="6">
        <f>SUM(I7:I12)</f>
        <v>39288.0</v>
      </c>
      <c r="J13" s="6">
        <f>AVERAGE(J7:J12)</f>
        <v>420.8333333333333</v>
      </c>
      <c r="K13" s="7">
        <f>E13/B13</f>
        <v>0.04716298248766948</v>
      </c>
      <c r="L13" s="7">
        <f>H13/B13</f>
        <v>0.14730226242536792</v>
      </c>
    </row>
    <row r="16" spans="1:12">
      <c r="A16" s="8" t="s">
        <v>149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1:1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</sheetData>
  <autoFilter ref="A6:L12"/>
  <mergeCells count="3">
    <mergeCell ref="A1:L2"/>
    <mergeCell ref="A3:L4"/>
    <mergeCell ref="A16:L18"/>
  </mergeCells>
  <pageMargins left="0.3" right="0.3" top="0.4" bottom="0.4" header="0.3" footer="0.3"/>
  <pageSetup paperSize="9" orientation="landscape"/>
  <headerFooter>
    <oddFooter>&amp;LServicio Médico | 1S2026&amp;R&amp;P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G1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7" width="15.7109375" customWidth="1"/>
  </cols>
  <sheetData>
    <row r="1" spans="1:7" ht="24" customHeight="1">
      <c r="A1" s="1" t="s">
        <v>150</v>
      </c>
      <c r="B1" s="1"/>
      <c r="C1" s="1"/>
      <c r="D1" s="1"/>
      <c r="E1" s="1"/>
      <c r="F1" s="1"/>
      <c r="G1" s="1"/>
    </row>
    <row r="2" spans="1:7" ht="18" customHeight="1">
      <c r="A2" s="1"/>
      <c r="B2" s="1"/>
      <c r="C2" s="1"/>
      <c r="D2" s="1"/>
      <c r="E2" s="1"/>
      <c r="F2" s="1"/>
      <c r="G2" s="1"/>
    </row>
    <row r="3" spans="1:7" ht="25" customHeight="1">
      <c r="A3" s="2" t="s">
        <v>151</v>
      </c>
      <c r="B3" s="2"/>
      <c r="C3" s="2"/>
      <c r="D3" s="2"/>
      <c r="E3" s="2"/>
      <c r="F3" s="2"/>
      <c r="G3" s="2"/>
    </row>
    <row r="4" spans="1:7">
      <c r="A4" s="2"/>
      <c r="B4" s="2"/>
      <c r="C4" s="2"/>
      <c r="D4" s="2"/>
      <c r="E4" s="2"/>
      <c r="F4" s="2"/>
      <c r="G4" s="2"/>
    </row>
    <row r="6" spans="1:7">
      <c r="A6" s="4" t="s">
        <v>3</v>
      </c>
      <c r="B6" s="4" t="s">
        <v>4</v>
      </c>
      <c r="C6" s="4" t="s">
        <v>5</v>
      </c>
      <c r="D6" s="4" t="s">
        <v>19</v>
      </c>
      <c r="E6" s="4" t="s">
        <v>7</v>
      </c>
      <c r="F6" s="4" t="s">
        <v>13</v>
      </c>
    </row>
    <row r="7" spans="1:7">
      <c r="A7" s="5" t="s">
        <v>15</v>
      </c>
      <c r="B7" s="6">
        <v>74096</v>
      </c>
      <c r="C7" s="6">
        <v>1921</v>
      </c>
      <c r="D7" s="6">
        <v>336</v>
      </c>
      <c r="E7" s="6">
        <f>C7+D7</f>
        <v>2257</v>
      </c>
      <c r="F7" s="7">
        <f>E7/B7</f>
        <v>0.03046048369682574</v>
      </c>
    </row>
    <row r="8" spans="1:7">
      <c r="A8" s="5" t="s">
        <v>123</v>
      </c>
      <c r="B8" s="6">
        <v>67040</v>
      </c>
      <c r="C8" s="6">
        <v>2160</v>
      </c>
      <c r="D8" s="6">
        <v>452</v>
      </c>
      <c r="E8" s="6">
        <f>C8+D8</f>
        <v>2612</v>
      </c>
      <c r="F8" s="7">
        <f>E8/B8</f>
        <v>0.0389618138424821</v>
      </c>
    </row>
    <row r="9" spans="1:7">
      <c r="A9" s="5" t="s">
        <v>126</v>
      </c>
      <c r="B9" s="6">
        <v>60480</v>
      </c>
      <c r="C9" s="6">
        <v>2080</v>
      </c>
      <c r="D9" s="6">
        <v>410</v>
      </c>
      <c r="E9" s="6">
        <f>C9+D9</f>
        <v>2490</v>
      </c>
      <c r="F9" s="7">
        <f>E9/B9</f>
        <v>0.04117063492063492</v>
      </c>
    </row>
    <row r="10" spans="1:7">
      <c r="A10" s="5" t="s">
        <v>137</v>
      </c>
      <c r="B10" s="6">
        <v>67520</v>
      </c>
      <c r="C10" s="6">
        <v>2143</v>
      </c>
      <c r="D10" s="6">
        <v>560</v>
      </c>
      <c r="E10" s="6">
        <f>C10+D10</f>
        <v>2703</v>
      </c>
      <c r="F10" s="7">
        <f>E10/B10</f>
        <v>0.04003258293838863</v>
      </c>
    </row>
    <row r="11" spans="1:7">
      <c r="A11" s="5" t="s">
        <v>140</v>
      </c>
      <c r="B11" s="6">
        <v>67680</v>
      </c>
      <c r="C11" s="6">
        <v>2395</v>
      </c>
      <c r="D11" s="6">
        <v>201</v>
      </c>
      <c r="E11" s="6">
        <f>C11+D11</f>
        <v>2596</v>
      </c>
      <c r="F11" s="7">
        <f>E11/B11</f>
        <v>0.03835697399527187</v>
      </c>
    </row>
    <row r="12" spans="1:7">
      <c r="A12" s="5" t="s">
        <v>145</v>
      </c>
      <c r="B12" s="6">
        <v>64296</v>
      </c>
      <c r="C12" s="6">
        <v>2650</v>
      </c>
      <c r="D12" s="6">
        <v>421</v>
      </c>
      <c r="E12" s="6">
        <f>C12+D12</f>
        <v>3071</v>
      </c>
      <c r="F12" s="7">
        <f>E12/B12</f>
        <v>0.04776346895607814</v>
      </c>
    </row>
    <row r="13" spans="1:7">
      <c r="A13" s="4" t="s">
        <v>148</v>
      </c>
      <c r="B13" s="6">
        <f>SUM(B7:B12)</f>
        <v>401112</v>
      </c>
      <c r="C13" s="6">
        <f>SUM(C7:C12)</f>
        <v>13349</v>
      </c>
      <c r="D13" s="6">
        <f>SUM(D7:D12)</f>
        <v>2380</v>
      </c>
      <c r="E13" s="6">
        <f>SUM(E7:E12)</f>
        <v>15729</v>
      </c>
      <c r="F13" s="7">
        <f>E13/B13</f>
        <v>0.039213486507509124</v>
      </c>
    </row>
  </sheetData>
  <mergeCells count="2">
    <mergeCell ref="A1:G2"/>
    <mergeCell ref="A3:G4"/>
  </mergeCells>
  <pageMargins left="0.3" right="0.3" top="0.4" bottom="0.4" header="0.3" footer="0.3"/>
  <pageSetup paperSize="9" fitToHeight="0" orientation="landscape"/>
  <headerFooter>
    <oddFooter>&amp;LServicio Médico | 1S2026&amp;R&amp;P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H2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70.7109375" customWidth="1"/>
    <col min="2" max="2" width="15.7109375" customWidth="1"/>
    <col min="3" max="3" width="90.7109375" customWidth="1"/>
    <col min="4" max="4" width="70.7109375" customWidth="1"/>
    <col min="5" max="8" width="15.7109375" customWidth="1"/>
  </cols>
  <sheetData>
    <row r="1" spans="1:8" ht="24" customHeight="1">
      <c r="A1" s="1" t="s">
        <v>152</v>
      </c>
      <c r="B1" s="1"/>
      <c r="C1" s="1"/>
      <c r="D1" s="1"/>
      <c r="E1" s="1"/>
      <c r="F1" s="1"/>
      <c r="G1" s="1"/>
      <c r="H1" s="1"/>
    </row>
    <row r="2" spans="1:8" ht="18" customHeight="1">
      <c r="A2" s="1"/>
      <c r="B2" s="1"/>
      <c r="C2" s="1"/>
      <c r="D2" s="1"/>
      <c r="E2" s="1"/>
      <c r="F2" s="1"/>
      <c r="G2" s="1"/>
      <c r="H2" s="1"/>
    </row>
    <row r="3" spans="1:8" ht="25" customHeight="1">
      <c r="A3" s="2" t="s">
        <v>153</v>
      </c>
      <c r="B3" s="2"/>
      <c r="C3" s="2"/>
      <c r="D3" s="2"/>
      <c r="E3" s="2"/>
      <c r="F3" s="2"/>
      <c r="G3" s="2"/>
      <c r="H3" s="2"/>
    </row>
    <row r="4" spans="1:8">
      <c r="A4" s="2"/>
      <c r="B4" s="2"/>
      <c r="C4" s="2"/>
      <c r="D4" s="2"/>
      <c r="E4" s="2"/>
      <c r="F4" s="2"/>
      <c r="G4" s="2"/>
      <c r="H4" s="2"/>
    </row>
    <row r="6" spans="1:8">
      <c r="A6" s="4" t="s">
        <v>154</v>
      </c>
      <c r="B6" s="4" t="s">
        <v>3</v>
      </c>
      <c r="C6" s="4" t="s">
        <v>155</v>
      </c>
      <c r="D6" s="4" t="s">
        <v>156</v>
      </c>
    </row>
    <row r="7" spans="1:8" ht="42" customHeight="1">
      <c r="A7" s="5" t="s">
        <v>157</v>
      </c>
      <c r="B7" s="5" t="s">
        <v>15</v>
      </c>
      <c r="C7" s="5" t="s">
        <v>158</v>
      </c>
      <c r="D7" s="5" t="s">
        <v>159</v>
      </c>
    </row>
    <row r="8" spans="1:8" ht="42" customHeight="1">
      <c r="A8" s="5" t="s">
        <v>160</v>
      </c>
      <c r="B8" s="5" t="s">
        <v>15</v>
      </c>
      <c r="C8" s="5" t="s">
        <v>161</v>
      </c>
      <c r="D8" s="5" t="s">
        <v>162</v>
      </c>
    </row>
    <row r="9" spans="1:8" ht="42" customHeight="1">
      <c r="A9" s="5" t="s">
        <v>163</v>
      </c>
      <c r="B9" s="5" t="s">
        <v>123</v>
      </c>
      <c r="C9" s="5" t="s">
        <v>158</v>
      </c>
      <c r="D9" s="5" t="s">
        <v>164</v>
      </c>
    </row>
    <row r="10" spans="1:8" ht="42" customHeight="1">
      <c r="A10" s="5" t="s">
        <v>165</v>
      </c>
      <c r="B10" s="5" t="s">
        <v>123</v>
      </c>
      <c r="C10" s="5" t="s">
        <v>161</v>
      </c>
      <c r="D10" s="5" t="s">
        <v>166</v>
      </c>
    </row>
    <row r="11" spans="1:8" ht="42" customHeight="1">
      <c r="A11" s="5" t="s">
        <v>167</v>
      </c>
      <c r="B11" s="5" t="s">
        <v>126</v>
      </c>
      <c r="C11" s="5" t="s">
        <v>158</v>
      </c>
      <c r="D11" s="5" t="s">
        <v>168</v>
      </c>
    </row>
    <row r="12" spans="1:8" ht="42" customHeight="1">
      <c r="A12" s="5" t="s">
        <v>169</v>
      </c>
      <c r="B12" s="5" t="s">
        <v>126</v>
      </c>
      <c r="C12" s="5" t="s">
        <v>161</v>
      </c>
      <c r="D12" s="5" t="s">
        <v>170</v>
      </c>
    </row>
    <row r="13" spans="1:8" ht="42" customHeight="1">
      <c r="A13" s="5" t="s">
        <v>171</v>
      </c>
      <c r="B13" s="5" t="s">
        <v>137</v>
      </c>
      <c r="C13" s="5" t="s">
        <v>158</v>
      </c>
      <c r="D13" s="5" t="s">
        <v>172</v>
      </c>
    </row>
    <row r="14" spans="1:8" ht="42" customHeight="1">
      <c r="A14" s="5" t="s">
        <v>173</v>
      </c>
      <c r="B14" s="5" t="s">
        <v>137</v>
      </c>
      <c r="C14" s="5" t="s">
        <v>161</v>
      </c>
      <c r="D14" s="5" t="s">
        <v>174</v>
      </c>
    </row>
    <row r="15" spans="1:8" ht="42" customHeight="1">
      <c r="A15" s="5" t="s">
        <v>175</v>
      </c>
      <c r="B15" s="5" t="s">
        <v>140</v>
      </c>
      <c r="C15" s="5" t="s">
        <v>158</v>
      </c>
      <c r="D15" s="5" t="s">
        <v>176</v>
      </c>
    </row>
    <row r="16" spans="1:8" ht="42" customHeight="1">
      <c r="A16" s="5" t="s">
        <v>177</v>
      </c>
      <c r="B16" s="5" t="s">
        <v>140</v>
      </c>
      <c r="C16" s="5" t="s">
        <v>161</v>
      </c>
      <c r="D16" s="5" t="s">
        <v>178</v>
      </c>
    </row>
    <row r="17" spans="1:4" ht="42" customHeight="1">
      <c r="A17" s="5" t="s">
        <v>179</v>
      </c>
      <c r="B17" s="5" t="s">
        <v>145</v>
      </c>
      <c r="C17" s="5" t="s">
        <v>158</v>
      </c>
      <c r="D17" s="5" t="s">
        <v>180</v>
      </c>
    </row>
    <row r="18" spans="1:4" ht="42" customHeight="1">
      <c r="A18" s="5" t="s">
        <v>181</v>
      </c>
      <c r="B18" s="5" t="s">
        <v>145</v>
      </c>
      <c r="C18" s="5" t="s">
        <v>161</v>
      </c>
      <c r="D18" s="5" t="s">
        <v>182</v>
      </c>
    </row>
    <row r="22" spans="1:4" ht="48" customHeight="1">
      <c r="A22" s="8" t="s">
        <v>183</v>
      </c>
      <c r="B22" s="8"/>
      <c r="C22" s="8"/>
      <c r="D22" s="8"/>
    </row>
    <row r="23" spans="1:4" ht="48" customHeight="1">
      <c r="A23" s="8" t="s">
        <v>184</v>
      </c>
      <c r="B23" s="8"/>
      <c r="C23" s="8"/>
      <c r="D23" s="8"/>
    </row>
    <row r="24" spans="1:4" ht="48" customHeight="1">
      <c r="A24" s="8" t="s">
        <v>185</v>
      </c>
      <c r="B24" s="8"/>
      <c r="C24" s="8"/>
      <c r="D24" s="8"/>
    </row>
    <row r="25" spans="1:4" ht="48" customHeight="1">
      <c r="A25" s="8" t="s">
        <v>186</v>
      </c>
      <c r="B25" s="8"/>
      <c r="C25" s="8"/>
      <c r="D25" s="8"/>
    </row>
    <row r="26" spans="1:4" ht="48" customHeight="1">
      <c r="A26" s="8" t="s">
        <v>187</v>
      </c>
      <c r="B26" s="8"/>
      <c r="C26" s="8"/>
      <c r="D26" s="8"/>
    </row>
    <row r="27" spans="1:4" ht="48" customHeight="1">
      <c r="A27" s="8" t="s">
        <v>188</v>
      </c>
      <c r="B27" s="8"/>
      <c r="C27" s="8"/>
      <c r="D27" s="8"/>
    </row>
  </sheetData>
  <mergeCells count="8">
    <mergeCell ref="A1:H2"/>
    <mergeCell ref="A3:H4"/>
    <mergeCell ref="A22:D22"/>
    <mergeCell ref="A23:D23"/>
    <mergeCell ref="A24:D24"/>
    <mergeCell ref="A25:D25"/>
    <mergeCell ref="A26:D26"/>
    <mergeCell ref="A27:D27"/>
  </mergeCells>
  <pageMargins left="0.3" right="0.3" top="0.4" bottom="0.4" header="0.3" footer="0.3"/>
  <pageSetup paperSize="9" fitToHeight="0" orientation="landscape"/>
  <headerFooter>
    <oddFooter>&amp;LServicio Médico | 1S2026&amp;R&amp;P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46"/>
  <sheetViews>
    <sheetView showGridLines="0" tabSelected="1" workbookViewId="0">
      <pane ySplit="5" topLeftCell="A6" activePane="bottomLeft" state="frozen"/>
      <selection pane="bottomLeft"/>
    </sheetView>
  </sheetViews>
  <sheetFormatPr defaultRowHeight="15"/>
  <cols>
    <col min="1" max="12" width="12.7109375" customWidth="1"/>
  </cols>
  <sheetData>
    <row r="1" spans="1:12" ht="24" customHeight="1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5" customHeight="1">
      <c r="A3" s="2" t="s">
        <v>190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spans="1:12" ht="25" customHeight="1">
      <c r="A6" s="9" t="s">
        <v>191</v>
      </c>
      <c r="B6" s="9"/>
      <c r="C6" s="9"/>
      <c r="D6" s="9"/>
      <c r="E6" s="9" t="s">
        <v>192</v>
      </c>
      <c r="F6" s="9"/>
      <c r="G6" s="9"/>
      <c r="H6" s="9"/>
      <c r="I6" s="9" t="s">
        <v>193</v>
      </c>
      <c r="J6" s="9"/>
      <c r="K6" s="9"/>
      <c r="L6" s="9"/>
    </row>
    <row r="7" spans="1:12" ht="30" customHeight="1">
      <c r="A7" s="10">
        <f>Consolidado!K13</f>
        <v>0.04716298248766948</v>
      </c>
      <c r="B7" s="10"/>
      <c r="C7" s="10"/>
      <c r="D7" s="10"/>
      <c r="E7" s="11">
        <f>Consolidado!E13</f>
        <v>18895.0</v>
      </c>
      <c r="F7" s="11"/>
      <c r="G7" s="11"/>
      <c r="H7" s="11"/>
      <c r="I7" s="11">
        <f>Consolidado!B13</f>
        <v>400632.0</v>
      </c>
      <c r="J7" s="11"/>
      <c r="K7" s="11"/>
      <c r="L7" s="11"/>
    </row>
    <row r="8" spans="1:12" ht="26" customHeight="1">
      <c r="A8" s="10"/>
      <c r="B8" s="10"/>
      <c r="C8" s="10"/>
      <c r="D8" s="10"/>
      <c r="E8" s="11"/>
      <c r="F8" s="11"/>
      <c r="G8" s="11"/>
      <c r="H8" s="11"/>
      <c r="I8" s="11"/>
      <c r="J8" s="11"/>
      <c r="K8" s="11"/>
      <c r="L8" s="11"/>
    </row>
    <row r="9" spans="1:12" ht="16" customHeight="1">
      <c r="A9" s="10"/>
      <c r="B9" s="10"/>
      <c r="C9" s="10"/>
      <c r="D9" s="10"/>
      <c r="E9" s="11"/>
      <c r="F9" s="11"/>
      <c r="G9" s="11"/>
      <c r="H9" s="11"/>
      <c r="I9" s="11"/>
      <c r="J9" s="11"/>
      <c r="K9" s="11"/>
      <c r="L9" s="11"/>
    </row>
    <row r="11" spans="1:12">
      <c r="A11" s="8" t="s">
        <v>194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6" spans="1:12" ht="45" customHeight="1">
      <c r="A16" s="4" t="s">
        <v>3</v>
      </c>
      <c r="B16" s="4" t="s">
        <v>195</v>
      </c>
      <c r="C16" s="4" t="s">
        <v>196</v>
      </c>
      <c r="D16" s="4" t="s">
        <v>7</v>
      </c>
      <c r="E16" s="4" t="s">
        <v>197</v>
      </c>
      <c r="F16" s="4" t="s">
        <v>198</v>
      </c>
    </row>
    <row r="17" spans="1:6" ht="25" customHeight="1">
      <c r="A17" s="5" t="s">
        <v>15</v>
      </c>
      <c r="B17" s="7">
        <f>Consolidado!K7</f>
        <v>0.043604326976692316</v>
      </c>
      <c r="C17" s="7">
        <f>'Comparativo 2025'!F7</f>
        <v>0.03046048369682574</v>
      </c>
      <c r="D17" s="6">
        <f>Consolidado!E7</f>
        <v>3128.0</v>
      </c>
      <c r="E17" s="6">
        <f>Consolidado!C7</f>
        <v>2208.0</v>
      </c>
      <c r="F17" s="6">
        <f>Consolidado!D7</f>
        <v>920.0</v>
      </c>
    </row>
    <row r="18" spans="1:6" ht="25" customHeight="1">
      <c r="A18" s="5" t="s">
        <v>123</v>
      </c>
      <c r="B18" s="7">
        <f>Consolidado!K8</f>
        <v>0.04348896769109535</v>
      </c>
      <c r="C18" s="7">
        <f>'Comparativo 2025'!F8</f>
        <v>0.0389618138424821</v>
      </c>
      <c r="D18" s="6">
        <f>Consolidado!E8</f>
        <v>2649.0</v>
      </c>
      <c r="E18" s="6">
        <f>Consolidado!C8</f>
        <v>1881.0</v>
      </c>
      <c r="F18" s="6">
        <f>Consolidado!D8</f>
        <v>768.0</v>
      </c>
    </row>
    <row r="19" spans="1:6" ht="25" customHeight="1">
      <c r="A19" s="5" t="s">
        <v>126</v>
      </c>
      <c r="B19" s="7">
        <f>Consolidado!K9</f>
        <v>0.044376491646778045</v>
      </c>
      <c r="C19" s="7">
        <f>'Comparativo 2025'!F9</f>
        <v>0.04117063492063492</v>
      </c>
      <c r="D19" s="6">
        <f>Consolidado!E9</f>
        <v>2975</v>
      </c>
      <c r="E19" s="6">
        <f>Consolidado!C9</f>
        <v>2095</v>
      </c>
      <c r="F19" s="6">
        <f>Consolidado!D9</f>
        <v>880</v>
      </c>
    </row>
    <row r="20" spans="1:6" ht="25" customHeight="1">
      <c r="A20" s="5" t="s">
        <v>137</v>
      </c>
      <c r="B20" s="7">
        <f>Consolidado!K10</f>
        <v>0.042030502392344495</v>
      </c>
      <c r="C20" s="7">
        <f>'Comparativo 2025'!F10</f>
        <v>0.04003258293838863</v>
      </c>
      <c r="D20" s="6">
        <f>Consolidado!E10</f>
        <v>2811.0</v>
      </c>
      <c r="E20" s="6">
        <f>Consolidado!C10</f>
        <v>2467.0</v>
      </c>
      <c r="F20" s="6">
        <f>Consolidado!D10</f>
        <v>344.0</v>
      </c>
    </row>
    <row r="21" spans="1:6" ht="25" customHeight="1">
      <c r="A21" s="5" t="s">
        <v>140</v>
      </c>
      <c r="B21" s="7">
        <f>Consolidado!K11</f>
        <v>0.05137844611528822</v>
      </c>
      <c r="C21" s="7">
        <f>'Comparativo 2025'!F11</f>
        <v>0.03835697399527187</v>
      </c>
      <c r="D21" s="6">
        <f>Consolidado!E11</f>
        <v>3280</v>
      </c>
      <c r="E21" s="6">
        <f>Consolidado!C11</f>
        <v>2871</v>
      </c>
      <c r="F21" s="6">
        <f>Consolidado!D11</f>
        <v>409</v>
      </c>
    </row>
    <row r="22" spans="1:6" ht="25" customHeight="1">
      <c r="A22" s="5" t="s">
        <v>145</v>
      </c>
      <c r="B22" s="7">
        <f>Consolidado!K12</f>
        <v>0.05770107085896559</v>
      </c>
      <c r="C22" s="7">
        <f>'Comparativo 2025'!F12</f>
        <v>0.04776346895607814</v>
      </c>
      <c r="D22" s="6">
        <f>Consolidado!E12</f>
        <v>4052</v>
      </c>
      <c r="E22" s="6">
        <f>Consolidado!C12</f>
        <v>3358</v>
      </c>
      <c r="F22" s="6">
        <f>Consolidado!D12</f>
        <v>694</v>
      </c>
    </row>
    <row r="41" spans="1:12">
      <c r="A41" s="8" t="s">
        <v>199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1:1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1:1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spans="1:1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6" spans="1:12">
      <c r="A46" s="3" t="s">
        <v>200</v>
      </c>
      <c r="E46" s="3" t="s">
        <v>201</v>
      </c>
    </row>
  </sheetData>
  <mergeCells count="10">
    <mergeCell ref="A1:L2"/>
    <mergeCell ref="A3:L4"/>
    <mergeCell ref="A6:D6"/>
    <mergeCell ref="A7:D9"/>
    <mergeCell ref="E6:H6"/>
    <mergeCell ref="E7:H9"/>
    <mergeCell ref="I6:L6"/>
    <mergeCell ref="I7:L9"/>
    <mergeCell ref="A11:L13"/>
    <mergeCell ref="A41:L44"/>
  </mergeCells>
  <hyperlinks>
    <hyperlink ref="A46" location="'Consolidado'!A1" display="Abrir consolidado"/>
    <hyperlink ref="E46" location="'Fuentes y controles'!A1" display="Abrir fuentes y controles"/>
  </hyperlinks>
  <pageMargins left="0.3" right="0.3" top="0.4" bottom="0.4" header="0.3" footer="0.3"/>
  <pageSetup paperSize="9" orientation="landscape"/>
  <headerFooter>
    <oddFooter>&amp;LServicio Médico | 1S2026&amp;R&amp;P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Enero</vt:lpstr>
      <vt:lpstr>Febrero</vt:lpstr>
      <vt:lpstr>Marzo</vt:lpstr>
      <vt:lpstr>Abril</vt:lpstr>
      <vt:lpstr>Mayo</vt:lpstr>
      <vt:lpstr>Junio</vt:lpstr>
      <vt:lpstr>Consolidado</vt:lpstr>
      <vt:lpstr>Comparativo 2025</vt:lpstr>
      <vt:lpstr>Fuentes y controles</vt:lpstr>
      <vt:lpstr>Resumen ejecutivo</vt:lpstr>
      <vt:lpstr>Consolidado!Print_Area</vt:lpstr>
      <vt:lpstr>'Resumen ejecutivo'!Print_Area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KPI PRIMER SEMESTRE 2026</dc:title>
  <dc:subject>Consolidado mensual y resumen ejecutivo de ausentismo</dc:subject>
  <dc:creator>Servicio Médico Tandanor</dc:creator>
  <cp:lastModifiedBy>Servicio Médico Tandanor</cp:lastModifiedBy>
  <dcterms:created xsi:type="dcterms:W3CDTF">2026-10-07T13:41:17Z</dcterms:created>
  <dcterms:modified xsi:type="dcterms:W3CDTF">2026-10-07T13:41:17Z</dcterms:modified>
</cp:coreProperties>
</file>