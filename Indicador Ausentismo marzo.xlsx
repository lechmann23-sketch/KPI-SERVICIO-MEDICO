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.081\Desktop\Maquina Vieja\INDICE2\MARZO\2026\"/>
    </mc:Choice>
  </mc:AlternateContent>
  <xr:revisionPtr revIDLastSave="0" documentId="13_ncr:1_{7A12AA13-8BF0-428A-BAA0-59AFC8FC61CD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Relaciones Industri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6" i="1" l="1"/>
  <c r="K16" i="1"/>
  <c r="N16" i="1"/>
  <c r="H16" i="1"/>
  <c r="N14" i="1"/>
  <c r="O15" i="1"/>
  <c r="K15" i="1"/>
  <c r="N15" i="1"/>
  <c r="H15" i="1"/>
  <c r="O14" i="1"/>
  <c r="K14" i="1"/>
  <c r="H14" i="1"/>
  <c r="O13" i="1"/>
  <c r="K13" i="1"/>
  <c r="N13" i="1"/>
  <c r="H13" i="1"/>
  <c r="O12" i="1"/>
  <c r="K12" i="1"/>
  <c r="N12" i="1"/>
  <c r="H12" i="1"/>
  <c r="K4" i="1"/>
  <c r="K3" i="1"/>
  <c r="O11" i="1"/>
  <c r="K11" i="1"/>
  <c r="N11" i="1"/>
  <c r="H11" i="1"/>
  <c r="O10" i="1"/>
  <c r="K10" i="1"/>
  <c r="N10" i="1"/>
  <c r="H10" i="1"/>
  <c r="O9" i="1"/>
  <c r="K9" i="1"/>
  <c r="N9" i="1"/>
  <c r="H9" i="1"/>
  <c r="H2" i="1"/>
  <c r="O8" i="1"/>
  <c r="H8" i="1" l="1"/>
  <c r="H7" i="1"/>
  <c r="K8" i="1" l="1"/>
  <c r="N8" i="1"/>
  <c r="H6" i="1"/>
  <c r="H5" i="1"/>
  <c r="H4" i="1"/>
  <c r="H3" i="1"/>
  <c r="O7" i="1"/>
  <c r="K7" i="1"/>
  <c r="N7" i="1"/>
  <c r="O6" i="1" l="1"/>
  <c r="N6" i="1"/>
  <c r="K6" i="1"/>
  <c r="O5" i="1"/>
  <c r="N5" i="1"/>
  <c r="K5" i="1"/>
  <c r="O4" i="1"/>
  <c r="N4" i="1"/>
  <c r="O3" i="1"/>
  <c r="N3" i="1"/>
  <c r="O2" i="1"/>
  <c r="N2" i="1"/>
  <c r="K2" i="1"/>
</calcChain>
</file>

<file path=xl/sharedStrings.xml><?xml version="1.0" encoding="utf-8"?>
<sst xmlns="http://schemas.openxmlformats.org/spreadsheetml/2006/main" count="15" uniqueCount="15">
  <si>
    <t>Periodo (Promedio mes)</t>
  </si>
  <si>
    <t>Hs NORMAL</t>
  </si>
  <si>
    <t xml:space="preserve">Hs NORMAL TRABAJADAS </t>
  </si>
  <si>
    <t xml:space="preserve">ENFERMEDAD </t>
  </si>
  <si>
    <t xml:space="preserve">ACCIDENTES </t>
  </si>
  <si>
    <t>Horas Suplementarias</t>
  </si>
  <si>
    <t>Monto Horas Suplementarias</t>
  </si>
  <si>
    <t>AUSENTISMO s/vacaciones</t>
  </si>
  <si>
    <t>Ausencias, Licencias Vs. y Suspensiones</t>
  </si>
  <si>
    <t>COMPENSATO-RIOS</t>
  </si>
  <si>
    <t>Dotación</t>
  </si>
  <si>
    <t>Relacion Compensatorias vs suplementarias</t>
  </si>
  <si>
    <t>Horas trabajadas vs dotación</t>
  </si>
  <si>
    <t>HORAS 130 Y al 100</t>
  </si>
  <si>
    <t>Horas Suplementarias vs Trabajadas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</si>
</sst>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HH&quot;"/>
    <numFmt numFmtId="165" formatCode="_ &quot;$&quot;\ * #,##0_ ;_ &quot;$&quot;\ * \-#,##0_ ;_ &quot;$&quot;\ * &quot;-&quot;??_ ;_ @_ "/>
    <numFmt numFmtId="166" formatCode="[$-C0A]mmm\-yy;@"/>
    <numFmt numFmtId="167" formatCode="[$-C0A]dd\-mmm\-yy;@"/>
  </numFmts>
  <fonts count="1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B050"/>
      <name val="Calibri"/>
      <family val="2"/>
    </font>
    <font>
      <sz val="11"/>
      <color rgb="FF00B050"/>
      <name val="Calibri"/>
      <family val="2"/>
    </font>
    <font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9"/>
      <name val="Calibri"/>
      <family val="2"/>
    </font>
    <font>
      <sz val="11"/>
      <color theme="9"/>
      <name val="Calibri"/>
      <family val="2"/>
    </font>
    <font>
      <b/>
      <sz val="12"/>
      <color theme="9"/>
      <name val="Calibri"/>
      <family val="2"/>
    </font>
    <font>
      <b/>
      <sz val="11"/>
      <color rgb="FFFF0000"/>
      <name val="Calibri"/>
      <family val="2"/>
    </font>
    <font>
      <b/>
      <sz val="11"/>
      <color theme="9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 style="dashed">
        <color rgb="FFFFFFFF"/>
      </bottom>
      <diagonal/>
    </border>
    <border>
      <left style="dashed">
        <color rgb="FFFFFFFF"/>
      </left>
      <right/>
      <top style="dashed">
        <color rgb="FFFFFFFF"/>
      </top>
      <bottom style="dashed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rgb="FFFFFFFF"/>
      </left>
      <right style="dashed">
        <color rgb="FFFFFFFF"/>
      </right>
      <top style="dashed">
        <color rgb="FFFFFFFF"/>
      </top>
      <bottom/>
      <diagonal/>
    </border>
    <border>
      <left style="dashed">
        <color rgb="FFFFFFFF"/>
      </left>
      <right/>
      <top style="dashed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9" fontId="6" fillId="0" borderId="0" xfId="1" applyFont="1" applyFill="1" applyBorder="1" applyAlignment="1">
      <alignment horizontal="center" vertical="center"/>
    </xf>
    <xf numFmtId="9" fontId="7" fillId="0" borderId="0" xfId="1" applyFont="1" applyFill="1" applyBorder="1" applyAlignment="1">
      <alignment horizontal="center" vertical="center"/>
    </xf>
    <xf numFmtId="164" fontId="3" fillId="0" borderId="0" xfId="0" applyNumberFormat="1" applyFont="1"/>
    <xf numFmtId="165" fontId="6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9" fontId="8" fillId="0" borderId="0" xfId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9" fontId="9" fillId="0" borderId="0" xfId="1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9" fontId="10" fillId="0" borderId="0" xfId="1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9" fontId="11" fillId="0" borderId="0" xfId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1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9" fontId="14" fillId="0" borderId="0" xfId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9" fontId="15" fillId="0" borderId="0" xfId="1" applyFont="1" applyFill="1" applyBorder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6" fillId="0" borderId="0" xfId="0" applyNumberFormat="1" applyFont="1"/>
    <xf numFmtId="0" fontId="16" fillId="0" borderId="0" xfId="0" applyFont="1"/>
    <xf numFmtId="165" fontId="3" fillId="0" borderId="3" xfId="0" applyNumberFormat="1" applyFont="1" applyBorder="1"/>
    <xf numFmtId="1" fontId="14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 vertical="center"/>
    </xf>
    <xf numFmtId="166" fontId="9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/>
    </xf>
    <xf numFmtId="9" fontId="8" fillId="3" borderId="0" xfId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/>
    </xf>
    <xf numFmtId="164" fontId="10" fillId="3" borderId="0" xfId="0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center"/>
    </xf>
    <xf numFmtId="164" fontId="11" fillId="3" borderId="0" xfId="0" applyNumberFormat="1" applyFont="1" applyFill="1" applyAlignment="1">
      <alignment horizontal="center" vertical="center"/>
    </xf>
    <xf numFmtId="9" fontId="11" fillId="3" borderId="0" xfId="1" applyFont="1" applyFill="1" applyBorder="1" applyAlignment="1">
      <alignment horizontal="center" vertical="center"/>
    </xf>
    <xf numFmtId="167" fontId="15" fillId="3" borderId="0" xfId="0" applyNumberFormat="1" applyFont="1" applyFill="1" applyAlignment="1">
      <alignment horizontal="center"/>
    </xf>
    <xf numFmtId="164" fontId="13" fillId="3" borderId="0" xfId="0" applyNumberFormat="1" applyFont="1" applyFill="1" applyAlignment="1">
      <alignment horizontal="center" vertical="center"/>
    </xf>
    <xf numFmtId="9" fontId="13" fillId="3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 vertical="center"/>
    </xf>
    <xf numFmtId="9" fontId="6" fillId="3" borderId="0" xfId="1" applyFont="1" applyFill="1" applyBorder="1" applyAlignment="1">
      <alignment horizontal="center" vertical="center"/>
    </xf>
    <xf numFmtId="17" fontId="3" fillId="3" borderId="2" xfId="0" applyNumberFormat="1" applyFont="1" applyFill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9" fontId="3" fillId="0" borderId="0" xfId="1" applyFont="1"/>
    <xf numFmtId="10" fontId="3" fillId="0" borderId="0" xfId="1" applyNumberFormat="1" applyFont="1"/>
    <xf numFmtId="2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77F4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txPr>
        <a:bodyPr/>
        <a:lstStyle/>
        <a:p>
          <a:pPr>
            <a:defRPr sz="1600" b="1" u="none"/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Industriales'!$H$1</c:f>
              <c:strCache>
                <c:ptCount val="1"/>
                <c:pt idx="0">
                  <c:v>AUSENTISMO s/vacaciones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7DD-4094-8091-E53CCC40B06C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7DD-4094-8091-E53CCC40B06C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7DD-4094-8091-E53CCC40B06C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7DD-4094-8091-E53CCC40B06C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7DD-4094-8091-E53CCC40B06C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7DD-4094-8091-E53CCC40B06C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7DD-4094-8091-E53CCC40B06C}"/>
              </c:ext>
            </c:extLst>
          </c:dPt>
          <c:dPt>
            <c:idx val="7"/>
            <c:invertIfNegative val="0"/>
            <c:bubble3D val="0"/>
            <c:spPr>
              <a:solidFill>
                <a:srgbClr val="1F497D">
                  <a:lumMod val="40000"/>
                  <a:lumOff val="60000"/>
                </a:srgbClr>
              </a:solidFill>
              <a:ln>
                <a:solidFill>
                  <a:srgbClr val="4F81B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7DD-4094-8091-E53CCC40B06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7DD-4094-8091-E53CCC40B06C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7DD-4094-8091-E53CCC40B06C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7DD-4094-8091-E53CCC40B06C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7DD-4094-8091-E53CCC40B06C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97DD-4094-8091-E53CCC40B06C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7DD-4094-8091-E53CCC40B06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7DD-4094-8091-E53CCC40B06C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97DD-4094-8091-E53CCC40B06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7DD-4094-8091-E53CCC40B06C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97DD-4094-8091-E53CCC40B06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7DD-4094-8091-E53CCC40B06C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97DD-4094-8091-E53CCC40B06C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97DD-4094-8091-E53CCC40B06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97DD-4094-8091-E53CCC40B06C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97DD-4094-8091-E53CCC40B06C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97DD-4094-8091-E53CCC40B06C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97DD-4094-8091-E53CCC40B06C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97DD-4094-8091-E53CCC40B06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Industriales'!$H$2:$H$16</c:f>
              <c:numCache>
                <c:formatCode>0%</c:formatCode>
                <c:ptCount val="15"/>
                <c:pt idx="0">
                  <c:v>6.1258367523213127E-2</c:v>
                </c:pt>
                <c:pt idx="1">
                  <c:v>0.11379773269689737</c:v>
                </c:pt>
                <c:pt idx="2">
                  <c:v>0.13579695767195768</c:v>
                </c:pt>
                <c:pt idx="3">
                  <c:v>0.15253258293838862</c:v>
                </c:pt>
                <c:pt idx="4">
                  <c:v>0.12265070921985816</c:v>
                </c:pt>
                <c:pt idx="5">
                  <c:v>0.12490668159761105</c:v>
                </c:pt>
                <c:pt idx="6">
                  <c:v>0.12283229211546746</c:v>
                </c:pt>
                <c:pt idx="7">
                  <c:v>0.12684523809523809</c:v>
                </c:pt>
                <c:pt idx="8">
                  <c:v>0.12352245862884161</c:v>
                </c:pt>
                <c:pt idx="9">
                  <c:v>0.14700534759358289</c:v>
                </c:pt>
                <c:pt idx="10">
                  <c:v>0.16898696682464456</c:v>
                </c:pt>
                <c:pt idx="11">
                  <c:v>0.1704194465035829</c:v>
                </c:pt>
                <c:pt idx="12">
                  <c:v>0.13057600089216015</c:v>
                </c:pt>
                <c:pt idx="13">
                  <c:v>0.16205345416338324</c:v>
                </c:pt>
                <c:pt idx="14">
                  <c:v>0.15629474940334129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97DD-4094-8091-E53CCC40B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42747520"/>
        <c:axId val="142749056"/>
      </c:barChart>
      <c:dateAx>
        <c:axId val="142747520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142749056"/>
        <c:crosses val="autoZero"/>
        <c:auto val="1"/>
        <c:lblOffset val="100"/>
        <c:baseTimeUnit val="months"/>
      </c:dateAx>
      <c:valAx>
        <c:axId val="142749056"/>
        <c:scaling>
          <c:orientation val="minMax"/>
          <c:max val="0.25"/>
          <c:min val="5.000000000000001E-2"/>
        </c:scaling>
        <c:delete val="0"/>
        <c:axPos val="l"/>
        <c:majorGridlines/>
        <c:numFmt formatCode="0%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142747520"/>
        <c:crosses val="autoZero"/>
        <c:crossBetween val="between"/>
        <c:majorUnit val="5.000000000000001E-2"/>
        <c:minorUnit val="1.0000000000000002E-2"/>
      </c:valAx>
    </c:plotArea>
    <c:legend>
      <c:legendPos val="b"/>
      <c:overlay val="0"/>
      <c:txPr>
        <a:bodyPr/>
        <a:lstStyle/>
        <a:p>
          <a:pPr rtl="0">
            <a:defRPr sz="2000"/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Horas Suplementarias vs Trabajadas</a:t>
            </a:r>
          </a:p>
        </c:rich>
      </c:tx>
      <c:layout>
        <c:manualLayout>
          <c:xMode val="edge"/>
          <c:yMode val="edge"/>
          <c:x val="0.3091241943935919"/>
          <c:y val="2.767697013079976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275302287442422E-2"/>
          <c:y val="0.15687998352966051"/>
          <c:w val="0.86716576721931682"/>
          <c:h val="0.63934124939188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Industriales'!$K$1</c:f>
              <c:strCache>
                <c:ptCount val="1"/>
                <c:pt idx="0">
                  <c:v>Horas Suplementarias vs Trabajadas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C19-49DC-A3EE-58DD0309D55B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C19-49DC-A3EE-58DD0309D55B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C19-49DC-A3EE-58DD0309D55B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C19-49DC-A3EE-58DD0309D55B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6C19-49DC-A3EE-58DD0309D55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C19-49DC-A3EE-58DD0309D55B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6C19-49DC-A3EE-58DD0309D55B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6C19-49DC-A3EE-58DD0309D55B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6C19-49DC-A3EE-58DD0309D55B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6C19-49DC-A3EE-58DD0309D55B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6C19-49DC-A3EE-58DD0309D55B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6C19-49DC-A3EE-58DD0309D55B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>
                  <a:lumMod val="20000"/>
                  <a:lumOff val="80000"/>
                </a:srgbClr>
              </a:solidFill>
              <a:ln>
                <a:solidFill>
                  <a:srgbClr val="C0504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6C19-49DC-A3EE-58DD0309D55B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6C19-49DC-A3EE-58DD0309D55B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6C19-49DC-A3EE-58DD0309D55B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6C19-49DC-A3EE-58DD0309D55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6C19-49DC-A3EE-58DD0309D55B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6C19-49DC-A3EE-58DD0309D55B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6C19-49DC-A3EE-58DD0309D55B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6C19-49DC-A3EE-58DD0309D55B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6C19-49DC-A3EE-58DD0309D55B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6C19-49DC-A3EE-58DD0309D55B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6C19-49DC-A3EE-58DD0309D55B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6C19-49DC-A3EE-58DD0309D55B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6C19-49DC-A3EE-58DD0309D55B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6C19-49DC-A3EE-58DD0309D55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Industriales'!$K$2:$K$16</c:f>
              <c:numCache>
                <c:formatCode>0%</c:formatCode>
                <c:ptCount val="15"/>
                <c:pt idx="0">
                  <c:v>0.14668629744665404</c:v>
                </c:pt>
                <c:pt idx="1">
                  <c:v>9.5190156599552572E-2</c:v>
                </c:pt>
                <c:pt idx="2">
                  <c:v>0.16560241090809466</c:v>
                </c:pt>
                <c:pt idx="3">
                  <c:v>0.14748207901403138</c:v>
                </c:pt>
                <c:pt idx="4">
                  <c:v>8.1603385858444538E-2</c:v>
                </c:pt>
                <c:pt idx="5">
                  <c:v>8.1216510305224851E-2</c:v>
                </c:pt>
                <c:pt idx="6">
                  <c:v>6.597022012685276E-2</c:v>
                </c:pt>
                <c:pt idx="7">
                  <c:v>0.12035601597694651</c:v>
                </c:pt>
                <c:pt idx="8">
                  <c:v>0.24680707666385845</c:v>
                </c:pt>
                <c:pt idx="9">
                  <c:v>0.32709697536638604</c:v>
                </c:pt>
                <c:pt idx="10">
                  <c:v>0.21874218554638661</c:v>
                </c:pt>
                <c:pt idx="11">
                  <c:v>0.24940193733087573</c:v>
                </c:pt>
                <c:pt idx="12">
                  <c:v>0.23205374280230326</c:v>
                </c:pt>
                <c:pt idx="13">
                  <c:v>0.14945105922375135</c:v>
                </c:pt>
                <c:pt idx="14">
                  <c:v>0.14794439514936408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C19-49DC-A3EE-58DD0309D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8"/>
        <c:axId val="275539456"/>
        <c:axId val="275540992"/>
      </c:barChart>
      <c:dateAx>
        <c:axId val="275539456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one"/>
        <c:spPr>
          <a:solidFill>
            <a:srgbClr val="EEECE1">
              <a:lumMod val="90000"/>
            </a:srgbClr>
          </a:solidFill>
        </c:spPr>
        <c:crossAx val="275540992"/>
        <c:crosses val="autoZero"/>
        <c:auto val="1"/>
        <c:lblOffset val="100"/>
        <c:baseTimeUnit val="months"/>
      </c:dateAx>
      <c:valAx>
        <c:axId val="275540992"/>
        <c:scaling>
          <c:orientation val="minMax"/>
          <c:max val="0.25"/>
          <c:min val="5.000000000000001E-2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275539456"/>
        <c:crosses val="autoZero"/>
        <c:crossBetween val="between"/>
        <c:majorUnit val="5.000000000000001E-2"/>
        <c:minorUnit val="1.0000000000000002E-2"/>
      </c:valAx>
    </c:plotArea>
    <c:legend>
      <c:legendPos val="b"/>
      <c:layout>
        <c:manualLayout>
          <c:xMode val="edge"/>
          <c:yMode val="edge"/>
          <c:x val="9.6965861116971433E-2"/>
          <c:y val="0.82002021648120427"/>
          <c:w val="0.85916405220306835"/>
          <c:h val="7.6398516301164787E-2"/>
        </c:manualLayout>
      </c:layout>
      <c:overlay val="0"/>
      <c:txPr>
        <a:bodyPr/>
        <a:lstStyle/>
        <a:p>
          <a:pPr rtl="0">
            <a:defRPr sz="1600"/>
          </a:pPr>
          <a:endParaRPr lang="es-A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Monto Horas Suplementarias</a:t>
            </a:r>
          </a:p>
        </c:rich>
      </c:tx>
      <c:layout>
        <c:manualLayout>
          <c:xMode val="edge"/>
          <c:yMode val="edge"/>
          <c:x val="0.35551574017319687"/>
          <c:y val="2.294804884926574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652484069930696E-2"/>
          <c:y val="0.14506583371293466"/>
          <c:w val="0.87235010517302358"/>
          <c:h val="0.671359083455214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Industriales'!$L$1</c:f>
              <c:strCache>
                <c:ptCount val="1"/>
                <c:pt idx="0">
                  <c:v>Monto Horas Suplementarias</c:v>
                </c:pt>
              </c:strCache>
            </c:strRef>
          </c:tx>
          <c:spPr>
            <a:solidFill>
              <a:srgbClr val="9BBB59">
                <a:lumMod val="60000"/>
                <a:lumOff val="40000"/>
              </a:srgbClr>
            </a:solidFill>
            <a:ln>
              <a:solidFill>
                <a:srgbClr val="9BBB59">
                  <a:lumMod val="60000"/>
                  <a:lumOff val="40000"/>
                </a:srgbClr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092-46D7-BE89-A1DBB426B7C1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solidFill>
                  <a:srgbClr val="C0504D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092-46D7-BE89-A1DBB426B7C1}"/>
              </c:ext>
            </c:extLst>
          </c:dPt>
          <c:dPt>
            <c:idx val="2"/>
            <c:invertIfNegative val="0"/>
            <c:bubble3D val="0"/>
            <c:spPr>
              <a:solidFill>
                <a:srgbClr val="8064A2">
                  <a:lumMod val="60000"/>
                  <a:lumOff val="40000"/>
                </a:srgbClr>
              </a:solidFill>
              <a:ln>
                <a:solidFill>
                  <a:srgbClr val="8064A2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092-46D7-BE89-A1DBB426B7C1}"/>
              </c:ext>
            </c:extLst>
          </c:dPt>
          <c:dPt>
            <c:idx val="3"/>
            <c:invertIfNegative val="0"/>
            <c:bubble3D val="0"/>
            <c:spPr>
              <a:solidFill>
                <a:srgbClr val="4BACC6">
                  <a:lumMod val="60000"/>
                  <a:lumOff val="40000"/>
                </a:srgbClr>
              </a:solidFill>
              <a:ln>
                <a:solidFill>
                  <a:srgbClr val="4BACC6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092-46D7-BE89-A1DBB426B7C1}"/>
              </c:ext>
            </c:extLst>
          </c:dPt>
          <c:dPt>
            <c:idx val="4"/>
            <c:invertIfNegative val="0"/>
            <c:bubble3D val="0"/>
            <c:spPr>
              <a:solidFill>
                <a:srgbClr val="F79646">
                  <a:lumMod val="60000"/>
                  <a:lumOff val="40000"/>
                </a:srgbClr>
              </a:solidFill>
              <a:ln>
                <a:solidFill>
                  <a:srgbClr val="F79646">
                    <a:lumMod val="60000"/>
                    <a:lumOff val="4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092-46D7-BE89-A1DBB426B7C1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092-46D7-BE89-A1DBB426B7C1}"/>
              </c:ext>
            </c:extLst>
          </c:dPt>
          <c:dPt>
            <c:idx val="6"/>
            <c:invertIfNegative val="0"/>
            <c:bubble3D val="0"/>
            <c:spPr>
              <a:solidFill>
                <a:srgbClr val="EEECE1">
                  <a:lumMod val="90000"/>
                </a:srgbClr>
              </a:solidFill>
              <a:ln>
                <a:solidFill>
                  <a:srgbClr val="EEECE1">
                    <a:lumMod val="9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092-46D7-BE89-A1DBB426B7C1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092-46D7-BE89-A1DBB426B7C1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092-46D7-BE89-A1DBB426B7C1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>
                  <a:lumMod val="40000"/>
                  <a:lumOff val="60000"/>
                </a:srgbClr>
              </a:solidFill>
              <a:ln>
                <a:solidFill>
                  <a:srgbClr val="C0504D">
                    <a:lumMod val="40000"/>
                    <a:lumOff val="6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092-46D7-BE89-A1DBB426B7C1}"/>
              </c:ext>
            </c:extLst>
          </c:dPt>
          <c:dPt>
            <c:idx val="10"/>
            <c:invertIfNegative val="0"/>
            <c:bubble3D val="0"/>
            <c:spPr>
              <a:solidFill>
                <a:srgbClr val="4F81BD">
                  <a:lumMod val="20000"/>
                  <a:lumOff val="80000"/>
                </a:srgbClr>
              </a:solidFill>
              <a:ln>
                <a:solidFill>
                  <a:srgbClr val="4F81BD">
                    <a:lumMod val="20000"/>
                    <a:lumOff val="80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092-46D7-BE89-A1DBB426B7C1}"/>
              </c:ext>
            </c:extLst>
          </c:dPt>
          <c:dPt>
            <c:idx val="11"/>
            <c:invertIfNegative val="0"/>
            <c:bubble3D val="0"/>
            <c:spPr>
              <a:solidFill>
                <a:srgbClr val="EEECE1">
                  <a:lumMod val="75000"/>
                </a:srgbClr>
              </a:solidFill>
              <a:ln>
                <a:solidFill>
                  <a:srgbClr val="EEECE1">
                    <a:lumMod val="75000"/>
                  </a:srgb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092-46D7-BE89-A1DBB426B7C1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9092-46D7-BE89-A1DBB426B7C1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B-9092-46D7-BE89-A1DBB426B7C1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092-46D7-BE89-A1DBB426B7C1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9092-46D7-BE89-A1DBB426B7C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9092-46D7-BE89-A1DBB426B7C1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9092-46D7-BE89-A1DBB426B7C1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5-9092-46D7-BE89-A1DBB426B7C1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7-9092-46D7-BE89-A1DBB426B7C1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9-9092-46D7-BE89-A1DBB426B7C1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B-9092-46D7-BE89-A1DBB426B7C1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D-9092-46D7-BE89-A1DBB426B7C1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F-9092-46D7-BE89-A1DBB426B7C1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1-9092-46D7-BE89-A1DBB426B7C1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9092-46D7-BE89-A1DBB426B7C1}"/>
              </c:ext>
            </c:extLst>
          </c:dPt>
          <c:dLbls>
            <c:dLbl>
              <c:idx val="1"/>
              <c:layout>
                <c:manualLayout>
                  <c:x val="0"/>
                  <c:y val="5.99560096310276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92-46D7-BE89-A1DBB426B7C1}"/>
                </c:ext>
              </c:extLst>
            </c:dLbl>
            <c:dLbl>
              <c:idx val="3"/>
              <c:layout>
                <c:manualLayout>
                  <c:x val="-2.3847962988681352E-17"/>
                  <c:y val="7.75868636255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92-46D7-BE89-A1DBB426B7C1}"/>
                </c:ext>
              </c:extLst>
            </c:dLbl>
            <c:dLbl>
              <c:idx val="5"/>
              <c:layout>
                <c:manualLayout>
                  <c:x val="-1.3008130081300813E-3"/>
                  <c:y val="6.87714366282727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092-46D7-BE89-A1DBB426B7C1}"/>
                </c:ext>
              </c:extLst>
            </c:dLbl>
            <c:dLbl>
              <c:idx val="7"/>
              <c:layout>
                <c:manualLayout>
                  <c:x val="2.6016260162601626E-3"/>
                  <c:y val="7.0975293377584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092-46D7-BE89-A1DBB426B7C1}"/>
                </c:ext>
              </c:extLst>
            </c:dLbl>
            <c:dLbl>
              <c:idx val="11"/>
              <c:layout>
                <c:manualLayout>
                  <c:x val="0"/>
                  <c:y val="8.64022906227631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092-46D7-BE89-A1DBB426B7C1}"/>
                </c:ext>
              </c:extLst>
            </c:dLbl>
            <c:dLbl>
              <c:idx val="12"/>
              <c:layout>
                <c:manualLayout>
                  <c:x val="0"/>
                  <c:y val="5.55482961324048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092-46D7-BE89-A1DBB426B7C1}"/>
                </c:ext>
              </c:extLst>
            </c:dLbl>
            <c:dLbl>
              <c:idx val="24"/>
              <c:layout>
                <c:manualLayout>
                  <c:x val="0"/>
                  <c:y val="8.41984338734517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092-46D7-BE89-A1DBB426B7C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9E4C8F4-1EA9-4290-8D42-F3D4FA84AF6B}" type="VALUE">
                      <a:rPr lang="en-US"/>
                      <a:pPr/>
                      <a:t>[VALOR]</a:t>
                    </a:fld>
                    <a:endParaRPr lang="es-A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3-9092-46D7-BE89-A1DBB426B7C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77C8C2D-2FA2-4550-A086-4691390EACB3}" type="VALUE">
                      <a:rPr lang="en-US"/>
                      <a:pPr/>
                      <a:t>[VALOR]</a:t>
                    </a:fld>
                    <a:endParaRPr lang="es-A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4-9092-46D7-BE89-A1DBB426B7C1}"/>
                </c:ext>
              </c:extLst>
            </c:dLbl>
            <c:numFmt formatCode="_ &quot;$&quot;\ * #,##0_ ;_ &quot;$&quot;\ * \-#,##0_ ;_ &quot;$&quot;\ * &quot;-&quot;??_ ;_ @_ " sourceLinked="0"/>
            <c:spPr>
              <a:noFill/>
              <a:ln>
                <a:noFill/>
              </a:ln>
              <a:effectLst/>
            </c:sp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Industriales'!$L$2:$L$16</c:f>
              <c:numCache>
                <c:formatCode>_ "$"\ * #,##0_ ;_ "$"\ * \-#,##0_ ;_ "$"\ * "-"??_ ;_ @_ </c:formatCode>
                <c:ptCount val="15"/>
                <c:pt idx="0">
                  <c:v>117844507</c:v>
                </c:pt>
                <c:pt idx="1">
                  <c:v>67169187</c:v>
                </c:pt>
                <c:pt idx="2">
                  <c:v>136930490</c:v>
                </c:pt>
                <c:pt idx="3">
                  <c:v>131921653</c:v>
                </c:pt>
                <c:pt idx="4">
                  <c:v>74867647</c:v>
                </c:pt>
                <c:pt idx="5">
                  <c:v>74819435</c:v>
                </c:pt>
                <c:pt idx="6">
                  <c:v>65688401</c:v>
                </c:pt>
                <c:pt idx="7">
                  <c:v>110333858</c:v>
                </c:pt>
                <c:pt idx="8">
                  <c:v>267533414.72</c:v>
                </c:pt>
                <c:pt idx="9">
                  <c:v>374692437.35000008</c:v>
                </c:pt>
                <c:pt idx="10">
                  <c:v>200404138.19</c:v>
                </c:pt>
                <c:pt idx="11">
                  <c:v>248346700.34999999</c:v>
                </c:pt>
                <c:pt idx="12">
                  <c:v>215499404.63</c:v>
                </c:pt>
                <c:pt idx="13">
                  <c:v>121280382.70999999</c:v>
                </c:pt>
                <c:pt idx="14">
                  <c:v>155506373.34999999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092-46D7-BE89-A1DBB426B7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78239232"/>
        <c:axId val="78240768"/>
      </c:barChart>
      <c:dateAx>
        <c:axId val="78239232"/>
        <c:scaling>
          <c:orientation val="minMax"/>
        </c:scaling>
        <c:delete val="0"/>
        <c:axPos val="b"/>
        <c:numFmt formatCode="[$-C0A]mmm\-yy;@" sourceLinked="1"/>
        <c:majorTickMark val="out"/>
        <c:minorTickMark val="none"/>
        <c:tickLblPos val="nextTo"/>
        <c:crossAx val="78240768"/>
        <c:crosses val="autoZero"/>
        <c:auto val="1"/>
        <c:lblOffset val="100"/>
        <c:baseTimeUnit val="months"/>
      </c:dateAx>
      <c:valAx>
        <c:axId val="78240768"/>
        <c:scaling>
          <c:orientation val="minMax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8239232"/>
        <c:crosses val="autoZero"/>
        <c:crossBetween val="between"/>
      </c:valAx>
    </c:plotArea>
    <c:plotVisOnly val="1"/>
    <c:dispBlanksAs val="gap"/>
    <c:showDLblsOverMax val="0"/>
  </c:chart>
  <c:spPr>
    <a:solidFill>
      <a:sysClr val="window" lastClr="FFFFFF"/>
    </a:solidFill>
    <a:ln w="25400" cap="flat" cmpd="sng" algn="ctr">
      <a:noFill/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808000"/>
                </a:solidFill>
                <a:latin typeface="Calibri"/>
                <a:ea typeface="Calibri"/>
                <a:cs typeface="Calibri"/>
              </a:defRPr>
            </a:pPr>
            <a:r>
              <a:rPr lang="es-AR"/>
              <a:t>Horas normales y relación horas vs dotación</a:t>
            </a:r>
          </a:p>
        </c:rich>
      </c:tx>
      <c:layout>
        <c:manualLayout>
          <c:xMode val="edge"/>
          <c:yMode val="edge"/>
          <c:x val="0.23962224687341913"/>
          <c:y val="1.025209865295763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603267698533568"/>
          <c:y val="0.17733639754360847"/>
          <c:w val="0.80004610699626943"/>
          <c:h val="0.58048641450095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'Relaciones Industriales'!$C$1</c:f>
              <c:strCache>
                <c:ptCount val="1"/>
                <c:pt idx="0">
                  <c:v>Hs NORMAL TRABAJADAS 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92D05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D85-463C-8116-FA406DC4906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accent2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D85-463C-8116-FA406DC4906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D85-463C-8116-FA406DC49064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9D85-463C-8116-FA406DC4906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9-9D85-463C-8116-FA406DC4906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9D85-463C-8116-FA406DC49064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D-9D85-463C-8116-FA406DC4906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9D85-463C-8116-FA406DC4906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9D85-463C-8116-FA406DC4906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3-9D85-463C-8116-FA406DC4906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5-9D85-463C-8116-FA406DC49064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2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7-9D85-463C-8116-FA406DC4906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19-9D85-463C-8116-FA406DC4906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9D85-463C-8116-FA406DC4906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9D85-463C-8116-FA406DC4906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9D85-463C-8116-FA406DC49064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9D85-463C-8116-FA406DC49064}"/>
              </c:ext>
            </c:extLst>
          </c:dPt>
          <c:dPt>
            <c:idx val="26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9D85-463C-8116-FA406DC49064}"/>
              </c:ext>
            </c:extLst>
          </c:dPt>
          <c:dPt>
            <c:idx val="2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9D85-463C-8116-FA406DC49064}"/>
              </c:ext>
            </c:extLst>
          </c:dPt>
          <c:dPt>
            <c:idx val="28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9D85-463C-8116-FA406DC49064}"/>
              </c:ext>
            </c:extLst>
          </c:dPt>
          <c:dPt>
            <c:idx val="29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9D85-463C-8116-FA406DC49064}"/>
              </c:ext>
            </c:extLst>
          </c:dPt>
          <c:dPt>
            <c:idx val="30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9D85-463C-8116-FA406DC49064}"/>
              </c:ext>
            </c:extLst>
          </c:dPt>
          <c:dPt>
            <c:idx val="3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9D85-463C-8116-FA406DC49064}"/>
              </c:ext>
            </c:extLst>
          </c:dPt>
          <c:dPt>
            <c:idx val="32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9D85-463C-8116-FA406DC49064}"/>
              </c:ext>
            </c:extLst>
          </c:dPt>
          <c:dPt>
            <c:idx val="33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9D85-463C-8116-FA406DC49064}"/>
              </c:ext>
            </c:extLst>
          </c:dPt>
          <c:dPt>
            <c:idx val="34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9D85-463C-8116-FA406DC49064}"/>
              </c:ext>
            </c:extLst>
          </c:dPt>
          <c:dPt>
            <c:idx val="35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9D85-463C-8116-FA406DC49064}"/>
              </c:ext>
            </c:extLst>
          </c:dPt>
          <c:dPt>
            <c:idx val="36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9D85-463C-8116-FA406DC49064}"/>
              </c:ext>
            </c:extLst>
          </c:dPt>
          <c:dPt>
            <c:idx val="37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9D85-463C-8116-FA406DC49064}"/>
              </c:ext>
            </c:extLst>
          </c:dPt>
          <c:dPt>
            <c:idx val="38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7-9D85-463C-8116-FA406DC49064}"/>
              </c:ext>
            </c:extLst>
          </c:dPt>
          <c:cat>
            <c:numRef>
              <c:f>'Relaciones Industriales'!$A$2:$A$35</c:f>
              <c:numCache>
                <c:formatCode>[$-C0A]mmm\-yy;@</c:formatCode>
                <c:ptCount val="3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('Relaciones Industriales'!$C$2:$C$22,'Relaciones Industriales'!$C$1:$C$1)</c:f>
              <c:numCache>
                <c:formatCode>#,##0\ "HH"</c:formatCode>
                <c:ptCount val="22"/>
                <c:pt idx="0">
                  <c:v>49582</c:v>
                </c:pt>
                <c:pt idx="1">
                  <c:v>44700</c:v>
                </c:pt>
                <c:pt idx="2">
                  <c:v>47451</c:v>
                </c:pt>
                <c:pt idx="3">
                  <c:v>55661</c:v>
                </c:pt>
                <c:pt idx="4">
                  <c:v>57179</c:v>
                </c:pt>
                <c:pt idx="5">
                  <c:v>54681</c:v>
                </c:pt>
                <c:pt idx="6">
                  <c:v>58966</c:v>
                </c:pt>
                <c:pt idx="7">
                  <c:v>54829</c:v>
                </c:pt>
                <c:pt idx="8">
                  <c:v>59350</c:v>
                </c:pt>
                <c:pt idx="9">
                  <c:v>60933</c:v>
                </c:pt>
                <c:pt idx="10">
                  <c:v>47988</c:v>
                </c:pt>
                <c:pt idx="11">
                  <c:v>50998</c:v>
                </c:pt>
                <c:pt idx="12">
                  <c:v>46890</c:v>
                </c:pt>
                <c:pt idx="13">
                  <c:v>38802</c:v>
                </c:pt>
                <c:pt idx="14">
                  <c:v>50715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9D85-463C-8116-FA406DC4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79049472"/>
        <c:axId val="79051008"/>
      </c:barChart>
      <c:barChart>
        <c:barDir val="col"/>
        <c:grouping val="clustered"/>
        <c:varyColors val="0"/>
        <c:ser>
          <c:idx val="3"/>
          <c:order val="1"/>
          <c:tx>
            <c:strRef>
              <c:f>'Relaciones Industriales'!$O$1</c:f>
              <c:strCache>
                <c:ptCount val="1"/>
                <c:pt idx="0">
                  <c:v>Horas trabajadas vs dotación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</c:spPr>
          <c:invertIfNegative val="0"/>
          <c:dLbls>
            <c:dLbl>
              <c:idx val="0"/>
              <c:layout>
                <c:manualLayout>
                  <c:x val="3.9538691843341136E-3"/>
                  <c:y val="-6.01245092297347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9D85-463C-8116-FA406DC49064}"/>
                </c:ext>
              </c:extLst>
            </c:dLbl>
            <c:dLbl>
              <c:idx val="1"/>
              <c:layout>
                <c:manualLayout>
                  <c:x val="0"/>
                  <c:y val="2.644628099173553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D85-463C-8116-FA406DC49064}"/>
                </c:ext>
              </c:extLst>
            </c:dLbl>
            <c:dLbl>
              <c:idx val="2"/>
              <c:layout>
                <c:manualLayout>
                  <c:x val="1.9263323791843093E-2"/>
                  <c:y val="1.17864688401553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D85-463C-8116-FA406DC49064}"/>
                </c:ext>
              </c:extLst>
            </c:dLbl>
            <c:dLbl>
              <c:idx val="3"/>
              <c:layout>
                <c:manualLayout>
                  <c:x val="3.4490026426861366E-3"/>
                  <c:y val="-2.865013774104683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D85-463C-8116-FA406DC49064}"/>
                </c:ext>
              </c:extLst>
            </c:dLbl>
            <c:dLbl>
              <c:idx val="4"/>
              <c:layout>
                <c:manualLayout>
                  <c:x val="0"/>
                  <c:y val="1.3223140495867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D85-463C-8116-FA406DC49064}"/>
                </c:ext>
              </c:extLst>
            </c:dLbl>
            <c:dLbl>
              <c:idx val="6"/>
              <c:layout>
                <c:manualLayout>
                  <c:x val="-7.2065148035334132E-3"/>
                  <c:y val="-4.3461963948721288E-2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D85-463C-8116-FA406DC49064}"/>
                </c:ext>
              </c:extLst>
            </c:dLbl>
            <c:dLbl>
              <c:idx val="8"/>
              <c:layout>
                <c:manualLayout>
                  <c:x val="0"/>
                  <c:y val="6.3795853269537775E-3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9D85-463C-8116-FA406DC49064}"/>
                </c:ext>
              </c:extLst>
            </c:dLbl>
            <c:dLbl>
              <c:idx val="9"/>
              <c:layout>
                <c:manualLayout>
                  <c:x val="2.0232491528812844E-3"/>
                  <c:y val="9.278757510683065E-4"/>
                </c:manualLayout>
              </c:layout>
              <c:spPr/>
              <c:txPr>
                <a:bodyPr/>
                <a:lstStyle/>
                <a:p>
                  <a:pPr>
                    <a:defRPr sz="1400" b="1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A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9D85-463C-8116-FA406DC49064}"/>
                </c:ext>
              </c:extLst>
            </c:dLbl>
            <c:dLbl>
              <c:idx val="10"/>
              <c:layout>
                <c:manualLayout>
                  <c:x val="0"/>
                  <c:y val="6.611570247933884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9D85-463C-8116-FA406DC49064}"/>
                </c:ext>
              </c:extLst>
            </c:dLbl>
            <c:dLbl>
              <c:idx val="11"/>
              <c:layout>
                <c:manualLayout>
                  <c:x val="0"/>
                  <c:y val="-2.20385674931129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9D85-463C-8116-FA406DC49064}"/>
                </c:ext>
              </c:extLst>
            </c:dLbl>
            <c:dLbl>
              <c:idx val="13"/>
              <c:layout>
                <c:manualLayout>
                  <c:x val="0"/>
                  <c:y val="8.81542699724517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9D85-463C-8116-FA406DC49064}"/>
                </c:ext>
              </c:extLst>
            </c:dLbl>
            <c:dLbl>
              <c:idx val="14"/>
              <c:layout>
                <c:manualLayout>
                  <c:x val="0"/>
                  <c:y val="8.5433575395130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9D85-463C-8116-FA406DC49064}"/>
                </c:ext>
              </c:extLst>
            </c:dLbl>
            <c:dLbl>
              <c:idx val="15"/>
              <c:layout>
                <c:manualLayout>
                  <c:x val="1.2084592145015106E-3"/>
                  <c:y val="8.5433575395130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9D85-463C-8116-FA406DC49064}"/>
                </c:ext>
              </c:extLst>
            </c:dLbl>
            <c:dLbl>
              <c:idx val="16"/>
              <c:layout>
                <c:manualLayout>
                  <c:x val="6.8880614356974399E-3"/>
                  <c:y val="1.691260493264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9D85-463C-8116-FA406DC49064}"/>
                </c:ext>
              </c:extLst>
            </c:dLbl>
            <c:dLbl>
              <c:idx val="17"/>
              <c:layout>
                <c:manualLayout>
                  <c:x val="-4.1180715376753097E-3"/>
                  <c:y val="-2.20385674931129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9D85-463C-8116-FA406DC49064}"/>
                </c:ext>
              </c:extLst>
            </c:dLbl>
            <c:dLbl>
              <c:idx val="19"/>
              <c:layout>
                <c:manualLayout>
                  <c:x val="0"/>
                  <c:y val="-1.763085399449035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9D85-463C-8116-FA406DC49064}"/>
                </c:ext>
              </c:extLst>
            </c:dLbl>
            <c:dLbl>
              <c:idx val="22"/>
              <c:layout>
                <c:manualLayout>
                  <c:x val="0"/>
                  <c:y val="-1.54269972451790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9D85-463C-8116-FA406DC49064}"/>
                </c:ext>
              </c:extLst>
            </c:dLbl>
            <c:dLbl>
              <c:idx val="23"/>
              <c:layout>
                <c:manualLayout>
                  <c:x val="0"/>
                  <c:y val="-2.05128205128205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9D85-463C-8116-FA406DC49064}"/>
                </c:ext>
              </c:extLst>
            </c:dLbl>
            <c:dLbl>
              <c:idx val="26"/>
              <c:layout>
                <c:manualLayout>
                  <c:x val="-1.6887158593021337E-16"/>
                  <c:y val="1.32229669638402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9D85-463C-8116-FA406DC49064}"/>
                </c:ext>
              </c:extLst>
            </c:dLbl>
            <c:dLbl>
              <c:idx val="27"/>
              <c:layout>
                <c:manualLayout>
                  <c:x val="0"/>
                  <c:y val="1.322314049586776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9D85-463C-8116-FA406DC49064}"/>
                </c:ext>
              </c:extLst>
            </c:dLbl>
            <c:dLbl>
              <c:idx val="28"/>
              <c:layout>
                <c:manualLayout>
                  <c:x val="1.1525162924512814E-3"/>
                  <c:y val="-2.64462809917355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9D85-463C-8116-FA406DC49064}"/>
                </c:ext>
              </c:extLst>
            </c:dLbl>
            <c:dLbl>
              <c:idx val="31"/>
              <c:layout>
                <c:manualLayout>
                  <c:x val="-1.1514104778353484E-3"/>
                  <c:y val="-4.40771349862258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9D85-463C-8116-FA406DC49064}"/>
                </c:ext>
              </c:extLst>
            </c:dLbl>
            <c:dLbl>
              <c:idx val="32"/>
              <c:layout>
                <c:manualLayout>
                  <c:x val="2.3085167180235898E-3"/>
                  <c:y val="2.42424242424242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9D85-463C-8116-FA406DC49064}"/>
                </c:ext>
              </c:extLst>
            </c:dLbl>
            <c:dLbl>
              <c:idx val="34"/>
              <c:layout>
                <c:manualLayout>
                  <c:x val="1.1542583590117949E-3"/>
                  <c:y val="-1.98347107438016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9D85-463C-8116-FA406DC49064}"/>
                </c:ext>
              </c:extLst>
            </c:dLbl>
            <c:dLbl>
              <c:idx val="37"/>
              <c:layout>
                <c:manualLayout>
                  <c:x val="0"/>
                  <c:y val="5.289256198347111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9D85-463C-8116-FA406DC49064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('Relaciones Industriales'!$A$2:$A$21,'Relaciones Industriales'!$A$2:$A$22)</c:f>
              <c:numCache>
                <c:formatCode>[$-C0A]mmm\-yy;@</c:formatCode>
                <c:ptCount val="4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</c:numCache>
            </c:numRef>
          </c:cat>
          <c:val>
            <c:numRef>
              <c:f>('Relaciones Industriales'!$O$2:$O$22,'Relaciones Industriales'!$O$1:$O$1)</c:f>
              <c:numCache>
                <c:formatCode>#,##0\ "HH"</c:formatCode>
                <c:ptCount val="22"/>
                <c:pt idx="0">
                  <c:v>117.77197149643706</c:v>
                </c:pt>
                <c:pt idx="1">
                  <c:v>106.68257756563246</c:v>
                </c:pt>
                <c:pt idx="2">
                  <c:v>112.97857142857143</c:v>
                </c:pt>
                <c:pt idx="3">
                  <c:v>131.89810426540285</c:v>
                </c:pt>
                <c:pt idx="4">
                  <c:v>135.17494089834514</c:v>
                </c:pt>
                <c:pt idx="5">
                  <c:v>129.26950354609929</c:v>
                </c:pt>
                <c:pt idx="6">
                  <c:v>139.72985781990522</c:v>
                </c:pt>
                <c:pt idx="7">
                  <c:v>130.54523809523809</c:v>
                </c:pt>
                <c:pt idx="8">
                  <c:v>140.30732860520095</c:v>
                </c:pt>
                <c:pt idx="9">
                  <c:v>143.37176470588236</c:v>
                </c:pt>
                <c:pt idx="10">
                  <c:v>113.71563981042654</c:v>
                </c:pt>
                <c:pt idx="11">
                  <c:v>119.71361502347418</c:v>
                </c:pt>
                <c:pt idx="12">
                  <c:v>109.81264637002342</c:v>
                </c:pt>
                <c:pt idx="13">
                  <c:v>91.730496453900713</c:v>
                </c:pt>
                <c:pt idx="14">
                  <c:v>121.0381861575179</c:v>
                </c:pt>
                <c:pt idx="21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9D85-463C-8116-FA406DC4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8"/>
        <c:overlap val="-2"/>
        <c:axId val="79089664"/>
        <c:axId val="79091200"/>
      </c:barChart>
      <c:catAx>
        <c:axId val="79049472"/>
        <c:scaling>
          <c:orientation val="minMax"/>
        </c:scaling>
        <c:delete val="0"/>
        <c:axPos val="b"/>
        <c:numFmt formatCode="[$-C0A]mmm\-yy;@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s-AR"/>
          </a:p>
        </c:txPr>
        <c:crossAx val="79051008"/>
        <c:crosses val="autoZero"/>
        <c:auto val="0"/>
        <c:lblAlgn val="ctr"/>
        <c:lblOffset val="100"/>
        <c:tickMarkSkip val="85"/>
        <c:noMultiLvlLbl val="0"/>
      </c:catAx>
      <c:valAx>
        <c:axId val="79051008"/>
        <c:scaling>
          <c:orientation val="minMax"/>
        </c:scaling>
        <c:delete val="0"/>
        <c:axPos val="l"/>
        <c:majorGridlines/>
        <c:numFmt formatCode="#,##0\ &quot;HH&quot;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9049472"/>
        <c:crosses val="autoZero"/>
        <c:crossBetween val="between"/>
      </c:valAx>
      <c:dateAx>
        <c:axId val="79089664"/>
        <c:scaling>
          <c:orientation val="minMax"/>
        </c:scaling>
        <c:delete val="1"/>
        <c:axPos val="b"/>
        <c:numFmt formatCode="[$-C0A]mmm\-yy;@" sourceLinked="1"/>
        <c:majorTickMark val="out"/>
        <c:minorTickMark val="none"/>
        <c:tickLblPos val="nextTo"/>
        <c:crossAx val="79091200"/>
        <c:crosses val="autoZero"/>
        <c:auto val="1"/>
        <c:lblOffset val="100"/>
        <c:baseTimeUnit val="days"/>
      </c:dateAx>
      <c:valAx>
        <c:axId val="79091200"/>
        <c:scaling>
          <c:orientation val="minMax"/>
          <c:max val="160"/>
        </c:scaling>
        <c:delete val="0"/>
        <c:axPos val="r"/>
        <c:numFmt formatCode="#,##0\ &quot;HH&quot;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  <c:crossAx val="79089664"/>
        <c:crosses val="max"/>
        <c:crossBetween val="between"/>
      </c:valAx>
      <c:spPr>
        <a:noFill/>
        <a:ln w="25400">
          <a:noFill/>
        </a:ln>
      </c:spPr>
    </c:plotArea>
    <c:legend>
      <c:legendPos val="b"/>
      <c:legendEntry>
        <c:idx val="0"/>
        <c:txPr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</c:legendEntry>
      <c:legendEntry>
        <c:idx val="1"/>
        <c:txPr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AR"/>
          </a:p>
        </c:txPr>
      </c:legendEntry>
      <c:layout>
        <c:manualLayout>
          <c:xMode val="edge"/>
          <c:yMode val="edge"/>
          <c:x val="0.28503392564261359"/>
          <c:y val="0.86462853300362252"/>
          <c:w val="0.42069802208172552"/>
          <c:h val="0.12214832650050977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49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AR"/>
        </a:p>
      </c:txPr>
    </c:legend>
    <c:plotVisOnly val="0"/>
    <c:dispBlanksAs val="gap"/>
    <c:showDLblsOverMax val="0"/>
  </c:chart>
  <c:spPr>
    <a:noFill/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A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r>
              <a:rPr lang="es-AR" sz="2400" b="1">
                <a:solidFill>
                  <a:srgbClr val="00B050"/>
                </a:solidFill>
              </a:rPr>
              <a:t>Apertura</a:t>
            </a:r>
            <a:r>
              <a:rPr lang="es-AR" sz="2400" b="1" baseline="0">
                <a:solidFill>
                  <a:srgbClr val="00B050"/>
                </a:solidFill>
              </a:rPr>
              <a:t> de Ausentismo s/ Vacaciones</a:t>
            </a:r>
            <a:endParaRPr lang="es-AR" sz="2400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B05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Industriales'!$E$1</c:f>
              <c:strCache>
                <c:ptCount val="1"/>
                <c:pt idx="0">
                  <c:v>ACCIDENTES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Industriales'!$E$2:$E$16</c:f>
              <c:numCache>
                <c:formatCode>#,##0\ "HH"</c:formatCode>
                <c:ptCount val="15"/>
                <c:pt idx="0">
                  <c:v>336</c:v>
                </c:pt>
                <c:pt idx="1">
                  <c:v>452</c:v>
                </c:pt>
                <c:pt idx="2">
                  <c:v>410</c:v>
                </c:pt>
                <c:pt idx="3">
                  <c:v>560</c:v>
                </c:pt>
                <c:pt idx="4">
                  <c:v>201</c:v>
                </c:pt>
                <c:pt idx="5">
                  <c:v>421</c:v>
                </c:pt>
                <c:pt idx="6">
                  <c:v>633</c:v>
                </c:pt>
                <c:pt idx="7">
                  <c:v>739</c:v>
                </c:pt>
                <c:pt idx="8">
                  <c:v>757</c:v>
                </c:pt>
                <c:pt idx="9">
                  <c:v>583</c:v>
                </c:pt>
                <c:pt idx="10">
                  <c:v>605</c:v>
                </c:pt>
                <c:pt idx="11">
                  <c:v>633</c:v>
                </c:pt>
                <c:pt idx="12">
                  <c:v>920</c:v>
                </c:pt>
                <c:pt idx="13">
                  <c:v>768</c:v>
                </c:pt>
                <c:pt idx="14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B6-4ADD-A278-A5AAD5BF621D}"/>
            </c:ext>
          </c:extLst>
        </c:ser>
        <c:ser>
          <c:idx val="1"/>
          <c:order val="1"/>
          <c:tx>
            <c:strRef>
              <c:f>'Relaciones Industriales'!$D$1</c:f>
              <c:strCache>
                <c:ptCount val="1"/>
                <c:pt idx="0">
                  <c:v>ENFERMEDAD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Industriales'!$D$2:$D$16</c:f>
              <c:numCache>
                <c:formatCode>#,##0\ "HH"</c:formatCode>
                <c:ptCount val="15"/>
                <c:pt idx="0">
                  <c:v>1921</c:v>
                </c:pt>
                <c:pt idx="1">
                  <c:v>2160</c:v>
                </c:pt>
                <c:pt idx="2">
                  <c:v>2080</c:v>
                </c:pt>
                <c:pt idx="3">
                  <c:v>2143</c:v>
                </c:pt>
                <c:pt idx="4">
                  <c:v>2395</c:v>
                </c:pt>
                <c:pt idx="5">
                  <c:v>2650</c:v>
                </c:pt>
                <c:pt idx="6">
                  <c:v>3218</c:v>
                </c:pt>
                <c:pt idx="7">
                  <c:v>3408</c:v>
                </c:pt>
                <c:pt idx="8">
                  <c:v>3506</c:v>
                </c:pt>
                <c:pt idx="9">
                  <c:v>3688</c:v>
                </c:pt>
                <c:pt idx="10">
                  <c:v>2913</c:v>
                </c:pt>
                <c:pt idx="11">
                  <c:v>2447</c:v>
                </c:pt>
                <c:pt idx="12">
                  <c:v>2208</c:v>
                </c:pt>
                <c:pt idx="13">
                  <c:v>1881</c:v>
                </c:pt>
                <c:pt idx="14">
                  <c:v>2095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B6-4ADD-A278-A5AAD5BF621D}"/>
            </c:ext>
          </c:extLst>
        </c:ser>
        <c:ser>
          <c:idx val="2"/>
          <c:order val="2"/>
          <c:tx>
            <c:strRef>
              <c:f>'Relaciones Industriales'!$G$1</c:f>
              <c:strCache>
                <c:ptCount val="1"/>
                <c:pt idx="0">
                  <c:v>Ausencias, Licencias Vs. y Suspensiones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Industriales'!$G$2:$G$16</c:f>
              <c:numCache>
                <c:formatCode>#,##0\ "HH"</c:formatCode>
                <c:ptCount val="15"/>
                <c:pt idx="0">
                  <c:v>3832</c:v>
                </c:pt>
                <c:pt idx="1">
                  <c:v>2876</c:v>
                </c:pt>
                <c:pt idx="2">
                  <c:v>3565</c:v>
                </c:pt>
                <c:pt idx="3">
                  <c:v>4397</c:v>
                </c:pt>
                <c:pt idx="4">
                  <c:v>3071</c:v>
                </c:pt>
                <c:pt idx="5">
                  <c:v>3368</c:v>
                </c:pt>
                <c:pt idx="6">
                  <c:v>3252</c:v>
                </c:pt>
                <c:pt idx="7">
                  <c:v>2545</c:v>
                </c:pt>
                <c:pt idx="8">
                  <c:v>2663</c:v>
                </c:pt>
                <c:pt idx="9">
                  <c:v>2770</c:v>
                </c:pt>
                <c:pt idx="10">
                  <c:v>2141</c:v>
                </c:pt>
                <c:pt idx="11">
                  <c:v>3360</c:v>
                </c:pt>
                <c:pt idx="12">
                  <c:v>2287</c:v>
                </c:pt>
                <c:pt idx="13">
                  <c:v>2201</c:v>
                </c:pt>
                <c:pt idx="14">
                  <c:v>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B6-4ADD-A278-A5AAD5BF621D}"/>
            </c:ext>
          </c:extLst>
        </c:ser>
        <c:ser>
          <c:idx val="3"/>
          <c:order val="3"/>
          <c:tx>
            <c:strRef>
              <c:f>'Relaciones Industriales'!$F$1</c:f>
              <c:strCache>
                <c:ptCount val="1"/>
                <c:pt idx="0">
                  <c:v>COMPENSATO-RIOS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Industriales'!$F$2:$F$16</c:f>
              <c:numCache>
                <c:formatCode>#,##0\ "HH"</c:formatCode>
                <c:ptCount val="15"/>
                <c:pt idx="0">
                  <c:v>2282</c:v>
                </c:pt>
                <c:pt idx="1">
                  <c:v>2141</c:v>
                </c:pt>
                <c:pt idx="2">
                  <c:v>2158</c:v>
                </c:pt>
                <c:pt idx="3">
                  <c:v>3199</c:v>
                </c:pt>
                <c:pt idx="4">
                  <c:v>2634</c:v>
                </c:pt>
                <c:pt idx="5">
                  <c:v>1592</c:v>
                </c:pt>
                <c:pt idx="6">
                  <c:v>2020</c:v>
                </c:pt>
                <c:pt idx="7">
                  <c:v>1832</c:v>
                </c:pt>
                <c:pt idx="8">
                  <c:v>1852</c:v>
                </c:pt>
                <c:pt idx="9">
                  <c:v>3955</c:v>
                </c:pt>
                <c:pt idx="10">
                  <c:v>4610</c:v>
                </c:pt>
                <c:pt idx="11">
                  <c:v>4595</c:v>
                </c:pt>
                <c:pt idx="12">
                  <c:v>3952</c:v>
                </c:pt>
                <c:pt idx="13">
                  <c:v>5021</c:v>
                </c:pt>
                <c:pt idx="14">
                  <c:v>4398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B6-4ADD-A278-A5AAD5BF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15552"/>
        <c:axId val="146923040"/>
      </c:barChart>
      <c:dateAx>
        <c:axId val="146915552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3040"/>
        <c:crosses val="autoZero"/>
        <c:auto val="1"/>
        <c:lblOffset val="100"/>
        <c:baseTimeUnit val="months"/>
      </c:dateAx>
      <c:valAx>
        <c:axId val="14692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H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70C0"/>
                </a:solidFill>
              </a:rPr>
              <a:t>Horas compensatorias</a:t>
            </a:r>
            <a:r>
              <a:rPr lang="en-US" sz="2400" b="1" baseline="0">
                <a:solidFill>
                  <a:srgbClr val="0070C0"/>
                </a:solidFill>
              </a:rPr>
              <a:t> vs horas suplementarias</a:t>
            </a:r>
            <a:endParaRPr lang="en-US" sz="2400" b="1">
              <a:solidFill>
                <a:srgbClr val="0070C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'Relaciones Industriales'!$N$1</c:f>
              <c:strCache>
                <c:ptCount val="1"/>
                <c:pt idx="0">
                  <c:v>Relacion Compensatorias vs suplementarias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C520-4A0B-ABBD-F1CBC8FCC6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20-4A0B-ABBD-F1CBC8FCC6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20-4A0B-ABBD-F1CBC8FCC6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20-4A0B-ABBD-F1CBC8FCC6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520-4A0B-ABBD-F1CBC8FCC63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20-4A0B-ABBD-F1CBC8FCC63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E87-4262-8082-BEECB741E446}"/>
              </c:ext>
            </c:extLst>
          </c:dPt>
          <c:dPt>
            <c:idx val="8"/>
            <c:invertIfNegative val="0"/>
            <c:bubble3D val="0"/>
            <c:spPr>
              <a:solidFill>
                <a:srgbClr val="77F44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748-40B3-B415-791CED2057D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A82-4E11-A52C-09D78AF3BDB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2F14-4649-B45B-047E199AE70A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86CC-4A58-9E41-63B90B8C47D2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FFBC-4ACE-BA7C-B93C86D5D5EA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5147-4E42-BE17-AFA4D8093C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'Relaciones Industriales'!$A$2:$A$16</c:f>
              <c:numCache>
                <c:formatCode>[$-C0A]mmm\-yy;@</c:formatCode>
                <c:ptCount val="1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</c:numCache>
            </c:numRef>
          </c:cat>
          <c:val>
            <c:numRef>
              <c:f>'Relaciones Industriales'!$N$2:$N$16</c:f>
              <c:numCache>
                <c:formatCode>0%</c:formatCode>
                <c:ptCount val="15"/>
                <c:pt idx="0">
                  <c:v>0.81412772029967895</c:v>
                </c:pt>
                <c:pt idx="1">
                  <c:v>1.4048556430446195</c:v>
                </c:pt>
                <c:pt idx="2">
                  <c:v>0.34461833280102205</c:v>
                </c:pt>
                <c:pt idx="3">
                  <c:v>1.1769683590875644</c:v>
                </c:pt>
                <c:pt idx="4">
                  <c:v>2.0546021840873636</c:v>
                </c:pt>
                <c:pt idx="5">
                  <c:v>0.93702177751618598</c:v>
                </c:pt>
                <c:pt idx="6">
                  <c:v>1.3557046979865772</c:v>
                </c:pt>
                <c:pt idx="7">
                  <c:v>0.8469717984281091</c:v>
                </c:pt>
                <c:pt idx="8">
                  <c:v>0.30011343380327338</c:v>
                </c:pt>
                <c:pt idx="9">
                  <c:v>0.47616181073922464</c:v>
                </c:pt>
                <c:pt idx="10">
                  <c:v>0.92052715654952078</c:v>
                </c:pt>
                <c:pt idx="11">
                  <c:v>0.81385051363797378</c:v>
                </c:pt>
                <c:pt idx="12">
                  <c:v>0.94613358870002395</c:v>
                </c:pt>
                <c:pt idx="13">
                  <c:v>1.8338203067932797</c:v>
                </c:pt>
                <c:pt idx="14">
                  <c:v>1.2744132135612867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E-4A87-B06B-7DBD59C8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28864"/>
        <c:axId val="146922624"/>
      </c:barChart>
      <c:dateAx>
        <c:axId val="146928864"/>
        <c:scaling>
          <c:orientation val="minMax"/>
        </c:scaling>
        <c:delete val="0"/>
        <c:axPos val="b"/>
        <c:numFmt formatCode="[$-C0A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2624"/>
        <c:crosses val="autoZero"/>
        <c:auto val="1"/>
        <c:lblOffset val="100"/>
        <c:baseTimeUnit val="months"/>
      </c:dateAx>
      <c:valAx>
        <c:axId val="1469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69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18</xdr:row>
      <xdr:rowOff>14288</xdr:rowOff>
    </xdr:from>
    <xdr:to>
      <xdr:col>8</xdr:col>
      <xdr:colOff>104775</xdr:colOff>
      <xdr:row>48</xdr:row>
      <xdr:rowOff>61913</xdr:rowOff>
    </xdr:to>
    <xdr:graphicFrame macro="">
      <xdr:nvGraphicFramePr>
        <xdr:cNvPr id="1492882" name="5 Gráfico">
          <a:extLst>
            <a:ext uri="{FF2B5EF4-FFF2-40B4-BE49-F238E27FC236}">
              <a16:creationId xmlns:a16="http://schemas.microsoft.com/office/drawing/2014/main" id="{00000000-0008-0000-0000-000092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433388</xdr:colOff>
      <xdr:row>51</xdr:row>
      <xdr:rowOff>38100</xdr:rowOff>
    </xdr:from>
    <xdr:to>
      <xdr:col>8</xdr:col>
      <xdr:colOff>223838</xdr:colOff>
      <xdr:row>81</xdr:row>
      <xdr:rowOff>85725</xdr:rowOff>
    </xdr:to>
    <xdr:graphicFrame macro="">
      <xdr:nvGraphicFramePr>
        <xdr:cNvPr id="1492883" name="7 Gráfico">
          <a:extLst>
            <a:ext uri="{FF2B5EF4-FFF2-40B4-BE49-F238E27FC236}">
              <a16:creationId xmlns:a16="http://schemas.microsoft.com/office/drawing/2014/main" id="{00000000-0008-0000-0000-000093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720725</xdr:colOff>
      <xdr:row>50</xdr:row>
      <xdr:rowOff>123825</xdr:rowOff>
    </xdr:from>
    <xdr:to>
      <xdr:col>17</xdr:col>
      <xdr:colOff>574675</xdr:colOff>
      <xdr:row>80</xdr:row>
      <xdr:rowOff>171450</xdr:rowOff>
    </xdr:to>
    <xdr:graphicFrame macro="">
      <xdr:nvGraphicFramePr>
        <xdr:cNvPr id="1492884" name="8 Gráfico">
          <a:extLst>
            <a:ext uri="{FF2B5EF4-FFF2-40B4-BE49-F238E27FC236}">
              <a16:creationId xmlns:a16="http://schemas.microsoft.com/office/drawing/2014/main" id="{00000000-0008-0000-0000-000094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12</xdr:col>
      <xdr:colOff>379641</xdr:colOff>
      <xdr:row>53</xdr:row>
      <xdr:rowOff>150586</xdr:rowOff>
    </xdr:from>
    <xdr:ext cx="4668610" cy="276225"/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17207141" y="9326336"/>
          <a:ext cx="466861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1400" b="1">
              <a:solidFill>
                <a:srgbClr val="FF0000"/>
              </a:solidFill>
            </a:rPr>
            <a:t>Expresado en Millones de $ en valores corrientes</a:t>
          </a:r>
        </a:p>
      </xdr:txBody>
    </xdr:sp>
    <xdr:clientData/>
  </xdr:oneCellAnchor>
  <xdr:twoCellAnchor>
    <xdr:from>
      <xdr:col>0</xdr:col>
      <xdr:colOff>409575</xdr:colOff>
      <xdr:row>82</xdr:row>
      <xdr:rowOff>100013</xdr:rowOff>
    </xdr:from>
    <xdr:to>
      <xdr:col>8</xdr:col>
      <xdr:colOff>200025</xdr:colOff>
      <xdr:row>112</xdr:row>
      <xdr:rowOff>147638</xdr:rowOff>
    </xdr:to>
    <xdr:graphicFrame macro="">
      <xdr:nvGraphicFramePr>
        <xdr:cNvPr id="1492887" name="15 Gráfico">
          <a:extLst>
            <a:ext uri="{FF2B5EF4-FFF2-40B4-BE49-F238E27FC236}">
              <a16:creationId xmlns:a16="http://schemas.microsoft.com/office/drawing/2014/main" id="{00000000-0008-0000-0000-000097C71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523874</xdr:colOff>
      <xdr:row>17</xdr:row>
      <xdr:rowOff>0</xdr:rowOff>
    </xdr:from>
    <xdr:to>
      <xdr:col>18</xdr:col>
      <xdr:colOff>285750</xdr:colOff>
      <xdr:row>47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3EB17D-4C3C-BF28-822E-D4615D65D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1126331</xdr:colOff>
      <xdr:row>81</xdr:row>
      <xdr:rowOff>145256</xdr:rowOff>
    </xdr:from>
    <xdr:to>
      <xdr:col>17</xdr:col>
      <xdr:colOff>395289</xdr:colOff>
      <xdr:row>106</xdr:row>
      <xdr:rowOff>50006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9AF45A-BC3D-FD32-175E-02192F4817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0.67726</cdr:x>
      <cdr:y>0.085</cdr:y>
    </cdr:from>
    <cdr:to>
      <cdr:x>0.89619</cdr:x>
      <cdr:y>0.15974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534873" y="489823"/>
          <a:ext cx="1789194" cy="430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AR" sz="1400" b="1">
              <a:solidFill>
                <a:srgbClr val="FF0000"/>
              </a:solidFill>
            </a:rPr>
            <a:t>OBJETIVO: 156</a:t>
          </a:r>
          <a:r>
            <a:rPr lang="es-AR" sz="1400" b="1" baseline="0">
              <a:solidFill>
                <a:srgbClr val="FF0000"/>
              </a:solidFill>
            </a:rPr>
            <a:t> hh/PERSONA</a:t>
          </a:r>
        </a:p>
        <a:p xmlns:a="http://schemas.openxmlformats.org/drawingml/2006/main">
          <a:endParaRPr lang="es-AR" sz="1400" b="1">
            <a:solidFill>
              <a:srgbClr val="FF0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0.04317</cdr:x>
      <cdr:y>0.08486</cdr:y>
    </cdr:from>
    <cdr:to>
      <cdr:x>0.29755</cdr:x>
      <cdr:y>0.15507</cdr:y>
    </cdr:to>
    <cdr:sp macro="" textlink="">
      <cdr:nvSpPr>
        <cdr:cNvPr id="2" name="1 CuadroTexto">
          <a:extLst xmlns:a="http://schemas.openxmlformats.org/drawingml/2006/main">
            <a:ext uri="{FF2B5EF4-FFF2-40B4-BE49-F238E27FC236}">
              <a16:creationId xmlns:a16="http://schemas.microsoft.com/office/drawing/2014/main" id="{90145285-649E-C3AF-779C-365C9FC6E1D5}"/>
            </a:ext>
          </a:extLst>
        </cdr:cNvPr>
        <cdr:cNvSpPr txBox="1"/>
      </cdr:nvSpPr>
      <cdr:spPr>
        <a:xfrm xmlns:a="http://schemas.openxmlformats.org/drawingml/2006/main">
          <a:off x="396081" y="396082"/>
          <a:ext cx="2333923" cy="3276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AR" sz="1400" b="1">
              <a:solidFill>
                <a:srgbClr val="C00000"/>
              </a:solidFill>
            </a:rPr>
            <a:t>OBJETIVO: 100%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zoomScale="60" zoomScaleNormal="60" workbookViewId="0">
      <selection activeCell="I16" sqref="I16:J16"/>
    </sheetView>
  </sheetViews>
  <sheetFormatPr baseColWidth="10" defaultRowHeight="15" x14ac:dyDescent="0.25"/>
  <cols>
    <col min="1" max="1" width="16" style="1" customWidth="1"/>
    <col min="2" max="2" width="17.7109375" style="1" customWidth="1"/>
    <col min="3" max="3" width="20" style="1" customWidth="1"/>
    <col min="4" max="4" width="15.28515625" style="1" customWidth="1"/>
    <col min="5" max="5" width="18.85546875" style="1" customWidth="1"/>
    <col min="6" max="6" width="15.28515625" style="1" customWidth="1"/>
    <col min="7" max="7" width="22.7109375" style="1" customWidth="1"/>
    <col min="8" max="8" width="19.85546875" style="3" customWidth="1"/>
    <col min="9" max="9" width="21.85546875" style="1" customWidth="1"/>
    <col min="10" max="10" width="16.42578125" style="1" customWidth="1"/>
    <col min="11" max="11" width="23" style="1" customWidth="1"/>
    <col min="12" max="12" width="21.85546875" style="1" customWidth="1"/>
    <col min="13" max="13" width="13.42578125" style="1" customWidth="1"/>
    <col min="14" max="14" width="14.42578125" style="1" customWidth="1"/>
    <col min="15" max="15" width="11.42578125" style="1"/>
    <col min="16" max="16" width="14.42578125" style="1" bestFit="1" customWidth="1"/>
    <col min="17" max="17" width="14.7109375" style="1" bestFit="1" customWidth="1"/>
    <col min="18" max="16384" width="11.42578125" style="1"/>
  </cols>
  <sheetData>
    <row r="1" spans="1:18" ht="48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9</v>
      </c>
      <c r="G1" s="11" t="s">
        <v>8</v>
      </c>
      <c r="H1" s="10" t="s">
        <v>7</v>
      </c>
      <c r="I1" s="11" t="s">
        <v>5</v>
      </c>
      <c r="J1" s="11" t="s">
        <v>13</v>
      </c>
      <c r="K1" s="11" t="s">
        <v>14</v>
      </c>
      <c r="L1" s="11" t="s">
        <v>6</v>
      </c>
      <c r="M1" s="11" t="s">
        <v>10</v>
      </c>
      <c r="N1" s="12" t="s">
        <v>11</v>
      </c>
      <c r="O1" s="13" t="s">
        <v>12</v>
      </c>
    </row>
    <row r="2" spans="1:18" ht="15" customHeight="1" x14ac:dyDescent="0.25">
      <c r="A2" s="19">
        <v>45658</v>
      </c>
      <c r="B2" s="14">
        <v>74096</v>
      </c>
      <c r="C2" s="14">
        <v>49582</v>
      </c>
      <c r="D2" s="14">
        <v>1921</v>
      </c>
      <c r="E2" s="14">
        <v>336</v>
      </c>
      <c r="F2" s="14">
        <v>2282</v>
      </c>
      <c r="G2" s="14">
        <v>3832</v>
      </c>
      <c r="H2" s="15">
        <f>(D2+E2+F2)/B2</f>
        <v>6.1258367523213127E-2</v>
      </c>
      <c r="I2" s="14">
        <v>4470</v>
      </c>
      <c r="J2" s="14">
        <v>2803</v>
      </c>
      <c r="K2" s="15">
        <f t="shared" ref="K2:K16" si="0">IF(C2=0,"",(I2+J2)/C2)</f>
        <v>0.14668629744665404</v>
      </c>
      <c r="L2" s="18">
        <v>117844507</v>
      </c>
      <c r="M2" s="20">
        <v>421</v>
      </c>
      <c r="N2" s="16">
        <f t="shared" ref="N2:N16" si="1">+F2/J2</f>
        <v>0.81412772029967895</v>
      </c>
      <c r="O2" s="14">
        <f t="shared" ref="O2:O7" si="2">+C2/M2</f>
        <v>117.77197149643706</v>
      </c>
      <c r="P2" s="66"/>
    </row>
    <row r="3" spans="1:18" ht="15" customHeight="1" x14ac:dyDescent="0.25">
      <c r="A3" s="19">
        <v>45689</v>
      </c>
      <c r="B3" s="14">
        <v>67040</v>
      </c>
      <c r="C3" s="14">
        <v>44700</v>
      </c>
      <c r="D3" s="14">
        <v>2160</v>
      </c>
      <c r="E3" s="14">
        <v>452</v>
      </c>
      <c r="F3" s="14">
        <v>2141</v>
      </c>
      <c r="G3" s="14">
        <v>2876</v>
      </c>
      <c r="H3" s="15">
        <f t="shared" ref="H3:H16" si="3">(D3+E3+G3+F3)/B3</f>
        <v>0.11379773269689737</v>
      </c>
      <c r="I3" s="14">
        <v>2731</v>
      </c>
      <c r="J3" s="14">
        <v>1524</v>
      </c>
      <c r="K3" s="15">
        <f>IF(C3=0,"",(I3+J3)/C3)</f>
        <v>9.5190156599552572E-2</v>
      </c>
      <c r="L3" s="18">
        <v>67169187</v>
      </c>
      <c r="M3" s="20">
        <v>419</v>
      </c>
      <c r="N3" s="16">
        <f t="shared" si="1"/>
        <v>1.4048556430446195</v>
      </c>
      <c r="O3" s="14">
        <f t="shared" si="2"/>
        <v>106.68257756563246</v>
      </c>
      <c r="P3" s="66"/>
    </row>
    <row r="4" spans="1:18" ht="15" customHeight="1" x14ac:dyDescent="0.25">
      <c r="A4" s="19">
        <v>45717</v>
      </c>
      <c r="B4" s="14">
        <v>60480</v>
      </c>
      <c r="C4" s="14">
        <v>47451</v>
      </c>
      <c r="D4" s="14">
        <v>2080</v>
      </c>
      <c r="E4" s="14">
        <v>410</v>
      </c>
      <c r="F4" s="14">
        <v>2158</v>
      </c>
      <c r="G4" s="14">
        <v>3565</v>
      </c>
      <c r="H4" s="15">
        <f t="shared" si="3"/>
        <v>0.13579695767195768</v>
      </c>
      <c r="I4" s="14">
        <v>1596</v>
      </c>
      <c r="J4" s="14">
        <v>6262</v>
      </c>
      <c r="K4" s="15">
        <f>IF(C4=0,"",(I4+J4)/C4)</f>
        <v>0.16560241090809466</v>
      </c>
      <c r="L4" s="18">
        <v>136930490</v>
      </c>
      <c r="M4" s="20">
        <v>420</v>
      </c>
      <c r="N4" s="16">
        <f t="shared" si="1"/>
        <v>0.34461833280102205</v>
      </c>
      <c r="O4" s="14">
        <f t="shared" si="2"/>
        <v>112.97857142857143</v>
      </c>
      <c r="P4" s="66"/>
    </row>
    <row r="5" spans="1:18" ht="15" customHeight="1" x14ac:dyDescent="0.25">
      <c r="A5" s="19">
        <v>45748</v>
      </c>
      <c r="B5" s="14">
        <v>67520</v>
      </c>
      <c r="C5" s="14">
        <v>55661</v>
      </c>
      <c r="D5" s="14">
        <v>2143</v>
      </c>
      <c r="E5" s="14">
        <v>560</v>
      </c>
      <c r="F5" s="14">
        <v>3199</v>
      </c>
      <c r="G5" s="14">
        <v>4397</v>
      </c>
      <c r="H5" s="15">
        <f t="shared" si="3"/>
        <v>0.15253258293838862</v>
      </c>
      <c r="I5" s="14">
        <v>5491</v>
      </c>
      <c r="J5" s="14">
        <v>2718</v>
      </c>
      <c r="K5" s="15">
        <f t="shared" si="0"/>
        <v>0.14748207901403138</v>
      </c>
      <c r="L5" s="18">
        <v>131921653</v>
      </c>
      <c r="M5" s="20">
        <v>422</v>
      </c>
      <c r="N5" s="16">
        <f t="shared" si="1"/>
        <v>1.1769683590875644</v>
      </c>
      <c r="O5" s="14">
        <f t="shared" si="2"/>
        <v>131.89810426540285</v>
      </c>
      <c r="P5" s="66"/>
      <c r="Q5" s="17"/>
      <c r="R5" s="65"/>
    </row>
    <row r="6" spans="1:18" ht="15" customHeight="1" x14ac:dyDescent="0.25">
      <c r="A6" s="19">
        <v>45778</v>
      </c>
      <c r="B6" s="14">
        <v>67680</v>
      </c>
      <c r="C6" s="14">
        <v>57179</v>
      </c>
      <c r="D6" s="14">
        <v>2395</v>
      </c>
      <c r="E6" s="14">
        <v>201</v>
      </c>
      <c r="F6" s="14">
        <v>2634</v>
      </c>
      <c r="G6" s="14">
        <v>3071</v>
      </c>
      <c r="H6" s="15">
        <f t="shared" si="3"/>
        <v>0.12265070921985816</v>
      </c>
      <c r="I6" s="14">
        <v>3384</v>
      </c>
      <c r="J6" s="14">
        <v>1282</v>
      </c>
      <c r="K6" s="15">
        <f t="shared" si="0"/>
        <v>8.1603385858444538E-2</v>
      </c>
      <c r="L6" s="18">
        <v>74867647</v>
      </c>
      <c r="M6" s="20">
        <v>423</v>
      </c>
      <c r="N6" s="16">
        <f t="shared" si="1"/>
        <v>2.0546021840873636</v>
      </c>
      <c r="O6" s="14">
        <f t="shared" si="2"/>
        <v>135.17494089834514</v>
      </c>
      <c r="P6" s="66"/>
    </row>
    <row r="7" spans="1:18" ht="15" customHeight="1" x14ac:dyDescent="0.25">
      <c r="A7" s="19">
        <v>45809</v>
      </c>
      <c r="B7" s="14">
        <v>64296</v>
      </c>
      <c r="C7" s="14">
        <v>54681</v>
      </c>
      <c r="D7" s="14">
        <v>2650</v>
      </c>
      <c r="E7" s="14">
        <v>421</v>
      </c>
      <c r="F7" s="14">
        <v>1592</v>
      </c>
      <c r="G7" s="14">
        <v>3368</v>
      </c>
      <c r="H7" s="15">
        <f t="shared" si="3"/>
        <v>0.12490668159761105</v>
      </c>
      <c r="I7" s="14">
        <v>2742</v>
      </c>
      <c r="J7" s="14">
        <v>1699</v>
      </c>
      <c r="K7" s="15">
        <f t="shared" si="0"/>
        <v>8.1216510305224851E-2</v>
      </c>
      <c r="L7" s="18">
        <v>74819435</v>
      </c>
      <c r="M7" s="20">
        <v>423</v>
      </c>
      <c r="N7" s="16">
        <f t="shared" si="1"/>
        <v>0.93702177751618598</v>
      </c>
      <c r="O7" s="14">
        <f t="shared" si="2"/>
        <v>129.26950354609929</v>
      </c>
      <c r="P7" s="67"/>
      <c r="Q7" s="17"/>
      <c r="R7" s="65"/>
    </row>
    <row r="8" spans="1:18" ht="15" customHeight="1" x14ac:dyDescent="0.25">
      <c r="A8" s="19">
        <v>45839</v>
      </c>
      <c r="B8" s="14">
        <v>74272</v>
      </c>
      <c r="C8" s="14">
        <v>58966</v>
      </c>
      <c r="D8" s="14">
        <v>3218</v>
      </c>
      <c r="E8" s="14">
        <v>633</v>
      </c>
      <c r="F8" s="14">
        <v>2020</v>
      </c>
      <c r="G8" s="14">
        <v>3252</v>
      </c>
      <c r="H8" s="15">
        <f t="shared" si="3"/>
        <v>0.12283229211546746</v>
      </c>
      <c r="I8" s="14">
        <v>2400</v>
      </c>
      <c r="J8" s="14">
        <v>1490</v>
      </c>
      <c r="K8" s="15">
        <f t="shared" si="0"/>
        <v>6.597022012685276E-2</v>
      </c>
      <c r="L8" s="18">
        <v>65688401</v>
      </c>
      <c r="M8" s="20">
        <v>422</v>
      </c>
      <c r="N8" s="16">
        <f t="shared" si="1"/>
        <v>1.3557046979865772</v>
      </c>
      <c r="O8" s="14">
        <f t="shared" ref="O8:O16" si="4">+C8/M8</f>
        <v>139.72985781990522</v>
      </c>
      <c r="P8" s="66"/>
    </row>
    <row r="9" spans="1:18" ht="15" customHeight="1" x14ac:dyDescent="0.25">
      <c r="A9" s="19">
        <v>45870</v>
      </c>
      <c r="B9" s="14">
        <v>67200</v>
      </c>
      <c r="C9" s="14">
        <v>54829</v>
      </c>
      <c r="D9" s="14">
        <v>3408</v>
      </c>
      <c r="E9" s="14">
        <v>739</v>
      </c>
      <c r="F9" s="14">
        <v>1832</v>
      </c>
      <c r="G9" s="14">
        <v>2545</v>
      </c>
      <c r="H9" s="15">
        <f t="shared" si="3"/>
        <v>0.12684523809523809</v>
      </c>
      <c r="I9" s="14">
        <v>4436</v>
      </c>
      <c r="J9" s="14">
        <v>2163</v>
      </c>
      <c r="K9" s="15">
        <f t="shared" si="0"/>
        <v>0.12035601597694651</v>
      </c>
      <c r="L9" s="18">
        <v>110333858</v>
      </c>
      <c r="M9" s="20">
        <v>420</v>
      </c>
      <c r="N9" s="16">
        <f t="shared" si="1"/>
        <v>0.8469717984281091</v>
      </c>
      <c r="O9" s="14">
        <f t="shared" si="4"/>
        <v>130.54523809523809</v>
      </c>
      <c r="P9" s="66"/>
    </row>
    <row r="10" spans="1:18" ht="15" customHeight="1" x14ac:dyDescent="0.25">
      <c r="A10" s="19">
        <v>45901</v>
      </c>
      <c r="B10" s="14">
        <v>71064</v>
      </c>
      <c r="C10" s="14">
        <v>59350</v>
      </c>
      <c r="D10" s="14">
        <v>3506</v>
      </c>
      <c r="E10" s="14">
        <v>757</v>
      </c>
      <c r="F10" s="14">
        <v>1852</v>
      </c>
      <c r="G10" s="14">
        <v>2663</v>
      </c>
      <c r="H10" s="15">
        <f t="shared" si="3"/>
        <v>0.12352245862884161</v>
      </c>
      <c r="I10" s="14">
        <v>8477</v>
      </c>
      <c r="J10" s="14">
        <v>6171</v>
      </c>
      <c r="K10" s="15">
        <f t="shared" si="0"/>
        <v>0.24680707666385845</v>
      </c>
      <c r="L10" s="18">
        <v>267533414.72</v>
      </c>
      <c r="M10" s="20">
        <v>423</v>
      </c>
      <c r="N10" s="16">
        <f t="shared" si="1"/>
        <v>0.30011343380327338</v>
      </c>
      <c r="O10" s="14">
        <f t="shared" si="4"/>
        <v>140.30732860520095</v>
      </c>
      <c r="P10" s="66"/>
    </row>
    <row r="11" spans="1:18" ht="15" customHeight="1" x14ac:dyDescent="0.25">
      <c r="A11" s="19">
        <v>45931</v>
      </c>
      <c r="B11" s="14">
        <v>74800</v>
      </c>
      <c r="C11" s="14">
        <v>60933</v>
      </c>
      <c r="D11" s="14">
        <v>3688</v>
      </c>
      <c r="E11" s="14">
        <v>583</v>
      </c>
      <c r="F11" s="14">
        <v>3955</v>
      </c>
      <c r="G11" s="14">
        <v>2770</v>
      </c>
      <c r="H11" s="15">
        <f t="shared" si="3"/>
        <v>0.14700534759358289</v>
      </c>
      <c r="I11" s="14">
        <v>11625</v>
      </c>
      <c r="J11" s="14">
        <v>8306</v>
      </c>
      <c r="K11" s="15">
        <f t="shared" si="0"/>
        <v>0.32709697536638604</v>
      </c>
      <c r="L11" s="18">
        <v>374692437.35000008</v>
      </c>
      <c r="M11" s="20">
        <v>425</v>
      </c>
      <c r="N11" s="16">
        <f t="shared" si="1"/>
        <v>0.47616181073922464</v>
      </c>
      <c r="O11" s="14">
        <f t="shared" si="4"/>
        <v>143.37176470588236</v>
      </c>
      <c r="P11" s="14"/>
      <c r="Q11" s="17"/>
    </row>
    <row r="12" spans="1:18" ht="15" customHeight="1" x14ac:dyDescent="0.25">
      <c r="A12" s="19">
        <v>45962</v>
      </c>
      <c r="B12" s="14">
        <v>60768</v>
      </c>
      <c r="C12" s="14">
        <v>47988</v>
      </c>
      <c r="D12" s="14">
        <v>2913</v>
      </c>
      <c r="E12" s="14">
        <v>605</v>
      </c>
      <c r="F12" s="14">
        <v>4610</v>
      </c>
      <c r="G12" s="14">
        <v>2141</v>
      </c>
      <c r="H12" s="15">
        <f t="shared" si="3"/>
        <v>0.16898696682464456</v>
      </c>
      <c r="I12" s="14">
        <v>5489</v>
      </c>
      <c r="J12" s="14">
        <v>5008</v>
      </c>
      <c r="K12" s="15">
        <f t="shared" si="0"/>
        <v>0.21874218554638661</v>
      </c>
      <c r="L12" s="18">
        <v>200404138.19</v>
      </c>
      <c r="M12" s="20">
        <v>422</v>
      </c>
      <c r="N12" s="16">
        <f t="shared" si="1"/>
        <v>0.92052715654952078</v>
      </c>
      <c r="O12" s="14">
        <f t="shared" si="4"/>
        <v>113.71563981042654</v>
      </c>
      <c r="P12" s="14"/>
      <c r="Q12" s="17"/>
    </row>
    <row r="13" spans="1:18" ht="15" customHeight="1" x14ac:dyDescent="0.25">
      <c r="A13" s="19">
        <v>45992</v>
      </c>
      <c r="B13" s="14">
        <v>64752</v>
      </c>
      <c r="C13" s="14">
        <v>50998</v>
      </c>
      <c r="D13" s="14">
        <v>2447</v>
      </c>
      <c r="E13" s="14">
        <v>633</v>
      </c>
      <c r="F13" s="14">
        <v>4595</v>
      </c>
      <c r="G13" s="14">
        <v>3360</v>
      </c>
      <c r="H13" s="15">
        <f t="shared" si="3"/>
        <v>0.1704194465035829</v>
      </c>
      <c r="I13" s="14">
        <v>7073</v>
      </c>
      <c r="J13" s="14">
        <v>5646</v>
      </c>
      <c r="K13" s="15">
        <f t="shared" si="0"/>
        <v>0.24940193733087573</v>
      </c>
      <c r="L13" s="18">
        <v>248346700.34999999</v>
      </c>
      <c r="M13" s="20">
        <v>426</v>
      </c>
      <c r="N13" s="16">
        <f t="shared" si="1"/>
        <v>0.81385051363797378</v>
      </c>
      <c r="O13" s="14">
        <f t="shared" si="4"/>
        <v>119.71361502347418</v>
      </c>
      <c r="P13" s="14"/>
      <c r="Q13" s="17"/>
    </row>
    <row r="14" spans="1:18" ht="15" customHeight="1" x14ac:dyDescent="0.25">
      <c r="A14" s="33">
        <v>46023</v>
      </c>
      <c r="B14" s="21">
        <v>71736</v>
      </c>
      <c r="C14" s="21">
        <v>46890</v>
      </c>
      <c r="D14" s="21">
        <v>2208</v>
      </c>
      <c r="E14" s="21">
        <v>920</v>
      </c>
      <c r="F14" s="21">
        <v>3952</v>
      </c>
      <c r="G14" s="21">
        <v>2287</v>
      </c>
      <c r="H14" s="22">
        <f t="shared" si="3"/>
        <v>0.13057600089216015</v>
      </c>
      <c r="I14" s="21">
        <v>6704</v>
      </c>
      <c r="J14" s="21">
        <v>4177</v>
      </c>
      <c r="K14" s="22">
        <f t="shared" si="0"/>
        <v>0.23205374280230326</v>
      </c>
      <c r="L14" s="23">
        <v>215499404.63</v>
      </c>
      <c r="M14" s="38">
        <v>427</v>
      </c>
      <c r="N14" s="24">
        <f>+F14/J14</f>
        <v>0.94613358870002395</v>
      </c>
      <c r="O14" s="21">
        <f t="shared" si="4"/>
        <v>109.81264637002342</v>
      </c>
      <c r="P14" s="14"/>
      <c r="Q14" s="17"/>
    </row>
    <row r="15" spans="1:18" ht="15" customHeight="1" x14ac:dyDescent="0.25">
      <c r="A15" s="33">
        <v>46054</v>
      </c>
      <c r="B15" s="21">
        <v>60912</v>
      </c>
      <c r="C15" s="21">
        <v>38802</v>
      </c>
      <c r="D15" s="21">
        <v>1881</v>
      </c>
      <c r="E15" s="21">
        <v>768</v>
      </c>
      <c r="F15" s="21">
        <v>5021</v>
      </c>
      <c r="G15" s="21">
        <v>2201</v>
      </c>
      <c r="H15" s="22">
        <f t="shared" si="3"/>
        <v>0.16205345416338324</v>
      </c>
      <c r="I15" s="21">
        <v>3061</v>
      </c>
      <c r="J15" s="21">
        <v>2738</v>
      </c>
      <c r="K15" s="22">
        <f t="shared" si="0"/>
        <v>0.14945105922375135</v>
      </c>
      <c r="L15" s="23">
        <v>121280382.70999999</v>
      </c>
      <c r="M15" s="38">
        <v>423</v>
      </c>
      <c r="N15" s="24">
        <f t="shared" si="1"/>
        <v>1.8338203067932797</v>
      </c>
      <c r="O15" s="21">
        <f t="shared" si="4"/>
        <v>91.730496453900713</v>
      </c>
      <c r="P15" s="17"/>
    </row>
    <row r="16" spans="1:18" ht="15" customHeight="1" x14ac:dyDescent="0.25">
      <c r="A16" s="33">
        <v>46082</v>
      </c>
      <c r="B16" s="21">
        <v>67040</v>
      </c>
      <c r="C16" s="21">
        <v>50715</v>
      </c>
      <c r="D16" s="21">
        <v>2095</v>
      </c>
      <c r="E16" s="21">
        <v>880</v>
      </c>
      <c r="F16" s="21">
        <v>4398</v>
      </c>
      <c r="G16" s="21">
        <v>3105</v>
      </c>
      <c r="H16" s="22">
        <f t="shared" si="3"/>
        <v>0.15629474940334129</v>
      </c>
      <c r="I16" s="21">
        <v>4052</v>
      </c>
      <c r="J16" s="21">
        <v>3451</v>
      </c>
      <c r="K16" s="22">
        <f t="shared" si="0"/>
        <v>0.14794439514936408</v>
      </c>
      <c r="L16" s="23">
        <v>155506373.34999999</v>
      </c>
      <c r="M16" s="38">
        <v>419</v>
      </c>
      <c r="N16" s="24">
        <f t="shared" si="1"/>
        <v>1.2744132135612867</v>
      </c>
      <c r="O16" s="21">
        <f t="shared" si="4"/>
        <v>121.0381861575179</v>
      </c>
      <c r="P16" s="17"/>
    </row>
    <row r="17" spans="1:16" ht="15" customHeight="1" x14ac:dyDescent="0.25">
      <c r="A17" s="33"/>
      <c r="B17" s="21"/>
      <c r="C17" s="21"/>
      <c r="D17" s="21"/>
      <c r="E17" s="21"/>
      <c r="F17" s="21"/>
      <c r="G17" s="21"/>
      <c r="H17" s="22"/>
      <c r="I17" s="21"/>
      <c r="J17" s="21"/>
      <c r="K17" s="22"/>
      <c r="L17" s="23"/>
      <c r="M17" s="38"/>
      <c r="N17" s="24"/>
      <c r="O17" s="21"/>
      <c r="P17" s="17"/>
    </row>
    <row r="18" spans="1:16" ht="15" customHeight="1" x14ac:dyDescent="0.25">
      <c r="A18" s="45"/>
      <c r="B18" s="46"/>
      <c r="C18" s="46"/>
      <c r="D18" s="46"/>
      <c r="E18" s="46"/>
      <c r="F18" s="46"/>
      <c r="G18" s="46"/>
      <c r="H18" s="47"/>
      <c r="I18" s="46"/>
      <c r="J18" s="21"/>
      <c r="K18" s="22"/>
      <c r="L18" s="23"/>
      <c r="M18" s="38"/>
      <c r="N18" s="24"/>
      <c r="O18" s="21"/>
      <c r="P18" s="17"/>
    </row>
    <row r="19" spans="1:16" ht="15" customHeight="1" x14ac:dyDescent="0.25">
      <c r="A19" s="45"/>
      <c r="B19" s="46"/>
      <c r="C19" s="46"/>
      <c r="D19" s="46"/>
      <c r="E19" s="46"/>
      <c r="F19" s="46"/>
      <c r="G19" s="46"/>
      <c r="H19" s="47"/>
      <c r="I19" s="46"/>
      <c r="J19" s="21"/>
      <c r="K19" s="22"/>
      <c r="L19" s="23"/>
      <c r="M19" s="38"/>
      <c r="N19" s="24"/>
      <c r="O19" s="21"/>
      <c r="P19" s="17"/>
    </row>
    <row r="20" spans="1:16" ht="15" customHeight="1" x14ac:dyDescent="0.25">
      <c r="A20" s="45"/>
      <c r="B20" s="46"/>
      <c r="C20" s="46"/>
      <c r="D20" s="46"/>
      <c r="E20" s="46"/>
      <c r="F20" s="46"/>
      <c r="G20" s="46"/>
      <c r="H20" s="47"/>
      <c r="I20" s="46"/>
      <c r="J20" s="21"/>
      <c r="K20" s="22"/>
      <c r="L20" s="23"/>
      <c r="M20" s="38"/>
      <c r="N20" s="24"/>
      <c r="O20" s="21"/>
      <c r="P20" s="17"/>
    </row>
    <row r="21" spans="1:16" s="41" customFormat="1" ht="15" customHeight="1" x14ac:dyDescent="0.25">
      <c r="A21" s="48"/>
      <c r="B21" s="49"/>
      <c r="C21" s="49"/>
      <c r="D21" s="49"/>
      <c r="E21" s="49"/>
      <c r="F21" s="49"/>
      <c r="G21" s="49"/>
      <c r="H21" s="47"/>
      <c r="I21" s="49"/>
      <c r="J21" s="25"/>
      <c r="K21" s="26"/>
      <c r="L21" s="27"/>
      <c r="M21" s="43"/>
      <c r="N21" s="34"/>
      <c r="O21" s="25"/>
      <c r="P21" s="40"/>
    </row>
    <row r="22" spans="1:16" ht="15" customHeight="1" x14ac:dyDescent="0.25">
      <c r="A22" s="50"/>
      <c r="B22" s="51"/>
      <c r="C22" s="51"/>
      <c r="D22" s="51"/>
      <c r="E22" s="51"/>
      <c r="F22" s="51"/>
      <c r="G22" s="51"/>
      <c r="H22" s="52"/>
      <c r="I22" s="51"/>
      <c r="J22" s="28"/>
      <c r="K22" s="29"/>
      <c r="L22" s="30"/>
      <c r="M22" s="32"/>
      <c r="N22" s="31"/>
      <c r="O22" s="28"/>
      <c r="P22" s="17"/>
    </row>
    <row r="23" spans="1:16" ht="15" customHeight="1" x14ac:dyDescent="0.25">
      <c r="A23" s="50"/>
      <c r="B23" s="51"/>
      <c r="C23" s="51"/>
      <c r="D23" s="51"/>
      <c r="E23" s="51"/>
      <c r="F23" s="51"/>
      <c r="G23" s="51"/>
      <c r="H23" s="52"/>
      <c r="I23" s="51"/>
      <c r="J23" s="28"/>
      <c r="K23" s="29"/>
      <c r="L23" s="30"/>
      <c r="M23" s="32"/>
      <c r="N23" s="31"/>
      <c r="O23" s="28"/>
      <c r="P23" s="17"/>
    </row>
    <row r="24" spans="1:16" ht="15" customHeight="1" x14ac:dyDescent="0.25">
      <c r="A24" s="50"/>
      <c r="B24" s="51"/>
      <c r="C24" s="51"/>
      <c r="D24" s="51"/>
      <c r="E24" s="51"/>
      <c r="F24" s="51"/>
      <c r="G24" s="51"/>
      <c r="H24" s="52"/>
      <c r="I24" s="51"/>
      <c r="J24" s="28"/>
      <c r="K24" s="29"/>
      <c r="L24" s="30"/>
      <c r="M24" s="32"/>
      <c r="N24" s="31"/>
      <c r="O24" s="28"/>
      <c r="P24" s="17"/>
    </row>
    <row r="25" spans="1:16" ht="15" customHeight="1" x14ac:dyDescent="0.25">
      <c r="A25" s="50"/>
      <c r="B25" s="51"/>
      <c r="C25" s="51"/>
      <c r="D25" s="51"/>
      <c r="E25" s="51"/>
      <c r="F25" s="51"/>
      <c r="G25" s="51"/>
      <c r="H25" s="52"/>
      <c r="I25" s="51"/>
      <c r="J25" s="28"/>
      <c r="K25" s="29"/>
      <c r="L25" s="30"/>
      <c r="M25" s="32"/>
      <c r="N25" s="31"/>
      <c r="O25" s="28"/>
      <c r="P25" s="17"/>
    </row>
    <row r="26" spans="1:16" ht="15" customHeight="1" x14ac:dyDescent="0.25">
      <c r="A26" s="50"/>
      <c r="B26" s="51"/>
      <c r="C26" s="51"/>
      <c r="D26" s="51"/>
      <c r="E26" s="51"/>
      <c r="F26" s="51"/>
      <c r="G26" s="51"/>
      <c r="H26" s="52"/>
      <c r="I26" s="51"/>
      <c r="J26" s="28"/>
      <c r="K26" s="29"/>
      <c r="L26" s="30"/>
      <c r="M26" s="32"/>
      <c r="N26" s="31"/>
      <c r="O26" s="28"/>
      <c r="P26" s="17"/>
    </row>
    <row r="27" spans="1:16" ht="15" customHeight="1" x14ac:dyDescent="0.25">
      <c r="A27" s="50"/>
      <c r="B27" s="51"/>
      <c r="C27" s="51"/>
      <c r="D27" s="51"/>
      <c r="E27" s="51"/>
      <c r="F27" s="51"/>
      <c r="G27" s="51"/>
      <c r="H27" s="52"/>
      <c r="I27" s="51"/>
      <c r="J27" s="28"/>
      <c r="K27" s="29"/>
      <c r="L27" s="30"/>
      <c r="M27" s="32"/>
      <c r="N27" s="31"/>
      <c r="O27" s="28"/>
      <c r="P27" s="17"/>
    </row>
    <row r="28" spans="1:16" ht="15" customHeight="1" x14ac:dyDescent="0.25">
      <c r="A28" s="50"/>
      <c r="B28" s="51"/>
      <c r="C28" s="51"/>
      <c r="D28" s="51"/>
      <c r="E28" s="51"/>
      <c r="F28" s="51"/>
      <c r="G28" s="51"/>
      <c r="H28" s="52"/>
      <c r="I28" s="51"/>
      <c r="J28" s="28"/>
      <c r="K28" s="29"/>
      <c r="L28" s="30"/>
      <c r="M28" s="32"/>
      <c r="N28" s="31"/>
      <c r="O28" s="28"/>
      <c r="P28" s="17"/>
    </row>
    <row r="29" spans="1:16" ht="15" customHeight="1" x14ac:dyDescent="0.25">
      <c r="A29" s="50"/>
      <c r="B29" s="51"/>
      <c r="C29" s="51"/>
      <c r="D29" s="51"/>
      <c r="E29" s="51"/>
      <c r="F29" s="51"/>
      <c r="G29" s="51"/>
      <c r="H29" s="52"/>
      <c r="I29" s="51"/>
      <c r="J29" s="28"/>
      <c r="K29" s="29"/>
      <c r="L29" s="30"/>
      <c r="M29" s="32"/>
      <c r="N29" s="31"/>
      <c r="O29" s="28"/>
      <c r="P29" s="17"/>
    </row>
    <row r="30" spans="1:16" ht="15" customHeight="1" x14ac:dyDescent="0.25">
      <c r="A30" s="50"/>
      <c r="B30" s="51"/>
      <c r="C30" s="51"/>
      <c r="D30" s="51"/>
      <c r="E30" s="51"/>
      <c r="F30" s="51"/>
      <c r="G30" s="51"/>
      <c r="H30" s="52"/>
      <c r="I30" s="51"/>
      <c r="J30" s="28"/>
      <c r="K30" s="29"/>
      <c r="L30" s="30"/>
      <c r="M30" s="32"/>
      <c r="N30" s="31"/>
      <c r="O30" s="28"/>
      <c r="P30" s="17"/>
    </row>
    <row r="31" spans="1:16" ht="15" customHeight="1" x14ac:dyDescent="0.25">
      <c r="A31" s="50"/>
      <c r="B31" s="51"/>
      <c r="C31" s="51"/>
      <c r="D31" s="51"/>
      <c r="E31" s="51"/>
      <c r="F31" s="51"/>
      <c r="G31" s="51"/>
      <c r="H31" s="52"/>
      <c r="I31" s="51"/>
      <c r="J31" s="28"/>
      <c r="K31" s="29"/>
      <c r="L31" s="30"/>
      <c r="M31" s="32"/>
      <c r="N31" s="31"/>
      <c r="O31" s="28"/>
      <c r="P31" s="17"/>
    </row>
    <row r="32" spans="1:16" ht="15" customHeight="1" x14ac:dyDescent="0.25">
      <c r="A32" s="50"/>
      <c r="B32" s="51"/>
      <c r="C32" s="51"/>
      <c r="D32" s="51"/>
      <c r="E32" s="51"/>
      <c r="F32" s="51"/>
      <c r="G32" s="51"/>
      <c r="H32" s="52"/>
      <c r="I32" s="51"/>
      <c r="J32" s="28"/>
      <c r="K32" s="29"/>
      <c r="L32" s="30"/>
      <c r="M32" s="32"/>
      <c r="N32" s="31"/>
      <c r="O32" s="28"/>
      <c r="P32" s="17"/>
    </row>
    <row r="33" spans="1:19" ht="15" customHeight="1" x14ac:dyDescent="0.25">
      <c r="A33" s="50"/>
      <c r="B33" s="51"/>
      <c r="C33" s="51"/>
      <c r="D33" s="51"/>
      <c r="E33" s="51"/>
      <c r="F33" s="51"/>
      <c r="G33" s="51"/>
      <c r="H33" s="52"/>
      <c r="I33" s="51"/>
      <c r="J33" s="28"/>
      <c r="K33" s="29"/>
      <c r="L33" s="30"/>
      <c r="M33" s="32"/>
      <c r="N33" s="31"/>
      <c r="O33" s="28"/>
      <c r="P33" s="17"/>
    </row>
    <row r="34" spans="1:19" ht="15" customHeight="1" x14ac:dyDescent="0.25">
      <c r="A34" s="53"/>
      <c r="B34" s="54"/>
      <c r="C34" s="54"/>
      <c r="D34" s="54"/>
      <c r="E34" s="54"/>
      <c r="F34" s="54"/>
      <c r="G34" s="54"/>
      <c r="H34" s="55"/>
      <c r="I34" s="54"/>
      <c r="J34" s="35"/>
      <c r="K34" s="44"/>
      <c r="L34" s="36"/>
      <c r="M34" s="39"/>
      <c r="N34" s="37"/>
      <c r="O34" s="35"/>
      <c r="P34" s="17"/>
    </row>
    <row r="35" spans="1:19" ht="15" customHeight="1" x14ac:dyDescent="0.25">
      <c r="A35" s="56"/>
      <c r="B35" s="57"/>
      <c r="C35" s="57"/>
      <c r="D35" s="57"/>
      <c r="E35" s="57"/>
      <c r="F35" s="57"/>
      <c r="G35" s="57"/>
      <c r="H35" s="58"/>
      <c r="I35" s="57"/>
      <c r="J35" s="14"/>
      <c r="K35" s="15"/>
      <c r="L35" s="18"/>
      <c r="M35" s="20"/>
      <c r="N35" s="16"/>
      <c r="O35" s="14"/>
      <c r="P35" s="17"/>
    </row>
    <row r="36" spans="1:19" ht="15.75" x14ac:dyDescent="0.25">
      <c r="A36" s="59"/>
      <c r="B36" s="60"/>
      <c r="C36" s="60"/>
      <c r="D36" s="60"/>
      <c r="E36" s="60"/>
      <c r="F36" s="60"/>
      <c r="G36" s="60"/>
      <c r="H36" s="58"/>
      <c r="I36" s="60"/>
      <c r="J36" s="2"/>
      <c r="K36" s="2"/>
      <c r="L36" s="42"/>
      <c r="M36" s="5"/>
      <c r="N36" s="5"/>
      <c r="O36" s="5"/>
      <c r="P36" s="2"/>
      <c r="Q36" s="5"/>
      <c r="R36" s="5"/>
      <c r="S36" s="5"/>
    </row>
    <row r="37" spans="1:19" x14ac:dyDescent="0.25">
      <c r="A37" s="60"/>
      <c r="B37" s="60"/>
      <c r="C37" s="60"/>
      <c r="D37" s="60"/>
      <c r="E37" s="60"/>
      <c r="F37" s="60"/>
      <c r="G37" s="60"/>
      <c r="H37" s="61"/>
      <c r="I37" s="60"/>
      <c r="J37" s="2"/>
      <c r="K37" s="2"/>
      <c r="L37" s="4"/>
      <c r="M37" s="5"/>
      <c r="N37" s="5"/>
      <c r="O37" s="5"/>
      <c r="P37" s="2"/>
      <c r="Q37" s="5"/>
      <c r="R37" s="5"/>
      <c r="S37" s="5"/>
    </row>
    <row r="38" spans="1:19" x14ac:dyDescent="0.25">
      <c r="A38" s="60"/>
      <c r="B38" s="60"/>
      <c r="C38" s="60"/>
      <c r="D38" s="60"/>
      <c r="E38" s="60"/>
      <c r="F38" s="60"/>
      <c r="G38" s="60"/>
      <c r="H38" s="61"/>
      <c r="I38" s="60"/>
      <c r="J38" s="2"/>
      <c r="K38" s="2"/>
      <c r="L38" s="4"/>
      <c r="M38" s="5"/>
      <c r="N38" s="5"/>
      <c r="O38" s="5"/>
      <c r="P38" s="2"/>
      <c r="Q38" s="5"/>
      <c r="R38" s="5"/>
      <c r="S38" s="5"/>
    </row>
    <row r="39" spans="1:19" x14ac:dyDescent="0.25">
      <c r="A39" s="60"/>
      <c r="B39" s="60"/>
      <c r="C39" s="60"/>
      <c r="D39" s="60"/>
      <c r="E39" s="60"/>
      <c r="F39" s="60"/>
      <c r="G39" s="60"/>
      <c r="H39" s="61"/>
      <c r="I39" s="60"/>
      <c r="J39" s="2"/>
      <c r="K39" s="2"/>
      <c r="L39" s="4"/>
      <c r="M39" s="5"/>
      <c r="N39" s="5"/>
      <c r="O39" s="5"/>
      <c r="P39" s="2"/>
      <c r="Q39" s="5"/>
      <c r="R39" s="5"/>
      <c r="S39" s="5"/>
    </row>
    <row r="40" spans="1:19" x14ac:dyDescent="0.25">
      <c r="A40" s="60"/>
      <c r="B40" s="60"/>
      <c r="C40" s="60"/>
      <c r="D40" s="60"/>
      <c r="E40" s="60"/>
      <c r="F40" s="60"/>
      <c r="G40" s="60"/>
      <c r="H40" s="61"/>
      <c r="I40" s="60"/>
      <c r="J40" s="2"/>
      <c r="K40" s="2"/>
      <c r="L40" s="4"/>
      <c r="M40" s="5"/>
      <c r="N40" s="5"/>
      <c r="O40" s="5"/>
      <c r="P40" s="2"/>
      <c r="Q40" s="5"/>
      <c r="R40" s="5"/>
      <c r="S40" s="5"/>
    </row>
    <row r="41" spans="1:19" x14ac:dyDescent="0.25">
      <c r="A41" s="60"/>
      <c r="B41" s="60"/>
      <c r="C41" s="60"/>
      <c r="D41" s="60"/>
      <c r="E41" s="60"/>
      <c r="F41" s="60"/>
      <c r="G41" s="60"/>
      <c r="H41" s="61"/>
      <c r="I41" s="60"/>
      <c r="J41" s="2"/>
      <c r="K41" s="2"/>
      <c r="L41" s="4"/>
      <c r="M41" s="5"/>
      <c r="N41" s="5"/>
      <c r="O41" s="5"/>
      <c r="P41" s="2"/>
      <c r="Q41" s="5"/>
      <c r="R41" s="5"/>
      <c r="S41" s="5"/>
    </row>
    <row r="42" spans="1:19" x14ac:dyDescent="0.25">
      <c r="A42" s="60"/>
      <c r="B42" s="60"/>
      <c r="C42" s="60"/>
      <c r="D42" s="60"/>
      <c r="E42" s="60"/>
      <c r="F42" s="60"/>
      <c r="G42" s="60"/>
      <c r="H42" s="61"/>
      <c r="I42" s="60"/>
      <c r="J42" s="2"/>
      <c r="K42" s="2"/>
      <c r="L42" s="4"/>
      <c r="M42" s="5"/>
      <c r="N42" s="5"/>
      <c r="O42" s="5"/>
      <c r="P42" s="2"/>
      <c r="Q42" s="5"/>
      <c r="R42" s="5"/>
      <c r="S42" s="5"/>
    </row>
    <row r="43" spans="1:19" x14ac:dyDescent="0.25">
      <c r="A43" s="60"/>
      <c r="B43" s="60"/>
      <c r="C43" s="60"/>
      <c r="D43" s="60"/>
      <c r="E43" s="60"/>
      <c r="F43" s="60"/>
      <c r="G43" s="60"/>
      <c r="H43" s="61"/>
      <c r="I43" s="60"/>
      <c r="J43" s="2"/>
      <c r="K43" s="2"/>
      <c r="L43" s="4"/>
      <c r="M43" s="5"/>
      <c r="N43" s="5"/>
      <c r="O43" s="5"/>
      <c r="P43" s="2"/>
      <c r="Q43" s="5"/>
      <c r="R43" s="5"/>
      <c r="S43" s="5"/>
    </row>
    <row r="44" spans="1:19" x14ac:dyDescent="0.25">
      <c r="A44" s="60"/>
      <c r="B44" s="60"/>
      <c r="C44" s="60"/>
      <c r="D44" s="60"/>
      <c r="E44" s="60"/>
      <c r="F44" s="60"/>
      <c r="G44" s="60"/>
      <c r="H44" s="62"/>
      <c r="I44" s="60"/>
      <c r="J44" s="2"/>
      <c r="K44" s="2"/>
      <c r="L44" s="4"/>
      <c r="M44" s="5"/>
      <c r="N44" s="5"/>
      <c r="O44" s="5"/>
      <c r="P44" s="2"/>
      <c r="Q44" s="5"/>
      <c r="R44" s="5"/>
      <c r="S44" s="5"/>
    </row>
    <row r="45" spans="1:19" x14ac:dyDescent="0.25">
      <c r="A45" s="60"/>
      <c r="B45" s="60"/>
      <c r="C45" s="60"/>
      <c r="D45" s="60"/>
      <c r="E45" s="60"/>
      <c r="F45" s="60"/>
      <c r="G45" s="60"/>
      <c r="H45" s="61"/>
      <c r="I45" s="60"/>
      <c r="J45" s="2"/>
      <c r="K45" s="2"/>
      <c r="L45" s="4"/>
      <c r="M45" s="5"/>
      <c r="N45" s="5"/>
      <c r="O45" s="5"/>
      <c r="P45" s="2"/>
      <c r="Q45" s="5"/>
      <c r="R45" s="5"/>
      <c r="S45" s="5"/>
    </row>
    <row r="46" spans="1:19" x14ac:dyDescent="0.25">
      <c r="A46" s="60"/>
      <c r="B46" s="60"/>
      <c r="C46" s="60"/>
      <c r="D46" s="60"/>
      <c r="E46" s="60"/>
      <c r="F46" s="60"/>
      <c r="G46" s="60"/>
      <c r="H46" s="61"/>
      <c r="I46" s="60"/>
      <c r="J46" s="2"/>
      <c r="K46" s="2"/>
      <c r="L46" s="4"/>
      <c r="M46" s="5"/>
      <c r="N46" s="5"/>
      <c r="O46" s="5"/>
      <c r="P46" s="2"/>
      <c r="Q46" s="5"/>
      <c r="R46" s="5"/>
      <c r="S46" s="5"/>
    </row>
    <row r="47" spans="1:19" x14ac:dyDescent="0.25">
      <c r="A47" s="60"/>
      <c r="B47" s="60"/>
      <c r="C47" s="60"/>
      <c r="D47" s="60"/>
      <c r="E47" s="60"/>
      <c r="F47" s="60"/>
      <c r="G47" s="60"/>
      <c r="H47" s="61"/>
      <c r="I47" s="60"/>
      <c r="J47" s="2"/>
      <c r="K47" s="2"/>
      <c r="L47" s="4"/>
      <c r="M47" s="5"/>
      <c r="N47" s="5"/>
      <c r="O47" s="5"/>
      <c r="P47" s="2"/>
      <c r="Q47" s="5"/>
      <c r="R47" s="5"/>
      <c r="S47" s="5"/>
    </row>
    <row r="48" spans="1:19" x14ac:dyDescent="0.25">
      <c r="A48" s="60"/>
      <c r="B48" s="60"/>
      <c r="C48" s="60"/>
      <c r="D48" s="60"/>
      <c r="E48" s="60"/>
      <c r="F48" s="60"/>
      <c r="G48" s="60"/>
      <c r="H48" s="61"/>
      <c r="I48" s="60"/>
      <c r="J48" s="2"/>
      <c r="K48" s="2"/>
      <c r="L48" s="4"/>
      <c r="M48" s="5"/>
      <c r="N48" s="5"/>
      <c r="O48" s="5"/>
      <c r="P48" s="2"/>
      <c r="Q48" s="5"/>
      <c r="R48" s="5"/>
      <c r="S48" s="5"/>
    </row>
    <row r="49" spans="1:19" x14ac:dyDescent="0.25">
      <c r="A49" s="60"/>
      <c r="B49" s="60"/>
      <c r="C49" s="60"/>
      <c r="D49" s="60"/>
      <c r="E49" s="60"/>
      <c r="F49" s="60"/>
      <c r="G49" s="60"/>
      <c r="H49" s="61"/>
      <c r="I49" s="60"/>
      <c r="J49" s="2"/>
      <c r="K49" s="2"/>
      <c r="L49" s="4"/>
      <c r="M49" s="5"/>
      <c r="N49" s="5"/>
      <c r="O49" s="5"/>
      <c r="P49" s="2"/>
      <c r="Q49" s="5"/>
      <c r="R49" s="5"/>
      <c r="S49" s="5"/>
    </row>
    <row r="50" spans="1:19" x14ac:dyDescent="0.25">
      <c r="A50" s="60"/>
      <c r="B50" s="60"/>
      <c r="C50" s="60"/>
      <c r="D50" s="60"/>
      <c r="E50" s="60"/>
      <c r="F50" s="60"/>
      <c r="G50" s="60"/>
      <c r="H50" s="61"/>
      <c r="I50" s="60"/>
      <c r="J50" s="2"/>
      <c r="K50" s="2"/>
      <c r="L50" s="4"/>
      <c r="M50" s="5"/>
      <c r="N50" s="5"/>
      <c r="O50" s="5"/>
      <c r="P50" s="2"/>
      <c r="Q50" s="5"/>
      <c r="R50" s="5"/>
      <c r="S50" s="5"/>
    </row>
    <row r="51" spans="1:19" x14ac:dyDescent="0.25">
      <c r="A51" s="60"/>
      <c r="B51" s="60"/>
      <c r="C51" s="60"/>
      <c r="D51" s="60"/>
      <c r="E51" s="60"/>
      <c r="F51" s="60"/>
      <c r="G51" s="60"/>
      <c r="H51" s="61"/>
      <c r="I51" s="60"/>
      <c r="J51" s="2"/>
      <c r="K51" s="2"/>
      <c r="L51" s="4"/>
      <c r="M51" s="5"/>
      <c r="N51" s="5"/>
      <c r="O51" s="5"/>
      <c r="P51" s="2"/>
      <c r="Q51" s="5"/>
      <c r="R51" s="5"/>
      <c r="S51" s="5"/>
    </row>
    <row r="52" spans="1:19" x14ac:dyDescent="0.25">
      <c r="A52" s="60"/>
      <c r="B52" s="60"/>
      <c r="C52" s="60"/>
      <c r="D52" s="60"/>
      <c r="E52" s="60"/>
      <c r="F52" s="60"/>
      <c r="G52" s="60"/>
      <c r="H52" s="61"/>
      <c r="I52" s="60"/>
      <c r="J52" s="2"/>
      <c r="K52" s="2"/>
      <c r="L52" s="4"/>
      <c r="M52" s="5"/>
      <c r="N52" s="5"/>
      <c r="O52" s="5"/>
      <c r="P52" s="2"/>
      <c r="Q52" s="5"/>
      <c r="R52" s="5"/>
      <c r="S52" s="5"/>
    </row>
    <row r="53" spans="1:19" x14ac:dyDescent="0.25">
      <c r="A53" s="60"/>
      <c r="B53" s="60"/>
      <c r="C53" s="60"/>
      <c r="D53" s="60"/>
      <c r="E53" s="60"/>
      <c r="F53" s="60"/>
      <c r="G53" s="60"/>
      <c r="H53" s="61"/>
      <c r="I53" s="60"/>
      <c r="J53" s="2"/>
      <c r="K53" s="2"/>
      <c r="L53" s="4"/>
      <c r="M53" s="5"/>
      <c r="N53" s="5"/>
      <c r="O53" s="5"/>
      <c r="P53" s="2"/>
      <c r="Q53" s="5"/>
      <c r="R53" s="5"/>
      <c r="S53" s="5"/>
    </row>
    <row r="54" spans="1:19" x14ac:dyDescent="0.25">
      <c r="A54" s="60"/>
      <c r="B54" s="60"/>
      <c r="C54" s="60"/>
      <c r="D54" s="60"/>
      <c r="E54" s="60"/>
      <c r="F54" s="60"/>
      <c r="G54" s="60"/>
      <c r="H54" s="61"/>
      <c r="I54" s="60"/>
      <c r="J54" s="2"/>
      <c r="K54" s="2"/>
      <c r="L54" s="4"/>
      <c r="M54" s="5"/>
      <c r="N54" s="5"/>
      <c r="O54" s="5"/>
      <c r="P54" s="2"/>
      <c r="Q54" s="5"/>
      <c r="R54" s="5"/>
      <c r="S54" s="5"/>
    </row>
    <row r="55" spans="1:19" x14ac:dyDescent="0.25">
      <c r="A55" s="63"/>
      <c r="B55" s="63"/>
      <c r="C55" s="63"/>
      <c r="D55" s="63"/>
      <c r="E55" s="63"/>
      <c r="F55" s="63"/>
      <c r="G55" s="63"/>
      <c r="H55" s="64"/>
      <c r="I55" s="63"/>
      <c r="J55" s="6"/>
      <c r="K55" s="6"/>
      <c r="L55" s="7"/>
      <c r="M55" s="8"/>
      <c r="N55" s="8"/>
      <c r="O55" s="8"/>
      <c r="P55" s="2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9"/>
      <c r="I56" s="5"/>
      <c r="J56" s="5"/>
      <c r="K56" s="5"/>
      <c r="L56" s="5"/>
      <c r="M56" s="5"/>
      <c r="N56" s="5"/>
      <c r="O56" s="5"/>
      <c r="P56" s="2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9"/>
      <c r="I57" s="5"/>
      <c r="J57" s="5"/>
      <c r="K57" s="5"/>
      <c r="L57" s="5"/>
      <c r="M57" s="5"/>
      <c r="N57" s="5"/>
      <c r="O57" s="5"/>
      <c r="P57" s="2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9"/>
      <c r="I58" s="5"/>
      <c r="J58" s="5"/>
      <c r="K58" s="5"/>
      <c r="L58" s="5"/>
      <c r="M58" s="5"/>
      <c r="N58" s="5"/>
      <c r="O58" s="5"/>
      <c r="P58" s="2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9"/>
      <c r="I59" s="5"/>
      <c r="J59" s="5"/>
      <c r="K59" s="5"/>
      <c r="L59" s="5"/>
      <c r="M59" s="5"/>
      <c r="N59" s="5"/>
      <c r="O59" s="5"/>
      <c r="P59" s="2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9"/>
      <c r="I60" s="5"/>
      <c r="J60" s="5"/>
      <c r="K60" s="5"/>
      <c r="L60" s="5"/>
      <c r="M60" s="5"/>
      <c r="N60" s="5"/>
      <c r="O60" s="5"/>
      <c r="P60" s="2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9"/>
      <c r="I61" s="5"/>
      <c r="J61" s="5"/>
      <c r="K61" s="5"/>
      <c r="L61" s="5"/>
      <c r="M61" s="5"/>
      <c r="N61" s="5"/>
      <c r="O61" s="5"/>
      <c r="P61" s="2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9"/>
      <c r="I62" s="5"/>
      <c r="J62" s="5"/>
      <c r="K62" s="5"/>
      <c r="L62" s="5"/>
      <c r="M62" s="5"/>
      <c r="N62" s="5"/>
      <c r="O62" s="5"/>
      <c r="P62" s="2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9"/>
      <c r="I63" s="5"/>
      <c r="J63" s="5"/>
      <c r="K63" s="5"/>
      <c r="L63" s="5"/>
      <c r="M63" s="5"/>
      <c r="N63" s="5"/>
      <c r="O63" s="5"/>
      <c r="P63" s="2"/>
      <c r="Q63" s="5"/>
      <c r="R63" s="5"/>
      <c r="S63" s="5"/>
    </row>
    <row r="64" spans="1:19" x14ac:dyDescent="0.25">
      <c r="A64" s="5"/>
      <c r="B64" s="5"/>
      <c r="C64" s="5"/>
      <c r="D64" s="5"/>
      <c r="E64" s="5"/>
      <c r="F64" s="5"/>
      <c r="G64" s="5"/>
      <c r="H64" s="9"/>
      <c r="I64" s="5"/>
      <c r="J64" s="5"/>
      <c r="K64" s="5"/>
      <c r="L64" s="5"/>
      <c r="M64" s="5"/>
      <c r="N64" s="5"/>
      <c r="O64" s="5"/>
      <c r="P64" s="2"/>
      <c r="Q64" s="5"/>
      <c r="R64" s="5"/>
      <c r="S64" s="5"/>
    </row>
    <row r="65" spans="1:19" x14ac:dyDescent="0.25">
      <c r="A65" s="5"/>
      <c r="B65" s="5"/>
      <c r="C65" s="5"/>
      <c r="D65" s="5"/>
      <c r="E65" s="5"/>
      <c r="F65" s="5"/>
      <c r="G65" s="5"/>
      <c r="H65" s="9"/>
      <c r="I65" s="5"/>
      <c r="J65" s="5"/>
      <c r="K65" s="5"/>
      <c r="L65" s="5"/>
      <c r="M65" s="5"/>
      <c r="N65" s="5"/>
      <c r="O65" s="5"/>
      <c r="P65" s="2"/>
      <c r="Q65" s="5"/>
      <c r="R65" s="5"/>
      <c r="S65" s="5"/>
    </row>
    <row r="66" spans="1:19" x14ac:dyDescent="0.25">
      <c r="A66" s="5"/>
      <c r="B66" s="5"/>
      <c r="C66" s="5"/>
      <c r="D66" s="5"/>
      <c r="E66" s="5"/>
      <c r="F66" s="5"/>
      <c r="G66" s="5"/>
      <c r="H66" s="9"/>
      <c r="I66" s="5"/>
      <c r="J66" s="5"/>
      <c r="K66" s="5"/>
      <c r="L66" s="5"/>
      <c r="M66" s="5"/>
      <c r="N66" s="5"/>
      <c r="O66" s="5"/>
      <c r="P66" s="2"/>
      <c r="Q66" s="5"/>
      <c r="R66" s="5"/>
      <c r="S66" s="5"/>
    </row>
    <row r="67" spans="1:19" x14ac:dyDescent="0.25">
      <c r="A67" s="5"/>
      <c r="B67" s="5"/>
      <c r="C67" s="5"/>
      <c r="D67" s="5"/>
      <c r="E67" s="5"/>
      <c r="F67" s="5"/>
      <c r="G67" s="5"/>
      <c r="H67" s="9"/>
      <c r="I67" s="5"/>
      <c r="J67" s="5"/>
      <c r="K67" s="5"/>
      <c r="L67" s="5"/>
      <c r="M67" s="5"/>
      <c r="N67" s="5"/>
      <c r="O67" s="5"/>
      <c r="P67" s="2"/>
      <c r="Q67" s="5"/>
      <c r="R67" s="5"/>
      <c r="S67" s="5"/>
    </row>
    <row r="68" spans="1:19" x14ac:dyDescent="0.25">
      <c r="A68" s="5"/>
      <c r="B68" s="5"/>
      <c r="C68" s="5"/>
      <c r="D68" s="5"/>
      <c r="E68" s="5"/>
      <c r="F68" s="5"/>
      <c r="G68" s="5"/>
      <c r="H68" s="9"/>
      <c r="I68" s="5"/>
      <c r="J68" s="5"/>
      <c r="K68" s="5"/>
      <c r="L68" s="5"/>
      <c r="M68" s="5"/>
      <c r="N68" s="5"/>
      <c r="O68" s="5"/>
      <c r="P68" s="2"/>
      <c r="Q68" s="5"/>
      <c r="R68" s="5"/>
      <c r="S68" s="5"/>
    </row>
    <row r="69" spans="1:19" x14ac:dyDescent="0.25">
      <c r="A69" s="5"/>
      <c r="B69" s="5"/>
      <c r="C69" s="5"/>
      <c r="D69" s="5"/>
      <c r="E69" s="5"/>
      <c r="F69" s="5"/>
      <c r="G69" s="5"/>
      <c r="H69" s="9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x14ac:dyDescent="0.25">
      <c r="A70" s="5"/>
      <c r="B70" s="5"/>
      <c r="C70" s="5"/>
      <c r="D70" s="5"/>
      <c r="E70" s="5"/>
      <c r="F70" s="5"/>
      <c r="G70" s="5"/>
      <c r="H70" s="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x14ac:dyDescent="0.25">
      <c r="A71" s="5"/>
      <c r="B71" s="5"/>
      <c r="C71" s="5"/>
      <c r="D71" s="5"/>
      <c r="E71" s="5"/>
      <c r="F71" s="5"/>
      <c r="G71" s="5"/>
      <c r="H71" s="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x14ac:dyDescent="0.25">
      <c r="A72" s="5"/>
      <c r="B72" s="5"/>
      <c r="C72" s="5"/>
      <c r="D72" s="5"/>
      <c r="E72" s="5"/>
      <c r="F72" s="5"/>
      <c r="G72" s="5"/>
      <c r="H72" s="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x14ac:dyDescent="0.25">
      <c r="A73" s="5"/>
      <c r="B73" s="5"/>
      <c r="C73" s="5"/>
      <c r="D73" s="5"/>
      <c r="E73" s="5"/>
      <c r="F73" s="5"/>
      <c r="G73" s="5"/>
      <c r="H73" s="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x14ac:dyDescent="0.25">
      <c r="A74" s="5"/>
      <c r="B74" s="5"/>
      <c r="C74" s="5"/>
      <c r="D74" s="5"/>
      <c r="E74" s="5"/>
      <c r="F74" s="5"/>
      <c r="G74" s="5"/>
      <c r="H74" s="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x14ac:dyDescent="0.25">
      <c r="A75" s="5"/>
      <c r="B75" s="5"/>
      <c r="C75" s="5"/>
      <c r="D75" s="5"/>
      <c r="E75" s="5"/>
      <c r="F75" s="5"/>
      <c r="G75" s="5"/>
      <c r="H75" s="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x14ac:dyDescent="0.25">
      <c r="A76" s="5"/>
      <c r="B76" s="5"/>
      <c r="C76" s="5"/>
      <c r="D76" s="5"/>
      <c r="E76" s="5"/>
      <c r="F76" s="5"/>
      <c r="G76" s="5"/>
      <c r="H76" s="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x14ac:dyDescent="0.25">
      <c r="A77" s="5"/>
      <c r="B77" s="5"/>
      <c r="C77" s="5"/>
      <c r="D77" s="5"/>
      <c r="E77" s="5"/>
      <c r="F77" s="5"/>
      <c r="G77" s="5"/>
      <c r="H77" s="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x14ac:dyDescent="0.25">
      <c r="A78" s="5"/>
      <c r="B78" s="5"/>
      <c r="C78" s="5"/>
      <c r="D78" s="5"/>
      <c r="E78" s="5"/>
      <c r="F78" s="5"/>
      <c r="G78" s="5"/>
      <c r="H78" s="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x14ac:dyDescent="0.25">
      <c r="A79" s="5"/>
      <c r="B79" s="5"/>
      <c r="C79" s="5"/>
      <c r="D79" s="5"/>
      <c r="E79" s="5"/>
      <c r="F79" s="5"/>
      <c r="G79" s="5"/>
      <c r="H79" s="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x14ac:dyDescent="0.25">
      <c r="A80" s="5"/>
      <c r="B80" s="5"/>
      <c r="C80" s="5"/>
      <c r="D80" s="5"/>
      <c r="E80" s="5"/>
      <c r="F80" s="5"/>
      <c r="G80" s="5"/>
      <c r="H80" s="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x14ac:dyDescent="0.25">
      <c r="A81" s="5"/>
      <c r="B81" s="5"/>
      <c r="C81" s="5"/>
      <c r="D81" s="5"/>
      <c r="E81" s="5"/>
      <c r="F81" s="5"/>
      <c r="G81" s="5"/>
      <c r="H81" s="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x14ac:dyDescent="0.25">
      <c r="A82" s="5"/>
      <c r="B82" s="5"/>
      <c r="C82" s="5"/>
      <c r="D82" s="5"/>
      <c r="E82" s="5"/>
      <c r="F82" s="5"/>
      <c r="G82" s="5"/>
      <c r="H82" s="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x14ac:dyDescent="0.25">
      <c r="A83" s="5"/>
      <c r="B83" s="5"/>
      <c r="C83" s="5"/>
      <c r="D83" s="5"/>
      <c r="E83" s="5"/>
      <c r="F83" s="5"/>
      <c r="G83" s="5"/>
      <c r="H83" s="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x14ac:dyDescent="0.25">
      <c r="A84" s="5"/>
      <c r="B84" s="5"/>
      <c r="C84" s="5"/>
      <c r="D84" s="5"/>
      <c r="E84" s="5"/>
      <c r="F84" s="5"/>
      <c r="G84" s="5"/>
      <c r="H84" s="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x14ac:dyDescent="0.25">
      <c r="A85" s="5"/>
      <c r="B85" s="5"/>
      <c r="C85" s="5"/>
      <c r="D85" s="5"/>
      <c r="E85" s="5"/>
      <c r="F85" s="5"/>
      <c r="G85" s="5"/>
      <c r="H85" s="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x14ac:dyDescent="0.25">
      <c r="A86" s="5"/>
      <c r="B86" s="5"/>
      <c r="C86" s="5"/>
      <c r="D86" s="5"/>
      <c r="E86" s="5"/>
      <c r="F86" s="5"/>
      <c r="G86" s="5"/>
      <c r="H86" s="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x14ac:dyDescent="0.25">
      <c r="A87" s="5"/>
      <c r="B87" s="5"/>
      <c r="C87" s="5"/>
      <c r="D87" s="5"/>
      <c r="E87" s="5"/>
      <c r="F87" s="5"/>
      <c r="G87" s="5"/>
      <c r="H87" s="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x14ac:dyDescent="0.25">
      <c r="A88" s="5"/>
      <c r="B88" s="5"/>
      <c r="C88" s="5"/>
      <c r="D88" s="5"/>
      <c r="E88" s="5"/>
      <c r="F88" s="5"/>
      <c r="G88" s="5"/>
      <c r="H88" s="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x14ac:dyDescent="0.25">
      <c r="A89" s="5"/>
      <c r="B89" s="5"/>
      <c r="C89" s="5"/>
      <c r="D89" s="5"/>
      <c r="E89" s="5"/>
      <c r="F89" s="5"/>
      <c r="G89" s="5"/>
      <c r="H89" s="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x14ac:dyDescent="0.25">
      <c r="A90" s="5"/>
      <c r="B90" s="5"/>
      <c r="C90" s="5"/>
      <c r="D90" s="5"/>
      <c r="E90" s="5"/>
      <c r="F90" s="5"/>
      <c r="G90" s="5"/>
      <c r="H90" s="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x14ac:dyDescent="0.25">
      <c r="A91" s="5"/>
      <c r="B91" s="5"/>
      <c r="C91" s="5"/>
      <c r="D91" s="5"/>
      <c r="E91" s="5"/>
      <c r="F91" s="5"/>
      <c r="G91" s="5"/>
      <c r="H91" s="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x14ac:dyDescent="0.25">
      <c r="A92" s="5"/>
      <c r="B92" s="5"/>
      <c r="C92" s="5"/>
      <c r="D92" s="5"/>
      <c r="E92" s="5"/>
      <c r="F92" s="5"/>
      <c r="G92" s="5"/>
      <c r="H92" s="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x14ac:dyDescent="0.25">
      <c r="A93" s="5"/>
      <c r="B93" s="5"/>
      <c r="C93" s="5"/>
      <c r="D93" s="5"/>
      <c r="E93" s="5"/>
      <c r="F93" s="5"/>
      <c r="G93" s="5"/>
      <c r="H93" s="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x14ac:dyDescent="0.25">
      <c r="A94" s="5"/>
      <c r="B94" s="5"/>
      <c r="C94" s="5"/>
      <c r="D94" s="5"/>
      <c r="E94" s="5"/>
      <c r="F94" s="5"/>
      <c r="G94" s="5"/>
      <c r="H94" s="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x14ac:dyDescent="0.25">
      <c r="A95" s="5"/>
      <c r="B95" s="5"/>
      <c r="C95" s="5"/>
      <c r="D95" s="5"/>
      <c r="E95" s="5"/>
      <c r="F95" s="5"/>
      <c r="G95" s="5"/>
      <c r="H95" s="9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x14ac:dyDescent="0.25">
      <c r="A96" s="5"/>
      <c r="B96" s="5"/>
      <c r="C96" s="5"/>
      <c r="D96" s="5"/>
      <c r="E96" s="5"/>
      <c r="F96" s="5"/>
      <c r="G96" s="5"/>
      <c r="H96" s="9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x14ac:dyDescent="0.25">
      <c r="A97" s="5"/>
      <c r="B97" s="5"/>
      <c r="C97" s="5"/>
      <c r="D97" s="5"/>
      <c r="E97" s="5"/>
      <c r="F97" s="5"/>
      <c r="G97" s="5"/>
      <c r="H97" s="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x14ac:dyDescent="0.25">
      <c r="A98" s="5"/>
      <c r="B98" s="5"/>
      <c r="C98" s="5"/>
      <c r="D98" s="5"/>
      <c r="E98" s="5"/>
      <c r="F98" s="5"/>
      <c r="G98" s="5"/>
      <c r="H98" s="9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x14ac:dyDescent="0.25">
      <c r="A99" s="5"/>
      <c r="B99" s="5"/>
      <c r="C99" s="5"/>
      <c r="D99" s="5"/>
      <c r="E99" s="5"/>
      <c r="F99" s="5"/>
      <c r="G99" s="5"/>
      <c r="H99" s="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x14ac:dyDescent="0.25">
      <c r="A100" s="5"/>
      <c r="B100" s="5"/>
      <c r="C100" s="5"/>
      <c r="D100" s="5"/>
      <c r="E100" s="5"/>
      <c r="F100" s="5"/>
      <c r="G100" s="5"/>
      <c r="H100" s="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x14ac:dyDescent="0.25">
      <c r="A101" s="5"/>
      <c r="B101" s="5"/>
      <c r="C101" s="5"/>
      <c r="D101" s="5"/>
      <c r="E101" s="5"/>
      <c r="F101" s="5"/>
      <c r="G101" s="5"/>
      <c r="H101" s="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x14ac:dyDescent="0.25">
      <c r="A102" s="5"/>
      <c r="B102" s="5"/>
      <c r="C102" s="5"/>
      <c r="D102" s="5"/>
      <c r="E102" s="5"/>
      <c r="F102" s="5"/>
      <c r="G102" s="5"/>
      <c r="H102" s="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x14ac:dyDescent="0.25">
      <c r="A103" s="5"/>
      <c r="B103" s="5"/>
      <c r="C103" s="5"/>
      <c r="D103" s="5"/>
      <c r="E103" s="5"/>
      <c r="F103" s="5"/>
      <c r="G103" s="5"/>
      <c r="H103" s="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x14ac:dyDescent="0.25">
      <c r="A104" s="5"/>
      <c r="B104" s="5"/>
      <c r="C104" s="5"/>
      <c r="D104" s="5"/>
      <c r="E104" s="5"/>
      <c r="F104" s="5"/>
      <c r="G104" s="5"/>
      <c r="H104" s="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x14ac:dyDescent="0.25">
      <c r="A105" s="5"/>
      <c r="B105" s="5"/>
      <c r="C105" s="5"/>
      <c r="D105" s="5"/>
      <c r="E105" s="5"/>
      <c r="F105" s="5"/>
      <c r="G105" s="5"/>
      <c r="H105" s="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x14ac:dyDescent="0.25">
      <c r="A106" s="5"/>
      <c r="B106" s="5"/>
      <c r="C106" s="5"/>
      <c r="D106" s="5"/>
      <c r="E106" s="5"/>
      <c r="F106" s="5"/>
      <c r="G106" s="5"/>
      <c r="H106" s="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x14ac:dyDescent="0.25">
      <c r="A107" s="5"/>
      <c r="B107" s="5"/>
      <c r="C107" s="5"/>
      <c r="D107" s="5"/>
      <c r="E107" s="5"/>
      <c r="F107" s="5"/>
      <c r="G107" s="5"/>
      <c r="H107" s="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x14ac:dyDescent="0.25">
      <c r="A108" s="5"/>
      <c r="B108" s="5"/>
      <c r="C108" s="5"/>
      <c r="D108" s="5"/>
      <c r="E108" s="5"/>
      <c r="F108" s="5"/>
      <c r="G108" s="5"/>
      <c r="H108" s="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x14ac:dyDescent="0.25">
      <c r="A109" s="5"/>
      <c r="B109" s="5"/>
      <c r="C109" s="5"/>
      <c r="D109" s="5"/>
      <c r="E109" s="5"/>
      <c r="F109" s="5"/>
      <c r="G109" s="5"/>
      <c r="H109" s="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x14ac:dyDescent="0.25">
      <c r="A110" s="5"/>
      <c r="B110" s="5"/>
      <c r="C110" s="5"/>
      <c r="D110" s="5"/>
      <c r="E110" s="5"/>
      <c r="F110" s="5"/>
      <c r="G110" s="5"/>
      <c r="H110" s="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x14ac:dyDescent="0.25">
      <c r="A111" s="5"/>
      <c r="B111" s="5"/>
      <c r="C111" s="5"/>
      <c r="D111" s="5"/>
      <c r="E111" s="5"/>
      <c r="F111" s="5"/>
      <c r="G111" s="5"/>
      <c r="H111" s="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x14ac:dyDescent="0.25">
      <c r="A112" s="5"/>
      <c r="B112" s="5"/>
      <c r="C112" s="5"/>
      <c r="D112" s="5"/>
      <c r="E112" s="5"/>
      <c r="F112" s="5"/>
      <c r="G112" s="5"/>
      <c r="H112" s="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x14ac:dyDescent="0.25">
      <c r="A113" s="5"/>
      <c r="B113" s="5"/>
      <c r="C113" s="5"/>
      <c r="D113" s="5"/>
      <c r="E113" s="5"/>
      <c r="F113" s="5"/>
      <c r="G113" s="5"/>
      <c r="H113" s="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x14ac:dyDescent="0.25">
      <c r="A114" s="5"/>
      <c r="B114" s="5"/>
      <c r="C114" s="5"/>
      <c r="D114" s="5"/>
      <c r="E114" s="5"/>
      <c r="F114" s="5"/>
      <c r="G114" s="5"/>
      <c r="H114" s="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x14ac:dyDescent="0.25">
      <c r="A115" s="5"/>
      <c r="B115" s="5"/>
      <c r="C115" s="5"/>
      <c r="D115" s="5"/>
      <c r="E115" s="5"/>
      <c r="F115" s="5"/>
      <c r="G115" s="5"/>
      <c r="H115" s="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x14ac:dyDescent="0.25">
      <c r="A116" s="5"/>
      <c r="B116" s="5"/>
      <c r="C116" s="5"/>
      <c r="D116" s="5"/>
      <c r="E116" s="5"/>
      <c r="F116" s="5"/>
      <c r="G116" s="5"/>
      <c r="H116" s="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x14ac:dyDescent="0.25">
      <c r="A117" s="5"/>
      <c r="B117" s="5"/>
      <c r="C117" s="5"/>
      <c r="D117" s="5"/>
      <c r="E117" s="5"/>
      <c r="F117" s="5"/>
      <c r="G117" s="5"/>
      <c r="H117" s="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x14ac:dyDescent="0.25">
      <c r="A118" s="5"/>
      <c r="B118" s="5"/>
      <c r="C118" s="5"/>
      <c r="D118" s="5"/>
      <c r="E118" s="5"/>
      <c r="F118" s="5"/>
      <c r="G118" s="5"/>
      <c r="H118" s="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5"/>
      <c r="B119" s="5"/>
      <c r="C119" s="5"/>
      <c r="D119" s="5"/>
      <c r="E119" s="5"/>
      <c r="F119" s="5"/>
      <c r="G119" s="5"/>
      <c r="H119" s="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5"/>
      <c r="B120" s="5"/>
      <c r="C120" s="5"/>
      <c r="D120" s="5"/>
      <c r="E120" s="5"/>
      <c r="F120" s="5"/>
      <c r="G120" s="5"/>
      <c r="H120" s="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x14ac:dyDescent="0.25">
      <c r="A121" s="5"/>
      <c r="B121" s="5"/>
      <c r="C121" s="5"/>
      <c r="D121" s="5"/>
      <c r="E121" s="5"/>
      <c r="F121" s="5"/>
      <c r="G121" s="5"/>
      <c r="H121" s="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5"/>
      <c r="B122" s="5"/>
      <c r="C122" s="5"/>
      <c r="D122" s="5"/>
      <c r="E122" s="5"/>
      <c r="F122" s="5"/>
      <c r="G122" s="5"/>
      <c r="H122" s="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5"/>
      <c r="B123" s="5"/>
      <c r="C123" s="5"/>
      <c r="D123" s="5"/>
      <c r="E123" s="5"/>
      <c r="F123" s="5"/>
      <c r="G123" s="5"/>
      <c r="H123" s="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5"/>
      <c r="B124" s="5"/>
      <c r="C124" s="5"/>
      <c r="D124" s="5"/>
      <c r="E124" s="5"/>
      <c r="F124" s="5"/>
      <c r="G124" s="5"/>
      <c r="H124" s="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x14ac:dyDescent="0.25">
      <c r="A125" s="5"/>
      <c r="B125" s="5"/>
      <c r="C125" s="5"/>
      <c r="D125" s="5"/>
      <c r="E125" s="5"/>
      <c r="F125" s="5"/>
      <c r="G125" s="5"/>
      <c r="H125" s="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A126" s="5"/>
      <c r="B126" s="5"/>
      <c r="C126" s="5"/>
      <c r="D126" s="5"/>
      <c r="E126" s="5"/>
      <c r="F126" s="5"/>
      <c r="G126" s="5"/>
      <c r="H126" s="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A127" s="5"/>
      <c r="B127" s="5"/>
      <c r="C127" s="5"/>
      <c r="D127" s="5"/>
      <c r="E127" s="5"/>
      <c r="F127" s="5"/>
      <c r="G127" s="5"/>
      <c r="H127" s="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A128" s="5"/>
      <c r="B128" s="5"/>
      <c r="C128" s="5"/>
      <c r="D128" s="5"/>
      <c r="E128" s="5"/>
      <c r="F128" s="5"/>
      <c r="G128" s="5"/>
      <c r="H128" s="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x14ac:dyDescent="0.25">
      <c r="A129" s="5"/>
      <c r="B129" s="5"/>
      <c r="C129" s="5"/>
      <c r="D129" s="5"/>
      <c r="E129" s="5"/>
      <c r="F129" s="5"/>
      <c r="G129" s="5"/>
      <c r="H129" s="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x14ac:dyDescent="0.25">
      <c r="H130" s="1"/>
    </row>
    <row r="131" spans="1:19" x14ac:dyDescent="0.25">
      <c r="H131" s="1"/>
    </row>
    <row r="132" spans="1:19" x14ac:dyDescent="0.25">
      <c r="H132" s="1"/>
    </row>
    <row r="133" spans="1:19" x14ac:dyDescent="0.25">
      <c r="H133" s="1"/>
    </row>
    <row r="134" spans="1:19" x14ac:dyDescent="0.25">
      <c r="H134" s="1"/>
    </row>
    <row r="135" spans="1:19" x14ac:dyDescent="0.25">
      <c r="H135" s="1"/>
    </row>
    <row r="136" spans="1:19" x14ac:dyDescent="0.25">
      <c r="H136" s="1"/>
    </row>
    <row r="137" spans="1:19" x14ac:dyDescent="0.25">
      <c r="H137" s="1"/>
    </row>
    <row r="138" spans="1:19" x14ac:dyDescent="0.25">
      <c r="H138" s="1"/>
    </row>
    <row r="139" spans="1:19" x14ac:dyDescent="0.25">
      <c r="H139" s="1"/>
    </row>
    <row r="140" spans="1:19" x14ac:dyDescent="0.25">
      <c r="H140" s="1"/>
    </row>
    <row r="141" spans="1:19" x14ac:dyDescent="0.25">
      <c r="H141" s="1"/>
    </row>
    <row r="142" spans="1:19" x14ac:dyDescent="0.25">
      <c r="H142" s="1"/>
    </row>
    <row r="143" spans="1:19" x14ac:dyDescent="0.25">
      <c r="H143" s="1"/>
    </row>
    <row r="144" spans="1:19" x14ac:dyDescent="0.25">
      <c r="H144" s="1"/>
    </row>
    <row r="145" spans="8:8" x14ac:dyDescent="0.25">
      <c r="H145" s="1"/>
    </row>
    <row r="146" spans="8:8" x14ac:dyDescent="0.25">
      <c r="H146" s="1"/>
    </row>
    <row r="147" spans="8:8" x14ac:dyDescent="0.25">
      <c r="H147" s="1"/>
    </row>
    <row r="148" spans="8:8" x14ac:dyDescent="0.25">
      <c r="H148" s="1"/>
    </row>
    <row r="149" spans="8:8" x14ac:dyDescent="0.25">
      <c r="H149" s="1"/>
    </row>
    <row r="150" spans="8:8" x14ac:dyDescent="0.25">
      <c r="H150" s="1"/>
    </row>
    <row r="151" spans="8:8" x14ac:dyDescent="0.25">
      <c r="H151" s="1"/>
    </row>
    <row r="152" spans="8:8" x14ac:dyDescent="0.25">
      <c r="H152" s="1"/>
    </row>
    <row r="153" spans="8:8" x14ac:dyDescent="0.25">
      <c r="H153" s="1"/>
    </row>
    <row r="154" spans="8:8" x14ac:dyDescent="0.25">
      <c r="H154" s="1"/>
    </row>
    <row r="155" spans="8:8" x14ac:dyDescent="0.25">
      <c r="H155" s="1"/>
    </row>
    <row r="156" spans="8:8" x14ac:dyDescent="0.25">
      <c r="H156" s="1"/>
    </row>
    <row r="157" spans="8:8" x14ac:dyDescent="0.25">
      <c r="H157" s="1"/>
    </row>
    <row r="158" spans="8:8" x14ac:dyDescent="0.25">
      <c r="H158" s="1"/>
    </row>
    <row r="159" spans="8:8" x14ac:dyDescent="0.25">
      <c r="H159" s="1"/>
    </row>
    <row r="160" spans="8:8" x14ac:dyDescent="0.25">
      <c r="H160" s="1"/>
    </row>
    <row r="161" spans="8:8" x14ac:dyDescent="0.25">
      <c r="H161" s="1"/>
    </row>
    <row r="162" spans="8:8" x14ac:dyDescent="0.25">
      <c r="H162" s="1"/>
    </row>
  </sheetData>
  <printOptions horizontalCentered="1"/>
  <pageMargins left="0.39370078740157483" right="0.39370078740157483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Relaciones Industriales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puccella</dc:creator>
  <cp:lastModifiedBy>t.081</cp:lastModifiedBy>
  <cp:lastPrinted>2016-06-08T18:18:58Z</cp:lastPrinted>
  <dcterms:created xsi:type="dcterms:W3CDTF">2016-06-08T18:09:53Z</dcterms:created>
  <dcterms:modified xsi:type="dcterms:W3CDTF">2026-04-14T19:42:26Z</dcterms:modified>
</cp:coreProperties>
</file>