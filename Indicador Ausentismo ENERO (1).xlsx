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laciones Industriales" sheetId="1" r:id="rId4"/>
  </sheets>
  <definedNames/>
  <calcPr/>
  <extLst>
    <ext uri="GoogleSheetsCustomDataVersion2">
      <go:sheetsCustomData xmlns:go="http://customooxmlschemas.google.com/" r:id="rId5" roundtripDataChecksum="nHXyOXF4UE3GXQE1SCwNCPTRcZfoT3K7NfibxRFl3Go="/>
    </ext>
  </extLst>
</workbook>
</file>

<file path=xl/sharedStrings.xml><?xml version="1.0" encoding="utf-8"?>
<sst xmlns="http://schemas.openxmlformats.org/spreadsheetml/2006/main" count="15" uniqueCount="15">
  <si>
    <t>Periodo (Promedio mes)</t>
  </si>
  <si>
    <t>Hs NORMAL</t>
  </si>
  <si>
    <t xml:space="preserve">Hs NORMAL TRABAJADAS </t>
  </si>
  <si>
    <t xml:space="preserve">ENFERMEDAD </t>
  </si>
  <si>
    <t xml:space="preserve">ACCIDENTES </t>
  </si>
  <si>
    <t>COMPENSATO-RIOS</t>
  </si>
  <si>
    <t>Ausencias, Licencias Vs. y Suspensiones</t>
  </si>
  <si>
    <t>AUSENTISMO s/vacaciones</t>
  </si>
  <si>
    <t>Horas Suplementarias</t>
  </si>
  <si>
    <t>HORAS 130 Y al 100</t>
  </si>
  <si>
    <t>Horas Suplementarias vs Trabajadas</t>
  </si>
  <si>
    <t>Monto Horas Suplementarias</t>
  </si>
  <si>
    <t>Dotación</t>
  </si>
  <si>
    <t>Relacion Compensatorias vs suplementarias</t>
  </si>
  <si>
    <t>Horas trabajadas vs dotación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</si>
</sst>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\ &quot;HH&quot;"/>
    <numFmt numFmtId="165" formatCode="[$-C0A]mmm\-yy"/>
    <numFmt numFmtId="166" formatCode="_ &quot;$&quot;\ * #,##0_ ;_ &quot;$&quot;\ * \-#,##0_ ;_ &quot;$&quot;\ * &quot;-&quot;??_ ;_ @_ "/>
    <numFmt numFmtId="167" formatCode="[$-C0A]dd\-mmm\-yy"/>
  </numFmts>
  <fonts count="16">
    <font>
      <sz val="11.0"/>
      <color theme="1"/>
      <name val="Calibri"/>
      <scheme val="minor"/>
    </font>
    <font>
      <b/>
      <sz val="12.0"/>
      <color theme="1"/>
      <name val="Calibri"/>
    </font>
    <font>
      <sz val="9.0"/>
      <color theme="1"/>
      <name val="Calibri"/>
    </font>
    <font>
      <sz val="10.0"/>
      <color theme="1"/>
      <name val="Calibri"/>
    </font>
    <font>
      <sz val="11.0"/>
      <color theme="1"/>
      <name val="Calibri"/>
    </font>
    <font>
      <sz val="11.0"/>
      <color rgb="FF00B050"/>
      <name val="Calibri"/>
    </font>
    <font>
      <sz val="12.0"/>
      <color rgb="FF00B050"/>
      <name val="Calibri"/>
    </font>
    <font>
      <sz val="11.0"/>
      <color rgb="FFFF0000"/>
      <name val="Calibri"/>
    </font>
    <font>
      <sz val="12.0"/>
      <color rgb="FFFF0000"/>
      <name val="Calibri"/>
    </font>
    <font>
      <b/>
      <sz val="11.0"/>
      <color rgb="FFFF0000"/>
      <name val="Calibri"/>
    </font>
    <font>
      <b/>
      <sz val="12.0"/>
      <color rgb="FFFF0000"/>
      <name val="Calibri"/>
    </font>
    <font>
      <b/>
      <sz val="11.0"/>
      <color theme="1"/>
      <name val="Calibri"/>
    </font>
    <font>
      <sz val="11.0"/>
      <color theme="9"/>
      <name val="Calibri"/>
    </font>
    <font>
      <sz val="12.0"/>
      <color theme="9"/>
      <name val="Calibri"/>
    </font>
    <font>
      <b/>
      <sz val="11.0"/>
      <color theme="9"/>
      <name val="Calibri"/>
    </font>
    <font>
      <b/>
      <sz val="12.0"/>
      <color theme="9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</border>
    <border>
      <left/>
      <right/>
      <top/>
      <bottom/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top style="dotted">
        <color rgb="FFFFFFFF"/>
      </top>
      <bottom style="dotted">
        <color rgb="FFFFFFFF"/>
      </bottom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left style="dotted">
        <color rgb="FFFFFFFF"/>
      </left>
      <right style="dotted">
        <color rgb="FFFFFFFF"/>
      </right>
      <top style="dotted">
        <color rgb="FFFFFFFF"/>
      </top>
      <bottom/>
    </border>
    <border>
      <left style="dotted">
        <color rgb="FFFFFFFF"/>
      </left>
      <right style="dotted">
        <color rgb="FFFFFFFF"/>
      </right>
      <top style="dotted">
        <color rgb="FFFFFFFF"/>
      </top>
    </border>
    <border>
      <left style="dotted">
        <color rgb="FFFFFFFF"/>
      </left>
      <top style="dotted">
        <color rgb="FFFFFFFF"/>
      </top>
    </border>
    <border>
      <left style="thin">
        <color theme="0"/>
      </left>
      <right style="thin">
        <color theme="0"/>
      </right>
      <top style="thin">
        <color theme="0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Font="1"/>
    <xf borderId="0" fillId="0" fontId="5" numFmtId="165" xfId="0" applyAlignment="1" applyFont="1" applyNumberFormat="1">
      <alignment horizontal="center"/>
    </xf>
    <xf borderId="0" fillId="0" fontId="6" numFmtId="164" xfId="0" applyAlignment="1" applyFont="1" applyNumberFormat="1">
      <alignment horizontal="center" vertical="center"/>
    </xf>
    <xf borderId="0" fillId="0" fontId="6" numFmtId="9" xfId="0" applyAlignment="1" applyFont="1" applyNumberFormat="1">
      <alignment horizontal="center" vertical="center"/>
    </xf>
    <xf borderId="0" fillId="0" fontId="6" numFmtId="166" xfId="0" applyAlignment="1" applyFont="1" applyNumberFormat="1">
      <alignment horizontal="center" vertical="center"/>
    </xf>
    <xf borderId="0" fillId="0" fontId="5" numFmtId="1" xfId="0" applyAlignment="1" applyFont="1" applyNumberFormat="1">
      <alignment horizontal="center"/>
    </xf>
    <xf borderId="0" fillId="0" fontId="5" numFmtId="9" xfId="0" applyAlignment="1" applyFont="1" applyNumberFormat="1">
      <alignment horizontal="center" vertical="center"/>
    </xf>
    <xf borderId="0" fillId="0" fontId="4" numFmtId="10" xfId="0" applyFont="1" applyNumberFormat="1"/>
    <xf borderId="0" fillId="0" fontId="4" numFmtId="164" xfId="0" applyFont="1" applyNumberFormat="1"/>
    <xf borderId="0" fillId="0" fontId="4" numFmtId="9" xfId="0" applyFont="1" applyNumberFormat="1"/>
    <xf borderId="0" fillId="0" fontId="4" numFmtId="2" xfId="0" applyFont="1" applyNumberFormat="1"/>
    <xf borderId="0" fillId="0" fontId="7" numFmtId="165" xfId="0" applyAlignment="1" applyFont="1" applyNumberFormat="1">
      <alignment horizontal="center"/>
    </xf>
    <xf borderId="0" fillId="0" fontId="8" numFmtId="164" xfId="0" applyAlignment="1" applyFont="1" applyNumberFormat="1">
      <alignment horizontal="center" vertical="center"/>
    </xf>
    <xf borderId="0" fillId="0" fontId="8" numFmtId="164" xfId="0" applyAlignment="1" applyFont="1" applyNumberFormat="1">
      <alignment horizontal="center" readingOrder="0" vertical="center"/>
    </xf>
    <xf borderId="0" fillId="0" fontId="8" numFmtId="9" xfId="0" applyAlignment="1" applyFont="1" applyNumberFormat="1">
      <alignment horizontal="center" vertical="center"/>
    </xf>
    <xf borderId="0" fillId="0" fontId="8" numFmtId="166" xfId="0" applyAlignment="1" applyFont="1" applyNumberFormat="1">
      <alignment horizontal="center" vertical="center"/>
    </xf>
    <xf borderId="0" fillId="0" fontId="7" numFmtId="1" xfId="0" applyAlignment="1" applyFont="1" applyNumberFormat="1">
      <alignment horizontal="center"/>
    </xf>
    <xf borderId="0" fillId="0" fontId="7" numFmtId="9" xfId="0" applyAlignment="1" applyFont="1" applyNumberFormat="1">
      <alignment horizontal="center" vertical="center"/>
    </xf>
    <xf borderId="2" fillId="3" fontId="7" numFmtId="165" xfId="0" applyAlignment="1" applyBorder="1" applyFill="1" applyFont="1" applyNumberFormat="1">
      <alignment horizontal="center"/>
    </xf>
    <xf borderId="2" fillId="3" fontId="8" numFmtId="164" xfId="0" applyAlignment="1" applyBorder="1" applyFont="1" applyNumberFormat="1">
      <alignment horizontal="center" vertical="center"/>
    </xf>
    <xf borderId="2" fillId="3" fontId="8" numFmtId="9" xfId="0" applyAlignment="1" applyBorder="1" applyFont="1" applyNumberFormat="1">
      <alignment horizontal="center" vertical="center"/>
    </xf>
    <xf borderId="2" fillId="3" fontId="9" numFmtId="0" xfId="0" applyAlignment="1" applyBorder="1" applyFont="1">
      <alignment horizontal="center"/>
    </xf>
    <xf borderId="2" fillId="3" fontId="10" numFmtId="164" xfId="0" applyAlignment="1" applyBorder="1" applyFont="1" applyNumberFormat="1">
      <alignment horizontal="center" vertical="center"/>
    </xf>
    <xf borderId="0" fillId="0" fontId="10" numFmtId="164" xfId="0" applyAlignment="1" applyFont="1" applyNumberFormat="1">
      <alignment horizontal="center" vertical="center"/>
    </xf>
    <xf borderId="0" fillId="0" fontId="10" numFmtId="9" xfId="0" applyAlignment="1" applyFont="1" applyNumberFormat="1">
      <alignment horizontal="center" vertical="center"/>
    </xf>
    <xf borderId="0" fillId="0" fontId="10" numFmtId="166" xfId="0" applyAlignment="1" applyFont="1" applyNumberFormat="1">
      <alignment horizontal="center" vertical="center"/>
    </xf>
    <xf borderId="0" fillId="0" fontId="9" numFmtId="1" xfId="0" applyAlignment="1" applyFont="1" applyNumberFormat="1">
      <alignment horizontal="center"/>
    </xf>
    <xf borderId="0" fillId="0" fontId="9" numFmtId="9" xfId="0" applyAlignment="1" applyFont="1" applyNumberFormat="1">
      <alignment horizontal="center" vertical="center"/>
    </xf>
    <xf borderId="0" fillId="0" fontId="11" numFmtId="164" xfId="0" applyFont="1" applyNumberFormat="1"/>
    <xf borderId="0" fillId="0" fontId="11" numFmtId="0" xfId="0" applyFont="1"/>
    <xf borderId="2" fillId="3" fontId="12" numFmtId="165" xfId="0" applyAlignment="1" applyBorder="1" applyFont="1" applyNumberFormat="1">
      <alignment horizontal="center"/>
    </xf>
    <xf borderId="2" fillId="3" fontId="13" numFmtId="164" xfId="0" applyAlignment="1" applyBorder="1" applyFont="1" applyNumberFormat="1">
      <alignment horizontal="center" vertical="center"/>
    </xf>
    <xf borderId="2" fillId="3" fontId="13" numFmtId="9" xfId="0" applyAlignment="1" applyBorder="1" applyFont="1" applyNumberForma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9" xfId="0" applyAlignment="1" applyFont="1" applyNumberFormat="1">
      <alignment horizontal="center" vertical="center"/>
    </xf>
    <xf borderId="0" fillId="0" fontId="13" numFmtId="166" xfId="0" applyAlignment="1" applyFont="1" applyNumberFormat="1">
      <alignment horizontal="center" vertical="center"/>
    </xf>
    <xf borderId="0" fillId="0" fontId="12" numFmtId="1" xfId="0" applyAlignment="1" applyFont="1" applyNumberFormat="1">
      <alignment horizontal="center"/>
    </xf>
    <xf borderId="0" fillId="0" fontId="12" numFmtId="9" xfId="0" applyAlignment="1" applyFont="1" applyNumberFormat="1">
      <alignment horizontal="center" vertical="center"/>
    </xf>
    <xf borderId="2" fillId="3" fontId="14" numFmtId="167" xfId="0" applyAlignment="1" applyBorder="1" applyFont="1" applyNumberFormat="1">
      <alignment horizontal="center"/>
    </xf>
    <xf borderId="2" fillId="3" fontId="15" numFmtId="164" xfId="0" applyAlignment="1" applyBorder="1" applyFont="1" applyNumberFormat="1">
      <alignment horizontal="center" vertical="center"/>
    </xf>
    <xf borderId="2" fillId="3" fontId="15" numFmtId="9" xfId="0" applyAlignment="1" applyBorder="1" applyFont="1" applyNumberFormat="1">
      <alignment horizontal="center" vertical="center"/>
    </xf>
    <xf borderId="0" fillId="0" fontId="15" numFmtId="164" xfId="0" applyAlignment="1" applyFont="1" applyNumberFormat="1">
      <alignment horizontal="center" vertical="center"/>
    </xf>
    <xf borderId="0" fillId="0" fontId="15" numFmtId="9" xfId="0" applyAlignment="1" applyFont="1" applyNumberFormat="1">
      <alignment horizontal="center" vertical="center"/>
    </xf>
    <xf borderId="0" fillId="0" fontId="15" numFmtId="166" xfId="0" applyAlignment="1" applyFont="1" applyNumberFormat="1">
      <alignment horizontal="center" vertical="center"/>
    </xf>
    <xf borderId="0" fillId="0" fontId="14" numFmtId="1" xfId="0" applyAlignment="1" applyFont="1" applyNumberFormat="1">
      <alignment horizontal="center"/>
    </xf>
    <xf borderId="0" fillId="0" fontId="14" numFmtId="9" xfId="0" applyAlignment="1" applyFont="1" applyNumberFormat="1">
      <alignment horizontal="center" vertical="center"/>
    </xf>
    <xf borderId="2" fillId="3" fontId="5" numFmtId="165" xfId="0" applyAlignment="1" applyBorder="1" applyFont="1" applyNumberFormat="1">
      <alignment horizontal="center"/>
    </xf>
    <xf borderId="2" fillId="3" fontId="6" numFmtId="164" xfId="0" applyAlignment="1" applyBorder="1" applyFont="1" applyNumberFormat="1">
      <alignment horizontal="center" vertical="center"/>
    </xf>
    <xf borderId="2" fillId="3" fontId="6" numFmtId="9" xfId="0" applyAlignment="1" applyBorder="1" applyFont="1" applyNumberFormat="1">
      <alignment horizontal="center" vertical="center"/>
    </xf>
    <xf borderId="3" fillId="3" fontId="4" numFmtId="17" xfId="0" applyBorder="1" applyFont="1" applyNumberFormat="1"/>
    <xf borderId="3" fillId="3" fontId="4" numFmtId="0" xfId="0" applyBorder="1" applyFont="1"/>
    <xf borderId="3" fillId="0" fontId="4" numFmtId="0" xfId="0" applyBorder="1" applyFont="1"/>
    <xf borderId="4" fillId="0" fontId="4" numFmtId="166" xfId="0" applyBorder="1" applyFont="1" applyNumberFormat="1"/>
    <xf borderId="5" fillId="0" fontId="4" numFmtId="0" xfId="0" applyBorder="1" applyFont="1"/>
    <xf borderId="3" fillId="3" fontId="4" numFmtId="0" xfId="0" applyAlignment="1" applyBorder="1" applyFont="1">
      <alignment horizontal="center"/>
    </xf>
    <xf borderId="4" fillId="0" fontId="4" numFmtId="0" xfId="0" applyBorder="1" applyFont="1"/>
    <xf borderId="3" fillId="3" fontId="4" numFmtId="0" xfId="0" applyAlignment="1" applyBorder="1" applyFont="1">
      <alignment horizontal="right"/>
    </xf>
    <xf borderId="6" fillId="3" fontId="4" numFmtId="0" xfId="0" applyBorder="1" applyFont="1"/>
    <xf borderId="6" fillId="3" fontId="4" numFmtId="0" xfId="0" applyAlignment="1" applyBorder="1" applyFont="1">
      <alignment horizontal="center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5" fillId="0" fontId="4" numFmtId="0" xfId="0" applyAlignment="1" applyBorder="1" applyFont="1">
      <alignment horizont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AUSENTISMO s/vacaciones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959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2A0C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CC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ABF8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DD9C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8CB3E3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5B8B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AE5F1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4BD97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Industriales'!$A$2:$A$14</c:f>
            </c:strRef>
          </c:cat>
          <c:val>
            <c:numRef>
              <c:f>'Relaciones Industriales'!$H$2:$H$14</c:f>
              <c:numCache/>
            </c:numRef>
          </c:val>
        </c:ser>
        <c:axId val="281234356"/>
        <c:axId val="2052011479"/>
      </c:barChart>
      <c:catAx>
        <c:axId val="2812343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2011479"/>
      </c:catAx>
      <c:valAx>
        <c:axId val="2052011479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400">
                <a:solidFill>
                  <a:srgbClr val="000000"/>
                </a:solidFill>
                <a:latin typeface="Calibri"/>
              </a:defRPr>
            </a:pPr>
          </a:p>
        </c:txPr>
        <c:crossAx val="281234356"/>
        <c:majorUnit val="0.05000000000000001"/>
        <c:minorUnit val="0.010000000000000002"/>
      </c:valAx>
    </c:plotArea>
    <c:legend>
      <c:legendPos val="b"/>
      <c:overlay val="0"/>
      <c:txPr>
        <a:bodyPr/>
        <a:lstStyle/>
        <a:p>
          <a:pPr lvl="0">
            <a:defRPr b="1" i="0" sz="2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500">
                <a:solidFill>
                  <a:srgbClr val="339966"/>
                </a:solidFill>
                <a:latin typeface="Calibri"/>
              </a:defRPr>
            </a:pPr>
            <a:r>
              <a:rPr b="1" i="0" sz="2500">
                <a:solidFill>
                  <a:srgbClr val="339966"/>
                </a:solidFill>
                <a:latin typeface="Calibri"/>
              </a:rPr>
              <a:t>Horas Suplementarias vs Trabajadas</a:t>
            </a:r>
          </a:p>
        </c:rich>
      </c:tx>
      <c:layout>
        <c:manualLayout>
          <c:xMode val="edge"/>
          <c:yMode val="edge"/>
          <c:x val="0.3091241943935919"/>
          <c:y val="0.027676970130799766"/>
        </c:manualLayout>
      </c:layout>
      <c:overlay val="0"/>
    </c:title>
    <c:plotArea>
      <c:layout>
        <c:manualLayout>
          <c:xMode val="edge"/>
          <c:yMode val="edge"/>
          <c:x val="0.09427530228744242"/>
          <c:y val="0.1568799835296605"/>
          <c:w val="0.8671657672193168"/>
          <c:h val="0.639341249391881"/>
        </c:manualLayout>
      </c:layout>
      <c:barChart>
        <c:barDir val="col"/>
        <c:ser>
          <c:idx val="0"/>
          <c:order val="0"/>
          <c:tx>
            <c:v>Horas Suplementarias vs Trabajadas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959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2A0C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CC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ABF8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DD9C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0504D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5B8B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AE5F1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4BD97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F2DADA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Industriales'!$A$2:$A$14</c:f>
            </c:strRef>
          </c:cat>
          <c:val>
            <c:numRef>
              <c:f>'Relaciones Industriales'!$K$2:$K$14</c:f>
              <c:numCache/>
            </c:numRef>
          </c:val>
        </c:ser>
        <c:axId val="93603596"/>
        <c:axId val="336875281"/>
      </c:barChart>
      <c:catAx>
        <c:axId val="936035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6875281"/>
      </c:catAx>
      <c:valAx>
        <c:axId val="336875281"/>
        <c:scaling>
          <c:orientation val="minMax"/>
          <c:max val="0.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%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  <c:crossAx val="93603596"/>
        <c:majorUnit val="0.05000000000000001"/>
        <c:minorUnit val="0.010000000000000002"/>
      </c:valAx>
    </c:plotArea>
    <c:legend>
      <c:legendPos val="b"/>
      <c:layout>
        <c:manualLayout>
          <c:xMode val="edge"/>
          <c:yMode val="edge"/>
          <c:x val="0.09696586111697143"/>
          <c:y val="0.8200202164812043"/>
        </c:manualLayout>
      </c:layout>
      <c:overlay val="0"/>
      <c:txPr>
        <a:bodyPr/>
        <a:lstStyle/>
        <a:p>
          <a:pPr lvl="0">
            <a:defRPr b="1" i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Monto Horas Suplementarias</a:t>
            </a:r>
          </a:p>
        </c:rich>
      </c:tx>
      <c:layout>
        <c:manualLayout>
          <c:xMode val="edge"/>
          <c:yMode val="edge"/>
          <c:x val="0.35551574017319687"/>
          <c:y val="0.022948048849265743"/>
        </c:manualLayout>
      </c:layout>
      <c:overlay val="0"/>
    </c:title>
    <c:plotArea>
      <c:layout>
        <c:manualLayout>
          <c:xMode val="edge"/>
          <c:yMode val="edge"/>
          <c:x val="0.0956524840699307"/>
          <c:y val="0.14506583371293466"/>
          <c:w val="0.8723501051730236"/>
          <c:h val="0.6713590834552143"/>
        </c:manualLayout>
      </c:layout>
      <c:barChart>
        <c:barDir val="col"/>
        <c:ser>
          <c:idx val="0"/>
          <c:order val="0"/>
          <c:tx>
            <c:v>Monto Horas Suplementarias</c:v>
          </c:tx>
          <c:spPr>
            <a:solidFill>
              <a:srgbClr val="C2D59B"/>
            </a:solidFill>
            <a:ln cmpd="sng">
              <a:solidFill>
                <a:srgbClr val="000000"/>
              </a:solidFill>
            </a:ln>
          </c:spPr>
          <c:dPt>
            <c:idx val="1"/>
            <c:spPr>
              <a:solidFill>
                <a:srgbClr val="D99593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B2A0C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92CCDC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ABF8E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DDD9C3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C0504D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E5B8B7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DAE5F1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C4BD97"/>
              </a:solidFill>
              <a:ln cmpd="sng">
                <a:solidFill>
                  <a:srgbClr val="000000"/>
                </a:solidFill>
              </a:ln>
            </c:spPr>
          </c:dPt>
          <c:dPt>
            <c:idx val="25"/>
          </c:dPt>
          <c:dPt>
            <c:idx val="26"/>
          </c:dPt>
          <c:dLbls>
            <c:dLbl>
              <c:idx val="25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[VALOR]</a:t>
                    </a:r>
                  </a:p>
                </c:rich>
              </c:tx>
              <c:numFmt formatCode="_ &quot;$&quot;\ * #,##0_ ;_ &quot;$&quot;\ * \-#,##0_ ;_ &quot;$&quot;\ * &quot;-&quot;??_ ;_ @_ " sourceLinked="0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26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Roboto"/>
                      </a:rPr>
                      <a:t>[VALOR]</a:t>
                    </a:r>
                  </a:p>
                </c:rich>
              </c:tx>
              <c:numFmt formatCode="_ &quot;$&quot;\ * #,##0_ ;_ &quot;$&quot;\ * \-#,##0_ ;_ &quot;$&quot;\ * &quot;-&quot;??_ ;_ @_ " sourceLinked="0"/>
              <c:txPr>
                <a:bodyPr/>
                <a:lstStyle/>
                <a:p>
                  <a:pPr lvl="0">
                    <a:defRPr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_ &quot;$&quot;\ * #,##0_ ;_ &quot;$&quot;\ * \-#,##0_ ;_ &quot;$&quot;\ * &quot;-&quot;??_ ;_ @_ " sourceLinked="0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Industriales'!$A$2:$A$14</c:f>
            </c:strRef>
          </c:cat>
          <c:val>
            <c:numRef>
              <c:f>'Relaciones Industriales'!$L$2:$L$14</c:f>
              <c:numCache/>
            </c:numRef>
          </c:val>
        </c:ser>
        <c:axId val="917626495"/>
        <c:axId val="1564625633"/>
      </c:barChart>
      <c:catAx>
        <c:axId val="9176264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4625633"/>
      </c:catAx>
      <c:valAx>
        <c:axId val="15646256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17626495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500">
                <a:solidFill>
                  <a:srgbClr val="808000"/>
                </a:solidFill>
                <a:latin typeface="Calibri"/>
              </a:defRPr>
            </a:pPr>
            <a:r>
              <a:rPr b="1" i="0" sz="2500">
                <a:solidFill>
                  <a:srgbClr val="808000"/>
                </a:solidFill>
                <a:latin typeface="Calibri"/>
              </a:rPr>
              <a:t>Horas normales y relación horas vs dotación</a:t>
            </a:r>
          </a:p>
        </c:rich>
      </c:tx>
      <c:layout>
        <c:manualLayout>
          <c:xMode val="edge"/>
          <c:yMode val="edge"/>
          <c:x val="0.23962224687341913"/>
          <c:y val="0.010252098652957635"/>
        </c:manualLayout>
      </c:layout>
      <c:overlay val="0"/>
    </c:title>
    <c:plotArea>
      <c:layout>
        <c:manualLayout>
          <c:xMode val="edge"/>
          <c:yMode val="edge"/>
          <c:x val="0.11603267698533568"/>
          <c:y val="0.17733639754360847"/>
          <c:w val="0.8000461069962694"/>
          <c:h val="0.5804864145009566"/>
        </c:manualLayout>
      </c:layout>
      <c:barChart>
        <c:barDir val="col"/>
        <c:ser>
          <c:idx val="0"/>
          <c:order val="0"/>
          <c:tx>
            <c:v>Hs NORMAL TRABAJADAS </c:v>
          </c:tx>
          <c:spPr>
            <a:solidFill>
              <a:srgbClr val="92D050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26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27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28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29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1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2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3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4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5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6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7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dPt>
            <c:idx val="38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'Relaciones Industriales'!$A$1:$A$20</c:f>
            </c:strRef>
          </c:cat>
          <c:val>
            <c:numRef>
              <c:f>'Relaciones Industriales'!$A$2:$A$21</c:f>
              <c:numCache/>
            </c:numRef>
          </c:val>
        </c:ser>
        <c:ser>
          <c:idx val="1"/>
          <c:order val="1"/>
          <c:tx>
            <c:v>Horas trabajadas vs dotación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6"/>
          </c:dPt>
          <c:dPt>
            <c:idx val="8"/>
          </c:dPt>
          <c:dPt>
            <c:idx val="9"/>
          </c:dPt>
          <c:dLbls>
            <c:dLbl>
              <c:idx val="6"/>
              <c:numFmt formatCode="General" sourceLinked="1"/>
              <c:txPr>
                <a:bodyPr/>
                <a:lstStyle/>
                <a:p>
                  <a:pPr lvl="0">
                    <a:defRPr b="1" i="0" sz="14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8"/>
              <c:numFmt formatCode="General" sourceLinked="1"/>
              <c:txPr>
                <a:bodyPr/>
                <a:lstStyle/>
                <a:p>
                  <a:pPr lvl="0">
                    <a:defRPr b="1" i="0" sz="14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9"/>
              <c:numFmt formatCode="General" sourceLinked="1"/>
              <c:txPr>
                <a:bodyPr/>
                <a:lstStyle/>
                <a:p>
                  <a:pPr lvl="0">
                    <a:defRPr b="1" i="0" sz="14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Industriales'!$A$1:$A$20</c:f>
            </c:strRef>
          </c:cat>
          <c:val>
            <c:numRef>
              <c:f>'Relaciones Industriales'!$C$2:$C$21</c:f>
              <c:numCache/>
            </c:numRef>
          </c:val>
        </c:ser>
        <c:ser>
          <c:idx val="2"/>
          <c:order val="2"/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Industriales'!$A$1:$A$20</c:f>
            </c:strRef>
          </c:cat>
          <c:val>
            <c:numRef>
              <c:f>'Relaciones Industriales'!$C$1</c:f>
              <c:numCache/>
            </c:numRef>
          </c:val>
        </c:ser>
        <c:ser>
          <c:idx val="3"/>
          <c:order val="3"/>
          <c:cat>
            <c:strRef>
              <c:f>'Relaciones Industriales'!$A$1:$A$20</c:f>
            </c:strRef>
          </c:cat>
          <c:val>
            <c:numRef>
              <c:f>'Relaciones Industriales'!$O$1:$O$21</c:f>
              <c:numCache/>
            </c:numRef>
          </c:val>
        </c:ser>
        <c:ser>
          <c:idx val="4"/>
          <c:order val="4"/>
          <c:cat>
            <c:strRef>
              <c:f>'Relaciones Industriales'!$A$1:$A$20</c:f>
            </c:strRef>
          </c:cat>
          <c:val>
            <c:numRef>
              <c:f>'Relaciones Industriales'!$O$1</c:f>
              <c:numCache/>
            </c:numRef>
          </c:val>
        </c:ser>
        <c:axId val="1207705050"/>
        <c:axId val="2135017270"/>
      </c:barChart>
      <c:catAx>
        <c:axId val="12077050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 rot="-2700000"/>
          <a:lstStyle/>
          <a:p>
            <a:pPr lvl="0">
              <a:defRPr b="1" i="0">
                <a:solidFill>
                  <a:srgbClr val="000000"/>
                </a:solidFill>
                <a:latin typeface="+mn-lt"/>
              </a:defRPr>
            </a:pPr>
          </a:p>
        </c:txPr>
        <c:crossAx val="2135017270"/>
      </c:catAx>
      <c:valAx>
        <c:axId val="21350172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 rot="0"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07705050"/>
      </c:valAx>
    </c:plotArea>
    <c:legend>
      <c:legendPos val="b"/>
      <c:legendEntry>
        <c:idx val="0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</c:legendEntry>
      <c:legendEntry>
        <c:idx val="1"/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Calibri"/>
              </a:defRPr>
            </a:pPr>
          </a:p>
        </c:txPr>
      </c:legendEntry>
      <c:layout>
        <c:manualLayout>
          <c:xMode val="edge"/>
          <c:yMode val="edge"/>
          <c:x val="0.2850339256426136"/>
          <c:y val="0.8646285330036225"/>
        </c:manualLayout>
      </c:layout>
      <c:overlay val="0"/>
      <c:txPr>
        <a:bodyPr/>
        <a:lstStyle/>
        <a:p>
          <a:pPr lvl="0">
            <a:defRPr b="0" i="0" sz="400">
              <a:solidFill>
                <a:srgbClr val="000000"/>
              </a:solidFill>
              <a:latin typeface="Calibri"/>
            </a:defRPr>
          </a:pPr>
        </a:p>
      </c:txPr>
    </c:legend>
    <c:plotVisOnly val="0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B050"/>
                </a:solidFill>
                <a:latin typeface="+mn-lt"/>
              </a:defRPr>
            </a:pPr>
            <a:r>
              <a:rPr b="1" i="0" sz="2400">
                <a:solidFill>
                  <a:srgbClr val="00B050"/>
                </a:solidFill>
                <a:latin typeface="+mn-lt"/>
              </a:rPr>
              <a:t>Apertura de Ausentismo s/ Vacaciones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ACCIDENTES 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Industriales'!$A$2:$A$14</c:f>
            </c:strRef>
          </c:cat>
          <c:val>
            <c:numRef>
              <c:f>'Relaciones Industriales'!$E$2:$E$14</c:f>
              <c:numCache/>
            </c:numRef>
          </c:val>
        </c:ser>
        <c:ser>
          <c:idx val="1"/>
          <c:order val="1"/>
          <c:tx>
            <c:v>ENFERMEDAD 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Industriales'!$A$2:$A$14</c:f>
            </c:strRef>
          </c:cat>
          <c:val>
            <c:numRef>
              <c:f>'Relaciones Industriales'!$D$2:$D$14</c:f>
              <c:numCache/>
            </c:numRef>
          </c:val>
        </c:ser>
        <c:ser>
          <c:idx val="2"/>
          <c:order val="2"/>
          <c:tx>
            <c:v>Ausencias, Licencias Vs. y Suspensiones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Industriales'!$A$2:$A$14</c:f>
            </c:strRef>
          </c:cat>
          <c:val>
            <c:numRef>
              <c:f>'Relaciones Industriales'!$G$2:$G$14</c:f>
              <c:numCache/>
            </c:numRef>
          </c:val>
        </c:ser>
        <c:ser>
          <c:idx val="3"/>
          <c:order val="3"/>
          <c:tx>
            <c:v>COMPENSATO-RIOS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'Relaciones Industriales'!$A$2:$A$14</c:f>
            </c:strRef>
          </c:cat>
          <c:val>
            <c:numRef>
              <c:f>'Relaciones Industriales'!$F$2:$F$14</c:f>
              <c:numCache/>
            </c:numRef>
          </c:val>
        </c:ser>
        <c:axId val="64260381"/>
        <c:axId val="893616755"/>
      </c:barChart>
      <c:catAx>
        <c:axId val="642603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93616755"/>
      </c:catAx>
      <c:valAx>
        <c:axId val="8936167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4260381"/>
      </c:valAx>
    </c:plotArea>
    <c:legend>
      <c:legendPos val="b"/>
      <c:overlay val="0"/>
      <c:txPr>
        <a:bodyPr/>
        <a:lstStyle/>
        <a:p>
          <a:pPr lvl="0">
            <a:defRPr b="0" i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0070C0"/>
                </a:solidFill>
                <a:latin typeface="+mn-lt"/>
              </a:defRPr>
            </a:pPr>
            <a:r>
              <a:rPr b="1" i="0" sz="2400">
                <a:solidFill>
                  <a:srgbClr val="0070C0"/>
                </a:solidFill>
                <a:latin typeface="+mn-lt"/>
              </a:rPr>
              <a:t>Horas compensatorias vs horas suplementarias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Relacion Compensatorias vs suplementarias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77F44A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 i="0" sz="12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'Relaciones Industriales'!$A$2:$A$14</c:f>
            </c:strRef>
          </c:cat>
          <c:val>
            <c:numRef>
              <c:f>'Relaciones Industriales'!$N$2:$N$14</c:f>
              <c:numCache/>
            </c:numRef>
          </c:val>
        </c:ser>
        <c:axId val="866717077"/>
        <c:axId val="883107460"/>
      </c:barChart>
      <c:catAx>
        <c:axId val="8667170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83107460"/>
      </c:catAx>
      <c:valAx>
        <c:axId val="8831074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66717077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314325</xdr:colOff>
      <xdr:row>17</xdr:row>
      <xdr:rowOff>9525</xdr:rowOff>
    </xdr:from>
    <xdr:ext cx="9505950" cy="5886450"/>
    <xdr:graphicFrame>
      <xdr:nvGraphicFramePr>
        <xdr:cNvPr id="141439476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428625</xdr:colOff>
      <xdr:row>50</xdr:row>
      <xdr:rowOff>38100</xdr:rowOff>
    </xdr:from>
    <xdr:ext cx="9505950" cy="6048375"/>
    <xdr:graphicFrame>
      <xdr:nvGraphicFramePr>
        <xdr:cNvPr id="72877784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714375</xdr:colOff>
      <xdr:row>49</xdr:row>
      <xdr:rowOff>123825</xdr:rowOff>
    </xdr:from>
    <xdr:ext cx="9963150" cy="6048375"/>
    <xdr:graphicFrame>
      <xdr:nvGraphicFramePr>
        <xdr:cNvPr id="143271727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409575</xdr:colOff>
      <xdr:row>81</xdr:row>
      <xdr:rowOff>95250</xdr:rowOff>
    </xdr:from>
    <xdr:ext cx="9505950" cy="6048375"/>
    <xdr:graphicFrame>
      <xdr:nvGraphicFramePr>
        <xdr:cNvPr id="1488798382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514350</xdr:colOff>
      <xdr:row>16</xdr:row>
      <xdr:rowOff>0</xdr:rowOff>
    </xdr:from>
    <xdr:ext cx="10639425" cy="5972175"/>
    <xdr:graphicFrame>
      <xdr:nvGraphicFramePr>
        <xdr:cNvPr id="1613634210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1123950</xdr:colOff>
      <xdr:row>80</xdr:row>
      <xdr:rowOff>142875</xdr:rowOff>
    </xdr:from>
    <xdr:ext cx="9382125" cy="4905375"/>
    <xdr:graphicFrame>
      <xdr:nvGraphicFramePr>
        <xdr:cNvPr id="26379539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12</xdr:col>
      <xdr:colOff>371475</xdr:colOff>
      <xdr:row>52</xdr:row>
      <xdr:rowOff>142875</xdr:rowOff>
    </xdr:from>
    <xdr:ext cx="4676775" cy="285750"/>
    <xdr:sp>
      <xdr:nvSpPr>
        <xdr:cNvPr id="3" name="Shape 3"/>
        <xdr:cNvSpPr txBox="1"/>
      </xdr:nvSpPr>
      <xdr:spPr>
        <a:xfrm>
          <a:off x="3011695" y="3641888"/>
          <a:ext cx="4668610" cy="276225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Expresado en Millones de $ en valores corrientes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7.71"/>
    <col customWidth="1" min="3" max="3" width="20.0"/>
    <col customWidth="1" min="4" max="4" width="15.29"/>
    <col customWidth="1" min="5" max="5" width="18.86"/>
    <col customWidth="1" min="6" max="6" width="15.29"/>
    <col customWidth="1" min="7" max="7" width="22.71"/>
    <col customWidth="1" min="8" max="8" width="19.86"/>
    <col customWidth="1" min="9" max="9" width="21.86"/>
    <col customWidth="1" min="10" max="10" width="16.43"/>
    <col customWidth="1" min="11" max="11" width="23.0"/>
    <col customWidth="1" min="12" max="12" width="21.86"/>
    <col customWidth="1" min="13" max="13" width="13.43"/>
    <col customWidth="1" min="14" max="14" width="14.43"/>
    <col customWidth="1" min="15" max="15" width="11.43"/>
    <col customWidth="1" min="16" max="16" width="14.43"/>
    <col customWidth="1" min="17" max="17" width="14.71"/>
    <col customWidth="1" min="18" max="19" width="11.43"/>
    <col customWidth="1" min="20" max="26" width="10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4" t="s">
        <v>14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>
        <v>45658.0</v>
      </c>
      <c r="B2" s="7">
        <v>74096.0</v>
      </c>
      <c r="C2" s="7">
        <v>49582.0</v>
      </c>
      <c r="D2" s="7">
        <v>1921.0</v>
      </c>
      <c r="E2" s="7">
        <v>336.0</v>
      </c>
      <c r="F2" s="7">
        <v>2282.0</v>
      </c>
      <c r="G2" s="7">
        <v>3832.0</v>
      </c>
      <c r="H2" s="8">
        <f>(D2+E2+F2)/B2</f>
        <v>0.06125836752</v>
      </c>
      <c r="I2" s="7">
        <v>4470.0</v>
      </c>
      <c r="J2" s="7">
        <v>2803.0</v>
      </c>
      <c r="K2" s="8">
        <f t="shared" ref="K2:K14" si="1">IF(C2=0,"",(I2+J2)/C2)</f>
        <v>0.1466862974</v>
      </c>
      <c r="L2" s="9">
        <v>1.17844507E8</v>
      </c>
      <c r="M2" s="10">
        <v>421.0</v>
      </c>
      <c r="N2" s="11">
        <f t="shared" ref="N2:N14" si="2">+F2/J2</f>
        <v>0.8141277203</v>
      </c>
      <c r="O2" s="7">
        <f t="shared" ref="O2:O14" si="3">+C2/M2</f>
        <v>117.7719715</v>
      </c>
      <c r="P2" s="12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6">
        <v>45689.0</v>
      </c>
      <c r="B3" s="7">
        <v>67040.0</v>
      </c>
      <c r="C3" s="7">
        <v>44700.0</v>
      </c>
      <c r="D3" s="7">
        <v>2160.0</v>
      </c>
      <c r="E3" s="7">
        <v>452.0</v>
      </c>
      <c r="F3" s="7">
        <v>2141.0</v>
      </c>
      <c r="G3" s="7">
        <v>2876.0</v>
      </c>
      <c r="H3" s="8">
        <f t="shared" ref="H3:H14" si="4">(D3+E3+G3+F3)/B3</f>
        <v>0.1137977327</v>
      </c>
      <c r="I3" s="7">
        <v>2731.0</v>
      </c>
      <c r="J3" s="7">
        <v>1524.0</v>
      </c>
      <c r="K3" s="8">
        <f t="shared" si="1"/>
        <v>0.0951901566</v>
      </c>
      <c r="L3" s="9">
        <v>6.7169187E7</v>
      </c>
      <c r="M3" s="10">
        <v>419.0</v>
      </c>
      <c r="N3" s="11">
        <f t="shared" si="2"/>
        <v>1.404855643</v>
      </c>
      <c r="O3" s="7">
        <f t="shared" si="3"/>
        <v>106.6825776</v>
      </c>
      <c r="P3" s="12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6">
        <v>45717.0</v>
      </c>
      <c r="B4" s="7">
        <v>60480.0</v>
      </c>
      <c r="C4" s="7">
        <v>47451.0</v>
      </c>
      <c r="D4" s="7">
        <v>2080.0</v>
      </c>
      <c r="E4" s="7">
        <v>410.0</v>
      </c>
      <c r="F4" s="7">
        <v>2158.0</v>
      </c>
      <c r="G4" s="7">
        <v>3565.0</v>
      </c>
      <c r="H4" s="8">
        <f t="shared" si="4"/>
        <v>0.1357969577</v>
      </c>
      <c r="I4" s="7">
        <v>1596.0</v>
      </c>
      <c r="J4" s="7">
        <v>6262.0</v>
      </c>
      <c r="K4" s="8">
        <f t="shared" si="1"/>
        <v>0.1656024109</v>
      </c>
      <c r="L4" s="9">
        <v>1.3693049E8</v>
      </c>
      <c r="M4" s="10">
        <v>420.0</v>
      </c>
      <c r="N4" s="11">
        <f t="shared" si="2"/>
        <v>0.3446183328</v>
      </c>
      <c r="O4" s="7">
        <f t="shared" si="3"/>
        <v>112.9785714</v>
      </c>
      <c r="P4" s="12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6">
        <v>45748.0</v>
      </c>
      <c r="B5" s="7">
        <v>67520.0</v>
      </c>
      <c r="C5" s="7">
        <v>55661.0</v>
      </c>
      <c r="D5" s="7">
        <v>2143.0</v>
      </c>
      <c r="E5" s="7">
        <v>560.0</v>
      </c>
      <c r="F5" s="7">
        <v>3199.0</v>
      </c>
      <c r="G5" s="7">
        <v>4397.0</v>
      </c>
      <c r="H5" s="8">
        <f t="shared" si="4"/>
        <v>0.1525325829</v>
      </c>
      <c r="I5" s="7">
        <v>5491.0</v>
      </c>
      <c r="J5" s="7">
        <v>2718.0</v>
      </c>
      <c r="K5" s="8">
        <f t="shared" si="1"/>
        <v>0.147482079</v>
      </c>
      <c r="L5" s="9">
        <v>1.31921653E8</v>
      </c>
      <c r="M5" s="10">
        <v>422.0</v>
      </c>
      <c r="N5" s="11">
        <f t="shared" si="2"/>
        <v>1.176968359</v>
      </c>
      <c r="O5" s="7">
        <f t="shared" si="3"/>
        <v>131.8981043</v>
      </c>
      <c r="P5" s="12"/>
      <c r="Q5" s="13"/>
      <c r="R5" s="14"/>
      <c r="S5" s="5"/>
      <c r="T5" s="5"/>
      <c r="U5" s="5"/>
      <c r="V5" s="5"/>
      <c r="W5" s="5"/>
      <c r="X5" s="5"/>
      <c r="Y5" s="5"/>
      <c r="Z5" s="5"/>
    </row>
    <row r="6" ht="15.0" customHeight="1">
      <c r="A6" s="6">
        <v>45778.0</v>
      </c>
      <c r="B6" s="7">
        <v>67680.0</v>
      </c>
      <c r="C6" s="7">
        <v>57179.0</v>
      </c>
      <c r="D6" s="7">
        <v>2395.0</v>
      </c>
      <c r="E6" s="7">
        <v>201.0</v>
      </c>
      <c r="F6" s="7">
        <v>2634.0</v>
      </c>
      <c r="G6" s="7">
        <v>3071.0</v>
      </c>
      <c r="H6" s="8">
        <f t="shared" si="4"/>
        <v>0.1226507092</v>
      </c>
      <c r="I6" s="7">
        <v>3384.0</v>
      </c>
      <c r="J6" s="7">
        <v>1282.0</v>
      </c>
      <c r="K6" s="8">
        <f t="shared" si="1"/>
        <v>0.08160338586</v>
      </c>
      <c r="L6" s="9">
        <v>7.4867647E7</v>
      </c>
      <c r="M6" s="10">
        <v>423.0</v>
      </c>
      <c r="N6" s="11">
        <f t="shared" si="2"/>
        <v>2.054602184</v>
      </c>
      <c r="O6" s="7">
        <f t="shared" si="3"/>
        <v>135.1749409</v>
      </c>
      <c r="P6" s="12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6">
        <v>45809.0</v>
      </c>
      <c r="B7" s="7">
        <v>64296.0</v>
      </c>
      <c r="C7" s="7">
        <v>54681.0</v>
      </c>
      <c r="D7" s="7">
        <v>2650.0</v>
      </c>
      <c r="E7" s="7">
        <v>421.0</v>
      </c>
      <c r="F7" s="7">
        <v>1592.0</v>
      </c>
      <c r="G7" s="7">
        <v>3368.0</v>
      </c>
      <c r="H7" s="8">
        <f t="shared" si="4"/>
        <v>0.1249066816</v>
      </c>
      <c r="I7" s="7">
        <v>2742.0</v>
      </c>
      <c r="J7" s="7">
        <v>1699.0</v>
      </c>
      <c r="K7" s="8">
        <f t="shared" si="1"/>
        <v>0.08121651031</v>
      </c>
      <c r="L7" s="9">
        <v>7.4819435E7</v>
      </c>
      <c r="M7" s="10">
        <v>423.0</v>
      </c>
      <c r="N7" s="11">
        <f t="shared" si="2"/>
        <v>0.9370217775</v>
      </c>
      <c r="O7" s="7">
        <f t="shared" si="3"/>
        <v>129.2695035</v>
      </c>
      <c r="P7" s="15"/>
      <c r="Q7" s="13"/>
      <c r="R7" s="14"/>
      <c r="S7" s="5"/>
      <c r="T7" s="5"/>
      <c r="U7" s="5"/>
      <c r="V7" s="5"/>
      <c r="W7" s="5"/>
      <c r="X7" s="5"/>
      <c r="Y7" s="5"/>
      <c r="Z7" s="5"/>
    </row>
    <row r="8" ht="15.0" customHeight="1">
      <c r="A8" s="6">
        <v>45839.0</v>
      </c>
      <c r="B8" s="7">
        <v>74272.0</v>
      </c>
      <c r="C8" s="7">
        <v>58966.0</v>
      </c>
      <c r="D8" s="7">
        <v>3218.0</v>
      </c>
      <c r="E8" s="7">
        <v>633.0</v>
      </c>
      <c r="F8" s="7">
        <v>2020.0</v>
      </c>
      <c r="G8" s="7">
        <v>3252.0</v>
      </c>
      <c r="H8" s="8">
        <f t="shared" si="4"/>
        <v>0.1228322921</v>
      </c>
      <c r="I8" s="7">
        <v>2400.0</v>
      </c>
      <c r="J8" s="7">
        <v>1490.0</v>
      </c>
      <c r="K8" s="8">
        <f t="shared" si="1"/>
        <v>0.06597022013</v>
      </c>
      <c r="L8" s="9">
        <v>6.5688401E7</v>
      </c>
      <c r="M8" s="10">
        <v>422.0</v>
      </c>
      <c r="N8" s="11">
        <f t="shared" si="2"/>
        <v>1.355704698</v>
      </c>
      <c r="O8" s="7">
        <f t="shared" si="3"/>
        <v>139.7298578</v>
      </c>
      <c r="P8" s="12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6">
        <v>45870.0</v>
      </c>
      <c r="B9" s="7">
        <v>67200.0</v>
      </c>
      <c r="C9" s="7">
        <v>54829.0</v>
      </c>
      <c r="D9" s="7">
        <v>3408.0</v>
      </c>
      <c r="E9" s="7">
        <v>739.0</v>
      </c>
      <c r="F9" s="7">
        <v>1832.0</v>
      </c>
      <c r="G9" s="7">
        <v>2545.0</v>
      </c>
      <c r="H9" s="8">
        <f t="shared" si="4"/>
        <v>0.1268452381</v>
      </c>
      <c r="I9" s="7">
        <v>4436.0</v>
      </c>
      <c r="J9" s="7">
        <v>2163.0</v>
      </c>
      <c r="K9" s="8">
        <f t="shared" si="1"/>
        <v>0.120356016</v>
      </c>
      <c r="L9" s="9">
        <v>1.10333858E8</v>
      </c>
      <c r="M9" s="10">
        <v>420.0</v>
      </c>
      <c r="N9" s="11">
        <f t="shared" si="2"/>
        <v>0.8469717984</v>
      </c>
      <c r="O9" s="7">
        <f t="shared" si="3"/>
        <v>130.5452381</v>
      </c>
      <c r="P9" s="12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6">
        <v>45901.0</v>
      </c>
      <c r="B10" s="7">
        <v>71064.0</v>
      </c>
      <c r="C10" s="7">
        <v>59350.0</v>
      </c>
      <c r="D10" s="7">
        <v>3506.0</v>
      </c>
      <c r="E10" s="7">
        <v>757.0</v>
      </c>
      <c r="F10" s="7">
        <v>1852.0</v>
      </c>
      <c r="G10" s="7">
        <v>2663.0</v>
      </c>
      <c r="H10" s="8">
        <f t="shared" si="4"/>
        <v>0.1235224586</v>
      </c>
      <c r="I10" s="7">
        <v>8477.0</v>
      </c>
      <c r="J10" s="7">
        <v>6171.0</v>
      </c>
      <c r="K10" s="8">
        <f t="shared" si="1"/>
        <v>0.2468070767</v>
      </c>
      <c r="L10" s="9">
        <v>2.6753341472E8</v>
      </c>
      <c r="M10" s="10">
        <v>423.0</v>
      </c>
      <c r="N10" s="11">
        <f t="shared" si="2"/>
        <v>0.3001134338</v>
      </c>
      <c r="O10" s="7">
        <f t="shared" si="3"/>
        <v>140.3073286</v>
      </c>
      <c r="P10" s="12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6">
        <v>45931.0</v>
      </c>
      <c r="B11" s="7">
        <v>74800.0</v>
      </c>
      <c r="C11" s="7">
        <v>60933.0</v>
      </c>
      <c r="D11" s="7">
        <v>3688.0</v>
      </c>
      <c r="E11" s="7">
        <v>583.0</v>
      </c>
      <c r="F11" s="7">
        <v>3955.0</v>
      </c>
      <c r="G11" s="7">
        <v>2770.0</v>
      </c>
      <c r="H11" s="8">
        <f t="shared" si="4"/>
        <v>0.1470053476</v>
      </c>
      <c r="I11" s="7">
        <v>11625.0</v>
      </c>
      <c r="J11" s="7">
        <v>8306.0</v>
      </c>
      <c r="K11" s="8">
        <f t="shared" si="1"/>
        <v>0.3270969754</v>
      </c>
      <c r="L11" s="9">
        <v>3.746924373500001E8</v>
      </c>
      <c r="M11" s="10">
        <v>425.0</v>
      </c>
      <c r="N11" s="11">
        <f t="shared" si="2"/>
        <v>0.4761618107</v>
      </c>
      <c r="O11" s="7">
        <f t="shared" si="3"/>
        <v>143.3717647</v>
      </c>
      <c r="P11" s="7"/>
      <c r="Q11" s="13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6">
        <v>45962.0</v>
      </c>
      <c r="B12" s="7">
        <v>60768.0</v>
      </c>
      <c r="C12" s="7">
        <v>47988.0</v>
      </c>
      <c r="D12" s="7">
        <v>2913.0</v>
      </c>
      <c r="E12" s="7">
        <v>605.0</v>
      </c>
      <c r="F12" s="7">
        <v>4610.0</v>
      </c>
      <c r="G12" s="7">
        <v>2141.0</v>
      </c>
      <c r="H12" s="8">
        <f t="shared" si="4"/>
        <v>0.1689869668</v>
      </c>
      <c r="I12" s="7">
        <v>5489.0</v>
      </c>
      <c r="J12" s="7">
        <v>5008.0</v>
      </c>
      <c r="K12" s="8">
        <f t="shared" si="1"/>
        <v>0.2187421855</v>
      </c>
      <c r="L12" s="9">
        <v>2.0040413819E8</v>
      </c>
      <c r="M12" s="10">
        <v>422.0</v>
      </c>
      <c r="N12" s="11">
        <f t="shared" si="2"/>
        <v>0.9205271565</v>
      </c>
      <c r="O12" s="7">
        <f t="shared" si="3"/>
        <v>113.7156398</v>
      </c>
      <c r="P12" s="7"/>
      <c r="Q12" s="13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6">
        <v>45992.0</v>
      </c>
      <c r="B13" s="7">
        <v>64752.0</v>
      </c>
      <c r="C13" s="7">
        <v>50998.0</v>
      </c>
      <c r="D13" s="7">
        <v>2447.0</v>
      </c>
      <c r="E13" s="7">
        <v>633.0</v>
      </c>
      <c r="F13" s="7">
        <v>4595.0</v>
      </c>
      <c r="G13" s="7">
        <v>3360.0</v>
      </c>
      <c r="H13" s="8">
        <f t="shared" si="4"/>
        <v>0.1704194465</v>
      </c>
      <c r="I13" s="7">
        <v>7073.0</v>
      </c>
      <c r="J13" s="7">
        <v>5646.0</v>
      </c>
      <c r="K13" s="8">
        <f t="shared" si="1"/>
        <v>0.2494019373</v>
      </c>
      <c r="L13" s="9">
        <v>2.4834670035E8</v>
      </c>
      <c r="M13" s="10">
        <v>426.0</v>
      </c>
      <c r="N13" s="11">
        <f t="shared" si="2"/>
        <v>0.8138505136</v>
      </c>
      <c r="O13" s="7">
        <f t="shared" si="3"/>
        <v>119.713615</v>
      </c>
      <c r="P13" s="7"/>
      <c r="Q13" s="13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16">
        <v>46023.0</v>
      </c>
      <c r="B14" s="17">
        <v>71736.0</v>
      </c>
      <c r="C14" s="18">
        <v>46890.0</v>
      </c>
      <c r="D14" s="17">
        <v>2208.0</v>
      </c>
      <c r="E14" s="17">
        <v>920.0</v>
      </c>
      <c r="F14" s="17">
        <v>3952.0</v>
      </c>
      <c r="G14" s="17">
        <v>2287.0</v>
      </c>
      <c r="H14" s="19">
        <f t="shared" si="4"/>
        <v>0.1305760009</v>
      </c>
      <c r="I14" s="17">
        <v>6704.0</v>
      </c>
      <c r="J14" s="17">
        <v>4177.0</v>
      </c>
      <c r="K14" s="19">
        <f t="shared" si="1"/>
        <v>0.2320537428</v>
      </c>
      <c r="L14" s="20">
        <v>2.1549940463E8</v>
      </c>
      <c r="M14" s="21">
        <v>427.0</v>
      </c>
      <c r="N14" s="22">
        <f t="shared" si="2"/>
        <v>0.9461335887</v>
      </c>
      <c r="O14" s="17">
        <f t="shared" si="3"/>
        <v>109.8126464</v>
      </c>
      <c r="P14" s="7"/>
      <c r="Q14" s="13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16"/>
      <c r="B15" s="17"/>
      <c r="C15" s="17"/>
      <c r="D15" s="17"/>
      <c r="E15" s="17"/>
      <c r="F15" s="17"/>
      <c r="G15" s="17"/>
      <c r="H15" s="19"/>
      <c r="I15" s="17"/>
      <c r="J15" s="17"/>
      <c r="K15" s="19"/>
      <c r="L15" s="20"/>
      <c r="M15" s="21"/>
      <c r="N15" s="22"/>
      <c r="O15" s="17"/>
      <c r="P15" s="13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6"/>
      <c r="B16" s="17"/>
      <c r="C16" s="17"/>
      <c r="D16" s="17"/>
      <c r="E16" s="17"/>
      <c r="F16" s="17"/>
      <c r="G16" s="17"/>
      <c r="H16" s="19"/>
      <c r="I16" s="17"/>
      <c r="J16" s="17"/>
      <c r="K16" s="19"/>
      <c r="L16" s="20"/>
      <c r="M16" s="21"/>
      <c r="N16" s="22"/>
      <c r="O16" s="17"/>
      <c r="P16" s="13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23"/>
      <c r="B17" s="24"/>
      <c r="C17" s="24"/>
      <c r="D17" s="24"/>
      <c r="E17" s="24"/>
      <c r="F17" s="24"/>
      <c r="G17" s="24"/>
      <c r="H17" s="25"/>
      <c r="I17" s="24"/>
      <c r="J17" s="17"/>
      <c r="K17" s="19"/>
      <c r="L17" s="20"/>
      <c r="M17" s="21"/>
      <c r="N17" s="22"/>
      <c r="O17" s="17"/>
      <c r="P17" s="13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23"/>
      <c r="B18" s="24"/>
      <c r="C18" s="24"/>
      <c r="D18" s="24"/>
      <c r="E18" s="24"/>
      <c r="F18" s="24"/>
      <c r="G18" s="24"/>
      <c r="H18" s="25"/>
      <c r="I18" s="24"/>
      <c r="J18" s="17"/>
      <c r="K18" s="19"/>
      <c r="L18" s="20"/>
      <c r="M18" s="21"/>
      <c r="N18" s="22"/>
      <c r="O18" s="17"/>
      <c r="P18" s="13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23"/>
      <c r="B19" s="24"/>
      <c r="C19" s="24"/>
      <c r="D19" s="24"/>
      <c r="E19" s="24"/>
      <c r="F19" s="24"/>
      <c r="G19" s="24"/>
      <c r="H19" s="25"/>
      <c r="I19" s="24"/>
      <c r="J19" s="17"/>
      <c r="K19" s="19"/>
      <c r="L19" s="20"/>
      <c r="M19" s="21"/>
      <c r="N19" s="22"/>
      <c r="O19" s="17"/>
      <c r="P19" s="13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26"/>
      <c r="B20" s="27"/>
      <c r="C20" s="27"/>
      <c r="D20" s="27"/>
      <c r="E20" s="27"/>
      <c r="F20" s="27"/>
      <c r="G20" s="27"/>
      <c r="H20" s="25"/>
      <c r="I20" s="27"/>
      <c r="J20" s="28"/>
      <c r="K20" s="29"/>
      <c r="L20" s="30"/>
      <c r="M20" s="31"/>
      <c r="N20" s="32"/>
      <c r="O20" s="28"/>
      <c r="P20" s="33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15.0" customHeight="1">
      <c r="A21" s="35"/>
      <c r="B21" s="36"/>
      <c r="C21" s="36"/>
      <c r="D21" s="36"/>
      <c r="E21" s="36"/>
      <c r="F21" s="36"/>
      <c r="G21" s="36"/>
      <c r="H21" s="37"/>
      <c r="I21" s="36"/>
      <c r="J21" s="38"/>
      <c r="K21" s="39"/>
      <c r="L21" s="40"/>
      <c r="M21" s="41"/>
      <c r="N21" s="42"/>
      <c r="O21" s="38"/>
      <c r="P21" s="13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35"/>
      <c r="B22" s="36"/>
      <c r="C22" s="36"/>
      <c r="D22" s="36"/>
      <c r="E22" s="36"/>
      <c r="F22" s="36"/>
      <c r="G22" s="36"/>
      <c r="H22" s="37"/>
      <c r="I22" s="36"/>
      <c r="J22" s="38"/>
      <c r="K22" s="39"/>
      <c r="L22" s="40"/>
      <c r="M22" s="41"/>
      <c r="N22" s="42"/>
      <c r="O22" s="38"/>
      <c r="P22" s="13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35"/>
      <c r="B23" s="36"/>
      <c r="C23" s="36"/>
      <c r="D23" s="36"/>
      <c r="E23" s="36"/>
      <c r="F23" s="36"/>
      <c r="G23" s="36"/>
      <c r="H23" s="37"/>
      <c r="I23" s="36"/>
      <c r="J23" s="38"/>
      <c r="K23" s="39"/>
      <c r="L23" s="40"/>
      <c r="M23" s="41"/>
      <c r="N23" s="42"/>
      <c r="O23" s="38"/>
      <c r="P23" s="13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35"/>
      <c r="B24" s="36"/>
      <c r="C24" s="36"/>
      <c r="D24" s="36"/>
      <c r="E24" s="36"/>
      <c r="F24" s="36"/>
      <c r="G24" s="36"/>
      <c r="H24" s="37"/>
      <c r="I24" s="36"/>
      <c r="J24" s="38"/>
      <c r="K24" s="39"/>
      <c r="L24" s="40"/>
      <c r="M24" s="41"/>
      <c r="N24" s="42"/>
      <c r="O24" s="38"/>
      <c r="P24" s="13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35"/>
      <c r="B25" s="36"/>
      <c r="C25" s="36"/>
      <c r="D25" s="36"/>
      <c r="E25" s="36"/>
      <c r="F25" s="36"/>
      <c r="G25" s="36"/>
      <c r="H25" s="37"/>
      <c r="I25" s="36"/>
      <c r="J25" s="38"/>
      <c r="K25" s="39"/>
      <c r="L25" s="40"/>
      <c r="M25" s="41"/>
      <c r="N25" s="42"/>
      <c r="O25" s="38"/>
      <c r="P25" s="13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35"/>
      <c r="B26" s="36"/>
      <c r="C26" s="36"/>
      <c r="D26" s="36"/>
      <c r="E26" s="36"/>
      <c r="F26" s="36"/>
      <c r="G26" s="36"/>
      <c r="H26" s="37"/>
      <c r="I26" s="36"/>
      <c r="J26" s="38"/>
      <c r="K26" s="39"/>
      <c r="L26" s="40"/>
      <c r="M26" s="41"/>
      <c r="N26" s="42"/>
      <c r="O26" s="38"/>
      <c r="P26" s="13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35"/>
      <c r="B27" s="36"/>
      <c r="C27" s="36"/>
      <c r="D27" s="36"/>
      <c r="E27" s="36"/>
      <c r="F27" s="36"/>
      <c r="G27" s="36"/>
      <c r="H27" s="37"/>
      <c r="I27" s="36"/>
      <c r="J27" s="38"/>
      <c r="K27" s="39"/>
      <c r="L27" s="40"/>
      <c r="M27" s="41"/>
      <c r="N27" s="42"/>
      <c r="O27" s="38"/>
      <c r="P27" s="13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35"/>
      <c r="B28" s="36"/>
      <c r="C28" s="36"/>
      <c r="D28" s="36"/>
      <c r="E28" s="36"/>
      <c r="F28" s="36"/>
      <c r="G28" s="36"/>
      <c r="H28" s="37"/>
      <c r="I28" s="36"/>
      <c r="J28" s="38"/>
      <c r="K28" s="39"/>
      <c r="L28" s="40"/>
      <c r="M28" s="41"/>
      <c r="N28" s="42"/>
      <c r="O28" s="38"/>
      <c r="P28" s="13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35"/>
      <c r="B29" s="36"/>
      <c r="C29" s="36"/>
      <c r="D29" s="36"/>
      <c r="E29" s="36"/>
      <c r="F29" s="36"/>
      <c r="G29" s="36"/>
      <c r="H29" s="37"/>
      <c r="I29" s="36"/>
      <c r="J29" s="38"/>
      <c r="K29" s="39"/>
      <c r="L29" s="40"/>
      <c r="M29" s="41"/>
      <c r="N29" s="42"/>
      <c r="O29" s="38"/>
      <c r="P29" s="13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35"/>
      <c r="B30" s="36"/>
      <c r="C30" s="36"/>
      <c r="D30" s="36"/>
      <c r="E30" s="36"/>
      <c r="F30" s="36"/>
      <c r="G30" s="36"/>
      <c r="H30" s="37"/>
      <c r="I30" s="36"/>
      <c r="J30" s="38"/>
      <c r="K30" s="39"/>
      <c r="L30" s="40"/>
      <c r="M30" s="41"/>
      <c r="N30" s="42"/>
      <c r="O30" s="38"/>
      <c r="P30" s="13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35"/>
      <c r="B31" s="36"/>
      <c r="C31" s="36"/>
      <c r="D31" s="36"/>
      <c r="E31" s="36"/>
      <c r="F31" s="36"/>
      <c r="G31" s="36"/>
      <c r="H31" s="37"/>
      <c r="I31" s="36"/>
      <c r="J31" s="38"/>
      <c r="K31" s="39"/>
      <c r="L31" s="40"/>
      <c r="M31" s="41"/>
      <c r="N31" s="42"/>
      <c r="O31" s="38"/>
      <c r="P31" s="13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35"/>
      <c r="B32" s="36"/>
      <c r="C32" s="36"/>
      <c r="D32" s="36"/>
      <c r="E32" s="36"/>
      <c r="F32" s="36"/>
      <c r="G32" s="36"/>
      <c r="H32" s="37"/>
      <c r="I32" s="36"/>
      <c r="J32" s="38"/>
      <c r="K32" s="39"/>
      <c r="L32" s="40"/>
      <c r="M32" s="41"/>
      <c r="N32" s="42"/>
      <c r="O32" s="38"/>
      <c r="P32" s="13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43"/>
      <c r="B33" s="44"/>
      <c r="C33" s="44"/>
      <c r="D33" s="44"/>
      <c r="E33" s="44"/>
      <c r="F33" s="44"/>
      <c r="G33" s="44"/>
      <c r="H33" s="45"/>
      <c r="I33" s="44"/>
      <c r="J33" s="46"/>
      <c r="K33" s="47"/>
      <c r="L33" s="48"/>
      <c r="M33" s="49"/>
      <c r="N33" s="50"/>
      <c r="O33" s="46"/>
      <c r="P33" s="13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51"/>
      <c r="B34" s="52"/>
      <c r="C34" s="52"/>
      <c r="D34" s="52"/>
      <c r="E34" s="52"/>
      <c r="F34" s="52"/>
      <c r="G34" s="52"/>
      <c r="H34" s="53"/>
      <c r="I34" s="52"/>
      <c r="J34" s="7"/>
      <c r="K34" s="8"/>
      <c r="L34" s="9"/>
      <c r="M34" s="10"/>
      <c r="N34" s="11"/>
      <c r="O34" s="7"/>
      <c r="P34" s="13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4"/>
      <c r="B35" s="55"/>
      <c r="C35" s="55"/>
      <c r="D35" s="55"/>
      <c r="E35" s="55"/>
      <c r="F35" s="55"/>
      <c r="G35" s="55"/>
      <c r="H35" s="53"/>
      <c r="I35" s="55"/>
      <c r="J35" s="56"/>
      <c r="K35" s="56"/>
      <c r="L35" s="57"/>
      <c r="M35" s="58"/>
      <c r="N35" s="58"/>
      <c r="O35" s="58"/>
      <c r="P35" s="56"/>
      <c r="Q35" s="58"/>
      <c r="R35" s="58"/>
      <c r="S35" s="58"/>
      <c r="T35" s="5"/>
      <c r="U35" s="5"/>
      <c r="V35" s="5"/>
      <c r="W35" s="5"/>
      <c r="X35" s="5"/>
      <c r="Y35" s="5"/>
      <c r="Z35" s="5"/>
    </row>
    <row r="36" ht="15.75" customHeight="1">
      <c r="A36" s="55"/>
      <c r="B36" s="55"/>
      <c r="C36" s="55"/>
      <c r="D36" s="55"/>
      <c r="E36" s="55"/>
      <c r="F36" s="55"/>
      <c r="G36" s="55"/>
      <c r="H36" s="59"/>
      <c r="I36" s="55"/>
      <c r="J36" s="56"/>
      <c r="K36" s="56"/>
      <c r="L36" s="60"/>
      <c r="M36" s="58"/>
      <c r="N36" s="58"/>
      <c r="O36" s="58"/>
      <c r="P36" s="56"/>
      <c r="Q36" s="58"/>
      <c r="R36" s="58"/>
      <c r="S36" s="58"/>
      <c r="T36" s="5"/>
      <c r="U36" s="5"/>
      <c r="V36" s="5"/>
      <c r="W36" s="5"/>
      <c r="X36" s="5"/>
      <c r="Y36" s="5"/>
      <c r="Z36" s="5"/>
    </row>
    <row r="37" ht="15.75" customHeight="1">
      <c r="A37" s="55"/>
      <c r="B37" s="55"/>
      <c r="C37" s="55"/>
      <c r="D37" s="55"/>
      <c r="E37" s="55"/>
      <c r="F37" s="55"/>
      <c r="G37" s="55"/>
      <c r="H37" s="59"/>
      <c r="I37" s="55"/>
      <c r="J37" s="56"/>
      <c r="K37" s="56"/>
      <c r="L37" s="60"/>
      <c r="M37" s="58"/>
      <c r="N37" s="58"/>
      <c r="O37" s="58"/>
      <c r="P37" s="56"/>
      <c r="Q37" s="58"/>
      <c r="R37" s="58"/>
      <c r="S37" s="58"/>
      <c r="T37" s="5"/>
      <c r="U37" s="5"/>
      <c r="V37" s="5"/>
      <c r="W37" s="5"/>
      <c r="X37" s="5"/>
      <c r="Y37" s="5"/>
      <c r="Z37" s="5"/>
    </row>
    <row r="38" ht="15.75" customHeight="1">
      <c r="A38" s="55"/>
      <c r="B38" s="55"/>
      <c r="C38" s="55"/>
      <c r="D38" s="55"/>
      <c r="E38" s="55"/>
      <c r="F38" s="55"/>
      <c r="G38" s="55"/>
      <c r="H38" s="59"/>
      <c r="I38" s="55"/>
      <c r="J38" s="56"/>
      <c r="K38" s="56"/>
      <c r="L38" s="60"/>
      <c r="M38" s="58"/>
      <c r="N38" s="58"/>
      <c r="O38" s="58"/>
      <c r="P38" s="56"/>
      <c r="Q38" s="58"/>
      <c r="R38" s="58"/>
      <c r="S38" s="58"/>
      <c r="T38" s="5"/>
      <c r="U38" s="5"/>
      <c r="V38" s="5"/>
      <c r="W38" s="5"/>
      <c r="X38" s="5"/>
      <c r="Y38" s="5"/>
      <c r="Z38" s="5"/>
    </row>
    <row r="39" ht="15.75" customHeight="1">
      <c r="A39" s="55"/>
      <c r="B39" s="55"/>
      <c r="C39" s="55"/>
      <c r="D39" s="55"/>
      <c r="E39" s="55"/>
      <c r="F39" s="55"/>
      <c r="G39" s="55"/>
      <c r="H39" s="59"/>
      <c r="I39" s="55"/>
      <c r="J39" s="56"/>
      <c r="K39" s="56"/>
      <c r="L39" s="60"/>
      <c r="M39" s="58"/>
      <c r="N39" s="58"/>
      <c r="O39" s="58"/>
      <c r="P39" s="56"/>
      <c r="Q39" s="58"/>
      <c r="R39" s="58"/>
      <c r="S39" s="58"/>
      <c r="T39" s="5"/>
      <c r="U39" s="5"/>
      <c r="V39" s="5"/>
      <c r="W39" s="5"/>
      <c r="X39" s="5"/>
      <c r="Y39" s="5"/>
      <c r="Z39" s="5"/>
    </row>
    <row r="40" ht="15.75" customHeight="1">
      <c r="A40" s="55"/>
      <c r="B40" s="55"/>
      <c r="C40" s="55"/>
      <c r="D40" s="55"/>
      <c r="E40" s="55"/>
      <c r="F40" s="55"/>
      <c r="G40" s="55"/>
      <c r="H40" s="59"/>
      <c r="I40" s="55"/>
      <c r="J40" s="56"/>
      <c r="K40" s="56"/>
      <c r="L40" s="60"/>
      <c r="M40" s="58"/>
      <c r="N40" s="58"/>
      <c r="O40" s="58"/>
      <c r="P40" s="56"/>
      <c r="Q40" s="58"/>
      <c r="R40" s="58"/>
      <c r="S40" s="58"/>
      <c r="T40" s="5"/>
      <c r="U40" s="5"/>
      <c r="V40" s="5"/>
      <c r="W40" s="5"/>
      <c r="X40" s="5"/>
      <c r="Y40" s="5"/>
      <c r="Z40" s="5"/>
    </row>
    <row r="41" ht="15.75" customHeight="1">
      <c r="A41" s="55"/>
      <c r="B41" s="55"/>
      <c r="C41" s="55"/>
      <c r="D41" s="55"/>
      <c r="E41" s="55"/>
      <c r="F41" s="55"/>
      <c r="G41" s="55"/>
      <c r="H41" s="59"/>
      <c r="I41" s="55"/>
      <c r="J41" s="56"/>
      <c r="K41" s="56"/>
      <c r="L41" s="60"/>
      <c r="M41" s="58"/>
      <c r="N41" s="58"/>
      <c r="O41" s="58"/>
      <c r="P41" s="56"/>
      <c r="Q41" s="58"/>
      <c r="R41" s="58"/>
      <c r="S41" s="58"/>
      <c r="T41" s="5"/>
      <c r="U41" s="5"/>
      <c r="V41" s="5"/>
      <c r="W41" s="5"/>
      <c r="X41" s="5"/>
      <c r="Y41" s="5"/>
      <c r="Z41" s="5"/>
    </row>
    <row r="42" ht="15.75" customHeight="1">
      <c r="A42" s="55"/>
      <c r="B42" s="55"/>
      <c r="C42" s="55"/>
      <c r="D42" s="55"/>
      <c r="E42" s="55"/>
      <c r="F42" s="55"/>
      <c r="G42" s="55"/>
      <c r="H42" s="59"/>
      <c r="I42" s="55"/>
      <c r="J42" s="56"/>
      <c r="K42" s="56"/>
      <c r="L42" s="60"/>
      <c r="M42" s="58"/>
      <c r="N42" s="58"/>
      <c r="O42" s="58"/>
      <c r="P42" s="56"/>
      <c r="Q42" s="58"/>
      <c r="R42" s="58"/>
      <c r="S42" s="58"/>
      <c r="T42" s="5"/>
      <c r="U42" s="5"/>
      <c r="V42" s="5"/>
      <c r="W42" s="5"/>
      <c r="X42" s="5"/>
      <c r="Y42" s="5"/>
      <c r="Z42" s="5"/>
    </row>
    <row r="43" ht="15.75" customHeight="1">
      <c r="A43" s="55"/>
      <c r="B43" s="55"/>
      <c r="C43" s="55"/>
      <c r="D43" s="55"/>
      <c r="E43" s="55"/>
      <c r="F43" s="55"/>
      <c r="G43" s="55"/>
      <c r="H43" s="61"/>
      <c r="I43" s="55"/>
      <c r="J43" s="56"/>
      <c r="K43" s="56"/>
      <c r="L43" s="60"/>
      <c r="M43" s="58"/>
      <c r="N43" s="58"/>
      <c r="O43" s="58"/>
      <c r="P43" s="56"/>
      <c r="Q43" s="58"/>
      <c r="R43" s="58"/>
      <c r="S43" s="58"/>
      <c r="T43" s="5"/>
      <c r="U43" s="5"/>
      <c r="V43" s="5"/>
      <c r="W43" s="5"/>
      <c r="X43" s="5"/>
      <c r="Y43" s="5"/>
      <c r="Z43" s="5"/>
    </row>
    <row r="44" ht="15.75" customHeight="1">
      <c r="A44" s="55"/>
      <c r="B44" s="55"/>
      <c r="C44" s="55"/>
      <c r="D44" s="55"/>
      <c r="E44" s="55"/>
      <c r="F44" s="55"/>
      <c r="G44" s="55"/>
      <c r="H44" s="59"/>
      <c r="I44" s="55"/>
      <c r="J44" s="56"/>
      <c r="K44" s="56"/>
      <c r="L44" s="60"/>
      <c r="M44" s="58"/>
      <c r="N44" s="58"/>
      <c r="O44" s="58"/>
      <c r="P44" s="56"/>
      <c r="Q44" s="58"/>
      <c r="R44" s="58"/>
      <c r="S44" s="58"/>
      <c r="T44" s="5"/>
      <c r="U44" s="5"/>
      <c r="V44" s="5"/>
      <c r="W44" s="5"/>
      <c r="X44" s="5"/>
      <c r="Y44" s="5"/>
      <c r="Z44" s="5"/>
    </row>
    <row r="45" ht="15.75" customHeight="1">
      <c r="A45" s="55"/>
      <c r="B45" s="55"/>
      <c r="C45" s="55"/>
      <c r="D45" s="55"/>
      <c r="E45" s="55"/>
      <c r="F45" s="55"/>
      <c r="G45" s="55"/>
      <c r="H45" s="59"/>
      <c r="I45" s="55"/>
      <c r="J45" s="56"/>
      <c r="K45" s="56"/>
      <c r="L45" s="60"/>
      <c r="M45" s="58"/>
      <c r="N45" s="58"/>
      <c r="O45" s="58"/>
      <c r="P45" s="56"/>
      <c r="Q45" s="58"/>
      <c r="R45" s="58"/>
      <c r="S45" s="58"/>
      <c r="T45" s="5"/>
      <c r="U45" s="5"/>
      <c r="V45" s="5"/>
      <c r="W45" s="5"/>
      <c r="X45" s="5"/>
      <c r="Y45" s="5"/>
      <c r="Z45" s="5"/>
    </row>
    <row r="46" ht="15.75" customHeight="1">
      <c r="A46" s="55"/>
      <c r="B46" s="55"/>
      <c r="C46" s="55"/>
      <c r="D46" s="55"/>
      <c r="E46" s="55"/>
      <c r="F46" s="55"/>
      <c r="G46" s="55"/>
      <c r="H46" s="59"/>
      <c r="I46" s="55"/>
      <c r="J46" s="56"/>
      <c r="K46" s="56"/>
      <c r="L46" s="60"/>
      <c r="M46" s="58"/>
      <c r="N46" s="58"/>
      <c r="O46" s="58"/>
      <c r="P46" s="56"/>
      <c r="Q46" s="58"/>
      <c r="R46" s="58"/>
      <c r="S46" s="58"/>
      <c r="T46" s="5"/>
      <c r="U46" s="5"/>
      <c r="V46" s="5"/>
      <c r="W46" s="5"/>
      <c r="X46" s="5"/>
      <c r="Y46" s="5"/>
      <c r="Z46" s="5"/>
    </row>
    <row r="47" ht="15.75" customHeight="1">
      <c r="A47" s="55"/>
      <c r="B47" s="55"/>
      <c r="C47" s="55"/>
      <c r="D47" s="55"/>
      <c r="E47" s="55"/>
      <c r="F47" s="55"/>
      <c r="G47" s="55"/>
      <c r="H47" s="59"/>
      <c r="I47" s="55"/>
      <c r="J47" s="56"/>
      <c r="K47" s="56"/>
      <c r="L47" s="60"/>
      <c r="M47" s="58"/>
      <c r="N47" s="58"/>
      <c r="O47" s="58"/>
      <c r="P47" s="56"/>
      <c r="Q47" s="58"/>
      <c r="R47" s="58"/>
      <c r="S47" s="58"/>
      <c r="T47" s="5"/>
      <c r="U47" s="5"/>
      <c r="V47" s="5"/>
      <c r="W47" s="5"/>
      <c r="X47" s="5"/>
      <c r="Y47" s="5"/>
      <c r="Z47" s="5"/>
    </row>
    <row r="48" ht="15.75" customHeight="1">
      <c r="A48" s="55"/>
      <c r="B48" s="55"/>
      <c r="C48" s="55"/>
      <c r="D48" s="55"/>
      <c r="E48" s="55"/>
      <c r="F48" s="55"/>
      <c r="G48" s="55"/>
      <c r="H48" s="59"/>
      <c r="I48" s="55"/>
      <c r="J48" s="56"/>
      <c r="K48" s="56"/>
      <c r="L48" s="60"/>
      <c r="M48" s="58"/>
      <c r="N48" s="58"/>
      <c r="O48" s="58"/>
      <c r="P48" s="56"/>
      <c r="Q48" s="58"/>
      <c r="R48" s="58"/>
      <c r="S48" s="58"/>
      <c r="T48" s="5"/>
      <c r="U48" s="5"/>
      <c r="V48" s="5"/>
      <c r="W48" s="5"/>
      <c r="X48" s="5"/>
      <c r="Y48" s="5"/>
      <c r="Z48" s="5"/>
    </row>
    <row r="49" ht="15.75" customHeight="1">
      <c r="A49" s="55"/>
      <c r="B49" s="55"/>
      <c r="C49" s="55"/>
      <c r="D49" s="55"/>
      <c r="E49" s="55"/>
      <c r="F49" s="55"/>
      <c r="G49" s="55"/>
      <c r="H49" s="59"/>
      <c r="I49" s="55"/>
      <c r="J49" s="56"/>
      <c r="K49" s="56"/>
      <c r="L49" s="60"/>
      <c r="M49" s="58"/>
      <c r="N49" s="58"/>
      <c r="O49" s="58"/>
      <c r="P49" s="56"/>
      <c r="Q49" s="58"/>
      <c r="R49" s="58"/>
      <c r="S49" s="58"/>
      <c r="T49" s="5"/>
      <c r="U49" s="5"/>
      <c r="V49" s="5"/>
      <c r="W49" s="5"/>
      <c r="X49" s="5"/>
      <c r="Y49" s="5"/>
      <c r="Z49" s="5"/>
    </row>
    <row r="50" ht="15.75" customHeight="1">
      <c r="A50" s="55"/>
      <c r="B50" s="55"/>
      <c r="C50" s="55"/>
      <c r="D50" s="55"/>
      <c r="E50" s="55"/>
      <c r="F50" s="55"/>
      <c r="G50" s="55"/>
      <c r="H50" s="59"/>
      <c r="I50" s="55"/>
      <c r="J50" s="56"/>
      <c r="K50" s="56"/>
      <c r="L50" s="60"/>
      <c r="M50" s="58"/>
      <c r="N50" s="58"/>
      <c r="O50" s="58"/>
      <c r="P50" s="56"/>
      <c r="Q50" s="58"/>
      <c r="R50" s="58"/>
      <c r="S50" s="58"/>
      <c r="T50" s="5"/>
      <c r="U50" s="5"/>
      <c r="V50" s="5"/>
      <c r="W50" s="5"/>
      <c r="X50" s="5"/>
      <c r="Y50" s="5"/>
      <c r="Z50" s="5"/>
    </row>
    <row r="51" ht="15.75" customHeight="1">
      <c r="A51" s="55"/>
      <c r="B51" s="55"/>
      <c r="C51" s="55"/>
      <c r="D51" s="55"/>
      <c r="E51" s="55"/>
      <c r="F51" s="55"/>
      <c r="G51" s="55"/>
      <c r="H51" s="59"/>
      <c r="I51" s="55"/>
      <c r="J51" s="56"/>
      <c r="K51" s="56"/>
      <c r="L51" s="60"/>
      <c r="M51" s="58"/>
      <c r="N51" s="58"/>
      <c r="O51" s="58"/>
      <c r="P51" s="56"/>
      <c r="Q51" s="58"/>
      <c r="R51" s="58"/>
      <c r="S51" s="58"/>
      <c r="T51" s="5"/>
      <c r="U51" s="5"/>
      <c r="V51" s="5"/>
      <c r="W51" s="5"/>
      <c r="X51" s="5"/>
      <c r="Y51" s="5"/>
      <c r="Z51" s="5"/>
    </row>
    <row r="52" ht="15.75" customHeight="1">
      <c r="A52" s="55"/>
      <c r="B52" s="55"/>
      <c r="C52" s="55"/>
      <c r="D52" s="55"/>
      <c r="E52" s="55"/>
      <c r="F52" s="55"/>
      <c r="G52" s="55"/>
      <c r="H52" s="59"/>
      <c r="I52" s="55"/>
      <c r="J52" s="56"/>
      <c r="K52" s="56"/>
      <c r="L52" s="60"/>
      <c r="M52" s="58"/>
      <c r="N52" s="58"/>
      <c r="O52" s="58"/>
      <c r="P52" s="56"/>
      <c r="Q52" s="58"/>
      <c r="R52" s="58"/>
      <c r="S52" s="58"/>
      <c r="T52" s="5"/>
      <c r="U52" s="5"/>
      <c r="V52" s="5"/>
      <c r="W52" s="5"/>
      <c r="X52" s="5"/>
      <c r="Y52" s="5"/>
      <c r="Z52" s="5"/>
    </row>
    <row r="53" ht="15.75" customHeight="1">
      <c r="A53" s="55"/>
      <c r="B53" s="55"/>
      <c r="C53" s="55"/>
      <c r="D53" s="55"/>
      <c r="E53" s="55"/>
      <c r="F53" s="55"/>
      <c r="G53" s="55"/>
      <c r="H53" s="59"/>
      <c r="I53" s="55"/>
      <c r="J53" s="56"/>
      <c r="K53" s="56"/>
      <c r="L53" s="60"/>
      <c r="M53" s="58"/>
      <c r="N53" s="58"/>
      <c r="O53" s="58"/>
      <c r="P53" s="56"/>
      <c r="Q53" s="58"/>
      <c r="R53" s="58"/>
      <c r="S53" s="58"/>
      <c r="T53" s="5"/>
      <c r="U53" s="5"/>
      <c r="V53" s="5"/>
      <c r="W53" s="5"/>
      <c r="X53" s="5"/>
      <c r="Y53" s="5"/>
      <c r="Z53" s="5"/>
    </row>
    <row r="54" ht="15.75" customHeight="1">
      <c r="A54" s="62"/>
      <c r="B54" s="62"/>
      <c r="C54" s="62"/>
      <c r="D54" s="62"/>
      <c r="E54" s="62"/>
      <c r="F54" s="62"/>
      <c r="G54" s="62"/>
      <c r="H54" s="63"/>
      <c r="I54" s="62"/>
      <c r="J54" s="64"/>
      <c r="K54" s="64"/>
      <c r="L54" s="65"/>
      <c r="M54" s="66"/>
      <c r="N54" s="66"/>
      <c r="O54" s="66"/>
      <c r="P54" s="56"/>
      <c r="Q54" s="58"/>
      <c r="R54" s="58"/>
      <c r="S54" s="58"/>
      <c r="T54" s="5"/>
      <c r="U54" s="5"/>
      <c r="V54" s="5"/>
      <c r="W54" s="5"/>
      <c r="X54" s="5"/>
      <c r="Y54" s="5"/>
      <c r="Z54" s="5"/>
    </row>
    <row r="55" ht="15.75" customHeight="1">
      <c r="A55" s="58"/>
      <c r="B55" s="58"/>
      <c r="C55" s="58"/>
      <c r="D55" s="58"/>
      <c r="E55" s="58"/>
      <c r="F55" s="58"/>
      <c r="G55" s="58"/>
      <c r="H55" s="67"/>
      <c r="I55" s="58"/>
      <c r="J55" s="58"/>
      <c r="K55" s="58"/>
      <c r="L55" s="58"/>
      <c r="M55" s="58"/>
      <c r="N55" s="58"/>
      <c r="O55" s="58"/>
      <c r="P55" s="56"/>
      <c r="Q55" s="58"/>
      <c r="R55" s="58"/>
      <c r="S55" s="58"/>
      <c r="T55" s="5"/>
      <c r="U55" s="5"/>
      <c r="V55" s="5"/>
      <c r="W55" s="5"/>
      <c r="X55" s="5"/>
      <c r="Y55" s="5"/>
      <c r="Z55" s="5"/>
    </row>
    <row r="56" ht="15.75" customHeight="1">
      <c r="A56" s="58"/>
      <c r="B56" s="58"/>
      <c r="C56" s="58"/>
      <c r="D56" s="58"/>
      <c r="E56" s="58"/>
      <c r="F56" s="58"/>
      <c r="G56" s="58"/>
      <c r="H56" s="67"/>
      <c r="I56" s="58"/>
      <c r="J56" s="58"/>
      <c r="K56" s="58"/>
      <c r="L56" s="58"/>
      <c r="M56" s="58"/>
      <c r="N56" s="58"/>
      <c r="O56" s="58"/>
      <c r="P56" s="56"/>
      <c r="Q56" s="58"/>
      <c r="R56" s="58"/>
      <c r="S56" s="58"/>
      <c r="T56" s="5"/>
      <c r="U56" s="5"/>
      <c r="V56" s="5"/>
      <c r="W56" s="5"/>
      <c r="X56" s="5"/>
      <c r="Y56" s="5"/>
      <c r="Z56" s="5"/>
    </row>
    <row r="57" ht="15.75" customHeight="1">
      <c r="A57" s="58"/>
      <c r="B57" s="58"/>
      <c r="C57" s="58"/>
      <c r="D57" s="58"/>
      <c r="E57" s="58"/>
      <c r="F57" s="58"/>
      <c r="G57" s="58"/>
      <c r="H57" s="67"/>
      <c r="I57" s="58"/>
      <c r="J57" s="58"/>
      <c r="K57" s="58"/>
      <c r="L57" s="58"/>
      <c r="M57" s="58"/>
      <c r="N57" s="58"/>
      <c r="O57" s="58"/>
      <c r="P57" s="56"/>
      <c r="Q57" s="58"/>
      <c r="R57" s="58"/>
      <c r="S57" s="58"/>
      <c r="T57" s="5"/>
      <c r="U57" s="5"/>
      <c r="V57" s="5"/>
      <c r="W57" s="5"/>
      <c r="X57" s="5"/>
      <c r="Y57" s="5"/>
      <c r="Z57" s="5"/>
    </row>
    <row r="58" ht="15.75" customHeight="1">
      <c r="A58" s="58"/>
      <c r="B58" s="58"/>
      <c r="C58" s="58"/>
      <c r="D58" s="58"/>
      <c r="E58" s="58"/>
      <c r="F58" s="58"/>
      <c r="G58" s="58"/>
      <c r="H58" s="67"/>
      <c r="I58" s="58"/>
      <c r="J58" s="58"/>
      <c r="K58" s="58"/>
      <c r="L58" s="58"/>
      <c r="M58" s="58"/>
      <c r="N58" s="58"/>
      <c r="O58" s="58"/>
      <c r="P58" s="56"/>
      <c r="Q58" s="58"/>
      <c r="R58" s="58"/>
      <c r="S58" s="58"/>
      <c r="T58" s="5"/>
      <c r="U58" s="5"/>
      <c r="V58" s="5"/>
      <c r="W58" s="5"/>
      <c r="X58" s="5"/>
      <c r="Y58" s="5"/>
      <c r="Z58" s="5"/>
    </row>
    <row r="59" ht="15.75" customHeight="1">
      <c r="A59" s="58"/>
      <c r="B59" s="58"/>
      <c r="C59" s="58"/>
      <c r="D59" s="58"/>
      <c r="E59" s="58"/>
      <c r="F59" s="58"/>
      <c r="G59" s="58"/>
      <c r="H59" s="67"/>
      <c r="I59" s="58"/>
      <c r="J59" s="58"/>
      <c r="K59" s="58"/>
      <c r="L59" s="58"/>
      <c r="M59" s="58"/>
      <c r="N59" s="58"/>
      <c r="O59" s="58"/>
      <c r="P59" s="56"/>
      <c r="Q59" s="58"/>
      <c r="R59" s="58"/>
      <c r="S59" s="58"/>
      <c r="T59" s="5"/>
      <c r="U59" s="5"/>
      <c r="V59" s="5"/>
      <c r="W59" s="5"/>
      <c r="X59" s="5"/>
      <c r="Y59" s="5"/>
      <c r="Z59" s="5"/>
    </row>
    <row r="60" ht="15.75" customHeight="1">
      <c r="A60" s="58"/>
      <c r="B60" s="58"/>
      <c r="C60" s="58"/>
      <c r="D60" s="58"/>
      <c r="E60" s="58"/>
      <c r="F60" s="58"/>
      <c r="G60" s="58"/>
      <c r="H60" s="67"/>
      <c r="I60" s="58"/>
      <c r="J60" s="58"/>
      <c r="K60" s="58"/>
      <c r="L60" s="58"/>
      <c r="M60" s="58"/>
      <c r="N60" s="58"/>
      <c r="O60" s="58"/>
      <c r="P60" s="56"/>
      <c r="Q60" s="58"/>
      <c r="R60" s="58"/>
      <c r="S60" s="58"/>
      <c r="T60" s="5"/>
      <c r="U60" s="5"/>
      <c r="V60" s="5"/>
      <c r="W60" s="5"/>
      <c r="X60" s="5"/>
      <c r="Y60" s="5"/>
      <c r="Z60" s="5"/>
    </row>
    <row r="61" ht="15.75" customHeight="1">
      <c r="A61" s="58"/>
      <c r="B61" s="58"/>
      <c r="C61" s="58"/>
      <c r="D61" s="58"/>
      <c r="E61" s="58"/>
      <c r="F61" s="58"/>
      <c r="G61" s="58"/>
      <c r="H61" s="67"/>
      <c r="I61" s="58"/>
      <c r="J61" s="58"/>
      <c r="K61" s="58"/>
      <c r="L61" s="58"/>
      <c r="M61" s="58"/>
      <c r="N61" s="58"/>
      <c r="O61" s="58"/>
      <c r="P61" s="56"/>
      <c r="Q61" s="58"/>
      <c r="R61" s="58"/>
      <c r="S61" s="58"/>
      <c r="T61" s="5"/>
      <c r="U61" s="5"/>
      <c r="V61" s="5"/>
      <c r="W61" s="5"/>
      <c r="X61" s="5"/>
      <c r="Y61" s="5"/>
      <c r="Z61" s="5"/>
    </row>
    <row r="62" ht="15.75" customHeight="1">
      <c r="A62" s="58"/>
      <c r="B62" s="58"/>
      <c r="C62" s="58"/>
      <c r="D62" s="58"/>
      <c r="E62" s="58"/>
      <c r="F62" s="58"/>
      <c r="G62" s="58"/>
      <c r="H62" s="67"/>
      <c r="I62" s="58"/>
      <c r="J62" s="58"/>
      <c r="K62" s="58"/>
      <c r="L62" s="58"/>
      <c r="M62" s="58"/>
      <c r="N62" s="58"/>
      <c r="O62" s="58"/>
      <c r="P62" s="56"/>
      <c r="Q62" s="58"/>
      <c r="R62" s="58"/>
      <c r="S62" s="58"/>
      <c r="T62" s="5"/>
      <c r="U62" s="5"/>
      <c r="V62" s="5"/>
      <c r="W62" s="5"/>
      <c r="X62" s="5"/>
      <c r="Y62" s="5"/>
      <c r="Z62" s="5"/>
    </row>
    <row r="63" ht="15.75" customHeight="1">
      <c r="A63" s="58"/>
      <c r="B63" s="58"/>
      <c r="C63" s="58"/>
      <c r="D63" s="58"/>
      <c r="E63" s="58"/>
      <c r="F63" s="58"/>
      <c r="G63" s="58"/>
      <c r="H63" s="67"/>
      <c r="I63" s="58"/>
      <c r="J63" s="58"/>
      <c r="K63" s="58"/>
      <c r="L63" s="58"/>
      <c r="M63" s="58"/>
      <c r="N63" s="58"/>
      <c r="O63" s="58"/>
      <c r="P63" s="56"/>
      <c r="Q63" s="58"/>
      <c r="R63" s="58"/>
      <c r="S63" s="58"/>
      <c r="T63" s="5"/>
      <c r="U63" s="5"/>
      <c r="V63" s="5"/>
      <c r="W63" s="5"/>
      <c r="X63" s="5"/>
      <c r="Y63" s="5"/>
      <c r="Z63" s="5"/>
    </row>
    <row r="64" ht="15.75" customHeight="1">
      <c r="A64" s="58"/>
      <c r="B64" s="58"/>
      <c r="C64" s="58"/>
      <c r="D64" s="58"/>
      <c r="E64" s="58"/>
      <c r="F64" s="58"/>
      <c r="G64" s="58"/>
      <c r="H64" s="67"/>
      <c r="I64" s="58"/>
      <c r="J64" s="58"/>
      <c r="K64" s="58"/>
      <c r="L64" s="58"/>
      <c r="M64" s="58"/>
      <c r="N64" s="58"/>
      <c r="O64" s="58"/>
      <c r="P64" s="56"/>
      <c r="Q64" s="58"/>
      <c r="R64" s="58"/>
      <c r="S64" s="58"/>
      <c r="T64" s="5"/>
      <c r="U64" s="5"/>
      <c r="V64" s="5"/>
      <c r="W64" s="5"/>
      <c r="X64" s="5"/>
      <c r="Y64" s="5"/>
      <c r="Z64" s="5"/>
    </row>
    <row r="65" ht="15.75" customHeight="1">
      <c r="A65" s="58"/>
      <c r="B65" s="58"/>
      <c r="C65" s="58"/>
      <c r="D65" s="58"/>
      <c r="E65" s="58"/>
      <c r="F65" s="58"/>
      <c r="G65" s="58"/>
      <c r="H65" s="67"/>
      <c r="I65" s="58"/>
      <c r="J65" s="58"/>
      <c r="K65" s="58"/>
      <c r="L65" s="58"/>
      <c r="M65" s="58"/>
      <c r="N65" s="58"/>
      <c r="O65" s="58"/>
      <c r="P65" s="56"/>
      <c r="Q65" s="58"/>
      <c r="R65" s="58"/>
      <c r="S65" s="58"/>
      <c r="T65" s="5"/>
      <c r="U65" s="5"/>
      <c r="V65" s="5"/>
      <c r="W65" s="5"/>
      <c r="X65" s="5"/>
      <c r="Y65" s="5"/>
      <c r="Z65" s="5"/>
    </row>
    <row r="66" ht="15.75" customHeight="1">
      <c r="A66" s="58"/>
      <c r="B66" s="58"/>
      <c r="C66" s="58"/>
      <c r="D66" s="58"/>
      <c r="E66" s="58"/>
      <c r="F66" s="58"/>
      <c r="G66" s="58"/>
      <c r="H66" s="67"/>
      <c r="I66" s="58"/>
      <c r="J66" s="58"/>
      <c r="K66" s="58"/>
      <c r="L66" s="58"/>
      <c r="M66" s="58"/>
      <c r="N66" s="58"/>
      <c r="O66" s="58"/>
      <c r="P66" s="56"/>
      <c r="Q66" s="58"/>
      <c r="R66" s="58"/>
      <c r="S66" s="58"/>
      <c r="T66" s="5"/>
      <c r="U66" s="5"/>
      <c r="V66" s="5"/>
      <c r="W66" s="5"/>
      <c r="X66" s="5"/>
      <c r="Y66" s="5"/>
      <c r="Z66" s="5"/>
    </row>
    <row r="67" ht="15.75" customHeight="1">
      <c r="A67" s="58"/>
      <c r="B67" s="58"/>
      <c r="C67" s="58"/>
      <c r="D67" s="58"/>
      <c r="E67" s="58"/>
      <c r="F67" s="58"/>
      <c r="G67" s="58"/>
      <c r="H67" s="67"/>
      <c r="I67" s="58"/>
      <c r="J67" s="58"/>
      <c r="K67" s="58"/>
      <c r="L67" s="58"/>
      <c r="M67" s="58"/>
      <c r="N67" s="58"/>
      <c r="O67" s="58"/>
      <c r="P67" s="56"/>
      <c r="Q67" s="58"/>
      <c r="R67" s="58"/>
      <c r="S67" s="58"/>
      <c r="T67" s="5"/>
      <c r="U67" s="5"/>
      <c r="V67" s="5"/>
      <c r="W67" s="5"/>
      <c r="X67" s="5"/>
      <c r="Y67" s="5"/>
      <c r="Z67" s="5"/>
    </row>
    <row r="68" ht="15.75" customHeight="1">
      <c r="A68" s="58"/>
      <c r="B68" s="58"/>
      <c r="C68" s="58"/>
      <c r="D68" s="58"/>
      <c r="E68" s="58"/>
      <c r="F68" s="58"/>
      <c r="G68" s="58"/>
      <c r="H68" s="67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"/>
      <c r="U68" s="5"/>
      <c r="V68" s="5"/>
      <c r="W68" s="5"/>
      <c r="X68" s="5"/>
      <c r="Y68" s="5"/>
      <c r="Z68" s="5"/>
    </row>
    <row r="69" ht="15.75" customHeight="1">
      <c r="A69" s="58"/>
      <c r="B69" s="58"/>
      <c r="C69" s="58"/>
      <c r="D69" s="58"/>
      <c r="E69" s="58"/>
      <c r="F69" s="58"/>
      <c r="G69" s="58"/>
      <c r="H69" s="67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"/>
      <c r="U69" s="5"/>
      <c r="V69" s="5"/>
      <c r="W69" s="5"/>
      <c r="X69" s="5"/>
      <c r="Y69" s="5"/>
      <c r="Z69" s="5"/>
    </row>
    <row r="70" ht="15.75" customHeight="1">
      <c r="A70" s="58"/>
      <c r="B70" s="58"/>
      <c r="C70" s="58"/>
      <c r="D70" s="58"/>
      <c r="E70" s="58"/>
      <c r="F70" s="58"/>
      <c r="G70" s="58"/>
      <c r="H70" s="67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"/>
      <c r="U70" s="5"/>
      <c r="V70" s="5"/>
      <c r="W70" s="5"/>
      <c r="X70" s="5"/>
      <c r="Y70" s="5"/>
      <c r="Z70" s="5"/>
    </row>
    <row r="71" ht="15.75" customHeight="1">
      <c r="A71" s="58"/>
      <c r="B71" s="58"/>
      <c r="C71" s="58"/>
      <c r="D71" s="58"/>
      <c r="E71" s="58"/>
      <c r="F71" s="58"/>
      <c r="G71" s="58"/>
      <c r="H71" s="67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"/>
      <c r="U71" s="5"/>
      <c r="V71" s="5"/>
      <c r="W71" s="5"/>
      <c r="X71" s="5"/>
      <c r="Y71" s="5"/>
      <c r="Z71" s="5"/>
    </row>
    <row r="72" ht="15.75" customHeight="1">
      <c r="A72" s="58"/>
      <c r="B72" s="58"/>
      <c r="C72" s="58"/>
      <c r="D72" s="58"/>
      <c r="E72" s="58"/>
      <c r="F72" s="58"/>
      <c r="G72" s="58"/>
      <c r="H72" s="67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"/>
      <c r="U72" s="5"/>
      <c r="V72" s="5"/>
      <c r="W72" s="5"/>
      <c r="X72" s="5"/>
      <c r="Y72" s="5"/>
      <c r="Z72" s="5"/>
    </row>
    <row r="73" ht="15.75" customHeight="1">
      <c r="A73" s="58"/>
      <c r="B73" s="58"/>
      <c r="C73" s="58"/>
      <c r="D73" s="58"/>
      <c r="E73" s="58"/>
      <c r="F73" s="58"/>
      <c r="G73" s="58"/>
      <c r="H73" s="67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"/>
      <c r="U73" s="5"/>
      <c r="V73" s="5"/>
      <c r="W73" s="5"/>
      <c r="X73" s="5"/>
      <c r="Y73" s="5"/>
      <c r="Z73" s="5"/>
    </row>
    <row r="74" ht="15.75" customHeight="1">
      <c r="A74" s="58"/>
      <c r="B74" s="58"/>
      <c r="C74" s="58"/>
      <c r="D74" s="58"/>
      <c r="E74" s="58"/>
      <c r="F74" s="58"/>
      <c r="G74" s="58"/>
      <c r="H74" s="67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"/>
      <c r="U74" s="5"/>
      <c r="V74" s="5"/>
      <c r="W74" s="5"/>
      <c r="X74" s="5"/>
      <c r="Y74" s="5"/>
      <c r="Z74" s="5"/>
    </row>
    <row r="75" ht="15.75" customHeight="1">
      <c r="A75" s="58"/>
      <c r="B75" s="58"/>
      <c r="C75" s="58"/>
      <c r="D75" s="58"/>
      <c r="E75" s="58"/>
      <c r="F75" s="58"/>
      <c r="G75" s="58"/>
      <c r="H75" s="67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"/>
      <c r="U75" s="5"/>
      <c r="V75" s="5"/>
      <c r="W75" s="5"/>
      <c r="X75" s="5"/>
      <c r="Y75" s="5"/>
      <c r="Z75" s="5"/>
    </row>
    <row r="76" ht="15.75" customHeight="1">
      <c r="A76" s="58"/>
      <c r="B76" s="58"/>
      <c r="C76" s="58"/>
      <c r="D76" s="58"/>
      <c r="E76" s="58"/>
      <c r="F76" s="58"/>
      <c r="G76" s="58"/>
      <c r="H76" s="67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"/>
      <c r="U76" s="5"/>
      <c r="V76" s="5"/>
      <c r="W76" s="5"/>
      <c r="X76" s="5"/>
      <c r="Y76" s="5"/>
      <c r="Z76" s="5"/>
    </row>
    <row r="77" ht="15.75" customHeight="1">
      <c r="A77" s="58"/>
      <c r="B77" s="58"/>
      <c r="C77" s="58"/>
      <c r="D77" s="58"/>
      <c r="E77" s="58"/>
      <c r="F77" s="58"/>
      <c r="G77" s="58"/>
      <c r="H77" s="67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"/>
      <c r="U77" s="5"/>
      <c r="V77" s="5"/>
      <c r="W77" s="5"/>
      <c r="X77" s="5"/>
      <c r="Y77" s="5"/>
      <c r="Z77" s="5"/>
    </row>
    <row r="78" ht="15.75" customHeight="1">
      <c r="A78" s="58"/>
      <c r="B78" s="58"/>
      <c r="C78" s="58"/>
      <c r="D78" s="58"/>
      <c r="E78" s="58"/>
      <c r="F78" s="58"/>
      <c r="G78" s="58"/>
      <c r="H78" s="67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"/>
      <c r="U78" s="5"/>
      <c r="V78" s="5"/>
      <c r="W78" s="5"/>
      <c r="X78" s="5"/>
      <c r="Y78" s="5"/>
      <c r="Z78" s="5"/>
    </row>
    <row r="79" ht="15.75" customHeight="1">
      <c r="A79" s="58"/>
      <c r="B79" s="58"/>
      <c r="C79" s="58"/>
      <c r="D79" s="58"/>
      <c r="E79" s="58"/>
      <c r="F79" s="58"/>
      <c r="G79" s="58"/>
      <c r="H79" s="67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"/>
      <c r="U79" s="5"/>
      <c r="V79" s="5"/>
      <c r="W79" s="5"/>
      <c r="X79" s="5"/>
      <c r="Y79" s="5"/>
      <c r="Z79" s="5"/>
    </row>
    <row r="80" ht="15.75" customHeight="1">
      <c r="A80" s="58"/>
      <c r="B80" s="58"/>
      <c r="C80" s="58"/>
      <c r="D80" s="58"/>
      <c r="E80" s="58"/>
      <c r="F80" s="58"/>
      <c r="G80" s="58"/>
      <c r="H80" s="67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"/>
      <c r="U80" s="5"/>
      <c r="V80" s="5"/>
      <c r="W80" s="5"/>
      <c r="X80" s="5"/>
      <c r="Y80" s="5"/>
      <c r="Z80" s="5"/>
    </row>
    <row r="81" ht="15.75" customHeight="1">
      <c r="A81" s="58"/>
      <c r="B81" s="58"/>
      <c r="C81" s="58"/>
      <c r="D81" s="58"/>
      <c r="E81" s="58"/>
      <c r="F81" s="58"/>
      <c r="G81" s="58"/>
      <c r="H81" s="67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"/>
      <c r="U81" s="5"/>
      <c r="V81" s="5"/>
      <c r="W81" s="5"/>
      <c r="X81" s="5"/>
      <c r="Y81" s="5"/>
      <c r="Z81" s="5"/>
    </row>
    <row r="82" ht="15.75" customHeight="1">
      <c r="A82" s="58"/>
      <c r="B82" s="58"/>
      <c r="C82" s="58"/>
      <c r="D82" s="58"/>
      <c r="E82" s="58"/>
      <c r="F82" s="58"/>
      <c r="G82" s="58"/>
      <c r="H82" s="67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"/>
      <c r="U82" s="5"/>
      <c r="V82" s="5"/>
      <c r="W82" s="5"/>
      <c r="X82" s="5"/>
      <c r="Y82" s="5"/>
      <c r="Z82" s="5"/>
    </row>
    <row r="83" ht="15.75" customHeight="1">
      <c r="A83" s="58"/>
      <c r="B83" s="58"/>
      <c r="C83" s="58"/>
      <c r="D83" s="58"/>
      <c r="E83" s="58"/>
      <c r="F83" s="58"/>
      <c r="G83" s="58"/>
      <c r="H83" s="67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"/>
      <c r="U83" s="5"/>
      <c r="V83" s="5"/>
      <c r="W83" s="5"/>
      <c r="X83" s="5"/>
      <c r="Y83" s="5"/>
      <c r="Z83" s="5"/>
    </row>
    <row r="84" ht="15.75" customHeight="1">
      <c r="A84" s="58"/>
      <c r="B84" s="58"/>
      <c r="C84" s="58"/>
      <c r="D84" s="58"/>
      <c r="E84" s="58"/>
      <c r="F84" s="58"/>
      <c r="G84" s="58"/>
      <c r="H84" s="67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"/>
      <c r="U84" s="5"/>
      <c r="V84" s="5"/>
      <c r="W84" s="5"/>
      <c r="X84" s="5"/>
      <c r="Y84" s="5"/>
      <c r="Z84" s="5"/>
    </row>
    <row r="85" ht="15.75" customHeight="1">
      <c r="A85" s="58"/>
      <c r="B85" s="58"/>
      <c r="C85" s="58"/>
      <c r="D85" s="58"/>
      <c r="E85" s="58"/>
      <c r="F85" s="58"/>
      <c r="G85" s="58"/>
      <c r="H85" s="67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"/>
      <c r="U85" s="5"/>
      <c r="V85" s="5"/>
      <c r="W85" s="5"/>
      <c r="X85" s="5"/>
      <c r="Y85" s="5"/>
      <c r="Z85" s="5"/>
    </row>
    <row r="86" ht="15.75" customHeight="1">
      <c r="A86" s="58"/>
      <c r="B86" s="58"/>
      <c r="C86" s="58"/>
      <c r="D86" s="58"/>
      <c r="E86" s="58"/>
      <c r="F86" s="58"/>
      <c r="G86" s="58"/>
      <c r="H86" s="67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"/>
      <c r="U86" s="5"/>
      <c r="V86" s="5"/>
      <c r="W86" s="5"/>
      <c r="X86" s="5"/>
      <c r="Y86" s="5"/>
      <c r="Z86" s="5"/>
    </row>
    <row r="87" ht="15.75" customHeight="1">
      <c r="A87" s="58"/>
      <c r="B87" s="58"/>
      <c r="C87" s="58"/>
      <c r="D87" s="58"/>
      <c r="E87" s="58"/>
      <c r="F87" s="58"/>
      <c r="G87" s="58"/>
      <c r="H87" s="67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"/>
      <c r="U87" s="5"/>
      <c r="V87" s="5"/>
      <c r="W87" s="5"/>
      <c r="X87" s="5"/>
      <c r="Y87" s="5"/>
      <c r="Z87" s="5"/>
    </row>
    <row r="88" ht="15.75" customHeight="1">
      <c r="A88" s="58"/>
      <c r="B88" s="58"/>
      <c r="C88" s="58"/>
      <c r="D88" s="58"/>
      <c r="E88" s="58"/>
      <c r="F88" s="58"/>
      <c r="G88" s="58"/>
      <c r="H88" s="67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"/>
      <c r="U88" s="5"/>
      <c r="V88" s="5"/>
      <c r="W88" s="5"/>
      <c r="X88" s="5"/>
      <c r="Y88" s="5"/>
      <c r="Z88" s="5"/>
    </row>
    <row r="89" ht="15.75" customHeight="1">
      <c r="A89" s="58"/>
      <c r="B89" s="58"/>
      <c r="C89" s="58"/>
      <c r="D89" s="58"/>
      <c r="E89" s="58"/>
      <c r="F89" s="58"/>
      <c r="G89" s="58"/>
      <c r="H89" s="67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"/>
      <c r="U89" s="5"/>
      <c r="V89" s="5"/>
      <c r="W89" s="5"/>
      <c r="X89" s="5"/>
      <c r="Y89" s="5"/>
      <c r="Z89" s="5"/>
    </row>
    <row r="90" ht="15.75" customHeight="1">
      <c r="A90" s="58"/>
      <c r="B90" s="58"/>
      <c r="C90" s="58"/>
      <c r="D90" s="58"/>
      <c r="E90" s="58"/>
      <c r="F90" s="58"/>
      <c r="G90" s="58"/>
      <c r="H90" s="67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"/>
      <c r="U90" s="5"/>
      <c r="V90" s="5"/>
      <c r="W90" s="5"/>
      <c r="X90" s="5"/>
      <c r="Y90" s="5"/>
      <c r="Z90" s="5"/>
    </row>
    <row r="91" ht="15.75" customHeight="1">
      <c r="A91" s="58"/>
      <c r="B91" s="58"/>
      <c r="C91" s="58"/>
      <c r="D91" s="58"/>
      <c r="E91" s="58"/>
      <c r="F91" s="58"/>
      <c r="G91" s="58"/>
      <c r="H91" s="67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"/>
      <c r="U91" s="5"/>
      <c r="V91" s="5"/>
      <c r="W91" s="5"/>
      <c r="X91" s="5"/>
      <c r="Y91" s="5"/>
      <c r="Z91" s="5"/>
    </row>
    <row r="92" ht="15.75" customHeight="1">
      <c r="A92" s="58"/>
      <c r="B92" s="58"/>
      <c r="C92" s="58"/>
      <c r="D92" s="58"/>
      <c r="E92" s="58"/>
      <c r="F92" s="58"/>
      <c r="G92" s="58"/>
      <c r="H92" s="67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"/>
      <c r="U92" s="5"/>
      <c r="V92" s="5"/>
      <c r="W92" s="5"/>
      <c r="X92" s="5"/>
      <c r="Y92" s="5"/>
      <c r="Z92" s="5"/>
    </row>
    <row r="93" ht="15.75" customHeight="1">
      <c r="A93" s="58"/>
      <c r="B93" s="58"/>
      <c r="C93" s="58"/>
      <c r="D93" s="58"/>
      <c r="E93" s="58"/>
      <c r="F93" s="58"/>
      <c r="G93" s="58"/>
      <c r="H93" s="67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"/>
      <c r="U93" s="5"/>
      <c r="V93" s="5"/>
      <c r="W93" s="5"/>
      <c r="X93" s="5"/>
      <c r="Y93" s="5"/>
      <c r="Z93" s="5"/>
    </row>
    <row r="94" ht="15.75" customHeight="1">
      <c r="A94" s="58"/>
      <c r="B94" s="58"/>
      <c r="C94" s="58"/>
      <c r="D94" s="58"/>
      <c r="E94" s="58"/>
      <c r="F94" s="58"/>
      <c r="G94" s="58"/>
      <c r="H94" s="67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"/>
      <c r="U94" s="5"/>
      <c r="V94" s="5"/>
      <c r="W94" s="5"/>
      <c r="X94" s="5"/>
      <c r="Y94" s="5"/>
      <c r="Z94" s="5"/>
    </row>
    <row r="95" ht="15.75" customHeight="1">
      <c r="A95" s="58"/>
      <c r="B95" s="58"/>
      <c r="C95" s="58"/>
      <c r="D95" s="58"/>
      <c r="E95" s="58"/>
      <c r="F95" s="58"/>
      <c r="G95" s="58"/>
      <c r="H95" s="67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"/>
      <c r="U95" s="5"/>
      <c r="V95" s="5"/>
      <c r="W95" s="5"/>
      <c r="X95" s="5"/>
      <c r="Y95" s="5"/>
      <c r="Z95" s="5"/>
    </row>
    <row r="96" ht="15.75" customHeight="1">
      <c r="A96" s="58"/>
      <c r="B96" s="58"/>
      <c r="C96" s="58"/>
      <c r="D96" s="58"/>
      <c r="E96" s="58"/>
      <c r="F96" s="58"/>
      <c r="G96" s="58"/>
      <c r="H96" s="67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"/>
      <c r="U96" s="5"/>
      <c r="V96" s="5"/>
      <c r="W96" s="5"/>
      <c r="X96" s="5"/>
      <c r="Y96" s="5"/>
      <c r="Z96" s="5"/>
    </row>
    <row r="97" ht="15.75" customHeight="1">
      <c r="A97" s="58"/>
      <c r="B97" s="58"/>
      <c r="C97" s="58"/>
      <c r="D97" s="58"/>
      <c r="E97" s="58"/>
      <c r="F97" s="58"/>
      <c r="G97" s="58"/>
      <c r="H97" s="67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"/>
      <c r="U97" s="5"/>
      <c r="V97" s="5"/>
      <c r="W97" s="5"/>
      <c r="X97" s="5"/>
      <c r="Y97" s="5"/>
      <c r="Z97" s="5"/>
    </row>
    <row r="98" ht="15.75" customHeight="1">
      <c r="A98" s="58"/>
      <c r="B98" s="58"/>
      <c r="C98" s="58"/>
      <c r="D98" s="58"/>
      <c r="E98" s="58"/>
      <c r="F98" s="58"/>
      <c r="G98" s="58"/>
      <c r="H98" s="67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"/>
      <c r="U98" s="5"/>
      <c r="V98" s="5"/>
      <c r="W98" s="5"/>
      <c r="X98" s="5"/>
      <c r="Y98" s="5"/>
      <c r="Z98" s="5"/>
    </row>
    <row r="99" ht="15.75" customHeight="1">
      <c r="A99" s="58"/>
      <c r="B99" s="58"/>
      <c r="C99" s="58"/>
      <c r="D99" s="58"/>
      <c r="E99" s="58"/>
      <c r="F99" s="58"/>
      <c r="G99" s="58"/>
      <c r="H99" s="67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"/>
      <c r="U99" s="5"/>
      <c r="V99" s="5"/>
      <c r="W99" s="5"/>
      <c r="X99" s="5"/>
      <c r="Y99" s="5"/>
      <c r="Z99" s="5"/>
    </row>
    <row r="100" ht="15.75" customHeight="1">
      <c r="A100" s="58"/>
      <c r="B100" s="58"/>
      <c r="C100" s="58"/>
      <c r="D100" s="58"/>
      <c r="E100" s="58"/>
      <c r="F100" s="58"/>
      <c r="G100" s="58"/>
      <c r="H100" s="67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"/>
      <c r="U100" s="5"/>
      <c r="V100" s="5"/>
      <c r="W100" s="5"/>
      <c r="X100" s="5"/>
      <c r="Y100" s="5"/>
      <c r="Z100" s="5"/>
    </row>
    <row r="101" ht="15.75" customHeight="1">
      <c r="A101" s="58"/>
      <c r="B101" s="58"/>
      <c r="C101" s="58"/>
      <c r="D101" s="58"/>
      <c r="E101" s="58"/>
      <c r="F101" s="58"/>
      <c r="G101" s="58"/>
      <c r="H101" s="67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"/>
      <c r="U101" s="5"/>
      <c r="V101" s="5"/>
      <c r="W101" s="5"/>
      <c r="X101" s="5"/>
      <c r="Y101" s="5"/>
      <c r="Z101" s="5"/>
    </row>
    <row r="102" ht="15.75" customHeight="1">
      <c r="A102" s="58"/>
      <c r="B102" s="58"/>
      <c r="C102" s="58"/>
      <c r="D102" s="58"/>
      <c r="E102" s="58"/>
      <c r="F102" s="58"/>
      <c r="G102" s="58"/>
      <c r="H102" s="67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"/>
      <c r="U102" s="5"/>
      <c r="V102" s="5"/>
      <c r="W102" s="5"/>
      <c r="X102" s="5"/>
      <c r="Y102" s="5"/>
      <c r="Z102" s="5"/>
    </row>
    <row r="103" ht="15.75" customHeight="1">
      <c r="A103" s="58"/>
      <c r="B103" s="58"/>
      <c r="C103" s="58"/>
      <c r="D103" s="58"/>
      <c r="E103" s="58"/>
      <c r="F103" s="58"/>
      <c r="G103" s="58"/>
      <c r="H103" s="67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"/>
      <c r="U103" s="5"/>
      <c r="V103" s="5"/>
      <c r="W103" s="5"/>
      <c r="X103" s="5"/>
      <c r="Y103" s="5"/>
      <c r="Z103" s="5"/>
    </row>
    <row r="104" ht="15.75" customHeight="1">
      <c r="A104" s="58"/>
      <c r="B104" s="58"/>
      <c r="C104" s="58"/>
      <c r="D104" s="58"/>
      <c r="E104" s="58"/>
      <c r="F104" s="58"/>
      <c r="G104" s="58"/>
      <c r="H104" s="67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"/>
      <c r="U104" s="5"/>
      <c r="V104" s="5"/>
      <c r="W104" s="5"/>
      <c r="X104" s="5"/>
      <c r="Y104" s="5"/>
      <c r="Z104" s="5"/>
    </row>
    <row r="105" ht="15.75" customHeight="1">
      <c r="A105" s="58"/>
      <c r="B105" s="58"/>
      <c r="C105" s="58"/>
      <c r="D105" s="58"/>
      <c r="E105" s="58"/>
      <c r="F105" s="58"/>
      <c r="G105" s="58"/>
      <c r="H105" s="67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"/>
      <c r="U105" s="5"/>
      <c r="V105" s="5"/>
      <c r="W105" s="5"/>
      <c r="X105" s="5"/>
      <c r="Y105" s="5"/>
      <c r="Z105" s="5"/>
    </row>
    <row r="106" ht="15.75" customHeight="1">
      <c r="A106" s="58"/>
      <c r="B106" s="58"/>
      <c r="C106" s="58"/>
      <c r="D106" s="58"/>
      <c r="E106" s="58"/>
      <c r="F106" s="58"/>
      <c r="G106" s="58"/>
      <c r="H106" s="67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"/>
      <c r="U106" s="5"/>
      <c r="V106" s="5"/>
      <c r="W106" s="5"/>
      <c r="X106" s="5"/>
      <c r="Y106" s="5"/>
      <c r="Z106" s="5"/>
    </row>
    <row r="107" ht="15.75" customHeight="1">
      <c r="A107" s="58"/>
      <c r="B107" s="58"/>
      <c r="C107" s="58"/>
      <c r="D107" s="58"/>
      <c r="E107" s="58"/>
      <c r="F107" s="58"/>
      <c r="G107" s="58"/>
      <c r="H107" s="67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"/>
      <c r="U107" s="5"/>
      <c r="V107" s="5"/>
      <c r="W107" s="5"/>
      <c r="X107" s="5"/>
      <c r="Y107" s="5"/>
      <c r="Z107" s="5"/>
    </row>
    <row r="108" ht="15.75" customHeight="1">
      <c r="A108" s="58"/>
      <c r="B108" s="58"/>
      <c r="C108" s="58"/>
      <c r="D108" s="58"/>
      <c r="E108" s="58"/>
      <c r="F108" s="58"/>
      <c r="G108" s="58"/>
      <c r="H108" s="67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"/>
      <c r="U108" s="5"/>
      <c r="V108" s="5"/>
      <c r="W108" s="5"/>
      <c r="X108" s="5"/>
      <c r="Y108" s="5"/>
      <c r="Z108" s="5"/>
    </row>
    <row r="109" ht="15.75" customHeight="1">
      <c r="A109" s="58"/>
      <c r="B109" s="58"/>
      <c r="C109" s="58"/>
      <c r="D109" s="58"/>
      <c r="E109" s="58"/>
      <c r="F109" s="58"/>
      <c r="G109" s="58"/>
      <c r="H109" s="67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"/>
      <c r="U109" s="5"/>
      <c r="V109" s="5"/>
      <c r="W109" s="5"/>
      <c r="X109" s="5"/>
      <c r="Y109" s="5"/>
      <c r="Z109" s="5"/>
    </row>
    <row r="110" ht="15.75" customHeight="1">
      <c r="A110" s="58"/>
      <c r="B110" s="58"/>
      <c r="C110" s="58"/>
      <c r="D110" s="58"/>
      <c r="E110" s="58"/>
      <c r="F110" s="58"/>
      <c r="G110" s="58"/>
      <c r="H110" s="67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"/>
      <c r="U110" s="5"/>
      <c r="V110" s="5"/>
      <c r="W110" s="5"/>
      <c r="X110" s="5"/>
      <c r="Y110" s="5"/>
      <c r="Z110" s="5"/>
    </row>
    <row r="111" ht="15.75" customHeight="1">
      <c r="A111" s="58"/>
      <c r="B111" s="58"/>
      <c r="C111" s="58"/>
      <c r="D111" s="58"/>
      <c r="E111" s="58"/>
      <c r="F111" s="58"/>
      <c r="G111" s="58"/>
      <c r="H111" s="67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"/>
      <c r="U111" s="5"/>
      <c r="V111" s="5"/>
      <c r="W111" s="5"/>
      <c r="X111" s="5"/>
      <c r="Y111" s="5"/>
      <c r="Z111" s="5"/>
    </row>
    <row r="112" ht="15.75" customHeight="1">
      <c r="A112" s="58"/>
      <c r="B112" s="58"/>
      <c r="C112" s="58"/>
      <c r="D112" s="58"/>
      <c r="E112" s="58"/>
      <c r="F112" s="58"/>
      <c r="G112" s="58"/>
      <c r="H112" s="67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"/>
      <c r="U112" s="5"/>
      <c r="V112" s="5"/>
      <c r="W112" s="5"/>
      <c r="X112" s="5"/>
      <c r="Y112" s="5"/>
      <c r="Z112" s="5"/>
    </row>
    <row r="113" ht="15.75" customHeight="1">
      <c r="A113" s="58"/>
      <c r="B113" s="58"/>
      <c r="C113" s="58"/>
      <c r="D113" s="58"/>
      <c r="E113" s="58"/>
      <c r="F113" s="58"/>
      <c r="G113" s="58"/>
      <c r="H113" s="67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"/>
      <c r="U113" s="5"/>
      <c r="V113" s="5"/>
      <c r="W113" s="5"/>
      <c r="X113" s="5"/>
      <c r="Y113" s="5"/>
      <c r="Z113" s="5"/>
    </row>
    <row r="114" ht="15.75" customHeight="1">
      <c r="A114" s="58"/>
      <c r="B114" s="58"/>
      <c r="C114" s="58"/>
      <c r="D114" s="58"/>
      <c r="E114" s="58"/>
      <c r="F114" s="58"/>
      <c r="G114" s="58"/>
      <c r="H114" s="67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"/>
      <c r="U114" s="5"/>
      <c r="V114" s="5"/>
      <c r="W114" s="5"/>
      <c r="X114" s="5"/>
      <c r="Y114" s="5"/>
      <c r="Z114" s="5"/>
    </row>
    <row r="115" ht="15.75" customHeight="1">
      <c r="A115" s="58"/>
      <c r="B115" s="58"/>
      <c r="C115" s="58"/>
      <c r="D115" s="58"/>
      <c r="E115" s="58"/>
      <c r="F115" s="58"/>
      <c r="G115" s="58"/>
      <c r="H115" s="67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"/>
      <c r="U115" s="5"/>
      <c r="V115" s="5"/>
      <c r="W115" s="5"/>
      <c r="X115" s="5"/>
      <c r="Y115" s="5"/>
      <c r="Z115" s="5"/>
    </row>
    <row r="116" ht="15.75" customHeight="1">
      <c r="A116" s="58"/>
      <c r="B116" s="58"/>
      <c r="C116" s="58"/>
      <c r="D116" s="58"/>
      <c r="E116" s="58"/>
      <c r="F116" s="58"/>
      <c r="G116" s="58"/>
      <c r="H116" s="67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"/>
      <c r="U116" s="5"/>
      <c r="V116" s="5"/>
      <c r="W116" s="5"/>
      <c r="X116" s="5"/>
      <c r="Y116" s="5"/>
      <c r="Z116" s="5"/>
    </row>
    <row r="117" ht="15.75" customHeight="1">
      <c r="A117" s="58"/>
      <c r="B117" s="58"/>
      <c r="C117" s="58"/>
      <c r="D117" s="58"/>
      <c r="E117" s="58"/>
      <c r="F117" s="58"/>
      <c r="G117" s="58"/>
      <c r="H117" s="67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"/>
      <c r="U117" s="5"/>
      <c r="V117" s="5"/>
      <c r="W117" s="5"/>
      <c r="X117" s="5"/>
      <c r="Y117" s="5"/>
      <c r="Z117" s="5"/>
    </row>
    <row r="118" ht="15.75" customHeight="1">
      <c r="A118" s="58"/>
      <c r="B118" s="58"/>
      <c r="C118" s="58"/>
      <c r="D118" s="58"/>
      <c r="E118" s="58"/>
      <c r="F118" s="58"/>
      <c r="G118" s="58"/>
      <c r="H118" s="67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"/>
      <c r="U118" s="5"/>
      <c r="V118" s="5"/>
      <c r="W118" s="5"/>
      <c r="X118" s="5"/>
      <c r="Y118" s="5"/>
      <c r="Z118" s="5"/>
    </row>
    <row r="119" ht="15.75" customHeight="1">
      <c r="A119" s="58"/>
      <c r="B119" s="58"/>
      <c r="C119" s="58"/>
      <c r="D119" s="58"/>
      <c r="E119" s="58"/>
      <c r="F119" s="58"/>
      <c r="G119" s="58"/>
      <c r="H119" s="67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"/>
      <c r="U119" s="5"/>
      <c r="V119" s="5"/>
      <c r="W119" s="5"/>
      <c r="X119" s="5"/>
      <c r="Y119" s="5"/>
      <c r="Z119" s="5"/>
    </row>
    <row r="120" ht="15.75" customHeight="1">
      <c r="A120" s="58"/>
      <c r="B120" s="58"/>
      <c r="C120" s="58"/>
      <c r="D120" s="58"/>
      <c r="E120" s="58"/>
      <c r="F120" s="58"/>
      <c r="G120" s="58"/>
      <c r="H120" s="67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"/>
      <c r="U120" s="5"/>
      <c r="V120" s="5"/>
      <c r="W120" s="5"/>
      <c r="X120" s="5"/>
      <c r="Y120" s="5"/>
      <c r="Z120" s="5"/>
    </row>
    <row r="121" ht="15.75" customHeight="1">
      <c r="A121" s="58"/>
      <c r="B121" s="58"/>
      <c r="C121" s="58"/>
      <c r="D121" s="58"/>
      <c r="E121" s="58"/>
      <c r="F121" s="58"/>
      <c r="G121" s="58"/>
      <c r="H121" s="67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"/>
      <c r="U121" s="5"/>
      <c r="V121" s="5"/>
      <c r="W121" s="5"/>
      <c r="X121" s="5"/>
      <c r="Y121" s="5"/>
      <c r="Z121" s="5"/>
    </row>
    <row r="122" ht="15.75" customHeight="1">
      <c r="A122" s="58"/>
      <c r="B122" s="58"/>
      <c r="C122" s="58"/>
      <c r="D122" s="58"/>
      <c r="E122" s="58"/>
      <c r="F122" s="58"/>
      <c r="G122" s="58"/>
      <c r="H122" s="67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"/>
      <c r="U122" s="5"/>
      <c r="V122" s="5"/>
      <c r="W122" s="5"/>
      <c r="X122" s="5"/>
      <c r="Y122" s="5"/>
      <c r="Z122" s="5"/>
    </row>
    <row r="123" ht="15.75" customHeight="1">
      <c r="A123" s="58"/>
      <c r="B123" s="58"/>
      <c r="C123" s="58"/>
      <c r="D123" s="58"/>
      <c r="E123" s="58"/>
      <c r="F123" s="58"/>
      <c r="G123" s="58"/>
      <c r="H123" s="67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"/>
      <c r="U123" s="5"/>
      <c r="V123" s="5"/>
      <c r="W123" s="5"/>
      <c r="X123" s="5"/>
      <c r="Y123" s="5"/>
      <c r="Z123" s="5"/>
    </row>
    <row r="124" ht="15.75" customHeight="1">
      <c r="A124" s="58"/>
      <c r="B124" s="58"/>
      <c r="C124" s="58"/>
      <c r="D124" s="58"/>
      <c r="E124" s="58"/>
      <c r="F124" s="58"/>
      <c r="G124" s="58"/>
      <c r="H124" s="67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"/>
      <c r="U124" s="5"/>
      <c r="V124" s="5"/>
      <c r="W124" s="5"/>
      <c r="X124" s="5"/>
      <c r="Y124" s="5"/>
      <c r="Z124" s="5"/>
    </row>
    <row r="125" ht="15.75" customHeight="1">
      <c r="A125" s="58"/>
      <c r="B125" s="58"/>
      <c r="C125" s="58"/>
      <c r="D125" s="58"/>
      <c r="E125" s="58"/>
      <c r="F125" s="58"/>
      <c r="G125" s="58"/>
      <c r="H125" s="67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"/>
      <c r="U125" s="5"/>
      <c r="V125" s="5"/>
      <c r="W125" s="5"/>
      <c r="X125" s="5"/>
      <c r="Y125" s="5"/>
      <c r="Z125" s="5"/>
    </row>
    <row r="126" ht="15.75" customHeight="1">
      <c r="A126" s="58"/>
      <c r="B126" s="58"/>
      <c r="C126" s="58"/>
      <c r="D126" s="58"/>
      <c r="E126" s="58"/>
      <c r="F126" s="58"/>
      <c r="G126" s="58"/>
      <c r="H126" s="67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"/>
      <c r="U126" s="5"/>
      <c r="V126" s="5"/>
      <c r="W126" s="5"/>
      <c r="X126" s="5"/>
      <c r="Y126" s="5"/>
      <c r="Z126" s="5"/>
    </row>
    <row r="127" ht="15.75" customHeight="1">
      <c r="A127" s="58"/>
      <c r="B127" s="58"/>
      <c r="C127" s="58"/>
      <c r="D127" s="58"/>
      <c r="E127" s="58"/>
      <c r="F127" s="58"/>
      <c r="G127" s="58"/>
      <c r="H127" s="67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"/>
      <c r="U127" s="5"/>
      <c r="V127" s="5"/>
      <c r="W127" s="5"/>
      <c r="X127" s="5"/>
      <c r="Y127" s="5"/>
      <c r="Z127" s="5"/>
    </row>
    <row r="128" ht="15.75" customHeight="1">
      <c r="A128" s="58"/>
      <c r="B128" s="58"/>
      <c r="C128" s="58"/>
      <c r="D128" s="58"/>
      <c r="E128" s="58"/>
      <c r="F128" s="58"/>
      <c r="G128" s="58"/>
      <c r="H128" s="67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68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68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68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68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68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68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68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68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68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68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68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68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68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68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68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68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68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68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68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68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68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68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68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68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68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68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68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68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68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68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68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68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68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68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68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68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68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68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68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68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68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68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68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68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68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68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68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68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68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68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68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68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68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68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68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68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68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68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68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68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68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68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68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68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68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68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68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68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68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68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68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68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68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68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68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68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68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68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68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68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68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68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68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68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68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68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68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68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68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68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68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68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68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68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68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68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68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68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68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68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68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68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68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68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68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68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68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68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68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68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68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68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68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68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68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68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68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68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68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68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68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68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68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68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68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68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68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68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68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68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68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68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68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68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68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68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68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68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68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68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68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68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68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68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68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68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68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68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68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68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68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68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68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68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68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68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68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68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68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68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68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68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68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68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68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68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68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5"/>
      <c r="C329" s="5"/>
      <c r="D329" s="5"/>
      <c r="E329" s="5"/>
      <c r="F329" s="5"/>
      <c r="G329" s="5"/>
      <c r="H329" s="68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5"/>
      <c r="C330" s="5"/>
      <c r="D330" s="5"/>
      <c r="E330" s="5"/>
      <c r="F330" s="5"/>
      <c r="G330" s="5"/>
      <c r="H330" s="68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5"/>
      <c r="C331" s="5"/>
      <c r="D331" s="5"/>
      <c r="E331" s="5"/>
      <c r="F331" s="5"/>
      <c r="G331" s="5"/>
      <c r="H331" s="68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5"/>
      <c r="C332" s="5"/>
      <c r="D332" s="5"/>
      <c r="E332" s="5"/>
      <c r="F332" s="5"/>
      <c r="G332" s="5"/>
      <c r="H332" s="68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5"/>
      <c r="C333" s="5"/>
      <c r="D333" s="5"/>
      <c r="E333" s="5"/>
      <c r="F333" s="5"/>
      <c r="G333" s="5"/>
      <c r="H333" s="68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5"/>
      <c r="C334" s="5"/>
      <c r="D334" s="5"/>
      <c r="E334" s="5"/>
      <c r="F334" s="5"/>
      <c r="G334" s="5"/>
      <c r="H334" s="68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5"/>
      <c r="C335" s="5"/>
      <c r="D335" s="5"/>
      <c r="E335" s="5"/>
      <c r="F335" s="5"/>
      <c r="G335" s="5"/>
      <c r="H335" s="68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5"/>
      <c r="C336" s="5"/>
      <c r="D336" s="5"/>
      <c r="E336" s="5"/>
      <c r="F336" s="5"/>
      <c r="G336" s="5"/>
      <c r="H336" s="68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5"/>
      <c r="C337" s="5"/>
      <c r="D337" s="5"/>
      <c r="E337" s="5"/>
      <c r="F337" s="5"/>
      <c r="G337" s="5"/>
      <c r="H337" s="68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5"/>
      <c r="C338" s="5"/>
      <c r="D338" s="5"/>
      <c r="E338" s="5"/>
      <c r="F338" s="5"/>
      <c r="G338" s="5"/>
      <c r="H338" s="68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5"/>
      <c r="C339" s="5"/>
      <c r="D339" s="5"/>
      <c r="E339" s="5"/>
      <c r="F339" s="5"/>
      <c r="G339" s="5"/>
      <c r="H339" s="68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5"/>
      <c r="C340" s="5"/>
      <c r="D340" s="5"/>
      <c r="E340" s="5"/>
      <c r="F340" s="5"/>
      <c r="G340" s="5"/>
      <c r="H340" s="68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5"/>
      <c r="C341" s="5"/>
      <c r="D341" s="5"/>
      <c r="E341" s="5"/>
      <c r="F341" s="5"/>
      <c r="G341" s="5"/>
      <c r="H341" s="68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5"/>
      <c r="C342" s="5"/>
      <c r="D342" s="5"/>
      <c r="E342" s="5"/>
      <c r="F342" s="5"/>
      <c r="G342" s="5"/>
      <c r="H342" s="68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5"/>
      <c r="C343" s="5"/>
      <c r="D343" s="5"/>
      <c r="E343" s="5"/>
      <c r="F343" s="5"/>
      <c r="G343" s="5"/>
      <c r="H343" s="68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5"/>
      <c r="C344" s="5"/>
      <c r="D344" s="5"/>
      <c r="E344" s="5"/>
      <c r="F344" s="5"/>
      <c r="G344" s="5"/>
      <c r="H344" s="68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5"/>
      <c r="C345" s="5"/>
      <c r="D345" s="5"/>
      <c r="E345" s="5"/>
      <c r="F345" s="5"/>
      <c r="G345" s="5"/>
      <c r="H345" s="68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5"/>
      <c r="C346" s="5"/>
      <c r="D346" s="5"/>
      <c r="E346" s="5"/>
      <c r="F346" s="5"/>
      <c r="G346" s="5"/>
      <c r="H346" s="68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5"/>
      <c r="C347" s="5"/>
      <c r="D347" s="5"/>
      <c r="E347" s="5"/>
      <c r="F347" s="5"/>
      <c r="G347" s="5"/>
      <c r="H347" s="68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5"/>
      <c r="C348" s="5"/>
      <c r="D348" s="5"/>
      <c r="E348" s="5"/>
      <c r="F348" s="5"/>
      <c r="G348" s="5"/>
      <c r="H348" s="68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5"/>
      <c r="C349" s="5"/>
      <c r="D349" s="5"/>
      <c r="E349" s="5"/>
      <c r="F349" s="5"/>
      <c r="G349" s="5"/>
      <c r="H349" s="68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5"/>
      <c r="C350" s="5"/>
      <c r="D350" s="5"/>
      <c r="E350" s="5"/>
      <c r="F350" s="5"/>
      <c r="G350" s="5"/>
      <c r="H350" s="68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5"/>
      <c r="C351" s="5"/>
      <c r="D351" s="5"/>
      <c r="E351" s="5"/>
      <c r="F351" s="5"/>
      <c r="G351" s="5"/>
      <c r="H351" s="68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5"/>
      <c r="C352" s="5"/>
      <c r="D352" s="5"/>
      <c r="E352" s="5"/>
      <c r="F352" s="5"/>
      <c r="G352" s="5"/>
      <c r="H352" s="68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5"/>
      <c r="C353" s="5"/>
      <c r="D353" s="5"/>
      <c r="E353" s="5"/>
      <c r="F353" s="5"/>
      <c r="G353" s="5"/>
      <c r="H353" s="68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5"/>
      <c r="C354" s="5"/>
      <c r="D354" s="5"/>
      <c r="E354" s="5"/>
      <c r="F354" s="5"/>
      <c r="G354" s="5"/>
      <c r="H354" s="68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5"/>
      <c r="C355" s="5"/>
      <c r="D355" s="5"/>
      <c r="E355" s="5"/>
      <c r="F355" s="5"/>
      <c r="G355" s="5"/>
      <c r="H355" s="68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5"/>
      <c r="C356" s="5"/>
      <c r="D356" s="5"/>
      <c r="E356" s="5"/>
      <c r="F356" s="5"/>
      <c r="G356" s="5"/>
      <c r="H356" s="68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5"/>
      <c r="C357" s="5"/>
      <c r="D357" s="5"/>
      <c r="E357" s="5"/>
      <c r="F357" s="5"/>
      <c r="G357" s="5"/>
      <c r="H357" s="68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5"/>
      <c r="C358" s="5"/>
      <c r="D358" s="5"/>
      <c r="E358" s="5"/>
      <c r="F358" s="5"/>
      <c r="G358" s="5"/>
      <c r="H358" s="68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5"/>
      <c r="C359" s="5"/>
      <c r="D359" s="5"/>
      <c r="E359" s="5"/>
      <c r="F359" s="5"/>
      <c r="G359" s="5"/>
      <c r="H359" s="68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5"/>
      <c r="C360" s="5"/>
      <c r="D360" s="5"/>
      <c r="E360" s="5"/>
      <c r="F360" s="5"/>
      <c r="G360" s="5"/>
      <c r="H360" s="68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5"/>
      <c r="C361" s="5"/>
      <c r="D361" s="5"/>
      <c r="E361" s="5"/>
      <c r="F361" s="5"/>
      <c r="G361" s="5"/>
      <c r="H361" s="68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5"/>
      <c r="C362" s="5"/>
      <c r="D362" s="5"/>
      <c r="E362" s="5"/>
      <c r="F362" s="5"/>
      <c r="G362" s="5"/>
      <c r="H362" s="68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5"/>
      <c r="C363" s="5"/>
      <c r="D363" s="5"/>
      <c r="E363" s="5"/>
      <c r="F363" s="5"/>
      <c r="G363" s="5"/>
      <c r="H363" s="68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5"/>
      <c r="C364" s="5"/>
      <c r="D364" s="5"/>
      <c r="E364" s="5"/>
      <c r="F364" s="5"/>
      <c r="G364" s="5"/>
      <c r="H364" s="68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5"/>
      <c r="C365" s="5"/>
      <c r="D365" s="5"/>
      <c r="E365" s="5"/>
      <c r="F365" s="5"/>
      <c r="G365" s="5"/>
      <c r="H365" s="68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5"/>
      <c r="C366" s="5"/>
      <c r="D366" s="5"/>
      <c r="E366" s="5"/>
      <c r="F366" s="5"/>
      <c r="G366" s="5"/>
      <c r="H366" s="68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5"/>
      <c r="C367" s="5"/>
      <c r="D367" s="5"/>
      <c r="E367" s="5"/>
      <c r="F367" s="5"/>
      <c r="G367" s="5"/>
      <c r="H367" s="68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5"/>
      <c r="C368" s="5"/>
      <c r="D368" s="5"/>
      <c r="E368" s="5"/>
      <c r="F368" s="5"/>
      <c r="G368" s="5"/>
      <c r="H368" s="68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5"/>
      <c r="C369" s="5"/>
      <c r="D369" s="5"/>
      <c r="E369" s="5"/>
      <c r="F369" s="5"/>
      <c r="G369" s="5"/>
      <c r="H369" s="68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5"/>
      <c r="C370" s="5"/>
      <c r="D370" s="5"/>
      <c r="E370" s="5"/>
      <c r="F370" s="5"/>
      <c r="G370" s="5"/>
      <c r="H370" s="68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5"/>
      <c r="C371" s="5"/>
      <c r="D371" s="5"/>
      <c r="E371" s="5"/>
      <c r="F371" s="5"/>
      <c r="G371" s="5"/>
      <c r="H371" s="68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5"/>
      <c r="C372" s="5"/>
      <c r="D372" s="5"/>
      <c r="E372" s="5"/>
      <c r="F372" s="5"/>
      <c r="G372" s="5"/>
      <c r="H372" s="68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5"/>
      <c r="C373" s="5"/>
      <c r="D373" s="5"/>
      <c r="E373" s="5"/>
      <c r="F373" s="5"/>
      <c r="G373" s="5"/>
      <c r="H373" s="68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5"/>
      <c r="C374" s="5"/>
      <c r="D374" s="5"/>
      <c r="E374" s="5"/>
      <c r="F374" s="5"/>
      <c r="G374" s="5"/>
      <c r="H374" s="68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5"/>
      <c r="C375" s="5"/>
      <c r="D375" s="5"/>
      <c r="E375" s="5"/>
      <c r="F375" s="5"/>
      <c r="G375" s="5"/>
      <c r="H375" s="68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5"/>
      <c r="C376" s="5"/>
      <c r="D376" s="5"/>
      <c r="E376" s="5"/>
      <c r="F376" s="5"/>
      <c r="G376" s="5"/>
      <c r="H376" s="68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5"/>
      <c r="C377" s="5"/>
      <c r="D377" s="5"/>
      <c r="E377" s="5"/>
      <c r="F377" s="5"/>
      <c r="G377" s="5"/>
      <c r="H377" s="68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5"/>
      <c r="C378" s="5"/>
      <c r="D378" s="5"/>
      <c r="E378" s="5"/>
      <c r="F378" s="5"/>
      <c r="G378" s="5"/>
      <c r="H378" s="68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5"/>
      <c r="C379" s="5"/>
      <c r="D379" s="5"/>
      <c r="E379" s="5"/>
      <c r="F379" s="5"/>
      <c r="G379" s="5"/>
      <c r="H379" s="68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5"/>
      <c r="C380" s="5"/>
      <c r="D380" s="5"/>
      <c r="E380" s="5"/>
      <c r="F380" s="5"/>
      <c r="G380" s="5"/>
      <c r="H380" s="68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5"/>
      <c r="C381" s="5"/>
      <c r="D381" s="5"/>
      <c r="E381" s="5"/>
      <c r="F381" s="5"/>
      <c r="G381" s="5"/>
      <c r="H381" s="68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5"/>
      <c r="C382" s="5"/>
      <c r="D382" s="5"/>
      <c r="E382" s="5"/>
      <c r="F382" s="5"/>
      <c r="G382" s="5"/>
      <c r="H382" s="68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5"/>
      <c r="C383" s="5"/>
      <c r="D383" s="5"/>
      <c r="E383" s="5"/>
      <c r="F383" s="5"/>
      <c r="G383" s="5"/>
      <c r="H383" s="68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5"/>
      <c r="C384" s="5"/>
      <c r="D384" s="5"/>
      <c r="E384" s="5"/>
      <c r="F384" s="5"/>
      <c r="G384" s="5"/>
      <c r="H384" s="68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5"/>
      <c r="C385" s="5"/>
      <c r="D385" s="5"/>
      <c r="E385" s="5"/>
      <c r="F385" s="5"/>
      <c r="G385" s="5"/>
      <c r="H385" s="68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5"/>
      <c r="C386" s="5"/>
      <c r="D386" s="5"/>
      <c r="E386" s="5"/>
      <c r="F386" s="5"/>
      <c r="G386" s="5"/>
      <c r="H386" s="68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5"/>
      <c r="C387" s="5"/>
      <c r="D387" s="5"/>
      <c r="E387" s="5"/>
      <c r="F387" s="5"/>
      <c r="G387" s="5"/>
      <c r="H387" s="68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5"/>
      <c r="C388" s="5"/>
      <c r="D388" s="5"/>
      <c r="E388" s="5"/>
      <c r="F388" s="5"/>
      <c r="G388" s="5"/>
      <c r="H388" s="68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5"/>
      <c r="C389" s="5"/>
      <c r="D389" s="5"/>
      <c r="E389" s="5"/>
      <c r="F389" s="5"/>
      <c r="G389" s="5"/>
      <c r="H389" s="68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5"/>
      <c r="C390" s="5"/>
      <c r="D390" s="5"/>
      <c r="E390" s="5"/>
      <c r="F390" s="5"/>
      <c r="G390" s="5"/>
      <c r="H390" s="68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5"/>
      <c r="C391" s="5"/>
      <c r="D391" s="5"/>
      <c r="E391" s="5"/>
      <c r="F391" s="5"/>
      <c r="G391" s="5"/>
      <c r="H391" s="68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5"/>
      <c r="C392" s="5"/>
      <c r="D392" s="5"/>
      <c r="E392" s="5"/>
      <c r="F392" s="5"/>
      <c r="G392" s="5"/>
      <c r="H392" s="68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5"/>
      <c r="C393" s="5"/>
      <c r="D393" s="5"/>
      <c r="E393" s="5"/>
      <c r="F393" s="5"/>
      <c r="G393" s="5"/>
      <c r="H393" s="68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5"/>
      <c r="C394" s="5"/>
      <c r="D394" s="5"/>
      <c r="E394" s="5"/>
      <c r="F394" s="5"/>
      <c r="G394" s="5"/>
      <c r="H394" s="68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5"/>
      <c r="C395" s="5"/>
      <c r="D395" s="5"/>
      <c r="E395" s="5"/>
      <c r="F395" s="5"/>
      <c r="G395" s="5"/>
      <c r="H395" s="68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5"/>
      <c r="C396" s="5"/>
      <c r="D396" s="5"/>
      <c r="E396" s="5"/>
      <c r="F396" s="5"/>
      <c r="G396" s="5"/>
      <c r="H396" s="68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5"/>
      <c r="C397" s="5"/>
      <c r="D397" s="5"/>
      <c r="E397" s="5"/>
      <c r="F397" s="5"/>
      <c r="G397" s="5"/>
      <c r="H397" s="68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5"/>
      <c r="C398" s="5"/>
      <c r="D398" s="5"/>
      <c r="E398" s="5"/>
      <c r="F398" s="5"/>
      <c r="G398" s="5"/>
      <c r="H398" s="68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5"/>
      <c r="C399" s="5"/>
      <c r="D399" s="5"/>
      <c r="E399" s="5"/>
      <c r="F399" s="5"/>
      <c r="G399" s="5"/>
      <c r="H399" s="68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5"/>
      <c r="C400" s="5"/>
      <c r="D400" s="5"/>
      <c r="E400" s="5"/>
      <c r="F400" s="5"/>
      <c r="G400" s="5"/>
      <c r="H400" s="68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5"/>
      <c r="C401" s="5"/>
      <c r="D401" s="5"/>
      <c r="E401" s="5"/>
      <c r="F401" s="5"/>
      <c r="G401" s="5"/>
      <c r="H401" s="68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5"/>
      <c r="C402" s="5"/>
      <c r="D402" s="5"/>
      <c r="E402" s="5"/>
      <c r="F402" s="5"/>
      <c r="G402" s="5"/>
      <c r="H402" s="68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5"/>
      <c r="C403" s="5"/>
      <c r="D403" s="5"/>
      <c r="E403" s="5"/>
      <c r="F403" s="5"/>
      <c r="G403" s="5"/>
      <c r="H403" s="68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5"/>
      <c r="C404" s="5"/>
      <c r="D404" s="5"/>
      <c r="E404" s="5"/>
      <c r="F404" s="5"/>
      <c r="G404" s="5"/>
      <c r="H404" s="68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5"/>
      <c r="C405" s="5"/>
      <c r="D405" s="5"/>
      <c r="E405" s="5"/>
      <c r="F405" s="5"/>
      <c r="G405" s="5"/>
      <c r="H405" s="68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5"/>
      <c r="C406" s="5"/>
      <c r="D406" s="5"/>
      <c r="E406" s="5"/>
      <c r="F406" s="5"/>
      <c r="G406" s="5"/>
      <c r="H406" s="68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5"/>
      <c r="C407" s="5"/>
      <c r="D407" s="5"/>
      <c r="E407" s="5"/>
      <c r="F407" s="5"/>
      <c r="G407" s="5"/>
      <c r="H407" s="68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5"/>
      <c r="C408" s="5"/>
      <c r="D408" s="5"/>
      <c r="E408" s="5"/>
      <c r="F408" s="5"/>
      <c r="G408" s="5"/>
      <c r="H408" s="68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5"/>
      <c r="C409" s="5"/>
      <c r="D409" s="5"/>
      <c r="E409" s="5"/>
      <c r="F409" s="5"/>
      <c r="G409" s="5"/>
      <c r="H409" s="68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5"/>
      <c r="C410" s="5"/>
      <c r="D410" s="5"/>
      <c r="E410" s="5"/>
      <c r="F410" s="5"/>
      <c r="G410" s="5"/>
      <c r="H410" s="68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5"/>
      <c r="C411" s="5"/>
      <c r="D411" s="5"/>
      <c r="E411" s="5"/>
      <c r="F411" s="5"/>
      <c r="G411" s="5"/>
      <c r="H411" s="68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5"/>
      <c r="C412" s="5"/>
      <c r="D412" s="5"/>
      <c r="E412" s="5"/>
      <c r="F412" s="5"/>
      <c r="G412" s="5"/>
      <c r="H412" s="68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5"/>
      <c r="C413" s="5"/>
      <c r="D413" s="5"/>
      <c r="E413" s="5"/>
      <c r="F413" s="5"/>
      <c r="G413" s="5"/>
      <c r="H413" s="68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5"/>
      <c r="C414" s="5"/>
      <c r="D414" s="5"/>
      <c r="E414" s="5"/>
      <c r="F414" s="5"/>
      <c r="G414" s="5"/>
      <c r="H414" s="68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5"/>
      <c r="C415" s="5"/>
      <c r="D415" s="5"/>
      <c r="E415" s="5"/>
      <c r="F415" s="5"/>
      <c r="G415" s="5"/>
      <c r="H415" s="68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5"/>
      <c r="C416" s="5"/>
      <c r="D416" s="5"/>
      <c r="E416" s="5"/>
      <c r="F416" s="5"/>
      <c r="G416" s="5"/>
      <c r="H416" s="68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5"/>
      <c r="C417" s="5"/>
      <c r="D417" s="5"/>
      <c r="E417" s="5"/>
      <c r="F417" s="5"/>
      <c r="G417" s="5"/>
      <c r="H417" s="68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5"/>
      <c r="C418" s="5"/>
      <c r="D418" s="5"/>
      <c r="E418" s="5"/>
      <c r="F418" s="5"/>
      <c r="G418" s="5"/>
      <c r="H418" s="68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5"/>
      <c r="C419" s="5"/>
      <c r="D419" s="5"/>
      <c r="E419" s="5"/>
      <c r="F419" s="5"/>
      <c r="G419" s="5"/>
      <c r="H419" s="68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5"/>
      <c r="C420" s="5"/>
      <c r="D420" s="5"/>
      <c r="E420" s="5"/>
      <c r="F420" s="5"/>
      <c r="G420" s="5"/>
      <c r="H420" s="68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5"/>
      <c r="C421" s="5"/>
      <c r="D421" s="5"/>
      <c r="E421" s="5"/>
      <c r="F421" s="5"/>
      <c r="G421" s="5"/>
      <c r="H421" s="68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5"/>
      <c r="C422" s="5"/>
      <c r="D422" s="5"/>
      <c r="E422" s="5"/>
      <c r="F422" s="5"/>
      <c r="G422" s="5"/>
      <c r="H422" s="68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5"/>
      <c r="C423" s="5"/>
      <c r="D423" s="5"/>
      <c r="E423" s="5"/>
      <c r="F423" s="5"/>
      <c r="G423" s="5"/>
      <c r="H423" s="68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5"/>
      <c r="C424" s="5"/>
      <c r="D424" s="5"/>
      <c r="E424" s="5"/>
      <c r="F424" s="5"/>
      <c r="G424" s="5"/>
      <c r="H424" s="68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5"/>
      <c r="C425" s="5"/>
      <c r="D425" s="5"/>
      <c r="E425" s="5"/>
      <c r="F425" s="5"/>
      <c r="G425" s="5"/>
      <c r="H425" s="68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5"/>
      <c r="C426" s="5"/>
      <c r="D426" s="5"/>
      <c r="E426" s="5"/>
      <c r="F426" s="5"/>
      <c r="G426" s="5"/>
      <c r="H426" s="68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5"/>
      <c r="C427" s="5"/>
      <c r="D427" s="5"/>
      <c r="E427" s="5"/>
      <c r="F427" s="5"/>
      <c r="G427" s="5"/>
      <c r="H427" s="68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5"/>
      <c r="C428" s="5"/>
      <c r="D428" s="5"/>
      <c r="E428" s="5"/>
      <c r="F428" s="5"/>
      <c r="G428" s="5"/>
      <c r="H428" s="68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5"/>
      <c r="C429" s="5"/>
      <c r="D429" s="5"/>
      <c r="E429" s="5"/>
      <c r="F429" s="5"/>
      <c r="G429" s="5"/>
      <c r="H429" s="68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5"/>
      <c r="C430" s="5"/>
      <c r="D430" s="5"/>
      <c r="E430" s="5"/>
      <c r="F430" s="5"/>
      <c r="G430" s="5"/>
      <c r="H430" s="68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5"/>
      <c r="C431" s="5"/>
      <c r="D431" s="5"/>
      <c r="E431" s="5"/>
      <c r="F431" s="5"/>
      <c r="G431" s="5"/>
      <c r="H431" s="68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5"/>
      <c r="C432" s="5"/>
      <c r="D432" s="5"/>
      <c r="E432" s="5"/>
      <c r="F432" s="5"/>
      <c r="G432" s="5"/>
      <c r="H432" s="68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5"/>
      <c r="C433" s="5"/>
      <c r="D433" s="5"/>
      <c r="E433" s="5"/>
      <c r="F433" s="5"/>
      <c r="G433" s="5"/>
      <c r="H433" s="68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5"/>
      <c r="C434" s="5"/>
      <c r="D434" s="5"/>
      <c r="E434" s="5"/>
      <c r="F434" s="5"/>
      <c r="G434" s="5"/>
      <c r="H434" s="68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5"/>
      <c r="C435" s="5"/>
      <c r="D435" s="5"/>
      <c r="E435" s="5"/>
      <c r="F435" s="5"/>
      <c r="G435" s="5"/>
      <c r="H435" s="68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5"/>
      <c r="C436" s="5"/>
      <c r="D436" s="5"/>
      <c r="E436" s="5"/>
      <c r="F436" s="5"/>
      <c r="G436" s="5"/>
      <c r="H436" s="68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5"/>
      <c r="C437" s="5"/>
      <c r="D437" s="5"/>
      <c r="E437" s="5"/>
      <c r="F437" s="5"/>
      <c r="G437" s="5"/>
      <c r="H437" s="68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5"/>
      <c r="C438" s="5"/>
      <c r="D438" s="5"/>
      <c r="E438" s="5"/>
      <c r="F438" s="5"/>
      <c r="G438" s="5"/>
      <c r="H438" s="68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5"/>
      <c r="C439" s="5"/>
      <c r="D439" s="5"/>
      <c r="E439" s="5"/>
      <c r="F439" s="5"/>
      <c r="G439" s="5"/>
      <c r="H439" s="68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5"/>
      <c r="C440" s="5"/>
      <c r="D440" s="5"/>
      <c r="E440" s="5"/>
      <c r="F440" s="5"/>
      <c r="G440" s="5"/>
      <c r="H440" s="68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5"/>
      <c r="C441" s="5"/>
      <c r="D441" s="5"/>
      <c r="E441" s="5"/>
      <c r="F441" s="5"/>
      <c r="G441" s="5"/>
      <c r="H441" s="68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5"/>
      <c r="C442" s="5"/>
      <c r="D442" s="5"/>
      <c r="E442" s="5"/>
      <c r="F442" s="5"/>
      <c r="G442" s="5"/>
      <c r="H442" s="68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5"/>
      <c r="C443" s="5"/>
      <c r="D443" s="5"/>
      <c r="E443" s="5"/>
      <c r="F443" s="5"/>
      <c r="G443" s="5"/>
      <c r="H443" s="68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5"/>
      <c r="C444" s="5"/>
      <c r="D444" s="5"/>
      <c r="E444" s="5"/>
      <c r="F444" s="5"/>
      <c r="G444" s="5"/>
      <c r="H444" s="68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5"/>
      <c r="C445" s="5"/>
      <c r="D445" s="5"/>
      <c r="E445" s="5"/>
      <c r="F445" s="5"/>
      <c r="G445" s="5"/>
      <c r="H445" s="68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5"/>
      <c r="C446" s="5"/>
      <c r="D446" s="5"/>
      <c r="E446" s="5"/>
      <c r="F446" s="5"/>
      <c r="G446" s="5"/>
      <c r="H446" s="68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5"/>
      <c r="C447" s="5"/>
      <c r="D447" s="5"/>
      <c r="E447" s="5"/>
      <c r="F447" s="5"/>
      <c r="G447" s="5"/>
      <c r="H447" s="68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5"/>
      <c r="C448" s="5"/>
      <c r="D448" s="5"/>
      <c r="E448" s="5"/>
      <c r="F448" s="5"/>
      <c r="G448" s="5"/>
      <c r="H448" s="68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5"/>
      <c r="C449" s="5"/>
      <c r="D449" s="5"/>
      <c r="E449" s="5"/>
      <c r="F449" s="5"/>
      <c r="G449" s="5"/>
      <c r="H449" s="68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5"/>
      <c r="C450" s="5"/>
      <c r="D450" s="5"/>
      <c r="E450" s="5"/>
      <c r="F450" s="5"/>
      <c r="G450" s="5"/>
      <c r="H450" s="68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5"/>
      <c r="C451" s="5"/>
      <c r="D451" s="5"/>
      <c r="E451" s="5"/>
      <c r="F451" s="5"/>
      <c r="G451" s="5"/>
      <c r="H451" s="68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5"/>
      <c r="C452" s="5"/>
      <c r="D452" s="5"/>
      <c r="E452" s="5"/>
      <c r="F452" s="5"/>
      <c r="G452" s="5"/>
      <c r="H452" s="68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5"/>
      <c r="C453" s="5"/>
      <c r="D453" s="5"/>
      <c r="E453" s="5"/>
      <c r="F453" s="5"/>
      <c r="G453" s="5"/>
      <c r="H453" s="68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5"/>
      <c r="C454" s="5"/>
      <c r="D454" s="5"/>
      <c r="E454" s="5"/>
      <c r="F454" s="5"/>
      <c r="G454" s="5"/>
      <c r="H454" s="68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5"/>
      <c r="C455" s="5"/>
      <c r="D455" s="5"/>
      <c r="E455" s="5"/>
      <c r="F455" s="5"/>
      <c r="G455" s="5"/>
      <c r="H455" s="68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5"/>
      <c r="C456" s="5"/>
      <c r="D456" s="5"/>
      <c r="E456" s="5"/>
      <c r="F456" s="5"/>
      <c r="G456" s="5"/>
      <c r="H456" s="68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5"/>
      <c r="C457" s="5"/>
      <c r="D457" s="5"/>
      <c r="E457" s="5"/>
      <c r="F457" s="5"/>
      <c r="G457" s="5"/>
      <c r="H457" s="68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5"/>
      <c r="C458" s="5"/>
      <c r="D458" s="5"/>
      <c r="E458" s="5"/>
      <c r="F458" s="5"/>
      <c r="G458" s="5"/>
      <c r="H458" s="68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5"/>
      <c r="C459" s="5"/>
      <c r="D459" s="5"/>
      <c r="E459" s="5"/>
      <c r="F459" s="5"/>
      <c r="G459" s="5"/>
      <c r="H459" s="68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5"/>
      <c r="C460" s="5"/>
      <c r="D460" s="5"/>
      <c r="E460" s="5"/>
      <c r="F460" s="5"/>
      <c r="G460" s="5"/>
      <c r="H460" s="68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5"/>
      <c r="C461" s="5"/>
      <c r="D461" s="5"/>
      <c r="E461" s="5"/>
      <c r="F461" s="5"/>
      <c r="G461" s="5"/>
      <c r="H461" s="68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5"/>
      <c r="C462" s="5"/>
      <c r="D462" s="5"/>
      <c r="E462" s="5"/>
      <c r="F462" s="5"/>
      <c r="G462" s="5"/>
      <c r="H462" s="68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5"/>
      <c r="C463" s="5"/>
      <c r="D463" s="5"/>
      <c r="E463" s="5"/>
      <c r="F463" s="5"/>
      <c r="G463" s="5"/>
      <c r="H463" s="68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5"/>
      <c r="C464" s="5"/>
      <c r="D464" s="5"/>
      <c r="E464" s="5"/>
      <c r="F464" s="5"/>
      <c r="G464" s="5"/>
      <c r="H464" s="68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5"/>
      <c r="C465" s="5"/>
      <c r="D465" s="5"/>
      <c r="E465" s="5"/>
      <c r="F465" s="5"/>
      <c r="G465" s="5"/>
      <c r="H465" s="68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5"/>
      <c r="C466" s="5"/>
      <c r="D466" s="5"/>
      <c r="E466" s="5"/>
      <c r="F466" s="5"/>
      <c r="G466" s="5"/>
      <c r="H466" s="68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5"/>
      <c r="C467" s="5"/>
      <c r="D467" s="5"/>
      <c r="E467" s="5"/>
      <c r="F467" s="5"/>
      <c r="G467" s="5"/>
      <c r="H467" s="68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5"/>
      <c r="C468" s="5"/>
      <c r="D468" s="5"/>
      <c r="E468" s="5"/>
      <c r="F468" s="5"/>
      <c r="G468" s="5"/>
      <c r="H468" s="68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5"/>
      <c r="C469" s="5"/>
      <c r="D469" s="5"/>
      <c r="E469" s="5"/>
      <c r="F469" s="5"/>
      <c r="G469" s="5"/>
      <c r="H469" s="68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5"/>
      <c r="C470" s="5"/>
      <c r="D470" s="5"/>
      <c r="E470" s="5"/>
      <c r="F470" s="5"/>
      <c r="G470" s="5"/>
      <c r="H470" s="68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5"/>
      <c r="C471" s="5"/>
      <c r="D471" s="5"/>
      <c r="E471" s="5"/>
      <c r="F471" s="5"/>
      <c r="G471" s="5"/>
      <c r="H471" s="68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5"/>
      <c r="C472" s="5"/>
      <c r="D472" s="5"/>
      <c r="E472" s="5"/>
      <c r="F472" s="5"/>
      <c r="G472" s="5"/>
      <c r="H472" s="68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5"/>
      <c r="C473" s="5"/>
      <c r="D473" s="5"/>
      <c r="E473" s="5"/>
      <c r="F473" s="5"/>
      <c r="G473" s="5"/>
      <c r="H473" s="68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5"/>
      <c r="C474" s="5"/>
      <c r="D474" s="5"/>
      <c r="E474" s="5"/>
      <c r="F474" s="5"/>
      <c r="G474" s="5"/>
      <c r="H474" s="68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5"/>
      <c r="C475" s="5"/>
      <c r="D475" s="5"/>
      <c r="E475" s="5"/>
      <c r="F475" s="5"/>
      <c r="G475" s="5"/>
      <c r="H475" s="68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5"/>
      <c r="C476" s="5"/>
      <c r="D476" s="5"/>
      <c r="E476" s="5"/>
      <c r="F476" s="5"/>
      <c r="G476" s="5"/>
      <c r="H476" s="68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5"/>
      <c r="C477" s="5"/>
      <c r="D477" s="5"/>
      <c r="E477" s="5"/>
      <c r="F477" s="5"/>
      <c r="G477" s="5"/>
      <c r="H477" s="68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5"/>
      <c r="C478" s="5"/>
      <c r="D478" s="5"/>
      <c r="E478" s="5"/>
      <c r="F478" s="5"/>
      <c r="G478" s="5"/>
      <c r="H478" s="68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5"/>
      <c r="C479" s="5"/>
      <c r="D479" s="5"/>
      <c r="E479" s="5"/>
      <c r="F479" s="5"/>
      <c r="G479" s="5"/>
      <c r="H479" s="68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5"/>
      <c r="C480" s="5"/>
      <c r="D480" s="5"/>
      <c r="E480" s="5"/>
      <c r="F480" s="5"/>
      <c r="G480" s="5"/>
      <c r="H480" s="68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5"/>
      <c r="C481" s="5"/>
      <c r="D481" s="5"/>
      <c r="E481" s="5"/>
      <c r="F481" s="5"/>
      <c r="G481" s="5"/>
      <c r="H481" s="68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5"/>
      <c r="C482" s="5"/>
      <c r="D482" s="5"/>
      <c r="E482" s="5"/>
      <c r="F482" s="5"/>
      <c r="G482" s="5"/>
      <c r="H482" s="68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5"/>
      <c r="C483" s="5"/>
      <c r="D483" s="5"/>
      <c r="E483" s="5"/>
      <c r="F483" s="5"/>
      <c r="G483" s="5"/>
      <c r="H483" s="68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5"/>
      <c r="C484" s="5"/>
      <c r="D484" s="5"/>
      <c r="E484" s="5"/>
      <c r="F484" s="5"/>
      <c r="G484" s="5"/>
      <c r="H484" s="68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5"/>
      <c r="C485" s="5"/>
      <c r="D485" s="5"/>
      <c r="E485" s="5"/>
      <c r="F485" s="5"/>
      <c r="G485" s="5"/>
      <c r="H485" s="68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5"/>
      <c r="C486" s="5"/>
      <c r="D486" s="5"/>
      <c r="E486" s="5"/>
      <c r="F486" s="5"/>
      <c r="G486" s="5"/>
      <c r="H486" s="68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5"/>
      <c r="C487" s="5"/>
      <c r="D487" s="5"/>
      <c r="E487" s="5"/>
      <c r="F487" s="5"/>
      <c r="G487" s="5"/>
      <c r="H487" s="68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5"/>
      <c r="C488" s="5"/>
      <c r="D488" s="5"/>
      <c r="E488" s="5"/>
      <c r="F488" s="5"/>
      <c r="G488" s="5"/>
      <c r="H488" s="68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5"/>
      <c r="C489" s="5"/>
      <c r="D489" s="5"/>
      <c r="E489" s="5"/>
      <c r="F489" s="5"/>
      <c r="G489" s="5"/>
      <c r="H489" s="68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5"/>
      <c r="C490" s="5"/>
      <c r="D490" s="5"/>
      <c r="E490" s="5"/>
      <c r="F490" s="5"/>
      <c r="G490" s="5"/>
      <c r="H490" s="68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5"/>
      <c r="C491" s="5"/>
      <c r="D491" s="5"/>
      <c r="E491" s="5"/>
      <c r="F491" s="5"/>
      <c r="G491" s="5"/>
      <c r="H491" s="68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5"/>
      <c r="C492" s="5"/>
      <c r="D492" s="5"/>
      <c r="E492" s="5"/>
      <c r="F492" s="5"/>
      <c r="G492" s="5"/>
      <c r="H492" s="68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5"/>
      <c r="C493" s="5"/>
      <c r="D493" s="5"/>
      <c r="E493" s="5"/>
      <c r="F493" s="5"/>
      <c r="G493" s="5"/>
      <c r="H493" s="68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5"/>
      <c r="C494" s="5"/>
      <c r="D494" s="5"/>
      <c r="E494" s="5"/>
      <c r="F494" s="5"/>
      <c r="G494" s="5"/>
      <c r="H494" s="68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5"/>
      <c r="C495" s="5"/>
      <c r="D495" s="5"/>
      <c r="E495" s="5"/>
      <c r="F495" s="5"/>
      <c r="G495" s="5"/>
      <c r="H495" s="68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5"/>
      <c r="C496" s="5"/>
      <c r="D496" s="5"/>
      <c r="E496" s="5"/>
      <c r="F496" s="5"/>
      <c r="G496" s="5"/>
      <c r="H496" s="68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5"/>
      <c r="C497" s="5"/>
      <c r="D497" s="5"/>
      <c r="E497" s="5"/>
      <c r="F497" s="5"/>
      <c r="G497" s="5"/>
      <c r="H497" s="68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5"/>
      <c r="C498" s="5"/>
      <c r="D498" s="5"/>
      <c r="E498" s="5"/>
      <c r="F498" s="5"/>
      <c r="G498" s="5"/>
      <c r="H498" s="68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5"/>
      <c r="C499" s="5"/>
      <c r="D499" s="5"/>
      <c r="E499" s="5"/>
      <c r="F499" s="5"/>
      <c r="G499" s="5"/>
      <c r="H499" s="68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5"/>
      <c r="C500" s="5"/>
      <c r="D500" s="5"/>
      <c r="E500" s="5"/>
      <c r="F500" s="5"/>
      <c r="G500" s="5"/>
      <c r="H500" s="68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5"/>
      <c r="C501" s="5"/>
      <c r="D501" s="5"/>
      <c r="E501" s="5"/>
      <c r="F501" s="5"/>
      <c r="G501" s="5"/>
      <c r="H501" s="68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5"/>
      <c r="C502" s="5"/>
      <c r="D502" s="5"/>
      <c r="E502" s="5"/>
      <c r="F502" s="5"/>
      <c r="G502" s="5"/>
      <c r="H502" s="68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5"/>
      <c r="C503" s="5"/>
      <c r="D503" s="5"/>
      <c r="E503" s="5"/>
      <c r="F503" s="5"/>
      <c r="G503" s="5"/>
      <c r="H503" s="68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5"/>
      <c r="C504" s="5"/>
      <c r="D504" s="5"/>
      <c r="E504" s="5"/>
      <c r="F504" s="5"/>
      <c r="G504" s="5"/>
      <c r="H504" s="68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5"/>
      <c r="C505" s="5"/>
      <c r="D505" s="5"/>
      <c r="E505" s="5"/>
      <c r="F505" s="5"/>
      <c r="G505" s="5"/>
      <c r="H505" s="68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5"/>
      <c r="C506" s="5"/>
      <c r="D506" s="5"/>
      <c r="E506" s="5"/>
      <c r="F506" s="5"/>
      <c r="G506" s="5"/>
      <c r="H506" s="68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5"/>
      <c r="C507" s="5"/>
      <c r="D507" s="5"/>
      <c r="E507" s="5"/>
      <c r="F507" s="5"/>
      <c r="G507" s="5"/>
      <c r="H507" s="68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5"/>
      <c r="C508" s="5"/>
      <c r="D508" s="5"/>
      <c r="E508" s="5"/>
      <c r="F508" s="5"/>
      <c r="G508" s="5"/>
      <c r="H508" s="68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5"/>
      <c r="C509" s="5"/>
      <c r="D509" s="5"/>
      <c r="E509" s="5"/>
      <c r="F509" s="5"/>
      <c r="G509" s="5"/>
      <c r="H509" s="68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5"/>
      <c r="C510" s="5"/>
      <c r="D510" s="5"/>
      <c r="E510" s="5"/>
      <c r="F510" s="5"/>
      <c r="G510" s="5"/>
      <c r="H510" s="68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5"/>
      <c r="C511" s="5"/>
      <c r="D511" s="5"/>
      <c r="E511" s="5"/>
      <c r="F511" s="5"/>
      <c r="G511" s="5"/>
      <c r="H511" s="68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5"/>
      <c r="C512" s="5"/>
      <c r="D512" s="5"/>
      <c r="E512" s="5"/>
      <c r="F512" s="5"/>
      <c r="G512" s="5"/>
      <c r="H512" s="68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5"/>
      <c r="C513" s="5"/>
      <c r="D513" s="5"/>
      <c r="E513" s="5"/>
      <c r="F513" s="5"/>
      <c r="G513" s="5"/>
      <c r="H513" s="68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5"/>
      <c r="C514" s="5"/>
      <c r="D514" s="5"/>
      <c r="E514" s="5"/>
      <c r="F514" s="5"/>
      <c r="G514" s="5"/>
      <c r="H514" s="68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5"/>
      <c r="C515" s="5"/>
      <c r="D515" s="5"/>
      <c r="E515" s="5"/>
      <c r="F515" s="5"/>
      <c r="G515" s="5"/>
      <c r="H515" s="68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5"/>
      <c r="C516" s="5"/>
      <c r="D516" s="5"/>
      <c r="E516" s="5"/>
      <c r="F516" s="5"/>
      <c r="G516" s="5"/>
      <c r="H516" s="68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5"/>
      <c r="C517" s="5"/>
      <c r="D517" s="5"/>
      <c r="E517" s="5"/>
      <c r="F517" s="5"/>
      <c r="G517" s="5"/>
      <c r="H517" s="68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5"/>
      <c r="C518" s="5"/>
      <c r="D518" s="5"/>
      <c r="E518" s="5"/>
      <c r="F518" s="5"/>
      <c r="G518" s="5"/>
      <c r="H518" s="68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5"/>
      <c r="C519" s="5"/>
      <c r="D519" s="5"/>
      <c r="E519" s="5"/>
      <c r="F519" s="5"/>
      <c r="G519" s="5"/>
      <c r="H519" s="68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5"/>
      <c r="C520" s="5"/>
      <c r="D520" s="5"/>
      <c r="E520" s="5"/>
      <c r="F520" s="5"/>
      <c r="G520" s="5"/>
      <c r="H520" s="68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5"/>
      <c r="C521" s="5"/>
      <c r="D521" s="5"/>
      <c r="E521" s="5"/>
      <c r="F521" s="5"/>
      <c r="G521" s="5"/>
      <c r="H521" s="68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5"/>
      <c r="C522" s="5"/>
      <c r="D522" s="5"/>
      <c r="E522" s="5"/>
      <c r="F522" s="5"/>
      <c r="G522" s="5"/>
      <c r="H522" s="68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5"/>
      <c r="C523" s="5"/>
      <c r="D523" s="5"/>
      <c r="E523" s="5"/>
      <c r="F523" s="5"/>
      <c r="G523" s="5"/>
      <c r="H523" s="68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5"/>
      <c r="C524" s="5"/>
      <c r="D524" s="5"/>
      <c r="E524" s="5"/>
      <c r="F524" s="5"/>
      <c r="G524" s="5"/>
      <c r="H524" s="68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5"/>
      <c r="C525" s="5"/>
      <c r="D525" s="5"/>
      <c r="E525" s="5"/>
      <c r="F525" s="5"/>
      <c r="G525" s="5"/>
      <c r="H525" s="68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5"/>
      <c r="C526" s="5"/>
      <c r="D526" s="5"/>
      <c r="E526" s="5"/>
      <c r="F526" s="5"/>
      <c r="G526" s="5"/>
      <c r="H526" s="68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5"/>
      <c r="C527" s="5"/>
      <c r="D527" s="5"/>
      <c r="E527" s="5"/>
      <c r="F527" s="5"/>
      <c r="G527" s="5"/>
      <c r="H527" s="68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5"/>
      <c r="C528" s="5"/>
      <c r="D528" s="5"/>
      <c r="E528" s="5"/>
      <c r="F528" s="5"/>
      <c r="G528" s="5"/>
      <c r="H528" s="68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5"/>
      <c r="C529" s="5"/>
      <c r="D529" s="5"/>
      <c r="E529" s="5"/>
      <c r="F529" s="5"/>
      <c r="G529" s="5"/>
      <c r="H529" s="68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5"/>
      <c r="C530" s="5"/>
      <c r="D530" s="5"/>
      <c r="E530" s="5"/>
      <c r="F530" s="5"/>
      <c r="G530" s="5"/>
      <c r="H530" s="68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5"/>
      <c r="C531" s="5"/>
      <c r="D531" s="5"/>
      <c r="E531" s="5"/>
      <c r="F531" s="5"/>
      <c r="G531" s="5"/>
      <c r="H531" s="68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5"/>
      <c r="C532" s="5"/>
      <c r="D532" s="5"/>
      <c r="E532" s="5"/>
      <c r="F532" s="5"/>
      <c r="G532" s="5"/>
      <c r="H532" s="68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5"/>
      <c r="C533" s="5"/>
      <c r="D533" s="5"/>
      <c r="E533" s="5"/>
      <c r="F533" s="5"/>
      <c r="G533" s="5"/>
      <c r="H533" s="68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5"/>
      <c r="C534" s="5"/>
      <c r="D534" s="5"/>
      <c r="E534" s="5"/>
      <c r="F534" s="5"/>
      <c r="G534" s="5"/>
      <c r="H534" s="68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5"/>
      <c r="C535" s="5"/>
      <c r="D535" s="5"/>
      <c r="E535" s="5"/>
      <c r="F535" s="5"/>
      <c r="G535" s="5"/>
      <c r="H535" s="68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5"/>
      <c r="C536" s="5"/>
      <c r="D536" s="5"/>
      <c r="E536" s="5"/>
      <c r="F536" s="5"/>
      <c r="G536" s="5"/>
      <c r="H536" s="68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5"/>
      <c r="C537" s="5"/>
      <c r="D537" s="5"/>
      <c r="E537" s="5"/>
      <c r="F537" s="5"/>
      <c r="G537" s="5"/>
      <c r="H537" s="68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5"/>
      <c r="C538" s="5"/>
      <c r="D538" s="5"/>
      <c r="E538" s="5"/>
      <c r="F538" s="5"/>
      <c r="G538" s="5"/>
      <c r="H538" s="68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5"/>
      <c r="C539" s="5"/>
      <c r="D539" s="5"/>
      <c r="E539" s="5"/>
      <c r="F539" s="5"/>
      <c r="G539" s="5"/>
      <c r="H539" s="68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5"/>
      <c r="C540" s="5"/>
      <c r="D540" s="5"/>
      <c r="E540" s="5"/>
      <c r="F540" s="5"/>
      <c r="G540" s="5"/>
      <c r="H540" s="68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5"/>
      <c r="C541" s="5"/>
      <c r="D541" s="5"/>
      <c r="E541" s="5"/>
      <c r="F541" s="5"/>
      <c r="G541" s="5"/>
      <c r="H541" s="68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5"/>
      <c r="C542" s="5"/>
      <c r="D542" s="5"/>
      <c r="E542" s="5"/>
      <c r="F542" s="5"/>
      <c r="G542" s="5"/>
      <c r="H542" s="68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5"/>
      <c r="C543" s="5"/>
      <c r="D543" s="5"/>
      <c r="E543" s="5"/>
      <c r="F543" s="5"/>
      <c r="G543" s="5"/>
      <c r="H543" s="68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5"/>
      <c r="C544" s="5"/>
      <c r="D544" s="5"/>
      <c r="E544" s="5"/>
      <c r="F544" s="5"/>
      <c r="G544" s="5"/>
      <c r="H544" s="68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5"/>
      <c r="C545" s="5"/>
      <c r="D545" s="5"/>
      <c r="E545" s="5"/>
      <c r="F545" s="5"/>
      <c r="G545" s="5"/>
      <c r="H545" s="68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5"/>
      <c r="C546" s="5"/>
      <c r="D546" s="5"/>
      <c r="E546" s="5"/>
      <c r="F546" s="5"/>
      <c r="G546" s="5"/>
      <c r="H546" s="68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5"/>
      <c r="C547" s="5"/>
      <c r="D547" s="5"/>
      <c r="E547" s="5"/>
      <c r="F547" s="5"/>
      <c r="G547" s="5"/>
      <c r="H547" s="68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5"/>
      <c r="C548" s="5"/>
      <c r="D548" s="5"/>
      <c r="E548" s="5"/>
      <c r="F548" s="5"/>
      <c r="G548" s="5"/>
      <c r="H548" s="68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5"/>
      <c r="C549" s="5"/>
      <c r="D549" s="5"/>
      <c r="E549" s="5"/>
      <c r="F549" s="5"/>
      <c r="G549" s="5"/>
      <c r="H549" s="68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5"/>
      <c r="C550" s="5"/>
      <c r="D550" s="5"/>
      <c r="E550" s="5"/>
      <c r="F550" s="5"/>
      <c r="G550" s="5"/>
      <c r="H550" s="68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5"/>
      <c r="C551" s="5"/>
      <c r="D551" s="5"/>
      <c r="E551" s="5"/>
      <c r="F551" s="5"/>
      <c r="G551" s="5"/>
      <c r="H551" s="68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5"/>
      <c r="C552" s="5"/>
      <c r="D552" s="5"/>
      <c r="E552" s="5"/>
      <c r="F552" s="5"/>
      <c r="G552" s="5"/>
      <c r="H552" s="68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5"/>
      <c r="C553" s="5"/>
      <c r="D553" s="5"/>
      <c r="E553" s="5"/>
      <c r="F553" s="5"/>
      <c r="G553" s="5"/>
      <c r="H553" s="68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5"/>
      <c r="C554" s="5"/>
      <c r="D554" s="5"/>
      <c r="E554" s="5"/>
      <c r="F554" s="5"/>
      <c r="G554" s="5"/>
      <c r="H554" s="68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5"/>
      <c r="C555" s="5"/>
      <c r="D555" s="5"/>
      <c r="E555" s="5"/>
      <c r="F555" s="5"/>
      <c r="G555" s="5"/>
      <c r="H555" s="68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5"/>
      <c r="C556" s="5"/>
      <c r="D556" s="5"/>
      <c r="E556" s="5"/>
      <c r="F556" s="5"/>
      <c r="G556" s="5"/>
      <c r="H556" s="68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5"/>
      <c r="C557" s="5"/>
      <c r="D557" s="5"/>
      <c r="E557" s="5"/>
      <c r="F557" s="5"/>
      <c r="G557" s="5"/>
      <c r="H557" s="68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5"/>
      <c r="C558" s="5"/>
      <c r="D558" s="5"/>
      <c r="E558" s="5"/>
      <c r="F558" s="5"/>
      <c r="G558" s="5"/>
      <c r="H558" s="68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5"/>
      <c r="C559" s="5"/>
      <c r="D559" s="5"/>
      <c r="E559" s="5"/>
      <c r="F559" s="5"/>
      <c r="G559" s="5"/>
      <c r="H559" s="68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5"/>
      <c r="C560" s="5"/>
      <c r="D560" s="5"/>
      <c r="E560" s="5"/>
      <c r="F560" s="5"/>
      <c r="G560" s="5"/>
      <c r="H560" s="68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5"/>
      <c r="C561" s="5"/>
      <c r="D561" s="5"/>
      <c r="E561" s="5"/>
      <c r="F561" s="5"/>
      <c r="G561" s="5"/>
      <c r="H561" s="68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5"/>
      <c r="C562" s="5"/>
      <c r="D562" s="5"/>
      <c r="E562" s="5"/>
      <c r="F562" s="5"/>
      <c r="G562" s="5"/>
      <c r="H562" s="68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5"/>
      <c r="C563" s="5"/>
      <c r="D563" s="5"/>
      <c r="E563" s="5"/>
      <c r="F563" s="5"/>
      <c r="G563" s="5"/>
      <c r="H563" s="68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5"/>
      <c r="C564" s="5"/>
      <c r="D564" s="5"/>
      <c r="E564" s="5"/>
      <c r="F564" s="5"/>
      <c r="G564" s="5"/>
      <c r="H564" s="68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5"/>
      <c r="C565" s="5"/>
      <c r="D565" s="5"/>
      <c r="E565" s="5"/>
      <c r="F565" s="5"/>
      <c r="G565" s="5"/>
      <c r="H565" s="68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5"/>
      <c r="C566" s="5"/>
      <c r="D566" s="5"/>
      <c r="E566" s="5"/>
      <c r="F566" s="5"/>
      <c r="G566" s="5"/>
      <c r="H566" s="68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5"/>
      <c r="C567" s="5"/>
      <c r="D567" s="5"/>
      <c r="E567" s="5"/>
      <c r="F567" s="5"/>
      <c r="G567" s="5"/>
      <c r="H567" s="68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5"/>
      <c r="C568" s="5"/>
      <c r="D568" s="5"/>
      <c r="E568" s="5"/>
      <c r="F568" s="5"/>
      <c r="G568" s="5"/>
      <c r="H568" s="68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5"/>
      <c r="C569" s="5"/>
      <c r="D569" s="5"/>
      <c r="E569" s="5"/>
      <c r="F569" s="5"/>
      <c r="G569" s="5"/>
      <c r="H569" s="68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5"/>
      <c r="C570" s="5"/>
      <c r="D570" s="5"/>
      <c r="E570" s="5"/>
      <c r="F570" s="5"/>
      <c r="G570" s="5"/>
      <c r="H570" s="68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5"/>
      <c r="C571" s="5"/>
      <c r="D571" s="5"/>
      <c r="E571" s="5"/>
      <c r="F571" s="5"/>
      <c r="G571" s="5"/>
      <c r="H571" s="68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5"/>
      <c r="C572" s="5"/>
      <c r="D572" s="5"/>
      <c r="E572" s="5"/>
      <c r="F572" s="5"/>
      <c r="G572" s="5"/>
      <c r="H572" s="68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5"/>
      <c r="C573" s="5"/>
      <c r="D573" s="5"/>
      <c r="E573" s="5"/>
      <c r="F573" s="5"/>
      <c r="G573" s="5"/>
      <c r="H573" s="68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5"/>
      <c r="C574" s="5"/>
      <c r="D574" s="5"/>
      <c r="E574" s="5"/>
      <c r="F574" s="5"/>
      <c r="G574" s="5"/>
      <c r="H574" s="68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5"/>
      <c r="C575" s="5"/>
      <c r="D575" s="5"/>
      <c r="E575" s="5"/>
      <c r="F575" s="5"/>
      <c r="G575" s="5"/>
      <c r="H575" s="68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5"/>
      <c r="C576" s="5"/>
      <c r="D576" s="5"/>
      <c r="E576" s="5"/>
      <c r="F576" s="5"/>
      <c r="G576" s="5"/>
      <c r="H576" s="68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5"/>
      <c r="C577" s="5"/>
      <c r="D577" s="5"/>
      <c r="E577" s="5"/>
      <c r="F577" s="5"/>
      <c r="G577" s="5"/>
      <c r="H577" s="68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5"/>
      <c r="C578" s="5"/>
      <c r="D578" s="5"/>
      <c r="E578" s="5"/>
      <c r="F578" s="5"/>
      <c r="G578" s="5"/>
      <c r="H578" s="68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5"/>
      <c r="C579" s="5"/>
      <c r="D579" s="5"/>
      <c r="E579" s="5"/>
      <c r="F579" s="5"/>
      <c r="G579" s="5"/>
      <c r="H579" s="68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5"/>
      <c r="C580" s="5"/>
      <c r="D580" s="5"/>
      <c r="E580" s="5"/>
      <c r="F580" s="5"/>
      <c r="G580" s="5"/>
      <c r="H580" s="68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5"/>
      <c r="C581" s="5"/>
      <c r="D581" s="5"/>
      <c r="E581" s="5"/>
      <c r="F581" s="5"/>
      <c r="G581" s="5"/>
      <c r="H581" s="68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5"/>
      <c r="C582" s="5"/>
      <c r="D582" s="5"/>
      <c r="E582" s="5"/>
      <c r="F582" s="5"/>
      <c r="G582" s="5"/>
      <c r="H582" s="68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5"/>
      <c r="C583" s="5"/>
      <c r="D583" s="5"/>
      <c r="E583" s="5"/>
      <c r="F583" s="5"/>
      <c r="G583" s="5"/>
      <c r="H583" s="68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5"/>
      <c r="C584" s="5"/>
      <c r="D584" s="5"/>
      <c r="E584" s="5"/>
      <c r="F584" s="5"/>
      <c r="G584" s="5"/>
      <c r="H584" s="68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5"/>
      <c r="C585" s="5"/>
      <c r="D585" s="5"/>
      <c r="E585" s="5"/>
      <c r="F585" s="5"/>
      <c r="G585" s="5"/>
      <c r="H585" s="68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5"/>
      <c r="C586" s="5"/>
      <c r="D586" s="5"/>
      <c r="E586" s="5"/>
      <c r="F586" s="5"/>
      <c r="G586" s="5"/>
      <c r="H586" s="68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5"/>
      <c r="C587" s="5"/>
      <c r="D587" s="5"/>
      <c r="E587" s="5"/>
      <c r="F587" s="5"/>
      <c r="G587" s="5"/>
      <c r="H587" s="68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5"/>
      <c r="C588" s="5"/>
      <c r="D588" s="5"/>
      <c r="E588" s="5"/>
      <c r="F588" s="5"/>
      <c r="G588" s="5"/>
      <c r="H588" s="68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5"/>
      <c r="C589" s="5"/>
      <c r="D589" s="5"/>
      <c r="E589" s="5"/>
      <c r="F589" s="5"/>
      <c r="G589" s="5"/>
      <c r="H589" s="68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5"/>
      <c r="C590" s="5"/>
      <c r="D590" s="5"/>
      <c r="E590" s="5"/>
      <c r="F590" s="5"/>
      <c r="G590" s="5"/>
      <c r="H590" s="68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5"/>
      <c r="C591" s="5"/>
      <c r="D591" s="5"/>
      <c r="E591" s="5"/>
      <c r="F591" s="5"/>
      <c r="G591" s="5"/>
      <c r="H591" s="68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5"/>
      <c r="C592" s="5"/>
      <c r="D592" s="5"/>
      <c r="E592" s="5"/>
      <c r="F592" s="5"/>
      <c r="G592" s="5"/>
      <c r="H592" s="68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5"/>
      <c r="C593" s="5"/>
      <c r="D593" s="5"/>
      <c r="E593" s="5"/>
      <c r="F593" s="5"/>
      <c r="G593" s="5"/>
      <c r="H593" s="68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5"/>
      <c r="C594" s="5"/>
      <c r="D594" s="5"/>
      <c r="E594" s="5"/>
      <c r="F594" s="5"/>
      <c r="G594" s="5"/>
      <c r="H594" s="68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5"/>
      <c r="C595" s="5"/>
      <c r="D595" s="5"/>
      <c r="E595" s="5"/>
      <c r="F595" s="5"/>
      <c r="G595" s="5"/>
      <c r="H595" s="68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5"/>
      <c r="C596" s="5"/>
      <c r="D596" s="5"/>
      <c r="E596" s="5"/>
      <c r="F596" s="5"/>
      <c r="G596" s="5"/>
      <c r="H596" s="68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5"/>
      <c r="C597" s="5"/>
      <c r="D597" s="5"/>
      <c r="E597" s="5"/>
      <c r="F597" s="5"/>
      <c r="G597" s="5"/>
      <c r="H597" s="68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5"/>
      <c r="C598" s="5"/>
      <c r="D598" s="5"/>
      <c r="E598" s="5"/>
      <c r="F598" s="5"/>
      <c r="G598" s="5"/>
      <c r="H598" s="68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5"/>
      <c r="C599" s="5"/>
      <c r="D599" s="5"/>
      <c r="E599" s="5"/>
      <c r="F599" s="5"/>
      <c r="G599" s="5"/>
      <c r="H599" s="68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5"/>
      <c r="C600" s="5"/>
      <c r="D600" s="5"/>
      <c r="E600" s="5"/>
      <c r="F600" s="5"/>
      <c r="G600" s="5"/>
      <c r="H600" s="68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5"/>
      <c r="C601" s="5"/>
      <c r="D601" s="5"/>
      <c r="E601" s="5"/>
      <c r="F601" s="5"/>
      <c r="G601" s="5"/>
      <c r="H601" s="68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5"/>
      <c r="C602" s="5"/>
      <c r="D602" s="5"/>
      <c r="E602" s="5"/>
      <c r="F602" s="5"/>
      <c r="G602" s="5"/>
      <c r="H602" s="68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5"/>
      <c r="C603" s="5"/>
      <c r="D603" s="5"/>
      <c r="E603" s="5"/>
      <c r="F603" s="5"/>
      <c r="G603" s="5"/>
      <c r="H603" s="68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5"/>
      <c r="C604" s="5"/>
      <c r="D604" s="5"/>
      <c r="E604" s="5"/>
      <c r="F604" s="5"/>
      <c r="G604" s="5"/>
      <c r="H604" s="68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5"/>
      <c r="C605" s="5"/>
      <c r="D605" s="5"/>
      <c r="E605" s="5"/>
      <c r="F605" s="5"/>
      <c r="G605" s="5"/>
      <c r="H605" s="68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5"/>
      <c r="C606" s="5"/>
      <c r="D606" s="5"/>
      <c r="E606" s="5"/>
      <c r="F606" s="5"/>
      <c r="G606" s="5"/>
      <c r="H606" s="68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5"/>
      <c r="C607" s="5"/>
      <c r="D607" s="5"/>
      <c r="E607" s="5"/>
      <c r="F607" s="5"/>
      <c r="G607" s="5"/>
      <c r="H607" s="68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5"/>
      <c r="C608" s="5"/>
      <c r="D608" s="5"/>
      <c r="E608" s="5"/>
      <c r="F608" s="5"/>
      <c r="G608" s="5"/>
      <c r="H608" s="68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5"/>
      <c r="C609" s="5"/>
      <c r="D609" s="5"/>
      <c r="E609" s="5"/>
      <c r="F609" s="5"/>
      <c r="G609" s="5"/>
      <c r="H609" s="68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5"/>
      <c r="C610" s="5"/>
      <c r="D610" s="5"/>
      <c r="E610" s="5"/>
      <c r="F610" s="5"/>
      <c r="G610" s="5"/>
      <c r="H610" s="68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5"/>
      <c r="C611" s="5"/>
      <c r="D611" s="5"/>
      <c r="E611" s="5"/>
      <c r="F611" s="5"/>
      <c r="G611" s="5"/>
      <c r="H611" s="68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5"/>
      <c r="C612" s="5"/>
      <c r="D612" s="5"/>
      <c r="E612" s="5"/>
      <c r="F612" s="5"/>
      <c r="G612" s="5"/>
      <c r="H612" s="68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5"/>
      <c r="C613" s="5"/>
      <c r="D613" s="5"/>
      <c r="E613" s="5"/>
      <c r="F613" s="5"/>
      <c r="G613" s="5"/>
      <c r="H613" s="68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5"/>
      <c r="C614" s="5"/>
      <c r="D614" s="5"/>
      <c r="E614" s="5"/>
      <c r="F614" s="5"/>
      <c r="G614" s="5"/>
      <c r="H614" s="68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5"/>
      <c r="C615" s="5"/>
      <c r="D615" s="5"/>
      <c r="E615" s="5"/>
      <c r="F615" s="5"/>
      <c r="G615" s="5"/>
      <c r="H615" s="68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5"/>
      <c r="C616" s="5"/>
      <c r="D616" s="5"/>
      <c r="E616" s="5"/>
      <c r="F616" s="5"/>
      <c r="G616" s="5"/>
      <c r="H616" s="68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5"/>
      <c r="C617" s="5"/>
      <c r="D617" s="5"/>
      <c r="E617" s="5"/>
      <c r="F617" s="5"/>
      <c r="G617" s="5"/>
      <c r="H617" s="68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5"/>
      <c r="C618" s="5"/>
      <c r="D618" s="5"/>
      <c r="E618" s="5"/>
      <c r="F618" s="5"/>
      <c r="G618" s="5"/>
      <c r="H618" s="68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5"/>
      <c r="C619" s="5"/>
      <c r="D619" s="5"/>
      <c r="E619" s="5"/>
      <c r="F619" s="5"/>
      <c r="G619" s="5"/>
      <c r="H619" s="68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5"/>
      <c r="C620" s="5"/>
      <c r="D620" s="5"/>
      <c r="E620" s="5"/>
      <c r="F620" s="5"/>
      <c r="G620" s="5"/>
      <c r="H620" s="68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5"/>
      <c r="C621" s="5"/>
      <c r="D621" s="5"/>
      <c r="E621" s="5"/>
      <c r="F621" s="5"/>
      <c r="G621" s="5"/>
      <c r="H621" s="68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5"/>
      <c r="C622" s="5"/>
      <c r="D622" s="5"/>
      <c r="E622" s="5"/>
      <c r="F622" s="5"/>
      <c r="G622" s="5"/>
      <c r="H622" s="68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5"/>
      <c r="C623" s="5"/>
      <c r="D623" s="5"/>
      <c r="E623" s="5"/>
      <c r="F623" s="5"/>
      <c r="G623" s="5"/>
      <c r="H623" s="68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5"/>
      <c r="C624" s="5"/>
      <c r="D624" s="5"/>
      <c r="E624" s="5"/>
      <c r="F624" s="5"/>
      <c r="G624" s="5"/>
      <c r="H624" s="68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5"/>
      <c r="C625" s="5"/>
      <c r="D625" s="5"/>
      <c r="E625" s="5"/>
      <c r="F625" s="5"/>
      <c r="G625" s="5"/>
      <c r="H625" s="68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5"/>
      <c r="C626" s="5"/>
      <c r="D626" s="5"/>
      <c r="E626" s="5"/>
      <c r="F626" s="5"/>
      <c r="G626" s="5"/>
      <c r="H626" s="68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5"/>
      <c r="C627" s="5"/>
      <c r="D627" s="5"/>
      <c r="E627" s="5"/>
      <c r="F627" s="5"/>
      <c r="G627" s="5"/>
      <c r="H627" s="68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5"/>
      <c r="C628" s="5"/>
      <c r="D628" s="5"/>
      <c r="E628" s="5"/>
      <c r="F628" s="5"/>
      <c r="G628" s="5"/>
      <c r="H628" s="68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5"/>
      <c r="C629" s="5"/>
      <c r="D629" s="5"/>
      <c r="E629" s="5"/>
      <c r="F629" s="5"/>
      <c r="G629" s="5"/>
      <c r="H629" s="68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5"/>
      <c r="C630" s="5"/>
      <c r="D630" s="5"/>
      <c r="E630" s="5"/>
      <c r="F630" s="5"/>
      <c r="G630" s="5"/>
      <c r="H630" s="68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5"/>
      <c r="C631" s="5"/>
      <c r="D631" s="5"/>
      <c r="E631" s="5"/>
      <c r="F631" s="5"/>
      <c r="G631" s="5"/>
      <c r="H631" s="68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5"/>
      <c r="C632" s="5"/>
      <c r="D632" s="5"/>
      <c r="E632" s="5"/>
      <c r="F632" s="5"/>
      <c r="G632" s="5"/>
      <c r="H632" s="68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5"/>
      <c r="C633" s="5"/>
      <c r="D633" s="5"/>
      <c r="E633" s="5"/>
      <c r="F633" s="5"/>
      <c r="G633" s="5"/>
      <c r="H633" s="68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5"/>
      <c r="C634" s="5"/>
      <c r="D634" s="5"/>
      <c r="E634" s="5"/>
      <c r="F634" s="5"/>
      <c r="G634" s="5"/>
      <c r="H634" s="68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5"/>
      <c r="C635" s="5"/>
      <c r="D635" s="5"/>
      <c r="E635" s="5"/>
      <c r="F635" s="5"/>
      <c r="G635" s="5"/>
      <c r="H635" s="68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5"/>
      <c r="C636" s="5"/>
      <c r="D636" s="5"/>
      <c r="E636" s="5"/>
      <c r="F636" s="5"/>
      <c r="G636" s="5"/>
      <c r="H636" s="68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5"/>
      <c r="C637" s="5"/>
      <c r="D637" s="5"/>
      <c r="E637" s="5"/>
      <c r="F637" s="5"/>
      <c r="G637" s="5"/>
      <c r="H637" s="68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5"/>
      <c r="C638" s="5"/>
      <c r="D638" s="5"/>
      <c r="E638" s="5"/>
      <c r="F638" s="5"/>
      <c r="G638" s="5"/>
      <c r="H638" s="68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5"/>
      <c r="C639" s="5"/>
      <c r="D639" s="5"/>
      <c r="E639" s="5"/>
      <c r="F639" s="5"/>
      <c r="G639" s="5"/>
      <c r="H639" s="68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5"/>
      <c r="C640" s="5"/>
      <c r="D640" s="5"/>
      <c r="E640" s="5"/>
      <c r="F640" s="5"/>
      <c r="G640" s="5"/>
      <c r="H640" s="68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5"/>
      <c r="C641" s="5"/>
      <c r="D641" s="5"/>
      <c r="E641" s="5"/>
      <c r="F641" s="5"/>
      <c r="G641" s="5"/>
      <c r="H641" s="68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5"/>
      <c r="C642" s="5"/>
      <c r="D642" s="5"/>
      <c r="E642" s="5"/>
      <c r="F642" s="5"/>
      <c r="G642" s="5"/>
      <c r="H642" s="68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5"/>
      <c r="C643" s="5"/>
      <c r="D643" s="5"/>
      <c r="E643" s="5"/>
      <c r="F643" s="5"/>
      <c r="G643" s="5"/>
      <c r="H643" s="68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5"/>
      <c r="C644" s="5"/>
      <c r="D644" s="5"/>
      <c r="E644" s="5"/>
      <c r="F644" s="5"/>
      <c r="G644" s="5"/>
      <c r="H644" s="68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5"/>
      <c r="C645" s="5"/>
      <c r="D645" s="5"/>
      <c r="E645" s="5"/>
      <c r="F645" s="5"/>
      <c r="G645" s="5"/>
      <c r="H645" s="68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5"/>
      <c r="C646" s="5"/>
      <c r="D646" s="5"/>
      <c r="E646" s="5"/>
      <c r="F646" s="5"/>
      <c r="G646" s="5"/>
      <c r="H646" s="68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5"/>
      <c r="C647" s="5"/>
      <c r="D647" s="5"/>
      <c r="E647" s="5"/>
      <c r="F647" s="5"/>
      <c r="G647" s="5"/>
      <c r="H647" s="68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5"/>
      <c r="C648" s="5"/>
      <c r="D648" s="5"/>
      <c r="E648" s="5"/>
      <c r="F648" s="5"/>
      <c r="G648" s="5"/>
      <c r="H648" s="68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5"/>
      <c r="C649" s="5"/>
      <c r="D649" s="5"/>
      <c r="E649" s="5"/>
      <c r="F649" s="5"/>
      <c r="G649" s="5"/>
      <c r="H649" s="68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5"/>
      <c r="C650" s="5"/>
      <c r="D650" s="5"/>
      <c r="E650" s="5"/>
      <c r="F650" s="5"/>
      <c r="G650" s="5"/>
      <c r="H650" s="68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5"/>
      <c r="C651" s="5"/>
      <c r="D651" s="5"/>
      <c r="E651" s="5"/>
      <c r="F651" s="5"/>
      <c r="G651" s="5"/>
      <c r="H651" s="68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5"/>
      <c r="C652" s="5"/>
      <c r="D652" s="5"/>
      <c r="E652" s="5"/>
      <c r="F652" s="5"/>
      <c r="G652" s="5"/>
      <c r="H652" s="68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5"/>
      <c r="C653" s="5"/>
      <c r="D653" s="5"/>
      <c r="E653" s="5"/>
      <c r="F653" s="5"/>
      <c r="G653" s="5"/>
      <c r="H653" s="68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5"/>
      <c r="C654" s="5"/>
      <c r="D654" s="5"/>
      <c r="E654" s="5"/>
      <c r="F654" s="5"/>
      <c r="G654" s="5"/>
      <c r="H654" s="68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5"/>
      <c r="C655" s="5"/>
      <c r="D655" s="5"/>
      <c r="E655" s="5"/>
      <c r="F655" s="5"/>
      <c r="G655" s="5"/>
      <c r="H655" s="68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5"/>
      <c r="C656" s="5"/>
      <c r="D656" s="5"/>
      <c r="E656" s="5"/>
      <c r="F656" s="5"/>
      <c r="G656" s="5"/>
      <c r="H656" s="68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5"/>
      <c r="C657" s="5"/>
      <c r="D657" s="5"/>
      <c r="E657" s="5"/>
      <c r="F657" s="5"/>
      <c r="G657" s="5"/>
      <c r="H657" s="68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5"/>
      <c r="C658" s="5"/>
      <c r="D658" s="5"/>
      <c r="E658" s="5"/>
      <c r="F658" s="5"/>
      <c r="G658" s="5"/>
      <c r="H658" s="68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5"/>
      <c r="C659" s="5"/>
      <c r="D659" s="5"/>
      <c r="E659" s="5"/>
      <c r="F659" s="5"/>
      <c r="G659" s="5"/>
      <c r="H659" s="68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5"/>
      <c r="C660" s="5"/>
      <c r="D660" s="5"/>
      <c r="E660" s="5"/>
      <c r="F660" s="5"/>
      <c r="G660" s="5"/>
      <c r="H660" s="68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5"/>
      <c r="C661" s="5"/>
      <c r="D661" s="5"/>
      <c r="E661" s="5"/>
      <c r="F661" s="5"/>
      <c r="G661" s="5"/>
      <c r="H661" s="68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5"/>
      <c r="C662" s="5"/>
      <c r="D662" s="5"/>
      <c r="E662" s="5"/>
      <c r="F662" s="5"/>
      <c r="G662" s="5"/>
      <c r="H662" s="68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5"/>
      <c r="C663" s="5"/>
      <c r="D663" s="5"/>
      <c r="E663" s="5"/>
      <c r="F663" s="5"/>
      <c r="G663" s="5"/>
      <c r="H663" s="68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5"/>
      <c r="C664" s="5"/>
      <c r="D664" s="5"/>
      <c r="E664" s="5"/>
      <c r="F664" s="5"/>
      <c r="G664" s="5"/>
      <c r="H664" s="68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5"/>
      <c r="C665" s="5"/>
      <c r="D665" s="5"/>
      <c r="E665" s="5"/>
      <c r="F665" s="5"/>
      <c r="G665" s="5"/>
      <c r="H665" s="68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5"/>
      <c r="C666" s="5"/>
      <c r="D666" s="5"/>
      <c r="E666" s="5"/>
      <c r="F666" s="5"/>
      <c r="G666" s="5"/>
      <c r="H666" s="68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5"/>
      <c r="C667" s="5"/>
      <c r="D667" s="5"/>
      <c r="E667" s="5"/>
      <c r="F667" s="5"/>
      <c r="G667" s="5"/>
      <c r="H667" s="68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5"/>
      <c r="C668" s="5"/>
      <c r="D668" s="5"/>
      <c r="E668" s="5"/>
      <c r="F668" s="5"/>
      <c r="G668" s="5"/>
      <c r="H668" s="68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5"/>
      <c r="C669" s="5"/>
      <c r="D669" s="5"/>
      <c r="E669" s="5"/>
      <c r="F669" s="5"/>
      <c r="G669" s="5"/>
      <c r="H669" s="68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5"/>
      <c r="C670" s="5"/>
      <c r="D670" s="5"/>
      <c r="E670" s="5"/>
      <c r="F670" s="5"/>
      <c r="G670" s="5"/>
      <c r="H670" s="68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5"/>
      <c r="C671" s="5"/>
      <c r="D671" s="5"/>
      <c r="E671" s="5"/>
      <c r="F671" s="5"/>
      <c r="G671" s="5"/>
      <c r="H671" s="68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5"/>
      <c r="C672" s="5"/>
      <c r="D672" s="5"/>
      <c r="E672" s="5"/>
      <c r="F672" s="5"/>
      <c r="G672" s="5"/>
      <c r="H672" s="68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5"/>
      <c r="C673" s="5"/>
      <c r="D673" s="5"/>
      <c r="E673" s="5"/>
      <c r="F673" s="5"/>
      <c r="G673" s="5"/>
      <c r="H673" s="68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5"/>
      <c r="C674" s="5"/>
      <c r="D674" s="5"/>
      <c r="E674" s="5"/>
      <c r="F674" s="5"/>
      <c r="G674" s="5"/>
      <c r="H674" s="68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5"/>
      <c r="C675" s="5"/>
      <c r="D675" s="5"/>
      <c r="E675" s="5"/>
      <c r="F675" s="5"/>
      <c r="G675" s="5"/>
      <c r="H675" s="68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5"/>
      <c r="C676" s="5"/>
      <c r="D676" s="5"/>
      <c r="E676" s="5"/>
      <c r="F676" s="5"/>
      <c r="G676" s="5"/>
      <c r="H676" s="68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5"/>
      <c r="C677" s="5"/>
      <c r="D677" s="5"/>
      <c r="E677" s="5"/>
      <c r="F677" s="5"/>
      <c r="G677" s="5"/>
      <c r="H677" s="68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5"/>
      <c r="C678" s="5"/>
      <c r="D678" s="5"/>
      <c r="E678" s="5"/>
      <c r="F678" s="5"/>
      <c r="G678" s="5"/>
      <c r="H678" s="68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5"/>
      <c r="C679" s="5"/>
      <c r="D679" s="5"/>
      <c r="E679" s="5"/>
      <c r="F679" s="5"/>
      <c r="G679" s="5"/>
      <c r="H679" s="68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5"/>
      <c r="C680" s="5"/>
      <c r="D680" s="5"/>
      <c r="E680" s="5"/>
      <c r="F680" s="5"/>
      <c r="G680" s="5"/>
      <c r="H680" s="68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5"/>
      <c r="C681" s="5"/>
      <c r="D681" s="5"/>
      <c r="E681" s="5"/>
      <c r="F681" s="5"/>
      <c r="G681" s="5"/>
      <c r="H681" s="68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5"/>
      <c r="C682" s="5"/>
      <c r="D682" s="5"/>
      <c r="E682" s="5"/>
      <c r="F682" s="5"/>
      <c r="G682" s="5"/>
      <c r="H682" s="68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5"/>
      <c r="C683" s="5"/>
      <c r="D683" s="5"/>
      <c r="E683" s="5"/>
      <c r="F683" s="5"/>
      <c r="G683" s="5"/>
      <c r="H683" s="68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5"/>
      <c r="C684" s="5"/>
      <c r="D684" s="5"/>
      <c r="E684" s="5"/>
      <c r="F684" s="5"/>
      <c r="G684" s="5"/>
      <c r="H684" s="68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5"/>
      <c r="C685" s="5"/>
      <c r="D685" s="5"/>
      <c r="E685" s="5"/>
      <c r="F685" s="5"/>
      <c r="G685" s="5"/>
      <c r="H685" s="68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5"/>
      <c r="C686" s="5"/>
      <c r="D686" s="5"/>
      <c r="E686" s="5"/>
      <c r="F686" s="5"/>
      <c r="G686" s="5"/>
      <c r="H686" s="68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5"/>
      <c r="C687" s="5"/>
      <c r="D687" s="5"/>
      <c r="E687" s="5"/>
      <c r="F687" s="5"/>
      <c r="G687" s="5"/>
      <c r="H687" s="68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5"/>
      <c r="C688" s="5"/>
      <c r="D688" s="5"/>
      <c r="E688" s="5"/>
      <c r="F688" s="5"/>
      <c r="G688" s="5"/>
      <c r="H688" s="68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5"/>
      <c r="C689" s="5"/>
      <c r="D689" s="5"/>
      <c r="E689" s="5"/>
      <c r="F689" s="5"/>
      <c r="G689" s="5"/>
      <c r="H689" s="68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5"/>
      <c r="C690" s="5"/>
      <c r="D690" s="5"/>
      <c r="E690" s="5"/>
      <c r="F690" s="5"/>
      <c r="G690" s="5"/>
      <c r="H690" s="68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5"/>
      <c r="C691" s="5"/>
      <c r="D691" s="5"/>
      <c r="E691" s="5"/>
      <c r="F691" s="5"/>
      <c r="G691" s="5"/>
      <c r="H691" s="68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5"/>
      <c r="C692" s="5"/>
      <c r="D692" s="5"/>
      <c r="E692" s="5"/>
      <c r="F692" s="5"/>
      <c r="G692" s="5"/>
      <c r="H692" s="68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5"/>
      <c r="C693" s="5"/>
      <c r="D693" s="5"/>
      <c r="E693" s="5"/>
      <c r="F693" s="5"/>
      <c r="G693" s="5"/>
      <c r="H693" s="68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5"/>
      <c r="C694" s="5"/>
      <c r="D694" s="5"/>
      <c r="E694" s="5"/>
      <c r="F694" s="5"/>
      <c r="G694" s="5"/>
      <c r="H694" s="68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5"/>
      <c r="C695" s="5"/>
      <c r="D695" s="5"/>
      <c r="E695" s="5"/>
      <c r="F695" s="5"/>
      <c r="G695" s="5"/>
      <c r="H695" s="68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5"/>
      <c r="C696" s="5"/>
      <c r="D696" s="5"/>
      <c r="E696" s="5"/>
      <c r="F696" s="5"/>
      <c r="G696" s="5"/>
      <c r="H696" s="68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5"/>
      <c r="C697" s="5"/>
      <c r="D697" s="5"/>
      <c r="E697" s="5"/>
      <c r="F697" s="5"/>
      <c r="G697" s="5"/>
      <c r="H697" s="68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5"/>
      <c r="C698" s="5"/>
      <c r="D698" s="5"/>
      <c r="E698" s="5"/>
      <c r="F698" s="5"/>
      <c r="G698" s="5"/>
      <c r="H698" s="68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5"/>
      <c r="C699" s="5"/>
      <c r="D699" s="5"/>
      <c r="E699" s="5"/>
      <c r="F699" s="5"/>
      <c r="G699" s="5"/>
      <c r="H699" s="68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5"/>
      <c r="C700" s="5"/>
      <c r="D700" s="5"/>
      <c r="E700" s="5"/>
      <c r="F700" s="5"/>
      <c r="G700" s="5"/>
      <c r="H700" s="68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5"/>
      <c r="C701" s="5"/>
      <c r="D701" s="5"/>
      <c r="E701" s="5"/>
      <c r="F701" s="5"/>
      <c r="G701" s="5"/>
      <c r="H701" s="68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5"/>
      <c r="C702" s="5"/>
      <c r="D702" s="5"/>
      <c r="E702" s="5"/>
      <c r="F702" s="5"/>
      <c r="G702" s="5"/>
      <c r="H702" s="68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5"/>
      <c r="C703" s="5"/>
      <c r="D703" s="5"/>
      <c r="E703" s="5"/>
      <c r="F703" s="5"/>
      <c r="G703" s="5"/>
      <c r="H703" s="68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5"/>
      <c r="C704" s="5"/>
      <c r="D704" s="5"/>
      <c r="E704" s="5"/>
      <c r="F704" s="5"/>
      <c r="G704" s="5"/>
      <c r="H704" s="68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5"/>
      <c r="C705" s="5"/>
      <c r="D705" s="5"/>
      <c r="E705" s="5"/>
      <c r="F705" s="5"/>
      <c r="G705" s="5"/>
      <c r="H705" s="68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5"/>
      <c r="C706" s="5"/>
      <c r="D706" s="5"/>
      <c r="E706" s="5"/>
      <c r="F706" s="5"/>
      <c r="G706" s="5"/>
      <c r="H706" s="68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5"/>
      <c r="C707" s="5"/>
      <c r="D707" s="5"/>
      <c r="E707" s="5"/>
      <c r="F707" s="5"/>
      <c r="G707" s="5"/>
      <c r="H707" s="68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5"/>
      <c r="C708" s="5"/>
      <c r="D708" s="5"/>
      <c r="E708" s="5"/>
      <c r="F708" s="5"/>
      <c r="G708" s="5"/>
      <c r="H708" s="68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5"/>
      <c r="C709" s="5"/>
      <c r="D709" s="5"/>
      <c r="E709" s="5"/>
      <c r="F709" s="5"/>
      <c r="G709" s="5"/>
      <c r="H709" s="68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5"/>
      <c r="C710" s="5"/>
      <c r="D710" s="5"/>
      <c r="E710" s="5"/>
      <c r="F710" s="5"/>
      <c r="G710" s="5"/>
      <c r="H710" s="68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5"/>
      <c r="C711" s="5"/>
      <c r="D711" s="5"/>
      <c r="E711" s="5"/>
      <c r="F711" s="5"/>
      <c r="G711" s="5"/>
      <c r="H711" s="68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5"/>
      <c r="C712" s="5"/>
      <c r="D712" s="5"/>
      <c r="E712" s="5"/>
      <c r="F712" s="5"/>
      <c r="G712" s="5"/>
      <c r="H712" s="68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5"/>
      <c r="C713" s="5"/>
      <c r="D713" s="5"/>
      <c r="E713" s="5"/>
      <c r="F713" s="5"/>
      <c r="G713" s="5"/>
      <c r="H713" s="68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5"/>
      <c r="C714" s="5"/>
      <c r="D714" s="5"/>
      <c r="E714" s="5"/>
      <c r="F714" s="5"/>
      <c r="G714" s="5"/>
      <c r="H714" s="68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5"/>
      <c r="C715" s="5"/>
      <c r="D715" s="5"/>
      <c r="E715" s="5"/>
      <c r="F715" s="5"/>
      <c r="G715" s="5"/>
      <c r="H715" s="68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5"/>
      <c r="C716" s="5"/>
      <c r="D716" s="5"/>
      <c r="E716" s="5"/>
      <c r="F716" s="5"/>
      <c r="G716" s="5"/>
      <c r="H716" s="68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5"/>
      <c r="C717" s="5"/>
      <c r="D717" s="5"/>
      <c r="E717" s="5"/>
      <c r="F717" s="5"/>
      <c r="G717" s="5"/>
      <c r="H717" s="68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5"/>
      <c r="C718" s="5"/>
      <c r="D718" s="5"/>
      <c r="E718" s="5"/>
      <c r="F718" s="5"/>
      <c r="G718" s="5"/>
      <c r="H718" s="68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5"/>
      <c r="C719" s="5"/>
      <c r="D719" s="5"/>
      <c r="E719" s="5"/>
      <c r="F719" s="5"/>
      <c r="G719" s="5"/>
      <c r="H719" s="68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5"/>
      <c r="C720" s="5"/>
      <c r="D720" s="5"/>
      <c r="E720" s="5"/>
      <c r="F720" s="5"/>
      <c r="G720" s="5"/>
      <c r="H720" s="68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5"/>
      <c r="C721" s="5"/>
      <c r="D721" s="5"/>
      <c r="E721" s="5"/>
      <c r="F721" s="5"/>
      <c r="G721" s="5"/>
      <c r="H721" s="68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5"/>
      <c r="C722" s="5"/>
      <c r="D722" s="5"/>
      <c r="E722" s="5"/>
      <c r="F722" s="5"/>
      <c r="G722" s="5"/>
      <c r="H722" s="68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5"/>
      <c r="C723" s="5"/>
      <c r="D723" s="5"/>
      <c r="E723" s="5"/>
      <c r="F723" s="5"/>
      <c r="G723" s="5"/>
      <c r="H723" s="68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5"/>
      <c r="C724" s="5"/>
      <c r="D724" s="5"/>
      <c r="E724" s="5"/>
      <c r="F724" s="5"/>
      <c r="G724" s="5"/>
      <c r="H724" s="68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5"/>
      <c r="C725" s="5"/>
      <c r="D725" s="5"/>
      <c r="E725" s="5"/>
      <c r="F725" s="5"/>
      <c r="G725" s="5"/>
      <c r="H725" s="68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5"/>
      <c r="C726" s="5"/>
      <c r="D726" s="5"/>
      <c r="E726" s="5"/>
      <c r="F726" s="5"/>
      <c r="G726" s="5"/>
      <c r="H726" s="68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5"/>
      <c r="C727" s="5"/>
      <c r="D727" s="5"/>
      <c r="E727" s="5"/>
      <c r="F727" s="5"/>
      <c r="G727" s="5"/>
      <c r="H727" s="68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5"/>
      <c r="C728" s="5"/>
      <c r="D728" s="5"/>
      <c r="E728" s="5"/>
      <c r="F728" s="5"/>
      <c r="G728" s="5"/>
      <c r="H728" s="68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5"/>
      <c r="C729" s="5"/>
      <c r="D729" s="5"/>
      <c r="E729" s="5"/>
      <c r="F729" s="5"/>
      <c r="G729" s="5"/>
      <c r="H729" s="68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5"/>
      <c r="C730" s="5"/>
      <c r="D730" s="5"/>
      <c r="E730" s="5"/>
      <c r="F730" s="5"/>
      <c r="G730" s="5"/>
      <c r="H730" s="68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5"/>
      <c r="C731" s="5"/>
      <c r="D731" s="5"/>
      <c r="E731" s="5"/>
      <c r="F731" s="5"/>
      <c r="G731" s="5"/>
      <c r="H731" s="68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5"/>
      <c r="C732" s="5"/>
      <c r="D732" s="5"/>
      <c r="E732" s="5"/>
      <c r="F732" s="5"/>
      <c r="G732" s="5"/>
      <c r="H732" s="68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5"/>
      <c r="C733" s="5"/>
      <c r="D733" s="5"/>
      <c r="E733" s="5"/>
      <c r="F733" s="5"/>
      <c r="G733" s="5"/>
      <c r="H733" s="68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5"/>
      <c r="C734" s="5"/>
      <c r="D734" s="5"/>
      <c r="E734" s="5"/>
      <c r="F734" s="5"/>
      <c r="G734" s="5"/>
      <c r="H734" s="68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5"/>
      <c r="C735" s="5"/>
      <c r="D735" s="5"/>
      <c r="E735" s="5"/>
      <c r="F735" s="5"/>
      <c r="G735" s="5"/>
      <c r="H735" s="68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5"/>
      <c r="C736" s="5"/>
      <c r="D736" s="5"/>
      <c r="E736" s="5"/>
      <c r="F736" s="5"/>
      <c r="G736" s="5"/>
      <c r="H736" s="68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5"/>
      <c r="C737" s="5"/>
      <c r="D737" s="5"/>
      <c r="E737" s="5"/>
      <c r="F737" s="5"/>
      <c r="G737" s="5"/>
      <c r="H737" s="68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5"/>
      <c r="C738" s="5"/>
      <c r="D738" s="5"/>
      <c r="E738" s="5"/>
      <c r="F738" s="5"/>
      <c r="G738" s="5"/>
      <c r="H738" s="68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5"/>
      <c r="C739" s="5"/>
      <c r="D739" s="5"/>
      <c r="E739" s="5"/>
      <c r="F739" s="5"/>
      <c r="G739" s="5"/>
      <c r="H739" s="68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5"/>
      <c r="C740" s="5"/>
      <c r="D740" s="5"/>
      <c r="E740" s="5"/>
      <c r="F740" s="5"/>
      <c r="G740" s="5"/>
      <c r="H740" s="68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5"/>
      <c r="C741" s="5"/>
      <c r="D741" s="5"/>
      <c r="E741" s="5"/>
      <c r="F741" s="5"/>
      <c r="G741" s="5"/>
      <c r="H741" s="68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5"/>
      <c r="C742" s="5"/>
      <c r="D742" s="5"/>
      <c r="E742" s="5"/>
      <c r="F742" s="5"/>
      <c r="G742" s="5"/>
      <c r="H742" s="68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5"/>
      <c r="C743" s="5"/>
      <c r="D743" s="5"/>
      <c r="E743" s="5"/>
      <c r="F743" s="5"/>
      <c r="G743" s="5"/>
      <c r="H743" s="68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5"/>
      <c r="C744" s="5"/>
      <c r="D744" s="5"/>
      <c r="E744" s="5"/>
      <c r="F744" s="5"/>
      <c r="G744" s="5"/>
      <c r="H744" s="68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5"/>
      <c r="C745" s="5"/>
      <c r="D745" s="5"/>
      <c r="E745" s="5"/>
      <c r="F745" s="5"/>
      <c r="G745" s="5"/>
      <c r="H745" s="68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5"/>
      <c r="C746" s="5"/>
      <c r="D746" s="5"/>
      <c r="E746" s="5"/>
      <c r="F746" s="5"/>
      <c r="G746" s="5"/>
      <c r="H746" s="68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5"/>
      <c r="C747" s="5"/>
      <c r="D747" s="5"/>
      <c r="E747" s="5"/>
      <c r="F747" s="5"/>
      <c r="G747" s="5"/>
      <c r="H747" s="68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5"/>
      <c r="C748" s="5"/>
      <c r="D748" s="5"/>
      <c r="E748" s="5"/>
      <c r="F748" s="5"/>
      <c r="G748" s="5"/>
      <c r="H748" s="68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5"/>
      <c r="C749" s="5"/>
      <c r="D749" s="5"/>
      <c r="E749" s="5"/>
      <c r="F749" s="5"/>
      <c r="G749" s="5"/>
      <c r="H749" s="68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5"/>
      <c r="C750" s="5"/>
      <c r="D750" s="5"/>
      <c r="E750" s="5"/>
      <c r="F750" s="5"/>
      <c r="G750" s="5"/>
      <c r="H750" s="68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5"/>
      <c r="C751" s="5"/>
      <c r="D751" s="5"/>
      <c r="E751" s="5"/>
      <c r="F751" s="5"/>
      <c r="G751" s="5"/>
      <c r="H751" s="68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5"/>
      <c r="C752" s="5"/>
      <c r="D752" s="5"/>
      <c r="E752" s="5"/>
      <c r="F752" s="5"/>
      <c r="G752" s="5"/>
      <c r="H752" s="68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5"/>
      <c r="C753" s="5"/>
      <c r="D753" s="5"/>
      <c r="E753" s="5"/>
      <c r="F753" s="5"/>
      <c r="G753" s="5"/>
      <c r="H753" s="68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5"/>
      <c r="C754" s="5"/>
      <c r="D754" s="5"/>
      <c r="E754" s="5"/>
      <c r="F754" s="5"/>
      <c r="G754" s="5"/>
      <c r="H754" s="68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5"/>
      <c r="C755" s="5"/>
      <c r="D755" s="5"/>
      <c r="E755" s="5"/>
      <c r="F755" s="5"/>
      <c r="G755" s="5"/>
      <c r="H755" s="68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5"/>
      <c r="C756" s="5"/>
      <c r="D756" s="5"/>
      <c r="E756" s="5"/>
      <c r="F756" s="5"/>
      <c r="G756" s="5"/>
      <c r="H756" s="68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5"/>
      <c r="C757" s="5"/>
      <c r="D757" s="5"/>
      <c r="E757" s="5"/>
      <c r="F757" s="5"/>
      <c r="G757" s="5"/>
      <c r="H757" s="68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5"/>
      <c r="C758" s="5"/>
      <c r="D758" s="5"/>
      <c r="E758" s="5"/>
      <c r="F758" s="5"/>
      <c r="G758" s="5"/>
      <c r="H758" s="68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5"/>
      <c r="C759" s="5"/>
      <c r="D759" s="5"/>
      <c r="E759" s="5"/>
      <c r="F759" s="5"/>
      <c r="G759" s="5"/>
      <c r="H759" s="68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5"/>
      <c r="C760" s="5"/>
      <c r="D760" s="5"/>
      <c r="E760" s="5"/>
      <c r="F760" s="5"/>
      <c r="G760" s="5"/>
      <c r="H760" s="68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5"/>
      <c r="C761" s="5"/>
      <c r="D761" s="5"/>
      <c r="E761" s="5"/>
      <c r="F761" s="5"/>
      <c r="G761" s="5"/>
      <c r="H761" s="68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5"/>
      <c r="C762" s="5"/>
      <c r="D762" s="5"/>
      <c r="E762" s="5"/>
      <c r="F762" s="5"/>
      <c r="G762" s="5"/>
      <c r="H762" s="68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5"/>
      <c r="C763" s="5"/>
      <c r="D763" s="5"/>
      <c r="E763" s="5"/>
      <c r="F763" s="5"/>
      <c r="G763" s="5"/>
      <c r="H763" s="68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5"/>
      <c r="C764" s="5"/>
      <c r="D764" s="5"/>
      <c r="E764" s="5"/>
      <c r="F764" s="5"/>
      <c r="G764" s="5"/>
      <c r="H764" s="68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5"/>
      <c r="C765" s="5"/>
      <c r="D765" s="5"/>
      <c r="E765" s="5"/>
      <c r="F765" s="5"/>
      <c r="G765" s="5"/>
      <c r="H765" s="68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5"/>
      <c r="C766" s="5"/>
      <c r="D766" s="5"/>
      <c r="E766" s="5"/>
      <c r="F766" s="5"/>
      <c r="G766" s="5"/>
      <c r="H766" s="68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5"/>
      <c r="C767" s="5"/>
      <c r="D767" s="5"/>
      <c r="E767" s="5"/>
      <c r="F767" s="5"/>
      <c r="G767" s="5"/>
      <c r="H767" s="68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5"/>
      <c r="C768" s="5"/>
      <c r="D768" s="5"/>
      <c r="E768" s="5"/>
      <c r="F768" s="5"/>
      <c r="G768" s="5"/>
      <c r="H768" s="68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5"/>
      <c r="C769" s="5"/>
      <c r="D769" s="5"/>
      <c r="E769" s="5"/>
      <c r="F769" s="5"/>
      <c r="G769" s="5"/>
      <c r="H769" s="68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5"/>
      <c r="C770" s="5"/>
      <c r="D770" s="5"/>
      <c r="E770" s="5"/>
      <c r="F770" s="5"/>
      <c r="G770" s="5"/>
      <c r="H770" s="68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5"/>
      <c r="C771" s="5"/>
      <c r="D771" s="5"/>
      <c r="E771" s="5"/>
      <c r="F771" s="5"/>
      <c r="G771" s="5"/>
      <c r="H771" s="68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5"/>
      <c r="C772" s="5"/>
      <c r="D772" s="5"/>
      <c r="E772" s="5"/>
      <c r="F772" s="5"/>
      <c r="G772" s="5"/>
      <c r="H772" s="68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5"/>
      <c r="C773" s="5"/>
      <c r="D773" s="5"/>
      <c r="E773" s="5"/>
      <c r="F773" s="5"/>
      <c r="G773" s="5"/>
      <c r="H773" s="68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5"/>
      <c r="C774" s="5"/>
      <c r="D774" s="5"/>
      <c r="E774" s="5"/>
      <c r="F774" s="5"/>
      <c r="G774" s="5"/>
      <c r="H774" s="68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5"/>
      <c r="C775" s="5"/>
      <c r="D775" s="5"/>
      <c r="E775" s="5"/>
      <c r="F775" s="5"/>
      <c r="G775" s="5"/>
      <c r="H775" s="68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5"/>
      <c r="C776" s="5"/>
      <c r="D776" s="5"/>
      <c r="E776" s="5"/>
      <c r="F776" s="5"/>
      <c r="G776" s="5"/>
      <c r="H776" s="68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5"/>
      <c r="C777" s="5"/>
      <c r="D777" s="5"/>
      <c r="E777" s="5"/>
      <c r="F777" s="5"/>
      <c r="G777" s="5"/>
      <c r="H777" s="68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5"/>
      <c r="C778" s="5"/>
      <c r="D778" s="5"/>
      <c r="E778" s="5"/>
      <c r="F778" s="5"/>
      <c r="G778" s="5"/>
      <c r="H778" s="68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5"/>
      <c r="C779" s="5"/>
      <c r="D779" s="5"/>
      <c r="E779" s="5"/>
      <c r="F779" s="5"/>
      <c r="G779" s="5"/>
      <c r="H779" s="68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5"/>
      <c r="C780" s="5"/>
      <c r="D780" s="5"/>
      <c r="E780" s="5"/>
      <c r="F780" s="5"/>
      <c r="G780" s="5"/>
      <c r="H780" s="68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5"/>
      <c r="C781" s="5"/>
      <c r="D781" s="5"/>
      <c r="E781" s="5"/>
      <c r="F781" s="5"/>
      <c r="G781" s="5"/>
      <c r="H781" s="68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5"/>
      <c r="C782" s="5"/>
      <c r="D782" s="5"/>
      <c r="E782" s="5"/>
      <c r="F782" s="5"/>
      <c r="G782" s="5"/>
      <c r="H782" s="68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5"/>
      <c r="C783" s="5"/>
      <c r="D783" s="5"/>
      <c r="E783" s="5"/>
      <c r="F783" s="5"/>
      <c r="G783" s="5"/>
      <c r="H783" s="68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5"/>
      <c r="C784" s="5"/>
      <c r="D784" s="5"/>
      <c r="E784" s="5"/>
      <c r="F784" s="5"/>
      <c r="G784" s="5"/>
      <c r="H784" s="68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5"/>
      <c r="C785" s="5"/>
      <c r="D785" s="5"/>
      <c r="E785" s="5"/>
      <c r="F785" s="5"/>
      <c r="G785" s="5"/>
      <c r="H785" s="68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5"/>
      <c r="C786" s="5"/>
      <c r="D786" s="5"/>
      <c r="E786" s="5"/>
      <c r="F786" s="5"/>
      <c r="G786" s="5"/>
      <c r="H786" s="68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5"/>
      <c r="C787" s="5"/>
      <c r="D787" s="5"/>
      <c r="E787" s="5"/>
      <c r="F787" s="5"/>
      <c r="G787" s="5"/>
      <c r="H787" s="68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5"/>
      <c r="C788" s="5"/>
      <c r="D788" s="5"/>
      <c r="E788" s="5"/>
      <c r="F788" s="5"/>
      <c r="G788" s="5"/>
      <c r="H788" s="68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5"/>
      <c r="C789" s="5"/>
      <c r="D789" s="5"/>
      <c r="E789" s="5"/>
      <c r="F789" s="5"/>
      <c r="G789" s="5"/>
      <c r="H789" s="68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5"/>
      <c r="C790" s="5"/>
      <c r="D790" s="5"/>
      <c r="E790" s="5"/>
      <c r="F790" s="5"/>
      <c r="G790" s="5"/>
      <c r="H790" s="68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5"/>
      <c r="C791" s="5"/>
      <c r="D791" s="5"/>
      <c r="E791" s="5"/>
      <c r="F791" s="5"/>
      <c r="G791" s="5"/>
      <c r="H791" s="68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5"/>
      <c r="C792" s="5"/>
      <c r="D792" s="5"/>
      <c r="E792" s="5"/>
      <c r="F792" s="5"/>
      <c r="G792" s="5"/>
      <c r="H792" s="68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5"/>
      <c r="C793" s="5"/>
      <c r="D793" s="5"/>
      <c r="E793" s="5"/>
      <c r="F793" s="5"/>
      <c r="G793" s="5"/>
      <c r="H793" s="68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5"/>
      <c r="C794" s="5"/>
      <c r="D794" s="5"/>
      <c r="E794" s="5"/>
      <c r="F794" s="5"/>
      <c r="G794" s="5"/>
      <c r="H794" s="68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5"/>
      <c r="C795" s="5"/>
      <c r="D795" s="5"/>
      <c r="E795" s="5"/>
      <c r="F795" s="5"/>
      <c r="G795" s="5"/>
      <c r="H795" s="68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5"/>
      <c r="C796" s="5"/>
      <c r="D796" s="5"/>
      <c r="E796" s="5"/>
      <c r="F796" s="5"/>
      <c r="G796" s="5"/>
      <c r="H796" s="68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5"/>
      <c r="C797" s="5"/>
      <c r="D797" s="5"/>
      <c r="E797" s="5"/>
      <c r="F797" s="5"/>
      <c r="G797" s="5"/>
      <c r="H797" s="68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5"/>
      <c r="C798" s="5"/>
      <c r="D798" s="5"/>
      <c r="E798" s="5"/>
      <c r="F798" s="5"/>
      <c r="G798" s="5"/>
      <c r="H798" s="68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5"/>
      <c r="C799" s="5"/>
      <c r="D799" s="5"/>
      <c r="E799" s="5"/>
      <c r="F799" s="5"/>
      <c r="G799" s="5"/>
      <c r="H799" s="68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5"/>
      <c r="C800" s="5"/>
      <c r="D800" s="5"/>
      <c r="E800" s="5"/>
      <c r="F800" s="5"/>
      <c r="G800" s="5"/>
      <c r="H800" s="68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5"/>
      <c r="C801" s="5"/>
      <c r="D801" s="5"/>
      <c r="E801" s="5"/>
      <c r="F801" s="5"/>
      <c r="G801" s="5"/>
      <c r="H801" s="68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5"/>
      <c r="C802" s="5"/>
      <c r="D802" s="5"/>
      <c r="E802" s="5"/>
      <c r="F802" s="5"/>
      <c r="G802" s="5"/>
      <c r="H802" s="68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5"/>
      <c r="C803" s="5"/>
      <c r="D803" s="5"/>
      <c r="E803" s="5"/>
      <c r="F803" s="5"/>
      <c r="G803" s="5"/>
      <c r="H803" s="68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5"/>
      <c r="C804" s="5"/>
      <c r="D804" s="5"/>
      <c r="E804" s="5"/>
      <c r="F804" s="5"/>
      <c r="G804" s="5"/>
      <c r="H804" s="68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5"/>
      <c r="C805" s="5"/>
      <c r="D805" s="5"/>
      <c r="E805" s="5"/>
      <c r="F805" s="5"/>
      <c r="G805" s="5"/>
      <c r="H805" s="68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5"/>
      <c r="C806" s="5"/>
      <c r="D806" s="5"/>
      <c r="E806" s="5"/>
      <c r="F806" s="5"/>
      <c r="G806" s="5"/>
      <c r="H806" s="68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5"/>
      <c r="C807" s="5"/>
      <c r="D807" s="5"/>
      <c r="E807" s="5"/>
      <c r="F807" s="5"/>
      <c r="G807" s="5"/>
      <c r="H807" s="68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5"/>
      <c r="C808" s="5"/>
      <c r="D808" s="5"/>
      <c r="E808" s="5"/>
      <c r="F808" s="5"/>
      <c r="G808" s="5"/>
      <c r="H808" s="68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5"/>
      <c r="C809" s="5"/>
      <c r="D809" s="5"/>
      <c r="E809" s="5"/>
      <c r="F809" s="5"/>
      <c r="G809" s="5"/>
      <c r="H809" s="68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5"/>
      <c r="C810" s="5"/>
      <c r="D810" s="5"/>
      <c r="E810" s="5"/>
      <c r="F810" s="5"/>
      <c r="G810" s="5"/>
      <c r="H810" s="68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5"/>
      <c r="C811" s="5"/>
      <c r="D811" s="5"/>
      <c r="E811" s="5"/>
      <c r="F811" s="5"/>
      <c r="G811" s="5"/>
      <c r="H811" s="68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5"/>
      <c r="C812" s="5"/>
      <c r="D812" s="5"/>
      <c r="E812" s="5"/>
      <c r="F812" s="5"/>
      <c r="G812" s="5"/>
      <c r="H812" s="68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5"/>
      <c r="C813" s="5"/>
      <c r="D813" s="5"/>
      <c r="E813" s="5"/>
      <c r="F813" s="5"/>
      <c r="G813" s="5"/>
      <c r="H813" s="68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5"/>
      <c r="C814" s="5"/>
      <c r="D814" s="5"/>
      <c r="E814" s="5"/>
      <c r="F814" s="5"/>
      <c r="G814" s="5"/>
      <c r="H814" s="68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5"/>
      <c r="C815" s="5"/>
      <c r="D815" s="5"/>
      <c r="E815" s="5"/>
      <c r="F815" s="5"/>
      <c r="G815" s="5"/>
      <c r="H815" s="68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5"/>
      <c r="C816" s="5"/>
      <c r="D816" s="5"/>
      <c r="E816" s="5"/>
      <c r="F816" s="5"/>
      <c r="G816" s="5"/>
      <c r="H816" s="68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5"/>
      <c r="C817" s="5"/>
      <c r="D817" s="5"/>
      <c r="E817" s="5"/>
      <c r="F817" s="5"/>
      <c r="G817" s="5"/>
      <c r="H817" s="68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5"/>
      <c r="C818" s="5"/>
      <c r="D818" s="5"/>
      <c r="E818" s="5"/>
      <c r="F818" s="5"/>
      <c r="G818" s="5"/>
      <c r="H818" s="68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5"/>
      <c r="C819" s="5"/>
      <c r="D819" s="5"/>
      <c r="E819" s="5"/>
      <c r="F819" s="5"/>
      <c r="G819" s="5"/>
      <c r="H819" s="68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5"/>
      <c r="C820" s="5"/>
      <c r="D820" s="5"/>
      <c r="E820" s="5"/>
      <c r="F820" s="5"/>
      <c r="G820" s="5"/>
      <c r="H820" s="68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5"/>
      <c r="C821" s="5"/>
      <c r="D821" s="5"/>
      <c r="E821" s="5"/>
      <c r="F821" s="5"/>
      <c r="G821" s="5"/>
      <c r="H821" s="68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5"/>
      <c r="C822" s="5"/>
      <c r="D822" s="5"/>
      <c r="E822" s="5"/>
      <c r="F822" s="5"/>
      <c r="G822" s="5"/>
      <c r="H822" s="68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5"/>
      <c r="C823" s="5"/>
      <c r="D823" s="5"/>
      <c r="E823" s="5"/>
      <c r="F823" s="5"/>
      <c r="G823" s="5"/>
      <c r="H823" s="68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5"/>
      <c r="C824" s="5"/>
      <c r="D824" s="5"/>
      <c r="E824" s="5"/>
      <c r="F824" s="5"/>
      <c r="G824" s="5"/>
      <c r="H824" s="68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5"/>
      <c r="C825" s="5"/>
      <c r="D825" s="5"/>
      <c r="E825" s="5"/>
      <c r="F825" s="5"/>
      <c r="G825" s="5"/>
      <c r="H825" s="68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5"/>
      <c r="C826" s="5"/>
      <c r="D826" s="5"/>
      <c r="E826" s="5"/>
      <c r="F826" s="5"/>
      <c r="G826" s="5"/>
      <c r="H826" s="68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5"/>
      <c r="C827" s="5"/>
      <c r="D827" s="5"/>
      <c r="E827" s="5"/>
      <c r="F827" s="5"/>
      <c r="G827" s="5"/>
      <c r="H827" s="68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5"/>
      <c r="C828" s="5"/>
      <c r="D828" s="5"/>
      <c r="E828" s="5"/>
      <c r="F828" s="5"/>
      <c r="G828" s="5"/>
      <c r="H828" s="68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5"/>
      <c r="C829" s="5"/>
      <c r="D829" s="5"/>
      <c r="E829" s="5"/>
      <c r="F829" s="5"/>
      <c r="G829" s="5"/>
      <c r="H829" s="68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5"/>
      <c r="C830" s="5"/>
      <c r="D830" s="5"/>
      <c r="E830" s="5"/>
      <c r="F830" s="5"/>
      <c r="G830" s="5"/>
      <c r="H830" s="68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5"/>
      <c r="C831" s="5"/>
      <c r="D831" s="5"/>
      <c r="E831" s="5"/>
      <c r="F831" s="5"/>
      <c r="G831" s="5"/>
      <c r="H831" s="68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5"/>
      <c r="C832" s="5"/>
      <c r="D832" s="5"/>
      <c r="E832" s="5"/>
      <c r="F832" s="5"/>
      <c r="G832" s="5"/>
      <c r="H832" s="68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5"/>
      <c r="C833" s="5"/>
      <c r="D833" s="5"/>
      <c r="E833" s="5"/>
      <c r="F833" s="5"/>
      <c r="G833" s="5"/>
      <c r="H833" s="68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5"/>
      <c r="C834" s="5"/>
      <c r="D834" s="5"/>
      <c r="E834" s="5"/>
      <c r="F834" s="5"/>
      <c r="G834" s="5"/>
      <c r="H834" s="68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5"/>
      <c r="C835" s="5"/>
      <c r="D835" s="5"/>
      <c r="E835" s="5"/>
      <c r="F835" s="5"/>
      <c r="G835" s="5"/>
      <c r="H835" s="68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5"/>
      <c r="C836" s="5"/>
      <c r="D836" s="5"/>
      <c r="E836" s="5"/>
      <c r="F836" s="5"/>
      <c r="G836" s="5"/>
      <c r="H836" s="68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5"/>
      <c r="C837" s="5"/>
      <c r="D837" s="5"/>
      <c r="E837" s="5"/>
      <c r="F837" s="5"/>
      <c r="G837" s="5"/>
      <c r="H837" s="68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5"/>
      <c r="C838" s="5"/>
      <c r="D838" s="5"/>
      <c r="E838" s="5"/>
      <c r="F838" s="5"/>
      <c r="G838" s="5"/>
      <c r="H838" s="68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5"/>
      <c r="C839" s="5"/>
      <c r="D839" s="5"/>
      <c r="E839" s="5"/>
      <c r="F839" s="5"/>
      <c r="G839" s="5"/>
      <c r="H839" s="68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5"/>
      <c r="C840" s="5"/>
      <c r="D840" s="5"/>
      <c r="E840" s="5"/>
      <c r="F840" s="5"/>
      <c r="G840" s="5"/>
      <c r="H840" s="68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5"/>
      <c r="C841" s="5"/>
      <c r="D841" s="5"/>
      <c r="E841" s="5"/>
      <c r="F841" s="5"/>
      <c r="G841" s="5"/>
      <c r="H841" s="68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5"/>
      <c r="C842" s="5"/>
      <c r="D842" s="5"/>
      <c r="E842" s="5"/>
      <c r="F842" s="5"/>
      <c r="G842" s="5"/>
      <c r="H842" s="68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5"/>
      <c r="C843" s="5"/>
      <c r="D843" s="5"/>
      <c r="E843" s="5"/>
      <c r="F843" s="5"/>
      <c r="G843" s="5"/>
      <c r="H843" s="68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5"/>
      <c r="C844" s="5"/>
      <c r="D844" s="5"/>
      <c r="E844" s="5"/>
      <c r="F844" s="5"/>
      <c r="G844" s="5"/>
      <c r="H844" s="68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5"/>
      <c r="C845" s="5"/>
      <c r="D845" s="5"/>
      <c r="E845" s="5"/>
      <c r="F845" s="5"/>
      <c r="G845" s="5"/>
      <c r="H845" s="68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5"/>
      <c r="C846" s="5"/>
      <c r="D846" s="5"/>
      <c r="E846" s="5"/>
      <c r="F846" s="5"/>
      <c r="G846" s="5"/>
      <c r="H846" s="68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5"/>
      <c r="C847" s="5"/>
      <c r="D847" s="5"/>
      <c r="E847" s="5"/>
      <c r="F847" s="5"/>
      <c r="G847" s="5"/>
      <c r="H847" s="68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5"/>
      <c r="C848" s="5"/>
      <c r="D848" s="5"/>
      <c r="E848" s="5"/>
      <c r="F848" s="5"/>
      <c r="G848" s="5"/>
      <c r="H848" s="68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5"/>
      <c r="C849" s="5"/>
      <c r="D849" s="5"/>
      <c r="E849" s="5"/>
      <c r="F849" s="5"/>
      <c r="G849" s="5"/>
      <c r="H849" s="68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5"/>
      <c r="C850" s="5"/>
      <c r="D850" s="5"/>
      <c r="E850" s="5"/>
      <c r="F850" s="5"/>
      <c r="G850" s="5"/>
      <c r="H850" s="68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5"/>
      <c r="C851" s="5"/>
      <c r="D851" s="5"/>
      <c r="E851" s="5"/>
      <c r="F851" s="5"/>
      <c r="G851" s="5"/>
      <c r="H851" s="68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5"/>
      <c r="C852" s="5"/>
      <c r="D852" s="5"/>
      <c r="E852" s="5"/>
      <c r="F852" s="5"/>
      <c r="G852" s="5"/>
      <c r="H852" s="68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5"/>
      <c r="C853" s="5"/>
      <c r="D853" s="5"/>
      <c r="E853" s="5"/>
      <c r="F853" s="5"/>
      <c r="G853" s="5"/>
      <c r="H853" s="68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5"/>
      <c r="C854" s="5"/>
      <c r="D854" s="5"/>
      <c r="E854" s="5"/>
      <c r="F854" s="5"/>
      <c r="G854" s="5"/>
      <c r="H854" s="68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5"/>
      <c r="C855" s="5"/>
      <c r="D855" s="5"/>
      <c r="E855" s="5"/>
      <c r="F855" s="5"/>
      <c r="G855" s="5"/>
      <c r="H855" s="68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5"/>
      <c r="C856" s="5"/>
      <c r="D856" s="5"/>
      <c r="E856" s="5"/>
      <c r="F856" s="5"/>
      <c r="G856" s="5"/>
      <c r="H856" s="68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5"/>
      <c r="C857" s="5"/>
      <c r="D857" s="5"/>
      <c r="E857" s="5"/>
      <c r="F857" s="5"/>
      <c r="G857" s="5"/>
      <c r="H857" s="68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5"/>
      <c r="C858" s="5"/>
      <c r="D858" s="5"/>
      <c r="E858" s="5"/>
      <c r="F858" s="5"/>
      <c r="G858" s="5"/>
      <c r="H858" s="68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5"/>
      <c r="C859" s="5"/>
      <c r="D859" s="5"/>
      <c r="E859" s="5"/>
      <c r="F859" s="5"/>
      <c r="G859" s="5"/>
      <c r="H859" s="68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5"/>
      <c r="C860" s="5"/>
      <c r="D860" s="5"/>
      <c r="E860" s="5"/>
      <c r="F860" s="5"/>
      <c r="G860" s="5"/>
      <c r="H860" s="68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5"/>
      <c r="C861" s="5"/>
      <c r="D861" s="5"/>
      <c r="E861" s="5"/>
      <c r="F861" s="5"/>
      <c r="G861" s="5"/>
      <c r="H861" s="68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5"/>
      <c r="C862" s="5"/>
      <c r="D862" s="5"/>
      <c r="E862" s="5"/>
      <c r="F862" s="5"/>
      <c r="G862" s="5"/>
      <c r="H862" s="68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5"/>
      <c r="C863" s="5"/>
      <c r="D863" s="5"/>
      <c r="E863" s="5"/>
      <c r="F863" s="5"/>
      <c r="G863" s="5"/>
      <c r="H863" s="68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5"/>
      <c r="C864" s="5"/>
      <c r="D864" s="5"/>
      <c r="E864" s="5"/>
      <c r="F864" s="5"/>
      <c r="G864" s="5"/>
      <c r="H864" s="68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5"/>
      <c r="C865" s="5"/>
      <c r="D865" s="5"/>
      <c r="E865" s="5"/>
      <c r="F865" s="5"/>
      <c r="G865" s="5"/>
      <c r="H865" s="68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5"/>
      <c r="C866" s="5"/>
      <c r="D866" s="5"/>
      <c r="E866" s="5"/>
      <c r="F866" s="5"/>
      <c r="G866" s="5"/>
      <c r="H866" s="68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5"/>
      <c r="C867" s="5"/>
      <c r="D867" s="5"/>
      <c r="E867" s="5"/>
      <c r="F867" s="5"/>
      <c r="G867" s="5"/>
      <c r="H867" s="68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5"/>
      <c r="C868" s="5"/>
      <c r="D868" s="5"/>
      <c r="E868" s="5"/>
      <c r="F868" s="5"/>
      <c r="G868" s="5"/>
      <c r="H868" s="68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5"/>
      <c r="C869" s="5"/>
      <c r="D869" s="5"/>
      <c r="E869" s="5"/>
      <c r="F869" s="5"/>
      <c r="G869" s="5"/>
      <c r="H869" s="68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5"/>
      <c r="C870" s="5"/>
      <c r="D870" s="5"/>
      <c r="E870" s="5"/>
      <c r="F870" s="5"/>
      <c r="G870" s="5"/>
      <c r="H870" s="68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5"/>
      <c r="C871" s="5"/>
      <c r="D871" s="5"/>
      <c r="E871" s="5"/>
      <c r="F871" s="5"/>
      <c r="G871" s="5"/>
      <c r="H871" s="68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5"/>
      <c r="C872" s="5"/>
      <c r="D872" s="5"/>
      <c r="E872" s="5"/>
      <c r="F872" s="5"/>
      <c r="G872" s="5"/>
      <c r="H872" s="68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5"/>
      <c r="C873" s="5"/>
      <c r="D873" s="5"/>
      <c r="E873" s="5"/>
      <c r="F873" s="5"/>
      <c r="G873" s="5"/>
      <c r="H873" s="68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5"/>
      <c r="C874" s="5"/>
      <c r="D874" s="5"/>
      <c r="E874" s="5"/>
      <c r="F874" s="5"/>
      <c r="G874" s="5"/>
      <c r="H874" s="68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5"/>
      <c r="C875" s="5"/>
      <c r="D875" s="5"/>
      <c r="E875" s="5"/>
      <c r="F875" s="5"/>
      <c r="G875" s="5"/>
      <c r="H875" s="68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5"/>
      <c r="C876" s="5"/>
      <c r="D876" s="5"/>
      <c r="E876" s="5"/>
      <c r="F876" s="5"/>
      <c r="G876" s="5"/>
      <c r="H876" s="68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5"/>
      <c r="C877" s="5"/>
      <c r="D877" s="5"/>
      <c r="E877" s="5"/>
      <c r="F877" s="5"/>
      <c r="G877" s="5"/>
      <c r="H877" s="68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5"/>
      <c r="C878" s="5"/>
      <c r="D878" s="5"/>
      <c r="E878" s="5"/>
      <c r="F878" s="5"/>
      <c r="G878" s="5"/>
      <c r="H878" s="68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5"/>
      <c r="C879" s="5"/>
      <c r="D879" s="5"/>
      <c r="E879" s="5"/>
      <c r="F879" s="5"/>
      <c r="G879" s="5"/>
      <c r="H879" s="68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5"/>
      <c r="C880" s="5"/>
      <c r="D880" s="5"/>
      <c r="E880" s="5"/>
      <c r="F880" s="5"/>
      <c r="G880" s="5"/>
      <c r="H880" s="68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5"/>
      <c r="C881" s="5"/>
      <c r="D881" s="5"/>
      <c r="E881" s="5"/>
      <c r="F881" s="5"/>
      <c r="G881" s="5"/>
      <c r="H881" s="68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5"/>
      <c r="C882" s="5"/>
      <c r="D882" s="5"/>
      <c r="E882" s="5"/>
      <c r="F882" s="5"/>
      <c r="G882" s="5"/>
      <c r="H882" s="68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5"/>
      <c r="C883" s="5"/>
      <c r="D883" s="5"/>
      <c r="E883" s="5"/>
      <c r="F883" s="5"/>
      <c r="G883" s="5"/>
      <c r="H883" s="68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5"/>
      <c r="C884" s="5"/>
      <c r="D884" s="5"/>
      <c r="E884" s="5"/>
      <c r="F884" s="5"/>
      <c r="G884" s="5"/>
      <c r="H884" s="68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5"/>
      <c r="C885" s="5"/>
      <c r="D885" s="5"/>
      <c r="E885" s="5"/>
      <c r="F885" s="5"/>
      <c r="G885" s="5"/>
      <c r="H885" s="68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5"/>
      <c r="C886" s="5"/>
      <c r="D886" s="5"/>
      <c r="E886" s="5"/>
      <c r="F886" s="5"/>
      <c r="G886" s="5"/>
      <c r="H886" s="68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5"/>
      <c r="C887" s="5"/>
      <c r="D887" s="5"/>
      <c r="E887" s="5"/>
      <c r="F887" s="5"/>
      <c r="G887" s="5"/>
      <c r="H887" s="68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5"/>
      <c r="C888" s="5"/>
      <c r="D888" s="5"/>
      <c r="E888" s="5"/>
      <c r="F888" s="5"/>
      <c r="G888" s="5"/>
      <c r="H888" s="68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5"/>
      <c r="C889" s="5"/>
      <c r="D889" s="5"/>
      <c r="E889" s="5"/>
      <c r="F889" s="5"/>
      <c r="G889" s="5"/>
      <c r="H889" s="68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5"/>
      <c r="C890" s="5"/>
      <c r="D890" s="5"/>
      <c r="E890" s="5"/>
      <c r="F890" s="5"/>
      <c r="G890" s="5"/>
      <c r="H890" s="68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5"/>
      <c r="C891" s="5"/>
      <c r="D891" s="5"/>
      <c r="E891" s="5"/>
      <c r="F891" s="5"/>
      <c r="G891" s="5"/>
      <c r="H891" s="68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5"/>
      <c r="C892" s="5"/>
      <c r="D892" s="5"/>
      <c r="E892" s="5"/>
      <c r="F892" s="5"/>
      <c r="G892" s="5"/>
      <c r="H892" s="68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5"/>
      <c r="C893" s="5"/>
      <c r="D893" s="5"/>
      <c r="E893" s="5"/>
      <c r="F893" s="5"/>
      <c r="G893" s="5"/>
      <c r="H893" s="68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5"/>
      <c r="C894" s="5"/>
      <c r="D894" s="5"/>
      <c r="E894" s="5"/>
      <c r="F894" s="5"/>
      <c r="G894" s="5"/>
      <c r="H894" s="68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5"/>
      <c r="C895" s="5"/>
      <c r="D895" s="5"/>
      <c r="E895" s="5"/>
      <c r="F895" s="5"/>
      <c r="G895" s="5"/>
      <c r="H895" s="68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5"/>
      <c r="C896" s="5"/>
      <c r="D896" s="5"/>
      <c r="E896" s="5"/>
      <c r="F896" s="5"/>
      <c r="G896" s="5"/>
      <c r="H896" s="68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5"/>
      <c r="C897" s="5"/>
      <c r="D897" s="5"/>
      <c r="E897" s="5"/>
      <c r="F897" s="5"/>
      <c r="G897" s="5"/>
      <c r="H897" s="68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5"/>
      <c r="C898" s="5"/>
      <c r="D898" s="5"/>
      <c r="E898" s="5"/>
      <c r="F898" s="5"/>
      <c r="G898" s="5"/>
      <c r="H898" s="68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5"/>
      <c r="C899" s="5"/>
      <c r="D899" s="5"/>
      <c r="E899" s="5"/>
      <c r="F899" s="5"/>
      <c r="G899" s="5"/>
      <c r="H899" s="68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5"/>
      <c r="C900" s="5"/>
      <c r="D900" s="5"/>
      <c r="E900" s="5"/>
      <c r="F900" s="5"/>
      <c r="G900" s="5"/>
      <c r="H900" s="68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5"/>
      <c r="C901" s="5"/>
      <c r="D901" s="5"/>
      <c r="E901" s="5"/>
      <c r="F901" s="5"/>
      <c r="G901" s="5"/>
      <c r="H901" s="68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5"/>
      <c r="C902" s="5"/>
      <c r="D902" s="5"/>
      <c r="E902" s="5"/>
      <c r="F902" s="5"/>
      <c r="G902" s="5"/>
      <c r="H902" s="68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5"/>
      <c r="C903" s="5"/>
      <c r="D903" s="5"/>
      <c r="E903" s="5"/>
      <c r="F903" s="5"/>
      <c r="G903" s="5"/>
      <c r="H903" s="68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5"/>
      <c r="C904" s="5"/>
      <c r="D904" s="5"/>
      <c r="E904" s="5"/>
      <c r="F904" s="5"/>
      <c r="G904" s="5"/>
      <c r="H904" s="68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5"/>
      <c r="C905" s="5"/>
      <c r="D905" s="5"/>
      <c r="E905" s="5"/>
      <c r="F905" s="5"/>
      <c r="G905" s="5"/>
      <c r="H905" s="68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5"/>
      <c r="C906" s="5"/>
      <c r="D906" s="5"/>
      <c r="E906" s="5"/>
      <c r="F906" s="5"/>
      <c r="G906" s="5"/>
      <c r="H906" s="68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5"/>
      <c r="C907" s="5"/>
      <c r="D907" s="5"/>
      <c r="E907" s="5"/>
      <c r="F907" s="5"/>
      <c r="G907" s="5"/>
      <c r="H907" s="68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5"/>
      <c r="C908" s="5"/>
      <c r="D908" s="5"/>
      <c r="E908" s="5"/>
      <c r="F908" s="5"/>
      <c r="G908" s="5"/>
      <c r="H908" s="68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5"/>
      <c r="C909" s="5"/>
      <c r="D909" s="5"/>
      <c r="E909" s="5"/>
      <c r="F909" s="5"/>
      <c r="G909" s="5"/>
      <c r="H909" s="68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5"/>
      <c r="C910" s="5"/>
      <c r="D910" s="5"/>
      <c r="E910" s="5"/>
      <c r="F910" s="5"/>
      <c r="G910" s="5"/>
      <c r="H910" s="68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5"/>
      <c r="C911" s="5"/>
      <c r="D911" s="5"/>
      <c r="E911" s="5"/>
      <c r="F911" s="5"/>
      <c r="G911" s="5"/>
      <c r="H911" s="68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5"/>
      <c r="C912" s="5"/>
      <c r="D912" s="5"/>
      <c r="E912" s="5"/>
      <c r="F912" s="5"/>
      <c r="G912" s="5"/>
      <c r="H912" s="68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5"/>
      <c r="C913" s="5"/>
      <c r="D913" s="5"/>
      <c r="E913" s="5"/>
      <c r="F913" s="5"/>
      <c r="G913" s="5"/>
      <c r="H913" s="68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5"/>
      <c r="C914" s="5"/>
      <c r="D914" s="5"/>
      <c r="E914" s="5"/>
      <c r="F914" s="5"/>
      <c r="G914" s="5"/>
      <c r="H914" s="68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5"/>
      <c r="C915" s="5"/>
      <c r="D915" s="5"/>
      <c r="E915" s="5"/>
      <c r="F915" s="5"/>
      <c r="G915" s="5"/>
      <c r="H915" s="68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5"/>
      <c r="C916" s="5"/>
      <c r="D916" s="5"/>
      <c r="E916" s="5"/>
      <c r="F916" s="5"/>
      <c r="G916" s="5"/>
      <c r="H916" s="68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5"/>
      <c r="C917" s="5"/>
      <c r="D917" s="5"/>
      <c r="E917" s="5"/>
      <c r="F917" s="5"/>
      <c r="G917" s="5"/>
      <c r="H917" s="68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5"/>
      <c r="C918" s="5"/>
      <c r="D918" s="5"/>
      <c r="E918" s="5"/>
      <c r="F918" s="5"/>
      <c r="G918" s="5"/>
      <c r="H918" s="68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5"/>
      <c r="C919" s="5"/>
      <c r="D919" s="5"/>
      <c r="E919" s="5"/>
      <c r="F919" s="5"/>
      <c r="G919" s="5"/>
      <c r="H919" s="68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5"/>
      <c r="C920" s="5"/>
      <c r="D920" s="5"/>
      <c r="E920" s="5"/>
      <c r="F920" s="5"/>
      <c r="G920" s="5"/>
      <c r="H920" s="68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5"/>
      <c r="C921" s="5"/>
      <c r="D921" s="5"/>
      <c r="E921" s="5"/>
      <c r="F921" s="5"/>
      <c r="G921" s="5"/>
      <c r="H921" s="68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5"/>
      <c r="C922" s="5"/>
      <c r="D922" s="5"/>
      <c r="E922" s="5"/>
      <c r="F922" s="5"/>
      <c r="G922" s="5"/>
      <c r="H922" s="68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5"/>
      <c r="C923" s="5"/>
      <c r="D923" s="5"/>
      <c r="E923" s="5"/>
      <c r="F923" s="5"/>
      <c r="G923" s="5"/>
      <c r="H923" s="68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5"/>
      <c r="C924" s="5"/>
      <c r="D924" s="5"/>
      <c r="E924" s="5"/>
      <c r="F924" s="5"/>
      <c r="G924" s="5"/>
      <c r="H924" s="68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5"/>
      <c r="C925" s="5"/>
      <c r="D925" s="5"/>
      <c r="E925" s="5"/>
      <c r="F925" s="5"/>
      <c r="G925" s="5"/>
      <c r="H925" s="68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5"/>
      <c r="C926" s="5"/>
      <c r="D926" s="5"/>
      <c r="E926" s="5"/>
      <c r="F926" s="5"/>
      <c r="G926" s="5"/>
      <c r="H926" s="68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5"/>
      <c r="C927" s="5"/>
      <c r="D927" s="5"/>
      <c r="E927" s="5"/>
      <c r="F927" s="5"/>
      <c r="G927" s="5"/>
      <c r="H927" s="68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5"/>
      <c r="C928" s="5"/>
      <c r="D928" s="5"/>
      <c r="E928" s="5"/>
      <c r="F928" s="5"/>
      <c r="G928" s="5"/>
      <c r="H928" s="68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5"/>
      <c r="C929" s="5"/>
      <c r="D929" s="5"/>
      <c r="E929" s="5"/>
      <c r="F929" s="5"/>
      <c r="G929" s="5"/>
      <c r="H929" s="68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5"/>
      <c r="C930" s="5"/>
      <c r="D930" s="5"/>
      <c r="E930" s="5"/>
      <c r="F930" s="5"/>
      <c r="G930" s="5"/>
      <c r="H930" s="68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5"/>
      <c r="C931" s="5"/>
      <c r="D931" s="5"/>
      <c r="E931" s="5"/>
      <c r="F931" s="5"/>
      <c r="G931" s="5"/>
      <c r="H931" s="68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5"/>
      <c r="C932" s="5"/>
      <c r="D932" s="5"/>
      <c r="E932" s="5"/>
      <c r="F932" s="5"/>
      <c r="G932" s="5"/>
      <c r="H932" s="68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5"/>
      <c r="C933" s="5"/>
      <c r="D933" s="5"/>
      <c r="E933" s="5"/>
      <c r="F933" s="5"/>
      <c r="G933" s="5"/>
      <c r="H933" s="68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5"/>
      <c r="C934" s="5"/>
      <c r="D934" s="5"/>
      <c r="E934" s="5"/>
      <c r="F934" s="5"/>
      <c r="G934" s="5"/>
      <c r="H934" s="68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5"/>
      <c r="C935" s="5"/>
      <c r="D935" s="5"/>
      <c r="E935" s="5"/>
      <c r="F935" s="5"/>
      <c r="G935" s="5"/>
      <c r="H935" s="68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5"/>
      <c r="C936" s="5"/>
      <c r="D936" s="5"/>
      <c r="E936" s="5"/>
      <c r="F936" s="5"/>
      <c r="G936" s="5"/>
      <c r="H936" s="68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5"/>
      <c r="C937" s="5"/>
      <c r="D937" s="5"/>
      <c r="E937" s="5"/>
      <c r="F937" s="5"/>
      <c r="G937" s="5"/>
      <c r="H937" s="68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5"/>
      <c r="C938" s="5"/>
      <c r="D938" s="5"/>
      <c r="E938" s="5"/>
      <c r="F938" s="5"/>
      <c r="G938" s="5"/>
      <c r="H938" s="68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5"/>
      <c r="C939" s="5"/>
      <c r="D939" s="5"/>
      <c r="E939" s="5"/>
      <c r="F939" s="5"/>
      <c r="G939" s="5"/>
      <c r="H939" s="68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5"/>
      <c r="C940" s="5"/>
      <c r="D940" s="5"/>
      <c r="E940" s="5"/>
      <c r="F940" s="5"/>
      <c r="G940" s="5"/>
      <c r="H940" s="68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5"/>
      <c r="C941" s="5"/>
      <c r="D941" s="5"/>
      <c r="E941" s="5"/>
      <c r="F941" s="5"/>
      <c r="G941" s="5"/>
      <c r="H941" s="68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5"/>
      <c r="C942" s="5"/>
      <c r="D942" s="5"/>
      <c r="E942" s="5"/>
      <c r="F942" s="5"/>
      <c r="G942" s="5"/>
      <c r="H942" s="68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5"/>
      <c r="C943" s="5"/>
      <c r="D943" s="5"/>
      <c r="E943" s="5"/>
      <c r="F943" s="5"/>
      <c r="G943" s="5"/>
      <c r="H943" s="68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5"/>
      <c r="C944" s="5"/>
      <c r="D944" s="5"/>
      <c r="E944" s="5"/>
      <c r="F944" s="5"/>
      <c r="G944" s="5"/>
      <c r="H944" s="68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5"/>
      <c r="C945" s="5"/>
      <c r="D945" s="5"/>
      <c r="E945" s="5"/>
      <c r="F945" s="5"/>
      <c r="G945" s="5"/>
      <c r="H945" s="68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5"/>
      <c r="C946" s="5"/>
      <c r="D946" s="5"/>
      <c r="E946" s="5"/>
      <c r="F946" s="5"/>
      <c r="G946" s="5"/>
      <c r="H946" s="68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5"/>
      <c r="C947" s="5"/>
      <c r="D947" s="5"/>
      <c r="E947" s="5"/>
      <c r="F947" s="5"/>
      <c r="G947" s="5"/>
      <c r="H947" s="68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5"/>
      <c r="C948" s="5"/>
      <c r="D948" s="5"/>
      <c r="E948" s="5"/>
      <c r="F948" s="5"/>
      <c r="G948" s="5"/>
      <c r="H948" s="68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5"/>
      <c r="C949" s="5"/>
      <c r="D949" s="5"/>
      <c r="E949" s="5"/>
      <c r="F949" s="5"/>
      <c r="G949" s="5"/>
      <c r="H949" s="68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5"/>
      <c r="C950" s="5"/>
      <c r="D950" s="5"/>
      <c r="E950" s="5"/>
      <c r="F950" s="5"/>
      <c r="G950" s="5"/>
      <c r="H950" s="68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5"/>
      <c r="C951" s="5"/>
      <c r="D951" s="5"/>
      <c r="E951" s="5"/>
      <c r="F951" s="5"/>
      <c r="G951" s="5"/>
      <c r="H951" s="68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5"/>
      <c r="C952" s="5"/>
      <c r="D952" s="5"/>
      <c r="E952" s="5"/>
      <c r="F952" s="5"/>
      <c r="G952" s="5"/>
      <c r="H952" s="68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5"/>
      <c r="C953" s="5"/>
      <c r="D953" s="5"/>
      <c r="E953" s="5"/>
      <c r="F953" s="5"/>
      <c r="G953" s="5"/>
      <c r="H953" s="68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5"/>
      <c r="C954" s="5"/>
      <c r="D954" s="5"/>
      <c r="E954" s="5"/>
      <c r="F954" s="5"/>
      <c r="G954" s="5"/>
      <c r="H954" s="68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5"/>
      <c r="C955" s="5"/>
      <c r="D955" s="5"/>
      <c r="E955" s="5"/>
      <c r="F955" s="5"/>
      <c r="G955" s="5"/>
      <c r="H955" s="68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5"/>
      <c r="C956" s="5"/>
      <c r="D956" s="5"/>
      <c r="E956" s="5"/>
      <c r="F956" s="5"/>
      <c r="G956" s="5"/>
      <c r="H956" s="68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5"/>
      <c r="C957" s="5"/>
      <c r="D957" s="5"/>
      <c r="E957" s="5"/>
      <c r="F957" s="5"/>
      <c r="G957" s="5"/>
      <c r="H957" s="68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5"/>
      <c r="C958" s="5"/>
      <c r="D958" s="5"/>
      <c r="E958" s="5"/>
      <c r="F958" s="5"/>
      <c r="G958" s="5"/>
      <c r="H958" s="68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5"/>
      <c r="C959" s="5"/>
      <c r="D959" s="5"/>
      <c r="E959" s="5"/>
      <c r="F959" s="5"/>
      <c r="G959" s="5"/>
      <c r="H959" s="68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5"/>
      <c r="C960" s="5"/>
      <c r="D960" s="5"/>
      <c r="E960" s="5"/>
      <c r="F960" s="5"/>
      <c r="G960" s="5"/>
      <c r="H960" s="68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5"/>
      <c r="C961" s="5"/>
      <c r="D961" s="5"/>
      <c r="E961" s="5"/>
      <c r="F961" s="5"/>
      <c r="G961" s="5"/>
      <c r="H961" s="68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5"/>
      <c r="C962" s="5"/>
      <c r="D962" s="5"/>
      <c r="E962" s="5"/>
      <c r="F962" s="5"/>
      <c r="G962" s="5"/>
      <c r="H962" s="68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5"/>
      <c r="C963" s="5"/>
      <c r="D963" s="5"/>
      <c r="E963" s="5"/>
      <c r="F963" s="5"/>
      <c r="G963" s="5"/>
      <c r="H963" s="68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5"/>
      <c r="C964" s="5"/>
      <c r="D964" s="5"/>
      <c r="E964" s="5"/>
      <c r="F964" s="5"/>
      <c r="G964" s="5"/>
      <c r="H964" s="68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5"/>
      <c r="C965" s="5"/>
      <c r="D965" s="5"/>
      <c r="E965" s="5"/>
      <c r="F965" s="5"/>
      <c r="G965" s="5"/>
      <c r="H965" s="68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5"/>
      <c r="C966" s="5"/>
      <c r="D966" s="5"/>
      <c r="E966" s="5"/>
      <c r="F966" s="5"/>
      <c r="G966" s="5"/>
      <c r="H966" s="68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5"/>
      <c r="C967" s="5"/>
      <c r="D967" s="5"/>
      <c r="E967" s="5"/>
      <c r="F967" s="5"/>
      <c r="G967" s="5"/>
      <c r="H967" s="68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5"/>
      <c r="C968" s="5"/>
      <c r="D968" s="5"/>
      <c r="E968" s="5"/>
      <c r="F968" s="5"/>
      <c r="G968" s="5"/>
      <c r="H968" s="68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5"/>
      <c r="C969" s="5"/>
      <c r="D969" s="5"/>
      <c r="E969" s="5"/>
      <c r="F969" s="5"/>
      <c r="G969" s="5"/>
      <c r="H969" s="68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5"/>
      <c r="C970" s="5"/>
      <c r="D970" s="5"/>
      <c r="E970" s="5"/>
      <c r="F970" s="5"/>
      <c r="G970" s="5"/>
      <c r="H970" s="68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5"/>
      <c r="C971" s="5"/>
      <c r="D971" s="5"/>
      <c r="E971" s="5"/>
      <c r="F971" s="5"/>
      <c r="G971" s="5"/>
      <c r="H971" s="68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5"/>
      <c r="C972" s="5"/>
      <c r="D972" s="5"/>
      <c r="E972" s="5"/>
      <c r="F972" s="5"/>
      <c r="G972" s="5"/>
      <c r="H972" s="68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5"/>
      <c r="C973" s="5"/>
      <c r="D973" s="5"/>
      <c r="E973" s="5"/>
      <c r="F973" s="5"/>
      <c r="G973" s="5"/>
      <c r="H973" s="68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5"/>
      <c r="C974" s="5"/>
      <c r="D974" s="5"/>
      <c r="E974" s="5"/>
      <c r="F974" s="5"/>
      <c r="G974" s="5"/>
      <c r="H974" s="68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5"/>
      <c r="C975" s="5"/>
      <c r="D975" s="5"/>
      <c r="E975" s="5"/>
      <c r="F975" s="5"/>
      <c r="G975" s="5"/>
      <c r="H975" s="68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5"/>
      <c r="C976" s="5"/>
      <c r="D976" s="5"/>
      <c r="E976" s="5"/>
      <c r="F976" s="5"/>
      <c r="G976" s="5"/>
      <c r="H976" s="68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5"/>
      <c r="C977" s="5"/>
      <c r="D977" s="5"/>
      <c r="E977" s="5"/>
      <c r="F977" s="5"/>
      <c r="G977" s="5"/>
      <c r="H977" s="68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5"/>
      <c r="C978" s="5"/>
      <c r="D978" s="5"/>
      <c r="E978" s="5"/>
      <c r="F978" s="5"/>
      <c r="G978" s="5"/>
      <c r="H978" s="68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5"/>
      <c r="C979" s="5"/>
      <c r="D979" s="5"/>
      <c r="E979" s="5"/>
      <c r="F979" s="5"/>
      <c r="G979" s="5"/>
      <c r="H979" s="68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5"/>
      <c r="C980" s="5"/>
      <c r="D980" s="5"/>
      <c r="E980" s="5"/>
      <c r="F980" s="5"/>
      <c r="G980" s="5"/>
      <c r="H980" s="68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5"/>
      <c r="C981" s="5"/>
      <c r="D981" s="5"/>
      <c r="E981" s="5"/>
      <c r="F981" s="5"/>
      <c r="G981" s="5"/>
      <c r="H981" s="68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5"/>
      <c r="C982" s="5"/>
      <c r="D982" s="5"/>
      <c r="E982" s="5"/>
      <c r="F982" s="5"/>
      <c r="G982" s="5"/>
      <c r="H982" s="68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5"/>
      <c r="C983" s="5"/>
      <c r="D983" s="5"/>
      <c r="E983" s="5"/>
      <c r="F983" s="5"/>
      <c r="G983" s="5"/>
      <c r="H983" s="68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5"/>
      <c r="C984" s="5"/>
      <c r="D984" s="5"/>
      <c r="E984" s="5"/>
      <c r="F984" s="5"/>
      <c r="G984" s="5"/>
      <c r="H984" s="68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5"/>
      <c r="C985" s="5"/>
      <c r="D985" s="5"/>
      <c r="E985" s="5"/>
      <c r="F985" s="5"/>
      <c r="G985" s="5"/>
      <c r="H985" s="68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5"/>
      <c r="C986" s="5"/>
      <c r="D986" s="5"/>
      <c r="E986" s="5"/>
      <c r="F986" s="5"/>
      <c r="G986" s="5"/>
      <c r="H986" s="68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5"/>
      <c r="C987" s="5"/>
      <c r="D987" s="5"/>
      <c r="E987" s="5"/>
      <c r="F987" s="5"/>
      <c r="G987" s="5"/>
      <c r="H987" s="68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5"/>
      <c r="C988" s="5"/>
      <c r="D988" s="5"/>
      <c r="E988" s="5"/>
      <c r="F988" s="5"/>
      <c r="G988" s="5"/>
      <c r="H988" s="68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5"/>
      <c r="C989" s="5"/>
      <c r="D989" s="5"/>
      <c r="E989" s="5"/>
      <c r="F989" s="5"/>
      <c r="G989" s="5"/>
      <c r="H989" s="68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5"/>
      <c r="C990" s="5"/>
      <c r="D990" s="5"/>
      <c r="E990" s="5"/>
      <c r="F990" s="5"/>
      <c r="G990" s="5"/>
      <c r="H990" s="68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5"/>
      <c r="C991" s="5"/>
      <c r="D991" s="5"/>
      <c r="E991" s="5"/>
      <c r="F991" s="5"/>
      <c r="G991" s="5"/>
      <c r="H991" s="68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5"/>
      <c r="C992" s="5"/>
      <c r="D992" s="5"/>
      <c r="E992" s="5"/>
      <c r="F992" s="5"/>
      <c r="G992" s="5"/>
      <c r="H992" s="68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5"/>
      <c r="C993" s="5"/>
      <c r="D993" s="5"/>
      <c r="E993" s="5"/>
      <c r="F993" s="5"/>
      <c r="G993" s="5"/>
      <c r="H993" s="68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5"/>
      <c r="C994" s="5"/>
      <c r="D994" s="5"/>
      <c r="E994" s="5"/>
      <c r="F994" s="5"/>
      <c r="G994" s="5"/>
      <c r="H994" s="68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5"/>
      <c r="C995" s="5"/>
      <c r="D995" s="5"/>
      <c r="E995" s="5"/>
      <c r="F995" s="5"/>
      <c r="G995" s="5"/>
      <c r="H995" s="68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5"/>
      <c r="C996" s="5"/>
      <c r="D996" s="5"/>
      <c r="E996" s="5"/>
      <c r="F996" s="5"/>
      <c r="G996" s="5"/>
      <c r="H996" s="68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5"/>
      <c r="C997" s="5"/>
      <c r="D997" s="5"/>
      <c r="E997" s="5"/>
      <c r="F997" s="5"/>
      <c r="G997" s="5"/>
      <c r="H997" s="68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5"/>
      <c r="C998" s="5"/>
      <c r="D998" s="5"/>
      <c r="E998" s="5"/>
      <c r="F998" s="5"/>
      <c r="G998" s="5"/>
      <c r="H998" s="68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5"/>
      <c r="C999" s="5"/>
      <c r="D999" s="5"/>
      <c r="E999" s="5"/>
      <c r="F999" s="5"/>
      <c r="G999" s="5"/>
      <c r="H999" s="68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68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 horizontalCentered="1"/>
  <pageMargins bottom="0.0" footer="0.0" header="0.0" left="0.3937007874015748" right="0.3937007874015748" top="0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2016-06-08T18:09:53Z</dcterms:created>
  <dc:creator>puccella</dc:creator>
</cp:coreProperties>
</file>